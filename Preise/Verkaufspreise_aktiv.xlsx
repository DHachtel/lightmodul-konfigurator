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 Hachtel\Documents\Development\Konfigurator\artmodul-konfigurator\Preise\"/>
    </mc:Choice>
  </mc:AlternateContent>
  <xr:revisionPtr revIDLastSave="0" documentId="13_ncr:1_{A493B13C-EAF0-422C-9AE1-6BBBA846CFE1}" xr6:coauthVersionLast="47" xr6:coauthVersionMax="47" xr10:uidLastSave="{00000000-0000-0000-0000-000000000000}"/>
  <bookViews>
    <workbookView xWindow="-28920" yWindow="-75" windowWidth="29040" windowHeight="15720" tabRatio="500" activeTab="5" xr2:uid="{00000000-000D-0000-FFFF-FFFF00000000}"/>
  </bookViews>
  <sheets>
    <sheet name="Statistik" sheetId="28" r:id="rId1"/>
    <sheet name="Konfigurator_Export" sheetId="24" r:id="rId2"/>
    <sheet name="Aktiv" sheetId="15" r:id="rId3"/>
    <sheet name="Steuerungsdaten" sheetId="14" r:id="rId4"/>
    <sheet name="Abweichungsanalyse" sheetId="29" state="hidden" r:id="rId5"/>
    <sheet name="Vergleich Preislogik" sheetId="19" r:id="rId6"/>
    <sheet name="Preisliste 2012" sheetId="17" r:id="rId7"/>
    <sheet name="Preisliste_2025" sheetId="25" r:id="rId8"/>
    <sheet name="Preisliste_Tische" sheetId="26" state="hidden" r:id="rId9"/>
    <sheet name="Größentabelle" sheetId="27" state="hidden" r:id="rId10"/>
    <sheet name="Preisliste_2026" sheetId="32" r:id="rId11"/>
  </sheets>
  <externalReferences>
    <externalReference r:id="rId12"/>
  </externalReferences>
  <definedNames>
    <definedName name="ANZ_Breite" localSheetId="8">#REF!</definedName>
    <definedName name="ANZ_Elemente" localSheetId="8">#REF!</definedName>
    <definedName name="ANZ_Höhe" localSheetId="8">#REF!</definedName>
    <definedName name="ANZ_Tiefe" localSheetId="8">#REF!</definedName>
    <definedName name="Bericht" localSheetId="8">#REF!</definedName>
    <definedName name="_xlnm.Database" localSheetId="8">#REF!</definedName>
    <definedName name="Gewicht_Klappe" localSheetId="8">#REF!</definedName>
    <definedName name="Gewicht_Platte" localSheetId="8">#REF!</definedName>
    <definedName name="Gewicht_Profil" localSheetId="8">#REF!</definedName>
    <definedName name="Gewicht_Scharnier" localSheetId="8">#REF!</definedName>
    <definedName name="Gewicht_Schubkasten" localSheetId="8">#REF!</definedName>
    <definedName name="Konfektion" localSheetId="8">#REF!</definedName>
    <definedName name="PL_CHF_Faktor">Preisliste_Tische!$G$2</definedName>
    <definedName name="PL_Inflation">Preisliste_Tische!$C$2</definedName>
    <definedName name="PL_Jahre">Preisliste_Tische!$E$2</definedName>
    <definedName name="Preise_Profil46">Preisliste_Tische!$B$6:$H$18</definedName>
    <definedName name="Preise_Tischplatten">Preisliste_Tische!$B$22:$L$32</definedName>
    <definedName name="Rabatt" localSheetId="8">#REF!</definedName>
    <definedName name="_xlnm.Criteria" localSheetId="8">#REF!</definedName>
    <definedName name="Tiefe" localSheetId="8">#REF!</definedName>
    <definedName name="Tischnamen">Preisliste_Tische!$C$22:$C$32</definedName>
    <definedName name="Vertrieb" localSheetId="8">#REF!</definedName>
    <definedName name="_xlnm.Extract" localSheetId="8">#REF!</definedName>
    <definedName name="Zusatzrabatt" localSheetId="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7" i="19" l="1"/>
  <c r="AB97" i="19"/>
  <c r="AA97" i="19"/>
  <c r="AC96" i="19"/>
  <c r="AB96" i="19"/>
  <c r="AA96" i="19"/>
  <c r="AC95" i="19"/>
  <c r="AB95" i="19"/>
  <c r="AA95" i="19"/>
  <c r="AC94" i="19"/>
  <c r="AB94" i="19"/>
  <c r="AA94" i="19"/>
  <c r="AC93" i="19"/>
  <c r="AB93" i="19"/>
  <c r="AA93" i="19"/>
  <c r="AC92" i="19"/>
  <c r="AB92" i="19"/>
  <c r="AA92" i="19"/>
  <c r="AC91" i="19"/>
  <c r="AB91" i="19"/>
  <c r="AA91" i="19"/>
  <c r="AC90" i="19"/>
  <c r="AB90" i="19"/>
  <c r="AA90" i="19"/>
  <c r="AC89" i="19"/>
  <c r="AB89" i="19"/>
  <c r="AA89" i="19"/>
  <c r="AC88" i="19"/>
  <c r="AB88" i="19"/>
  <c r="AA88" i="19"/>
  <c r="AC87" i="19"/>
  <c r="AB87" i="19"/>
  <c r="AA87" i="19"/>
  <c r="AC86" i="19"/>
  <c r="AB86" i="19"/>
  <c r="AA86" i="19"/>
  <c r="AC85" i="19"/>
  <c r="AB85" i="19"/>
  <c r="AA85" i="19"/>
  <c r="AC84" i="19"/>
  <c r="AB84" i="19"/>
  <c r="AA84" i="19"/>
  <c r="AC83" i="19"/>
  <c r="AB83" i="19"/>
  <c r="AA83" i="19"/>
  <c r="AC82" i="19"/>
  <c r="AB82" i="19"/>
  <c r="AA82" i="19"/>
  <c r="AC81" i="19"/>
  <c r="AB81" i="19"/>
  <c r="AA81" i="19"/>
  <c r="AC80" i="19"/>
  <c r="AB80" i="19"/>
  <c r="AA80" i="19"/>
  <c r="AC79" i="19"/>
  <c r="AB79" i="19"/>
  <c r="AA79" i="19"/>
  <c r="AC78" i="19"/>
  <c r="AB78" i="19"/>
  <c r="AA78" i="19"/>
  <c r="AC77" i="19"/>
  <c r="AB77" i="19"/>
  <c r="AA77" i="19"/>
  <c r="AC76" i="19"/>
  <c r="AB76" i="19"/>
  <c r="AA76" i="19"/>
  <c r="AC75" i="19"/>
  <c r="AB75" i="19"/>
  <c r="AA75" i="19"/>
  <c r="AC74" i="19"/>
  <c r="AB74" i="19"/>
  <c r="AA74" i="19"/>
  <c r="AC73" i="19"/>
  <c r="AB73" i="19"/>
  <c r="AA73" i="19"/>
  <c r="Z73" i="19"/>
  <c r="AC72" i="19"/>
  <c r="AB72" i="19"/>
  <c r="AA72" i="19"/>
  <c r="AC71" i="19"/>
  <c r="AB71" i="19"/>
  <c r="AA71" i="19"/>
  <c r="AC70" i="19"/>
  <c r="AB70" i="19"/>
  <c r="AA70" i="19"/>
  <c r="AC69" i="19"/>
  <c r="AB69" i="19"/>
  <c r="AA69" i="19"/>
  <c r="AC68" i="19"/>
  <c r="AB68" i="19"/>
  <c r="AA68" i="19"/>
  <c r="AC67" i="19"/>
  <c r="AB67" i="19"/>
  <c r="AA67" i="19"/>
  <c r="AC66" i="19"/>
  <c r="AB66" i="19"/>
  <c r="AA66" i="19"/>
  <c r="AC65" i="19"/>
  <c r="AB65" i="19"/>
  <c r="AA65" i="19"/>
  <c r="AC64" i="19"/>
  <c r="AB64" i="19"/>
  <c r="AA64" i="19"/>
  <c r="AC63" i="19"/>
  <c r="AB63" i="19"/>
  <c r="AA63" i="19"/>
  <c r="AC62" i="19"/>
  <c r="AB62" i="19"/>
  <c r="AA62" i="19"/>
  <c r="Z62" i="19"/>
  <c r="AC61" i="19"/>
  <c r="AB61" i="19"/>
  <c r="AA61" i="19"/>
  <c r="AC60" i="19"/>
  <c r="AB60" i="19"/>
  <c r="AA60" i="19"/>
  <c r="AC59" i="19"/>
  <c r="AB59" i="19"/>
  <c r="AA59" i="19"/>
  <c r="AC58" i="19"/>
  <c r="AB58" i="19"/>
  <c r="AA58" i="19"/>
  <c r="AC57" i="19"/>
  <c r="AB57" i="19"/>
  <c r="AA57" i="19"/>
  <c r="AC56" i="19"/>
  <c r="AB56" i="19"/>
  <c r="AA56" i="19"/>
  <c r="AC55" i="19"/>
  <c r="AB55" i="19"/>
  <c r="AA55" i="19"/>
  <c r="AC54" i="19"/>
  <c r="AB54" i="19"/>
  <c r="AA54" i="19"/>
  <c r="AC53" i="19"/>
  <c r="AB53" i="19"/>
  <c r="AA53" i="19"/>
  <c r="AC52" i="19"/>
  <c r="AB52" i="19"/>
  <c r="AA52" i="19"/>
  <c r="AC51" i="19"/>
  <c r="AB51" i="19"/>
  <c r="AA51" i="19"/>
  <c r="Z51" i="19"/>
  <c r="AC50" i="19"/>
  <c r="AB50" i="19"/>
  <c r="AA50" i="19"/>
  <c r="AC49" i="19"/>
  <c r="AB49" i="19"/>
  <c r="AA49" i="19"/>
  <c r="AC48" i="19"/>
  <c r="AB48" i="19"/>
  <c r="AA48" i="19"/>
  <c r="AC47" i="19"/>
  <c r="AB47" i="19"/>
  <c r="AA47" i="19"/>
  <c r="AC46" i="19"/>
  <c r="AB46" i="19"/>
  <c r="AA46" i="19"/>
  <c r="Z46" i="19"/>
  <c r="AC45" i="19"/>
  <c r="AB45" i="19"/>
  <c r="AA45" i="19"/>
  <c r="AC44" i="19"/>
  <c r="AB44" i="19"/>
  <c r="AA44" i="19"/>
  <c r="AC43" i="19"/>
  <c r="AB43" i="19"/>
  <c r="AA43" i="19"/>
  <c r="AC42" i="19"/>
  <c r="AB42" i="19"/>
  <c r="AA42" i="19"/>
  <c r="AC41" i="19"/>
  <c r="AB41" i="19"/>
  <c r="AA41" i="19"/>
  <c r="AC40" i="19"/>
  <c r="AB40" i="19"/>
  <c r="AA40" i="19"/>
  <c r="AC39" i="19"/>
  <c r="AB39" i="19"/>
  <c r="AA39" i="19"/>
  <c r="AC38" i="19"/>
  <c r="AB38" i="19"/>
  <c r="AA38" i="19"/>
  <c r="AC37" i="19"/>
  <c r="AB37" i="19"/>
  <c r="AA37" i="19"/>
  <c r="AC36" i="19"/>
  <c r="AB36" i="19"/>
  <c r="AA36" i="19"/>
  <c r="AC35" i="19"/>
  <c r="AB35" i="19"/>
  <c r="AA35" i="19"/>
  <c r="AC34" i="19"/>
  <c r="AB34" i="19"/>
  <c r="AA34" i="19"/>
  <c r="AC33" i="19"/>
  <c r="AB33" i="19"/>
  <c r="AA33" i="19"/>
  <c r="AC32" i="19"/>
  <c r="AB32" i="19"/>
  <c r="AA32" i="19"/>
  <c r="AC31" i="19"/>
  <c r="AB31" i="19"/>
  <c r="AA31" i="19"/>
  <c r="AC30" i="19"/>
  <c r="AB30" i="19"/>
  <c r="AA30" i="19"/>
  <c r="AC29" i="19"/>
  <c r="AB29" i="19"/>
  <c r="AA29" i="19"/>
  <c r="AC28" i="19"/>
  <c r="AB28" i="19"/>
  <c r="AA28" i="19"/>
  <c r="AC27" i="19"/>
  <c r="AB27" i="19"/>
  <c r="AA27" i="19"/>
  <c r="AC26" i="19"/>
  <c r="AB26" i="19"/>
  <c r="AA26" i="19"/>
  <c r="AC25" i="19"/>
  <c r="AB25" i="19"/>
  <c r="AA25" i="19"/>
  <c r="AC24" i="19"/>
  <c r="AB24" i="19"/>
  <c r="AA24" i="19"/>
  <c r="AC23" i="19"/>
  <c r="AB23" i="19"/>
  <c r="AA23" i="19"/>
  <c r="AC22" i="19"/>
  <c r="AB22" i="19"/>
  <c r="AA22" i="19"/>
  <c r="AC21" i="19"/>
  <c r="AB21" i="19"/>
  <c r="AA21" i="19"/>
  <c r="AC20" i="19"/>
  <c r="AB20" i="19"/>
  <c r="AA20" i="19"/>
  <c r="AC19" i="19"/>
  <c r="AB19" i="19"/>
  <c r="AA19" i="19"/>
  <c r="AC18" i="19"/>
  <c r="AB18" i="19"/>
  <c r="AA18" i="19"/>
  <c r="AC17" i="19"/>
  <c r="AB17" i="19"/>
  <c r="AA17" i="19"/>
  <c r="AC16" i="19"/>
  <c r="AB16" i="19"/>
  <c r="AA16" i="19"/>
  <c r="AC15" i="19"/>
  <c r="AB15" i="19"/>
  <c r="AA15" i="19"/>
  <c r="AC14" i="19"/>
  <c r="AB14" i="19"/>
  <c r="AA14" i="19"/>
  <c r="AC13" i="19"/>
  <c r="AB13" i="19"/>
  <c r="AA13" i="19"/>
  <c r="AC12" i="19"/>
  <c r="AB12" i="19"/>
  <c r="AA12" i="19"/>
  <c r="AC11" i="19"/>
  <c r="AB11" i="19"/>
  <c r="AA11" i="19"/>
  <c r="AC10" i="19"/>
  <c r="AB10" i="19"/>
  <c r="AA10" i="19"/>
  <c r="AC9" i="19"/>
  <c r="AB9" i="19"/>
  <c r="AA9" i="19"/>
  <c r="AC8" i="19"/>
  <c r="AB8" i="19"/>
  <c r="AA8" i="19"/>
  <c r="AC7" i="19"/>
  <c r="AB7" i="19"/>
  <c r="AA7" i="19"/>
  <c r="K102" i="32"/>
  <c r="P101" i="15"/>
  <c r="L102" i="32"/>
  <c r="M102" i="32"/>
  <c r="N102" i="32"/>
  <c r="Q101" i="15"/>
  <c r="R101" i="15"/>
  <c r="L103" i="32"/>
  <c r="M103" i="32"/>
  <c r="N103" i="32"/>
  <c r="K103" i="32"/>
  <c r="P102" i="15"/>
  <c r="N307" i="24"/>
  <c r="M307" i="24"/>
  <c r="L307" i="24"/>
  <c r="K307" i="24"/>
  <c r="N350" i="15"/>
  <c r="N365" i="32" s="1"/>
  <c r="M350" i="15"/>
  <c r="L350" i="15"/>
  <c r="K350" i="15"/>
  <c r="K365" i="32" s="1"/>
  <c r="N349" i="15"/>
  <c r="N364" i="32" s="1"/>
  <c r="M349" i="15"/>
  <c r="M364" i="32" s="1"/>
  <c r="L349" i="15"/>
  <c r="L364" i="32" s="1"/>
  <c r="K349" i="15"/>
  <c r="K364" i="32" s="1"/>
  <c r="N348" i="15"/>
  <c r="M348" i="15"/>
  <c r="M363" i="32" s="1"/>
  <c r="L348" i="15"/>
  <c r="L363" i="32" s="1"/>
  <c r="K348" i="15"/>
  <c r="K363" i="32" s="1"/>
  <c r="N347" i="15"/>
  <c r="N362" i="32" s="1"/>
  <c r="M347" i="15"/>
  <c r="M362" i="32" s="1"/>
  <c r="L347" i="15"/>
  <c r="L362" i="32" s="1"/>
  <c r="K347" i="15"/>
  <c r="K362" i="32" s="1"/>
  <c r="N346" i="15"/>
  <c r="N361" i="32" s="1"/>
  <c r="M346" i="15"/>
  <c r="L346" i="15"/>
  <c r="K346" i="15"/>
  <c r="K361" i="32" s="1"/>
  <c r="N345" i="15"/>
  <c r="M345" i="15"/>
  <c r="M360" i="32" s="1"/>
  <c r="L345" i="15"/>
  <c r="K345" i="15"/>
  <c r="K360" i="32" s="1"/>
  <c r="N344" i="15"/>
  <c r="M344" i="15"/>
  <c r="M359" i="32" s="1"/>
  <c r="L344" i="15"/>
  <c r="L359" i="32" s="1"/>
  <c r="K344" i="15"/>
  <c r="K359" i="32" s="1"/>
  <c r="N343" i="15"/>
  <c r="N358" i="32" s="1"/>
  <c r="M343" i="15"/>
  <c r="M358" i="32" s="1"/>
  <c r="L343" i="15"/>
  <c r="L358" i="32" s="1"/>
  <c r="K343" i="15"/>
  <c r="K358" i="32" s="1"/>
  <c r="N342" i="15"/>
  <c r="N357" i="32" s="1"/>
  <c r="M342" i="15"/>
  <c r="L342" i="15"/>
  <c r="K342" i="15"/>
  <c r="K357" i="32" s="1"/>
  <c r="N341" i="15"/>
  <c r="N356" i="32" s="1"/>
  <c r="M341" i="15"/>
  <c r="M356" i="32" s="1"/>
  <c r="L341" i="15"/>
  <c r="K341" i="15"/>
  <c r="K356" i="32" s="1"/>
  <c r="N340" i="15"/>
  <c r="M340" i="15"/>
  <c r="M355" i="32" s="1"/>
  <c r="L340" i="15"/>
  <c r="L355" i="32" s="1"/>
  <c r="K340" i="15"/>
  <c r="K355" i="32" s="1"/>
  <c r="N339" i="15"/>
  <c r="N354" i="32" s="1"/>
  <c r="M339" i="15"/>
  <c r="M354" i="32" s="1"/>
  <c r="L339" i="15"/>
  <c r="L354" i="32" s="1"/>
  <c r="K339" i="15"/>
  <c r="K354" i="32" s="1"/>
  <c r="N338" i="15"/>
  <c r="M338" i="15"/>
  <c r="L338" i="15"/>
  <c r="K338" i="15"/>
  <c r="N337" i="15"/>
  <c r="M337" i="15"/>
  <c r="M352" i="32" s="1"/>
  <c r="L337" i="15"/>
  <c r="K337" i="15"/>
  <c r="K352" i="32" s="1"/>
  <c r="N336" i="15"/>
  <c r="M336" i="15"/>
  <c r="M351" i="32" s="1"/>
  <c r="L336" i="15"/>
  <c r="L351" i="32" s="1"/>
  <c r="K336" i="15"/>
  <c r="K351" i="32" s="1"/>
  <c r="N335" i="15"/>
  <c r="N350" i="32" s="1"/>
  <c r="M335" i="15"/>
  <c r="M350" i="32" s="1"/>
  <c r="L335" i="15"/>
  <c r="L350" i="32" s="1"/>
  <c r="K335" i="15"/>
  <c r="K350" i="32" s="1"/>
  <c r="N334" i="15"/>
  <c r="N349" i="32" s="1"/>
  <c r="M334" i="15"/>
  <c r="L334" i="15"/>
  <c r="K334" i="15"/>
  <c r="K349" i="32" s="1"/>
  <c r="N333" i="15"/>
  <c r="N348" i="32" s="1"/>
  <c r="M333" i="15"/>
  <c r="M348" i="32" s="1"/>
  <c r="L333" i="15"/>
  <c r="L348" i="32" s="1"/>
  <c r="K333" i="15"/>
  <c r="K348" i="32" s="1"/>
  <c r="N332" i="15"/>
  <c r="M332" i="15"/>
  <c r="M347" i="32" s="1"/>
  <c r="L332" i="15"/>
  <c r="L347" i="32" s="1"/>
  <c r="K332" i="15"/>
  <c r="K347" i="32" s="1"/>
  <c r="N331" i="15"/>
  <c r="N346" i="32" s="1"/>
  <c r="M331" i="15"/>
  <c r="M346" i="32" s="1"/>
  <c r="L331" i="15"/>
  <c r="L346" i="32" s="1"/>
  <c r="K331" i="15"/>
  <c r="K346" i="32" s="1"/>
  <c r="N330" i="15"/>
  <c r="M330" i="15"/>
  <c r="L330" i="15"/>
  <c r="K330" i="15"/>
  <c r="K345" i="32" s="1"/>
  <c r="N329" i="15"/>
  <c r="N344" i="32" s="1"/>
  <c r="M329" i="15"/>
  <c r="M344" i="32" s="1"/>
  <c r="L329" i="15"/>
  <c r="K329" i="15"/>
  <c r="N328" i="15"/>
  <c r="M328" i="15"/>
  <c r="M343" i="32" s="1"/>
  <c r="L328" i="15"/>
  <c r="K328" i="15"/>
  <c r="K343" i="32" s="1"/>
  <c r="N327" i="15"/>
  <c r="M327" i="15"/>
  <c r="L327" i="15"/>
  <c r="K327" i="15"/>
  <c r="N326" i="15"/>
  <c r="N340" i="32" s="1"/>
  <c r="M326" i="15"/>
  <c r="L326" i="15"/>
  <c r="K326" i="15"/>
  <c r="N325" i="15"/>
  <c r="M325" i="15"/>
  <c r="M339" i="32" s="1"/>
  <c r="L325" i="15"/>
  <c r="L339" i="32" s="1"/>
  <c r="K325" i="15"/>
  <c r="K339" i="32" s="1"/>
  <c r="N324" i="15"/>
  <c r="M324" i="15"/>
  <c r="M338" i="32" s="1"/>
  <c r="L324" i="15"/>
  <c r="K324" i="15"/>
  <c r="K338" i="32" s="1"/>
  <c r="N323" i="15"/>
  <c r="N337" i="32" s="1"/>
  <c r="M323" i="15"/>
  <c r="M337" i="32" s="1"/>
  <c r="L323" i="15"/>
  <c r="K323" i="15"/>
  <c r="K337" i="32" s="1"/>
  <c r="N322" i="15"/>
  <c r="M322" i="15"/>
  <c r="L322" i="15"/>
  <c r="K322" i="15"/>
  <c r="K336" i="32" s="1"/>
  <c r="N321" i="15"/>
  <c r="N335" i="32" s="1"/>
  <c r="M321" i="15"/>
  <c r="M335" i="32" s="1"/>
  <c r="L321" i="15"/>
  <c r="L335" i="32" s="1"/>
  <c r="K321" i="15"/>
  <c r="K335" i="32" s="1"/>
  <c r="N320" i="15"/>
  <c r="M320" i="15"/>
  <c r="M334" i="32" s="1"/>
  <c r="L320" i="15"/>
  <c r="L334" i="32" s="1"/>
  <c r="K320" i="15"/>
  <c r="K334" i="32" s="1"/>
  <c r="N319" i="15"/>
  <c r="N333" i="32" s="1"/>
  <c r="M319" i="15"/>
  <c r="M333" i="32" s="1"/>
  <c r="L319" i="15"/>
  <c r="L333" i="32" s="1"/>
  <c r="K319" i="15"/>
  <c r="K333" i="32" s="1"/>
  <c r="N318" i="15"/>
  <c r="N332" i="32" s="1"/>
  <c r="M318" i="15"/>
  <c r="L318" i="15"/>
  <c r="K318" i="15"/>
  <c r="K332" i="32" s="1"/>
  <c r="N317" i="15"/>
  <c r="N331" i="32" s="1"/>
  <c r="M317" i="15"/>
  <c r="M331" i="32" s="1"/>
  <c r="L317" i="15"/>
  <c r="K317" i="15"/>
  <c r="K331" i="32" s="1"/>
  <c r="N316" i="15"/>
  <c r="M316" i="15"/>
  <c r="M330" i="32" s="1"/>
  <c r="L316" i="15"/>
  <c r="L330" i="32" s="1"/>
  <c r="K316" i="15"/>
  <c r="K330" i="32" s="1"/>
  <c r="N315" i="15"/>
  <c r="N329" i="32" s="1"/>
  <c r="M315" i="15"/>
  <c r="M329" i="32" s="1"/>
  <c r="L315" i="15"/>
  <c r="L329" i="32" s="1"/>
  <c r="K315" i="15"/>
  <c r="K329" i="32" s="1"/>
  <c r="N314" i="15"/>
  <c r="N328" i="32" s="1"/>
  <c r="M314" i="15"/>
  <c r="L314" i="15"/>
  <c r="K314" i="15"/>
  <c r="N313" i="15"/>
  <c r="M313" i="15"/>
  <c r="M327" i="32" s="1"/>
  <c r="L313" i="15"/>
  <c r="L327" i="32" s="1"/>
  <c r="K313" i="15"/>
  <c r="K327" i="32" s="1"/>
  <c r="N312" i="15"/>
  <c r="M312" i="15"/>
  <c r="M326" i="32" s="1"/>
  <c r="L312" i="15"/>
  <c r="K312" i="15"/>
  <c r="K326" i="32" s="1"/>
  <c r="N311" i="15"/>
  <c r="N325" i="32" s="1"/>
  <c r="M311" i="15"/>
  <c r="M325" i="32" s="1"/>
  <c r="L311" i="15"/>
  <c r="L325" i="32" s="1"/>
  <c r="K311" i="15"/>
  <c r="K325" i="32" s="1"/>
  <c r="N310" i="15"/>
  <c r="N324" i="32" s="1"/>
  <c r="M310" i="15"/>
  <c r="L310" i="15"/>
  <c r="K310" i="15"/>
  <c r="N309" i="15"/>
  <c r="N323" i="32" s="1"/>
  <c r="M309" i="15"/>
  <c r="M323" i="32" s="1"/>
  <c r="L309" i="15"/>
  <c r="L323" i="32" s="1"/>
  <c r="K309" i="15"/>
  <c r="K323" i="32" s="1"/>
  <c r="N308" i="15"/>
  <c r="M308" i="15"/>
  <c r="M322" i="32" s="1"/>
  <c r="L308" i="15"/>
  <c r="L322" i="32" s="1"/>
  <c r="K308" i="15"/>
  <c r="K322" i="32" s="1"/>
  <c r="N307" i="15"/>
  <c r="N321" i="32" s="1"/>
  <c r="M307" i="15"/>
  <c r="M321" i="32" s="1"/>
  <c r="L307" i="15"/>
  <c r="L321" i="32" s="1"/>
  <c r="K307" i="15"/>
  <c r="K321" i="32" s="1"/>
  <c r="N306" i="15"/>
  <c r="N320" i="32" s="1"/>
  <c r="M306" i="15"/>
  <c r="L306" i="15"/>
  <c r="K306" i="15"/>
  <c r="N305" i="15"/>
  <c r="N319" i="32" s="1"/>
  <c r="M305" i="15"/>
  <c r="M319" i="32" s="1"/>
  <c r="L305" i="15"/>
  <c r="K305" i="15"/>
  <c r="N304" i="15"/>
  <c r="M304" i="15"/>
  <c r="M318" i="32" s="1"/>
  <c r="L304" i="15"/>
  <c r="L318" i="32" s="1"/>
  <c r="K304" i="15"/>
  <c r="K318" i="32" s="1"/>
  <c r="N303" i="15"/>
  <c r="N317" i="32" s="1"/>
  <c r="M303" i="15"/>
  <c r="M317" i="32" s="1"/>
  <c r="L303" i="15"/>
  <c r="L317" i="32" s="1"/>
  <c r="K303" i="15"/>
  <c r="K317" i="32" s="1"/>
  <c r="N302" i="15"/>
  <c r="N316" i="32" s="1"/>
  <c r="M302" i="15"/>
  <c r="L302" i="15"/>
  <c r="K302" i="15"/>
  <c r="N301" i="15"/>
  <c r="M301" i="15"/>
  <c r="M315" i="32" s="1"/>
  <c r="L301" i="15"/>
  <c r="K301" i="15"/>
  <c r="K315" i="32" s="1"/>
  <c r="N300" i="15"/>
  <c r="M300" i="15"/>
  <c r="M314" i="32" s="1"/>
  <c r="L300" i="15"/>
  <c r="L314" i="32" s="1"/>
  <c r="K300" i="15"/>
  <c r="K314" i="32" s="1"/>
  <c r="N299" i="15"/>
  <c r="N313" i="32" s="1"/>
  <c r="M299" i="15"/>
  <c r="M313" i="32" s="1"/>
  <c r="L299" i="15"/>
  <c r="L313" i="32" s="1"/>
  <c r="K299" i="15"/>
  <c r="K313" i="32" s="1"/>
  <c r="N298" i="15"/>
  <c r="N312" i="32" s="1"/>
  <c r="M298" i="15"/>
  <c r="L298" i="15"/>
  <c r="K298" i="15"/>
  <c r="N297" i="15"/>
  <c r="N311" i="32" s="1"/>
  <c r="M297" i="15"/>
  <c r="M311" i="32" s="1"/>
  <c r="L297" i="15"/>
  <c r="K297" i="15"/>
  <c r="K311" i="32" s="1"/>
  <c r="N296" i="15"/>
  <c r="M296" i="15"/>
  <c r="M310" i="32" s="1"/>
  <c r="L296" i="15"/>
  <c r="L310" i="32" s="1"/>
  <c r="K296" i="15"/>
  <c r="K310" i="32" s="1"/>
  <c r="N295" i="15"/>
  <c r="N309" i="32" s="1"/>
  <c r="M295" i="15"/>
  <c r="M309" i="32" s="1"/>
  <c r="L295" i="15"/>
  <c r="L309" i="32" s="1"/>
  <c r="K295" i="15"/>
  <c r="K309" i="32" s="1"/>
  <c r="N294" i="15"/>
  <c r="N308" i="32" s="1"/>
  <c r="M294" i="15"/>
  <c r="L294" i="15"/>
  <c r="K294" i="15"/>
  <c r="K308" i="32" s="1"/>
  <c r="N293" i="15"/>
  <c r="N307" i="32" s="1"/>
  <c r="M293" i="15"/>
  <c r="M307" i="32" s="1"/>
  <c r="L293" i="15"/>
  <c r="L307" i="32" s="1"/>
  <c r="K293" i="15"/>
  <c r="K307" i="32" s="1"/>
  <c r="N292" i="15"/>
  <c r="M292" i="15"/>
  <c r="M306" i="32" s="1"/>
  <c r="L292" i="15"/>
  <c r="L306" i="32" s="1"/>
  <c r="K292" i="15"/>
  <c r="K306" i="32" s="1"/>
  <c r="N291" i="15"/>
  <c r="N305" i="32" s="1"/>
  <c r="M291" i="15"/>
  <c r="M305" i="32" s="1"/>
  <c r="L291" i="15"/>
  <c r="L305" i="32" s="1"/>
  <c r="K291" i="15"/>
  <c r="K305" i="32" s="1"/>
  <c r="N290" i="15"/>
  <c r="N304" i="32" s="1"/>
  <c r="M290" i="15"/>
  <c r="L290" i="15"/>
  <c r="K290" i="15"/>
  <c r="K304" i="32" s="1"/>
  <c r="N289" i="15"/>
  <c r="M289" i="15"/>
  <c r="M303" i="32" s="1"/>
  <c r="L289" i="15"/>
  <c r="L303" i="32" s="1"/>
  <c r="K289" i="15"/>
  <c r="K303" i="32" s="1"/>
  <c r="N288" i="15"/>
  <c r="M288" i="15"/>
  <c r="M302" i="32" s="1"/>
  <c r="L288" i="15"/>
  <c r="L302" i="32" s="1"/>
  <c r="K288" i="15"/>
  <c r="K302" i="32" s="1"/>
  <c r="N287" i="15"/>
  <c r="N301" i="32" s="1"/>
  <c r="M287" i="15"/>
  <c r="M301" i="32" s="1"/>
  <c r="L287" i="15"/>
  <c r="L301" i="32" s="1"/>
  <c r="K287" i="15"/>
  <c r="K301" i="32" s="1"/>
  <c r="N286" i="15"/>
  <c r="N300" i="32" s="1"/>
  <c r="M286" i="15"/>
  <c r="L286" i="15"/>
  <c r="K286" i="15"/>
  <c r="N285" i="15"/>
  <c r="N299" i="32" s="1"/>
  <c r="M285" i="15"/>
  <c r="M299" i="32" s="1"/>
  <c r="L285" i="15"/>
  <c r="L299" i="32" s="1"/>
  <c r="K285" i="15"/>
  <c r="K299" i="32" s="1"/>
  <c r="N284" i="15"/>
  <c r="M284" i="15"/>
  <c r="M298" i="32" s="1"/>
  <c r="L284" i="15"/>
  <c r="L298" i="32" s="1"/>
  <c r="K284" i="15"/>
  <c r="K298" i="32" s="1"/>
  <c r="N283" i="15"/>
  <c r="N297" i="32" s="1"/>
  <c r="M283" i="15"/>
  <c r="M297" i="32" s="1"/>
  <c r="L283" i="15"/>
  <c r="L297" i="32" s="1"/>
  <c r="K283" i="15"/>
  <c r="K297" i="32" s="1"/>
  <c r="N282" i="15"/>
  <c r="N296" i="32" s="1"/>
  <c r="M282" i="15"/>
  <c r="L282" i="15"/>
  <c r="K282" i="15"/>
  <c r="K296" i="32" s="1"/>
  <c r="N281" i="15"/>
  <c r="N295" i="32" s="1"/>
  <c r="M281" i="15"/>
  <c r="M295" i="32" s="1"/>
  <c r="L281" i="15"/>
  <c r="K281" i="15"/>
  <c r="K295" i="32" s="1"/>
  <c r="N280" i="15"/>
  <c r="M280" i="15"/>
  <c r="M294" i="32" s="1"/>
  <c r="L280" i="15"/>
  <c r="L294" i="32" s="1"/>
  <c r="K280" i="15"/>
  <c r="K294" i="32" s="1"/>
  <c r="N279" i="15"/>
  <c r="M279" i="15"/>
  <c r="L279" i="15"/>
  <c r="K279" i="15"/>
  <c r="N278" i="15"/>
  <c r="N291" i="32" s="1"/>
  <c r="N277" i="15"/>
  <c r="N290" i="32" s="1"/>
  <c r="N276" i="15"/>
  <c r="N275" i="15"/>
  <c r="N288" i="32" s="1"/>
  <c r="N274" i="15"/>
  <c r="N287" i="32" s="1"/>
  <c r="N273" i="15"/>
  <c r="N286" i="32" s="1"/>
  <c r="N272" i="15"/>
  <c r="N285" i="32" s="1"/>
  <c r="N271" i="15"/>
  <c r="N284" i="32" s="1"/>
  <c r="N270" i="15"/>
  <c r="M270" i="15"/>
  <c r="L270" i="15"/>
  <c r="K270" i="15"/>
  <c r="N269" i="15"/>
  <c r="N281" i="32" s="1"/>
  <c r="N268" i="15"/>
  <c r="N280" i="32" s="1"/>
  <c r="N267" i="15"/>
  <c r="N279" i="32" s="1"/>
  <c r="N266" i="15"/>
  <c r="N278" i="32" s="1"/>
  <c r="N265" i="15"/>
  <c r="N277" i="32" s="1"/>
  <c r="N264" i="15"/>
  <c r="N263" i="15"/>
  <c r="N275" i="32" s="1"/>
  <c r="N262" i="15"/>
  <c r="N261" i="15"/>
  <c r="M261" i="15"/>
  <c r="L261" i="15"/>
  <c r="K261" i="15"/>
  <c r="N270" i="32"/>
  <c r="N269" i="32"/>
  <c r="N268" i="32"/>
  <c r="N267" i="32"/>
  <c r="N266" i="32"/>
  <c r="N265" i="32"/>
  <c r="N264" i="32"/>
  <c r="N262" i="32"/>
  <c r="N250" i="15"/>
  <c r="N261" i="32" s="1"/>
  <c r="N249" i="15"/>
  <c r="N260" i="32" s="1"/>
  <c r="M249" i="15"/>
  <c r="M260" i="32" s="1"/>
  <c r="N248" i="15"/>
  <c r="N247" i="15"/>
  <c r="N258" i="32" s="1"/>
  <c r="N246" i="15"/>
  <c r="N257" i="32" s="1"/>
  <c r="N245" i="15"/>
  <c r="N256" i="32" s="1"/>
  <c r="N244" i="15"/>
  <c r="N255" i="32" s="1"/>
  <c r="N243" i="15"/>
  <c r="N242" i="15"/>
  <c r="N253" i="32" s="1"/>
  <c r="M241" i="15"/>
  <c r="L241" i="15"/>
  <c r="K241" i="15"/>
  <c r="M238" i="15"/>
  <c r="M248" i="32" s="1"/>
  <c r="N229" i="15"/>
  <c r="M229" i="15"/>
  <c r="L229" i="15"/>
  <c r="K229" i="15"/>
  <c r="N216" i="15"/>
  <c r="M216" i="15"/>
  <c r="L216" i="15"/>
  <c r="K216" i="15"/>
  <c r="M207" i="15"/>
  <c r="M215" i="32" s="1"/>
  <c r="N204" i="15"/>
  <c r="M204" i="15"/>
  <c r="L204" i="15"/>
  <c r="K204" i="15"/>
  <c r="M188" i="15"/>
  <c r="M195" i="32" s="1"/>
  <c r="L188" i="15"/>
  <c r="L195" i="32" s="1"/>
  <c r="N187" i="15"/>
  <c r="M187" i="15"/>
  <c r="L187" i="15"/>
  <c r="K187" i="15"/>
  <c r="N190" i="32"/>
  <c r="M190" i="32"/>
  <c r="L183" i="15"/>
  <c r="L189" i="32" s="1"/>
  <c r="N173" i="15"/>
  <c r="M173" i="15"/>
  <c r="L173" i="15"/>
  <c r="K173" i="15"/>
  <c r="L164" i="15"/>
  <c r="L169" i="32" s="1"/>
  <c r="L163" i="15"/>
  <c r="L168" i="32" s="1"/>
  <c r="N159" i="15"/>
  <c r="M159" i="15"/>
  <c r="L159" i="15"/>
  <c r="K159" i="15"/>
  <c r="M158" i="15"/>
  <c r="M162" i="32" s="1"/>
  <c r="N148" i="15"/>
  <c r="M148" i="15"/>
  <c r="L148" i="15"/>
  <c r="K148" i="15"/>
  <c r="M147" i="32"/>
  <c r="N129" i="15"/>
  <c r="M129" i="15"/>
  <c r="L129" i="15"/>
  <c r="K129" i="15"/>
  <c r="K128" i="32"/>
  <c r="N103" i="15"/>
  <c r="M103" i="15"/>
  <c r="L103" i="15"/>
  <c r="K103" i="15"/>
  <c r="M87" i="15"/>
  <c r="M88" i="32" s="1"/>
  <c r="M79" i="15"/>
  <c r="M80" i="32" s="1"/>
  <c r="N72" i="15"/>
  <c r="M72" i="15"/>
  <c r="L72" i="15"/>
  <c r="K72" i="15"/>
  <c r="N71" i="32"/>
  <c r="N67" i="32"/>
  <c r="N63" i="32"/>
  <c r="L60" i="15"/>
  <c r="L60" i="32" s="1"/>
  <c r="N59" i="32"/>
  <c r="N57" i="32"/>
  <c r="N51" i="32"/>
  <c r="N49" i="15"/>
  <c r="M49" i="15"/>
  <c r="L49" i="15"/>
  <c r="K49" i="15"/>
  <c r="N48" i="15"/>
  <c r="N47" i="32" s="1"/>
  <c r="N47" i="15"/>
  <c r="N46" i="32" s="1"/>
  <c r="N46" i="15"/>
  <c r="N45" i="32" s="1"/>
  <c r="N45" i="15"/>
  <c r="N44" i="32" s="1"/>
  <c r="N44" i="15"/>
  <c r="N43" i="15"/>
  <c r="N42" i="32" s="1"/>
  <c r="N42" i="15"/>
  <c r="N41" i="15"/>
  <c r="N40" i="32" s="1"/>
  <c r="N35" i="15"/>
  <c r="N34" i="32" s="1"/>
  <c r="L32" i="15"/>
  <c r="L31" i="32" s="1"/>
  <c r="N27" i="15"/>
  <c r="N26" i="32" s="1"/>
  <c r="L27" i="15"/>
  <c r="L26" i="32" s="1"/>
  <c r="L343" i="32"/>
  <c r="L337" i="32"/>
  <c r="L331" i="32"/>
  <c r="L326" i="32"/>
  <c r="L319" i="32"/>
  <c r="K319" i="32"/>
  <c r="L315" i="32"/>
  <c r="L311" i="32"/>
  <c r="L295" i="32"/>
  <c r="M217" i="32"/>
  <c r="N55" i="32"/>
  <c r="N22" i="15"/>
  <c r="M22" i="15"/>
  <c r="L22" i="15"/>
  <c r="K22" i="15"/>
  <c r="L20" i="15"/>
  <c r="L18" i="32" s="1"/>
  <c r="L19" i="15"/>
  <c r="L17" i="32" s="1"/>
  <c r="L15" i="15"/>
  <c r="L13" i="32" s="1"/>
  <c r="M12" i="15"/>
  <c r="M365" i="32"/>
  <c r="L365" i="32"/>
  <c r="J365" i="32"/>
  <c r="I365" i="32"/>
  <c r="H365" i="32"/>
  <c r="G365" i="32"/>
  <c r="F365" i="32"/>
  <c r="E365" i="32"/>
  <c r="D365" i="32"/>
  <c r="C365" i="32"/>
  <c r="B365" i="32"/>
  <c r="J364" i="32"/>
  <c r="I364" i="32"/>
  <c r="H364" i="32"/>
  <c r="G364" i="32"/>
  <c r="F364" i="32"/>
  <c r="E364" i="32"/>
  <c r="D364" i="32"/>
  <c r="C364" i="32"/>
  <c r="B364" i="32"/>
  <c r="N363" i="32"/>
  <c r="J363" i="32"/>
  <c r="I363" i="32"/>
  <c r="H363" i="32"/>
  <c r="G363" i="32"/>
  <c r="F363" i="32"/>
  <c r="E363" i="32"/>
  <c r="D363" i="32"/>
  <c r="C363" i="32"/>
  <c r="B363" i="32"/>
  <c r="J362" i="32"/>
  <c r="I362" i="32"/>
  <c r="H362" i="32"/>
  <c r="G362" i="32"/>
  <c r="F362" i="32"/>
  <c r="E362" i="32"/>
  <c r="D362" i="32"/>
  <c r="C362" i="32"/>
  <c r="B362" i="32"/>
  <c r="M361" i="32"/>
  <c r="L361" i="32"/>
  <c r="J361" i="32"/>
  <c r="I361" i="32"/>
  <c r="H361" i="32"/>
  <c r="G361" i="32"/>
  <c r="F361" i="32"/>
  <c r="E361" i="32"/>
  <c r="D361" i="32"/>
  <c r="C361" i="32"/>
  <c r="B361" i="32"/>
  <c r="N360" i="32"/>
  <c r="L360" i="32"/>
  <c r="J360" i="32"/>
  <c r="I360" i="32"/>
  <c r="H360" i="32"/>
  <c r="G360" i="32"/>
  <c r="F360" i="32"/>
  <c r="E360" i="32"/>
  <c r="D360" i="32"/>
  <c r="C360" i="32"/>
  <c r="B360" i="32"/>
  <c r="N359" i="32"/>
  <c r="J359" i="32"/>
  <c r="I359" i="32"/>
  <c r="H359" i="32"/>
  <c r="G359" i="32"/>
  <c r="F359" i="32"/>
  <c r="E359" i="32"/>
  <c r="D359" i="32"/>
  <c r="C359" i="32"/>
  <c r="B359" i="32"/>
  <c r="J358" i="32"/>
  <c r="I358" i="32"/>
  <c r="H358" i="32"/>
  <c r="G358" i="32"/>
  <c r="F358" i="32"/>
  <c r="E358" i="32"/>
  <c r="D358" i="32"/>
  <c r="C358" i="32"/>
  <c r="B358" i="32"/>
  <c r="M357" i="32"/>
  <c r="L357" i="32"/>
  <c r="J357" i="32"/>
  <c r="I357" i="32"/>
  <c r="H357" i="32"/>
  <c r="G357" i="32"/>
  <c r="F357" i="32"/>
  <c r="E357" i="32"/>
  <c r="D357" i="32"/>
  <c r="C357" i="32"/>
  <c r="B357" i="32"/>
  <c r="L356" i="32"/>
  <c r="J356" i="32"/>
  <c r="I356" i="32"/>
  <c r="H356" i="32"/>
  <c r="G356" i="32"/>
  <c r="F356" i="32"/>
  <c r="E356" i="32"/>
  <c r="D356" i="32"/>
  <c r="C356" i="32"/>
  <c r="B356" i="32"/>
  <c r="N355" i="32"/>
  <c r="J355" i="32"/>
  <c r="I355" i="32"/>
  <c r="H355" i="32"/>
  <c r="G355" i="32"/>
  <c r="F355" i="32"/>
  <c r="E355" i="32"/>
  <c r="D355" i="32"/>
  <c r="C355" i="32"/>
  <c r="B355" i="32"/>
  <c r="J354" i="32"/>
  <c r="I354" i="32"/>
  <c r="H354" i="32"/>
  <c r="G354" i="32"/>
  <c r="F354" i="32"/>
  <c r="E354" i="32"/>
  <c r="D354" i="32"/>
  <c r="C354" i="32"/>
  <c r="B354" i="32"/>
  <c r="N353" i="32"/>
  <c r="M353" i="32"/>
  <c r="L353" i="32"/>
  <c r="K353" i="32"/>
  <c r="J353" i="32"/>
  <c r="I353" i="32"/>
  <c r="H353" i="32"/>
  <c r="G353" i="32"/>
  <c r="F353" i="32"/>
  <c r="E353" i="32"/>
  <c r="D353" i="32"/>
  <c r="C353" i="32"/>
  <c r="B353" i="32"/>
  <c r="N352" i="32"/>
  <c r="L352" i="32"/>
  <c r="J352" i="32"/>
  <c r="I352" i="32"/>
  <c r="H352" i="32"/>
  <c r="G352" i="32"/>
  <c r="F352" i="32"/>
  <c r="E352" i="32"/>
  <c r="D352" i="32"/>
  <c r="C352" i="32"/>
  <c r="B352" i="32"/>
  <c r="N351" i="32"/>
  <c r="J351" i="32"/>
  <c r="I351" i="32"/>
  <c r="H351" i="32"/>
  <c r="G351" i="32"/>
  <c r="F351" i="32"/>
  <c r="E351" i="32"/>
  <c r="D351" i="32"/>
  <c r="C351" i="32"/>
  <c r="B351" i="32"/>
  <c r="J350" i="32"/>
  <c r="I350" i="32"/>
  <c r="H350" i="32"/>
  <c r="G350" i="32"/>
  <c r="F350" i="32"/>
  <c r="E350" i="32"/>
  <c r="D350" i="32"/>
  <c r="C350" i="32"/>
  <c r="B350" i="32"/>
  <c r="M349" i="32"/>
  <c r="L349" i="32"/>
  <c r="J349" i="32"/>
  <c r="I349" i="32"/>
  <c r="H349" i="32"/>
  <c r="G349" i="32"/>
  <c r="F349" i="32"/>
  <c r="E349" i="32"/>
  <c r="D349" i="32"/>
  <c r="C349" i="32"/>
  <c r="B349" i="32"/>
  <c r="J348" i="32"/>
  <c r="I348" i="32"/>
  <c r="H348" i="32"/>
  <c r="G348" i="32"/>
  <c r="F348" i="32"/>
  <c r="E348" i="32"/>
  <c r="D348" i="32"/>
  <c r="C348" i="32"/>
  <c r="B348" i="32"/>
  <c r="N347" i="32"/>
  <c r="J347" i="32"/>
  <c r="I347" i="32"/>
  <c r="H347" i="32"/>
  <c r="G347" i="32"/>
  <c r="F347" i="32"/>
  <c r="E347" i="32"/>
  <c r="D347" i="32"/>
  <c r="C347" i="32"/>
  <c r="B347" i="32"/>
  <c r="J346" i="32"/>
  <c r="I346" i="32"/>
  <c r="H346" i="32"/>
  <c r="G346" i="32"/>
  <c r="F346" i="32"/>
  <c r="E346" i="32"/>
  <c r="D346" i="32"/>
  <c r="C346" i="32"/>
  <c r="B346" i="32"/>
  <c r="N345" i="32"/>
  <c r="M345" i="32"/>
  <c r="L345" i="32"/>
  <c r="J345" i="32"/>
  <c r="I345" i="32"/>
  <c r="H345" i="32"/>
  <c r="G345" i="32"/>
  <c r="F345" i="32"/>
  <c r="E345" i="32"/>
  <c r="D345" i="32"/>
  <c r="C345" i="32"/>
  <c r="B345" i="32"/>
  <c r="L344" i="32"/>
  <c r="K344" i="32"/>
  <c r="J344" i="32"/>
  <c r="I344" i="32"/>
  <c r="H344" i="32"/>
  <c r="G344" i="32"/>
  <c r="F344" i="32"/>
  <c r="E344" i="32"/>
  <c r="D344" i="32"/>
  <c r="C344" i="32"/>
  <c r="B344" i="32"/>
  <c r="N343" i="32"/>
  <c r="J343" i="32"/>
  <c r="I343" i="32"/>
  <c r="H343" i="32"/>
  <c r="G343" i="32"/>
  <c r="F343" i="32"/>
  <c r="E343" i="32"/>
  <c r="D343" i="32"/>
  <c r="C343" i="32"/>
  <c r="B343" i="32"/>
  <c r="M340" i="32"/>
  <c r="L340" i="32"/>
  <c r="K340" i="32"/>
  <c r="J340" i="32"/>
  <c r="I340" i="32"/>
  <c r="H340" i="32"/>
  <c r="G340" i="32"/>
  <c r="F340" i="32"/>
  <c r="E340" i="32"/>
  <c r="D340" i="32"/>
  <c r="C340" i="32"/>
  <c r="B340" i="32"/>
  <c r="N339" i="32"/>
  <c r="J339" i="32"/>
  <c r="I339" i="32"/>
  <c r="H339" i="32"/>
  <c r="G339" i="32"/>
  <c r="F339" i="32"/>
  <c r="E339" i="32"/>
  <c r="D339" i="32"/>
  <c r="C339" i="32"/>
  <c r="B339" i="32"/>
  <c r="N338" i="32"/>
  <c r="L338" i="32"/>
  <c r="J338" i="32"/>
  <c r="I338" i="32"/>
  <c r="H338" i="32"/>
  <c r="G338" i="32"/>
  <c r="F338" i="32"/>
  <c r="E338" i="32"/>
  <c r="D338" i="32"/>
  <c r="C338" i="32"/>
  <c r="B338" i="32"/>
  <c r="J337" i="32"/>
  <c r="I337" i="32"/>
  <c r="H337" i="32"/>
  <c r="G337" i="32"/>
  <c r="F337" i="32"/>
  <c r="E337" i="32"/>
  <c r="D337" i="32"/>
  <c r="C337" i="32"/>
  <c r="B337" i="32"/>
  <c r="N336" i="32"/>
  <c r="M336" i="32"/>
  <c r="L336" i="32"/>
  <c r="J336" i="32"/>
  <c r="I336" i="32"/>
  <c r="H336" i="32"/>
  <c r="G336" i="32"/>
  <c r="F336" i="32"/>
  <c r="E336" i="32"/>
  <c r="D336" i="32"/>
  <c r="C336" i="32"/>
  <c r="B336" i="32"/>
  <c r="J335" i="32"/>
  <c r="I335" i="32"/>
  <c r="H335" i="32"/>
  <c r="G335" i="32"/>
  <c r="F335" i="32"/>
  <c r="E335" i="32"/>
  <c r="D335" i="32"/>
  <c r="C335" i="32"/>
  <c r="B335" i="32"/>
  <c r="N334" i="32"/>
  <c r="J334" i="32"/>
  <c r="I334" i="32"/>
  <c r="H334" i="32"/>
  <c r="G334" i="32"/>
  <c r="F334" i="32"/>
  <c r="E334" i="32"/>
  <c r="D334" i="32"/>
  <c r="C334" i="32"/>
  <c r="B334" i="32"/>
  <c r="J333" i="32"/>
  <c r="I333" i="32"/>
  <c r="H333" i="32"/>
  <c r="G333" i="32"/>
  <c r="F333" i="32"/>
  <c r="E333" i="32"/>
  <c r="D333" i="32"/>
  <c r="C333" i="32"/>
  <c r="B333" i="32"/>
  <c r="M332" i="32"/>
  <c r="L332" i="32"/>
  <c r="J332" i="32"/>
  <c r="I332" i="32"/>
  <c r="H332" i="32"/>
  <c r="G332" i="32"/>
  <c r="F332" i="32"/>
  <c r="E332" i="32"/>
  <c r="D332" i="32"/>
  <c r="C332" i="32"/>
  <c r="B332" i="32"/>
  <c r="J331" i="32"/>
  <c r="I331" i="32"/>
  <c r="H331" i="32"/>
  <c r="G331" i="32"/>
  <c r="F331" i="32"/>
  <c r="E331" i="32"/>
  <c r="D331" i="32"/>
  <c r="C331" i="32"/>
  <c r="B331" i="32"/>
  <c r="N330" i="32"/>
  <c r="J330" i="32"/>
  <c r="I330" i="32"/>
  <c r="H330" i="32"/>
  <c r="G330" i="32"/>
  <c r="F330" i="32"/>
  <c r="E330" i="32"/>
  <c r="D330" i="32"/>
  <c r="C330" i="32"/>
  <c r="B330" i="32"/>
  <c r="J329" i="32"/>
  <c r="I329" i="32"/>
  <c r="H329" i="32"/>
  <c r="G329" i="32"/>
  <c r="F329" i="32"/>
  <c r="E329" i="32"/>
  <c r="D329" i="32"/>
  <c r="C329" i="32"/>
  <c r="B329" i="32"/>
  <c r="M328" i="32"/>
  <c r="L328" i="32"/>
  <c r="K328" i="32"/>
  <c r="J328" i="32"/>
  <c r="I328" i="32"/>
  <c r="H328" i="32"/>
  <c r="G328" i="32"/>
  <c r="F328" i="32"/>
  <c r="E328" i="32"/>
  <c r="D328" i="32"/>
  <c r="C328" i="32"/>
  <c r="B328" i="32"/>
  <c r="N327" i="32"/>
  <c r="J327" i="32"/>
  <c r="I327" i="32"/>
  <c r="H327" i="32"/>
  <c r="G327" i="32"/>
  <c r="F327" i="32"/>
  <c r="E327" i="32"/>
  <c r="D327" i="32"/>
  <c r="C327" i="32"/>
  <c r="B327" i="32"/>
  <c r="N326" i="32"/>
  <c r="J326" i="32"/>
  <c r="I326" i="32"/>
  <c r="H326" i="32"/>
  <c r="G326" i="32"/>
  <c r="F326" i="32"/>
  <c r="E326" i="32"/>
  <c r="D326" i="32"/>
  <c r="C326" i="32"/>
  <c r="B326" i="32"/>
  <c r="J325" i="32"/>
  <c r="I325" i="32"/>
  <c r="H325" i="32"/>
  <c r="G325" i="32"/>
  <c r="F325" i="32"/>
  <c r="E325" i="32"/>
  <c r="D325" i="32"/>
  <c r="C325" i="32"/>
  <c r="B325" i="32"/>
  <c r="M324" i="32"/>
  <c r="L324" i="32"/>
  <c r="K324" i="32"/>
  <c r="J324" i="32"/>
  <c r="I324" i="32"/>
  <c r="H324" i="32"/>
  <c r="G324" i="32"/>
  <c r="F324" i="32"/>
  <c r="E324" i="32"/>
  <c r="D324" i="32"/>
  <c r="C324" i="32"/>
  <c r="B324" i="32"/>
  <c r="J323" i="32"/>
  <c r="I323" i="32"/>
  <c r="H323" i="32"/>
  <c r="G323" i="32"/>
  <c r="F323" i="32"/>
  <c r="E323" i="32"/>
  <c r="D323" i="32"/>
  <c r="C323" i="32"/>
  <c r="B323" i="32"/>
  <c r="N322" i="32"/>
  <c r="J322" i="32"/>
  <c r="I322" i="32"/>
  <c r="H322" i="32"/>
  <c r="G322" i="32"/>
  <c r="F322" i="32"/>
  <c r="E322" i="32"/>
  <c r="D322" i="32"/>
  <c r="C322" i="32"/>
  <c r="B322" i="32"/>
  <c r="J321" i="32"/>
  <c r="I321" i="32"/>
  <c r="H321" i="32"/>
  <c r="G321" i="32"/>
  <c r="F321" i="32"/>
  <c r="E321" i="32"/>
  <c r="D321" i="32"/>
  <c r="C321" i="32"/>
  <c r="B321" i="32"/>
  <c r="M320" i="32"/>
  <c r="L320" i="32"/>
  <c r="K320" i="32"/>
  <c r="J320" i="32"/>
  <c r="I320" i="32"/>
  <c r="H320" i="32"/>
  <c r="G320" i="32"/>
  <c r="F320" i="32"/>
  <c r="E320" i="32"/>
  <c r="D320" i="32"/>
  <c r="C320" i="32"/>
  <c r="B320" i="32"/>
  <c r="J319" i="32"/>
  <c r="I319" i="32"/>
  <c r="H319" i="32"/>
  <c r="G319" i="32"/>
  <c r="F319" i="32"/>
  <c r="E319" i="32"/>
  <c r="D319" i="32"/>
  <c r="C319" i="32"/>
  <c r="B319" i="32"/>
  <c r="N318" i="32"/>
  <c r="J318" i="32"/>
  <c r="I318" i="32"/>
  <c r="H318" i="32"/>
  <c r="G318" i="32"/>
  <c r="F318" i="32"/>
  <c r="E318" i="32"/>
  <c r="D318" i="32"/>
  <c r="C318" i="32"/>
  <c r="B318" i="32"/>
  <c r="J317" i="32"/>
  <c r="I317" i="32"/>
  <c r="H317" i="32"/>
  <c r="G317" i="32"/>
  <c r="F317" i="32"/>
  <c r="E317" i="32"/>
  <c r="D317" i="32"/>
  <c r="C317" i="32"/>
  <c r="B317" i="32"/>
  <c r="M316" i="32"/>
  <c r="L316" i="32"/>
  <c r="K316" i="32"/>
  <c r="J316" i="32"/>
  <c r="I316" i="32"/>
  <c r="H316" i="32"/>
  <c r="G316" i="32"/>
  <c r="F316" i="32"/>
  <c r="E316" i="32"/>
  <c r="D316" i="32"/>
  <c r="C316" i="32"/>
  <c r="B316" i="32"/>
  <c r="N315" i="32"/>
  <c r="J315" i="32"/>
  <c r="I315" i="32"/>
  <c r="H315" i="32"/>
  <c r="G315" i="32"/>
  <c r="F315" i="32"/>
  <c r="E315" i="32"/>
  <c r="D315" i="32"/>
  <c r="C315" i="32"/>
  <c r="B315" i="32"/>
  <c r="N314" i="32"/>
  <c r="J314" i="32"/>
  <c r="I314" i="32"/>
  <c r="H314" i="32"/>
  <c r="G314" i="32"/>
  <c r="F314" i="32"/>
  <c r="E314" i="32"/>
  <c r="D314" i="32"/>
  <c r="C314" i="32"/>
  <c r="B314" i="32"/>
  <c r="J313" i="32"/>
  <c r="I313" i="32"/>
  <c r="H313" i="32"/>
  <c r="G313" i="32"/>
  <c r="F313" i="32"/>
  <c r="E313" i="32"/>
  <c r="D313" i="32"/>
  <c r="C313" i="32"/>
  <c r="B313" i="32"/>
  <c r="M312" i="32"/>
  <c r="L312" i="32"/>
  <c r="K312" i="32"/>
  <c r="J312" i="32"/>
  <c r="I312" i="32"/>
  <c r="H312" i="32"/>
  <c r="G312" i="32"/>
  <c r="F312" i="32"/>
  <c r="E312" i="32"/>
  <c r="D312" i="32"/>
  <c r="C312" i="32"/>
  <c r="B312" i="32"/>
  <c r="J311" i="32"/>
  <c r="I311" i="32"/>
  <c r="H311" i="32"/>
  <c r="G311" i="32"/>
  <c r="F311" i="32"/>
  <c r="E311" i="32"/>
  <c r="D311" i="32"/>
  <c r="C311" i="32"/>
  <c r="B311" i="32"/>
  <c r="N310" i="32"/>
  <c r="J310" i="32"/>
  <c r="I310" i="32"/>
  <c r="H310" i="32"/>
  <c r="G310" i="32"/>
  <c r="F310" i="32"/>
  <c r="E310" i="32"/>
  <c r="D310" i="32"/>
  <c r="C310" i="32"/>
  <c r="B310" i="32"/>
  <c r="J309" i="32"/>
  <c r="I309" i="32"/>
  <c r="H309" i="32"/>
  <c r="G309" i="32"/>
  <c r="F309" i="32"/>
  <c r="E309" i="32"/>
  <c r="D309" i="32"/>
  <c r="C309" i="32"/>
  <c r="B309" i="32"/>
  <c r="M308" i="32"/>
  <c r="L308" i="32"/>
  <c r="J308" i="32"/>
  <c r="I308" i="32"/>
  <c r="H308" i="32"/>
  <c r="G308" i="32"/>
  <c r="F308" i="32"/>
  <c r="E308" i="32"/>
  <c r="D308" i="32"/>
  <c r="C308" i="32"/>
  <c r="B308" i="32"/>
  <c r="J307" i="32"/>
  <c r="I307" i="32"/>
  <c r="H307" i="32"/>
  <c r="G307" i="32"/>
  <c r="F307" i="32"/>
  <c r="E307" i="32"/>
  <c r="D307" i="32"/>
  <c r="C307" i="32"/>
  <c r="B307" i="32"/>
  <c r="N306" i="32"/>
  <c r="J306" i="32"/>
  <c r="I306" i="32"/>
  <c r="H306" i="32"/>
  <c r="G306" i="32"/>
  <c r="F306" i="32"/>
  <c r="E306" i="32"/>
  <c r="D306" i="32"/>
  <c r="C306" i="32"/>
  <c r="B306" i="32"/>
  <c r="J305" i="32"/>
  <c r="I305" i="32"/>
  <c r="H305" i="32"/>
  <c r="G305" i="32"/>
  <c r="F305" i="32"/>
  <c r="E305" i="32"/>
  <c r="D305" i="32"/>
  <c r="C305" i="32"/>
  <c r="B305" i="32"/>
  <c r="M304" i="32"/>
  <c r="L304" i="32"/>
  <c r="J304" i="32"/>
  <c r="I304" i="32"/>
  <c r="H304" i="32"/>
  <c r="G304" i="32"/>
  <c r="F304" i="32"/>
  <c r="E304" i="32"/>
  <c r="D304" i="32"/>
  <c r="C304" i="32"/>
  <c r="B304" i="32"/>
  <c r="N303" i="32"/>
  <c r="J303" i="32"/>
  <c r="I303" i="32"/>
  <c r="H303" i="32"/>
  <c r="G303" i="32"/>
  <c r="F303" i="32"/>
  <c r="E303" i="32"/>
  <c r="D303" i="32"/>
  <c r="C303" i="32"/>
  <c r="B303" i="32"/>
  <c r="N302" i="32"/>
  <c r="J302" i="32"/>
  <c r="I302" i="32"/>
  <c r="H302" i="32"/>
  <c r="G302" i="32"/>
  <c r="F302" i="32"/>
  <c r="E302" i="32"/>
  <c r="D302" i="32"/>
  <c r="C302" i="32"/>
  <c r="B302" i="32"/>
  <c r="J301" i="32"/>
  <c r="I301" i="32"/>
  <c r="H301" i="32"/>
  <c r="G301" i="32"/>
  <c r="F301" i="32"/>
  <c r="E301" i="32"/>
  <c r="D301" i="32"/>
  <c r="C301" i="32"/>
  <c r="B301" i="32"/>
  <c r="M300" i="32"/>
  <c r="L300" i="32"/>
  <c r="K300" i="32"/>
  <c r="J300" i="32"/>
  <c r="I300" i="32"/>
  <c r="H300" i="32"/>
  <c r="G300" i="32"/>
  <c r="F300" i="32"/>
  <c r="E300" i="32"/>
  <c r="D300" i="32"/>
  <c r="C300" i="32"/>
  <c r="B300" i="32"/>
  <c r="J299" i="32"/>
  <c r="I299" i="32"/>
  <c r="H299" i="32"/>
  <c r="G299" i="32"/>
  <c r="F299" i="32"/>
  <c r="E299" i="32"/>
  <c r="D299" i="32"/>
  <c r="C299" i="32"/>
  <c r="B299" i="32"/>
  <c r="N298" i="32"/>
  <c r="J298" i="32"/>
  <c r="I298" i="32"/>
  <c r="H298" i="32"/>
  <c r="G298" i="32"/>
  <c r="F298" i="32"/>
  <c r="E298" i="32"/>
  <c r="D298" i="32"/>
  <c r="C298" i="32"/>
  <c r="B298" i="32"/>
  <c r="J297" i="32"/>
  <c r="I297" i="32"/>
  <c r="H297" i="32"/>
  <c r="G297" i="32"/>
  <c r="F297" i="32"/>
  <c r="E297" i="32"/>
  <c r="D297" i="32"/>
  <c r="C297" i="32"/>
  <c r="B297" i="32"/>
  <c r="M296" i="32"/>
  <c r="L296" i="32"/>
  <c r="J296" i="32"/>
  <c r="I296" i="32"/>
  <c r="H296" i="32"/>
  <c r="G296" i="32"/>
  <c r="F296" i="32"/>
  <c r="E296" i="32"/>
  <c r="D296" i="32"/>
  <c r="C296" i="32"/>
  <c r="B296" i="32"/>
  <c r="J295" i="32"/>
  <c r="I295" i="32"/>
  <c r="H295" i="32"/>
  <c r="G295" i="32"/>
  <c r="F295" i="32"/>
  <c r="E295" i="32"/>
  <c r="D295" i="32"/>
  <c r="C295" i="32"/>
  <c r="B295" i="32"/>
  <c r="N294" i="32"/>
  <c r="J294" i="32"/>
  <c r="I294" i="32"/>
  <c r="H294" i="32"/>
  <c r="G294" i="32"/>
  <c r="F294" i="32"/>
  <c r="E294" i="32"/>
  <c r="D294" i="32"/>
  <c r="C294" i="32"/>
  <c r="B294" i="32"/>
  <c r="J291" i="32"/>
  <c r="F291" i="32"/>
  <c r="E291" i="32"/>
  <c r="D291" i="32"/>
  <c r="C291" i="32"/>
  <c r="B291" i="32"/>
  <c r="J290" i="32"/>
  <c r="H290" i="32"/>
  <c r="F290" i="32"/>
  <c r="E290" i="32"/>
  <c r="D290" i="32"/>
  <c r="C290" i="32"/>
  <c r="B290" i="32"/>
  <c r="N289" i="32"/>
  <c r="J289" i="32"/>
  <c r="F289" i="32"/>
  <c r="E289" i="32"/>
  <c r="D289" i="32"/>
  <c r="C289" i="32"/>
  <c r="B289" i="32"/>
  <c r="J288" i="32"/>
  <c r="F288" i="32"/>
  <c r="E288" i="32"/>
  <c r="D288" i="32"/>
  <c r="C288" i="32"/>
  <c r="B288" i="32"/>
  <c r="J287" i="32"/>
  <c r="F287" i="32"/>
  <c r="E287" i="32"/>
  <c r="D287" i="32"/>
  <c r="C287" i="32"/>
  <c r="B287" i="32"/>
  <c r="J286" i="32"/>
  <c r="F286" i="32"/>
  <c r="E286" i="32"/>
  <c r="D286" i="32"/>
  <c r="C286" i="32"/>
  <c r="B286" i="32"/>
  <c r="J285" i="32"/>
  <c r="F285" i="32"/>
  <c r="E285" i="32"/>
  <c r="D285" i="32"/>
  <c r="C285" i="32"/>
  <c r="B285" i="32"/>
  <c r="J284" i="32"/>
  <c r="F284" i="32"/>
  <c r="E284" i="32"/>
  <c r="D284" i="32"/>
  <c r="C284" i="32"/>
  <c r="B284" i="32"/>
  <c r="J281" i="32"/>
  <c r="F281" i="32"/>
  <c r="E281" i="32"/>
  <c r="D281" i="32"/>
  <c r="C281" i="32"/>
  <c r="B281" i="32"/>
  <c r="J280" i="32"/>
  <c r="F280" i="32"/>
  <c r="E280" i="32"/>
  <c r="D280" i="32"/>
  <c r="C280" i="32"/>
  <c r="B280" i="32"/>
  <c r="J279" i="32"/>
  <c r="F279" i="32"/>
  <c r="E279" i="32"/>
  <c r="D279" i="32"/>
  <c r="C279" i="32"/>
  <c r="B279" i="32"/>
  <c r="J278" i="32"/>
  <c r="F278" i="32"/>
  <c r="E278" i="32"/>
  <c r="D278" i="32"/>
  <c r="C278" i="32"/>
  <c r="B278" i="32"/>
  <c r="J277" i="32"/>
  <c r="F277" i="32"/>
  <c r="E277" i="32"/>
  <c r="D277" i="32"/>
  <c r="C277" i="32"/>
  <c r="B277" i="32"/>
  <c r="N276" i="32"/>
  <c r="J276" i="32"/>
  <c r="F276" i="32"/>
  <c r="E276" i="32"/>
  <c r="D276" i="32"/>
  <c r="C276" i="32"/>
  <c r="B276" i="32"/>
  <c r="J275" i="32"/>
  <c r="F275" i="32"/>
  <c r="E275" i="32"/>
  <c r="D275" i="32"/>
  <c r="C275" i="32"/>
  <c r="B275" i="32"/>
  <c r="N274" i="32"/>
  <c r="J274" i="32"/>
  <c r="F274" i="32"/>
  <c r="E274" i="32"/>
  <c r="D274" i="32"/>
  <c r="C274" i="32"/>
  <c r="B274" i="32"/>
  <c r="N271" i="32"/>
  <c r="J271" i="32"/>
  <c r="F271" i="32"/>
  <c r="E271" i="32"/>
  <c r="D271" i="32"/>
  <c r="C271" i="32"/>
  <c r="B271" i="32"/>
  <c r="J270" i="32"/>
  <c r="F270" i="32"/>
  <c r="E270" i="32"/>
  <c r="D270" i="32"/>
  <c r="C270" i="32"/>
  <c r="B270" i="32"/>
  <c r="J269" i="32"/>
  <c r="G269" i="32"/>
  <c r="F269" i="32"/>
  <c r="E269" i="32"/>
  <c r="D269" i="32"/>
  <c r="C269" i="32"/>
  <c r="B269" i="32"/>
  <c r="J268" i="32"/>
  <c r="F268" i="32"/>
  <c r="E268" i="32"/>
  <c r="D268" i="32"/>
  <c r="C268" i="32"/>
  <c r="B268" i="32"/>
  <c r="J267" i="32"/>
  <c r="F267" i="32"/>
  <c r="E267" i="32"/>
  <c r="D267" i="32"/>
  <c r="C267" i="32"/>
  <c r="B267" i="32"/>
  <c r="J266" i="32"/>
  <c r="F266" i="32"/>
  <c r="E266" i="32"/>
  <c r="D266" i="32"/>
  <c r="C266" i="32"/>
  <c r="B266" i="32"/>
  <c r="J265" i="32"/>
  <c r="F265" i="32"/>
  <c r="E265" i="32"/>
  <c r="D265" i="32"/>
  <c r="C265" i="32"/>
  <c r="B265" i="32"/>
  <c r="J264" i="32"/>
  <c r="F264" i="32"/>
  <c r="E264" i="32"/>
  <c r="D264" i="32"/>
  <c r="C264" i="32"/>
  <c r="B264" i="32"/>
  <c r="N263" i="32"/>
  <c r="J263" i="32"/>
  <c r="F263" i="32"/>
  <c r="E263" i="32"/>
  <c r="D263" i="32"/>
  <c r="C263" i="32"/>
  <c r="B263" i="32"/>
  <c r="J262" i="32"/>
  <c r="I262" i="32"/>
  <c r="H262" i="32"/>
  <c r="F262" i="32"/>
  <c r="E262" i="32"/>
  <c r="D262" i="32"/>
  <c r="C262" i="32"/>
  <c r="B262" i="32"/>
  <c r="J261" i="32"/>
  <c r="F261" i="32"/>
  <c r="E261" i="32"/>
  <c r="D261" i="32"/>
  <c r="C261" i="32"/>
  <c r="B261" i="32"/>
  <c r="J260" i="32"/>
  <c r="F260" i="32"/>
  <c r="E260" i="32"/>
  <c r="D260" i="32"/>
  <c r="C260" i="32"/>
  <c r="B260" i="32"/>
  <c r="N259" i="32"/>
  <c r="J259" i="32"/>
  <c r="F259" i="32"/>
  <c r="E259" i="32"/>
  <c r="D259" i="32"/>
  <c r="C259" i="32"/>
  <c r="B259" i="32"/>
  <c r="J258" i="32"/>
  <c r="F258" i="32"/>
  <c r="E258" i="32"/>
  <c r="D258" i="32"/>
  <c r="C258" i="32"/>
  <c r="B258" i="32"/>
  <c r="J257" i="32"/>
  <c r="F257" i="32"/>
  <c r="E257" i="32"/>
  <c r="D257" i="32"/>
  <c r="C257" i="32"/>
  <c r="B257" i="32"/>
  <c r="J256" i="32"/>
  <c r="F256" i="32"/>
  <c r="E256" i="32"/>
  <c r="D256" i="32"/>
  <c r="C256" i="32"/>
  <c r="B256" i="32"/>
  <c r="J255" i="32"/>
  <c r="H255" i="32"/>
  <c r="F255" i="32"/>
  <c r="E255" i="32"/>
  <c r="D255" i="32"/>
  <c r="C255" i="32"/>
  <c r="B255" i="32"/>
  <c r="N254" i="32"/>
  <c r="J254" i="32"/>
  <c r="F254" i="32"/>
  <c r="E254" i="32"/>
  <c r="D254" i="32"/>
  <c r="C254" i="32"/>
  <c r="B254" i="32"/>
  <c r="J253" i="32"/>
  <c r="F253" i="32"/>
  <c r="E253" i="32"/>
  <c r="D253" i="32"/>
  <c r="C253" i="32"/>
  <c r="B253" i="32"/>
  <c r="F250" i="32"/>
  <c r="E250" i="32"/>
  <c r="D250" i="32"/>
  <c r="C250" i="32"/>
  <c r="B250" i="32"/>
  <c r="F249" i="32"/>
  <c r="E249" i="32"/>
  <c r="D249" i="32"/>
  <c r="C249" i="32"/>
  <c r="B249" i="32"/>
  <c r="F248" i="32"/>
  <c r="E248" i="32"/>
  <c r="D248" i="32"/>
  <c r="C248" i="32"/>
  <c r="B248" i="32"/>
  <c r="F247" i="32"/>
  <c r="E247" i="32"/>
  <c r="D247" i="32"/>
  <c r="C247" i="32"/>
  <c r="B247" i="32"/>
  <c r="F246" i="32"/>
  <c r="E246" i="32"/>
  <c r="D246" i="32"/>
  <c r="C246" i="32"/>
  <c r="B246" i="32"/>
  <c r="H245" i="32"/>
  <c r="F245" i="32"/>
  <c r="E245" i="32"/>
  <c r="D245" i="32"/>
  <c r="C245" i="32"/>
  <c r="B245" i="32"/>
  <c r="F244" i="32"/>
  <c r="E244" i="32"/>
  <c r="D244" i="32"/>
  <c r="C244" i="32"/>
  <c r="B244" i="32"/>
  <c r="F243" i="32"/>
  <c r="E243" i="32"/>
  <c r="D243" i="32"/>
  <c r="C243" i="32"/>
  <c r="B243" i="32"/>
  <c r="F242" i="32"/>
  <c r="E242" i="32"/>
  <c r="D242" i="32"/>
  <c r="C242" i="32"/>
  <c r="B242" i="32"/>
  <c r="F241" i="32"/>
  <c r="E241" i="32"/>
  <c r="D241" i="32"/>
  <c r="C241" i="32"/>
  <c r="B241" i="32"/>
  <c r="H240" i="32"/>
  <c r="F240" i="32"/>
  <c r="E240" i="32"/>
  <c r="D240" i="32"/>
  <c r="C240" i="32"/>
  <c r="B240" i="32"/>
  <c r="F237" i="32"/>
  <c r="E237" i="32"/>
  <c r="D237" i="32"/>
  <c r="C237" i="32"/>
  <c r="B237" i="32"/>
  <c r="F236" i="32"/>
  <c r="E236" i="32"/>
  <c r="D236" i="32"/>
  <c r="C236" i="32"/>
  <c r="B236" i="32"/>
  <c r="F235" i="32"/>
  <c r="E235" i="32"/>
  <c r="D235" i="32"/>
  <c r="C235" i="32"/>
  <c r="B235" i="32"/>
  <c r="H234" i="32"/>
  <c r="F234" i="32"/>
  <c r="E234" i="32"/>
  <c r="D234" i="32"/>
  <c r="C234" i="32"/>
  <c r="B234" i="32"/>
  <c r="F233" i="32"/>
  <c r="E233" i="32"/>
  <c r="D233" i="32"/>
  <c r="C233" i="32"/>
  <c r="B233" i="32"/>
  <c r="F232" i="32"/>
  <c r="E232" i="32"/>
  <c r="D232" i="32"/>
  <c r="C232" i="32"/>
  <c r="B232" i="32"/>
  <c r="F231" i="32"/>
  <c r="E231" i="32"/>
  <c r="D231" i="32"/>
  <c r="C231" i="32"/>
  <c r="B231" i="32"/>
  <c r="F230" i="32"/>
  <c r="E230" i="32"/>
  <c r="D230" i="32"/>
  <c r="C230" i="32"/>
  <c r="B230" i="32"/>
  <c r="F229" i="32"/>
  <c r="E229" i="32"/>
  <c r="D229" i="32"/>
  <c r="C229" i="32"/>
  <c r="B229" i="32"/>
  <c r="F228" i="32"/>
  <c r="E228" i="32"/>
  <c r="D228" i="32"/>
  <c r="C228" i="32"/>
  <c r="B228" i="32"/>
  <c r="F227" i="32"/>
  <c r="E227" i="32"/>
  <c r="D227" i="32"/>
  <c r="C227" i="32"/>
  <c r="B227" i="32"/>
  <c r="F226" i="32"/>
  <c r="E226" i="32"/>
  <c r="D226" i="32"/>
  <c r="C226" i="32"/>
  <c r="B226" i="32"/>
  <c r="F223" i="32"/>
  <c r="E223" i="32"/>
  <c r="D223" i="32"/>
  <c r="C223" i="32"/>
  <c r="B223" i="32"/>
  <c r="F222" i="32"/>
  <c r="E222" i="32"/>
  <c r="D222" i="32"/>
  <c r="C222" i="32"/>
  <c r="B222" i="32"/>
  <c r="F221" i="32"/>
  <c r="E221" i="32"/>
  <c r="D221" i="32"/>
  <c r="C221" i="32"/>
  <c r="B221" i="32"/>
  <c r="F220" i="32"/>
  <c r="E220" i="32"/>
  <c r="D220" i="32"/>
  <c r="C220" i="32"/>
  <c r="B220" i="32"/>
  <c r="H219" i="32"/>
  <c r="F219" i="32"/>
  <c r="E219" i="32"/>
  <c r="D219" i="32"/>
  <c r="C219" i="32"/>
  <c r="B219" i="32"/>
  <c r="F218" i="32"/>
  <c r="E218" i="32"/>
  <c r="D218" i="32"/>
  <c r="C218" i="32"/>
  <c r="B218" i="32"/>
  <c r="F217" i="32"/>
  <c r="E217" i="32"/>
  <c r="D217" i="32"/>
  <c r="C217" i="32"/>
  <c r="B217" i="32"/>
  <c r="F216" i="32"/>
  <c r="E216" i="32"/>
  <c r="D216" i="32"/>
  <c r="C216" i="32"/>
  <c r="B216" i="32"/>
  <c r="F215" i="32"/>
  <c r="E215" i="32"/>
  <c r="D215" i="32"/>
  <c r="C215" i="32"/>
  <c r="B215" i="32"/>
  <c r="F214" i="32"/>
  <c r="E214" i="32"/>
  <c r="D214" i="32"/>
  <c r="C214" i="32"/>
  <c r="B214" i="32"/>
  <c r="F213" i="32"/>
  <c r="E213" i="32"/>
  <c r="D213" i="32"/>
  <c r="C213" i="32"/>
  <c r="B213" i="32"/>
  <c r="F210" i="32"/>
  <c r="E210" i="32"/>
  <c r="D210" i="32"/>
  <c r="C210" i="32"/>
  <c r="B210" i="32"/>
  <c r="F209" i="32"/>
  <c r="E209" i="32"/>
  <c r="D209" i="32"/>
  <c r="C209" i="32"/>
  <c r="B209" i="32"/>
  <c r="F208" i="32"/>
  <c r="E208" i="32"/>
  <c r="D208" i="32"/>
  <c r="C208" i="32"/>
  <c r="B208" i="32"/>
  <c r="I207" i="32"/>
  <c r="F207" i="32"/>
  <c r="E207" i="32"/>
  <c r="D207" i="32"/>
  <c r="C207" i="32"/>
  <c r="B207" i="32"/>
  <c r="F206" i="32"/>
  <c r="E206" i="32"/>
  <c r="D206" i="32"/>
  <c r="C206" i="32"/>
  <c r="B206" i="32"/>
  <c r="F205" i="32"/>
  <c r="E205" i="32"/>
  <c r="D205" i="32"/>
  <c r="C205" i="32"/>
  <c r="B205" i="32"/>
  <c r="F204" i="32"/>
  <c r="E204" i="32"/>
  <c r="D204" i="32"/>
  <c r="C204" i="32"/>
  <c r="B204" i="32"/>
  <c r="F203" i="32"/>
  <c r="E203" i="32"/>
  <c r="D203" i="32"/>
  <c r="C203" i="32"/>
  <c r="B203" i="32"/>
  <c r="F202" i="32"/>
  <c r="E202" i="32"/>
  <c r="D202" i="32"/>
  <c r="C202" i="32"/>
  <c r="B202" i="32"/>
  <c r="F201" i="32"/>
  <c r="E201" i="32"/>
  <c r="D201" i="32"/>
  <c r="C201" i="32"/>
  <c r="B201" i="32"/>
  <c r="F200" i="32"/>
  <c r="E200" i="32"/>
  <c r="D200" i="32"/>
  <c r="C200" i="32"/>
  <c r="B200" i="32"/>
  <c r="F199" i="32"/>
  <c r="E199" i="32"/>
  <c r="D199" i="32"/>
  <c r="C199" i="32"/>
  <c r="B199" i="32"/>
  <c r="I198" i="32"/>
  <c r="F198" i="32"/>
  <c r="E198" i="32"/>
  <c r="D198" i="32"/>
  <c r="C198" i="32"/>
  <c r="B198" i="32"/>
  <c r="F197" i="32"/>
  <c r="E197" i="32"/>
  <c r="D197" i="32"/>
  <c r="C197" i="32"/>
  <c r="B197" i="32"/>
  <c r="F196" i="32"/>
  <c r="E196" i="32"/>
  <c r="D196" i="32"/>
  <c r="C196" i="32"/>
  <c r="B196" i="32"/>
  <c r="F195" i="32"/>
  <c r="E195" i="32"/>
  <c r="D195" i="32"/>
  <c r="C195" i="32"/>
  <c r="B195" i="32"/>
  <c r="F192" i="32"/>
  <c r="E192" i="32"/>
  <c r="D192" i="32"/>
  <c r="C192" i="32"/>
  <c r="B192" i="32"/>
  <c r="F191" i="32"/>
  <c r="E191" i="32"/>
  <c r="D191" i="32"/>
  <c r="C191" i="32"/>
  <c r="B191" i="32"/>
  <c r="F190" i="32"/>
  <c r="E190" i="32"/>
  <c r="D190" i="32"/>
  <c r="C190" i="32"/>
  <c r="B190" i="32"/>
  <c r="F189" i="32"/>
  <c r="E189" i="32"/>
  <c r="D189" i="32"/>
  <c r="C189" i="32"/>
  <c r="B189" i="32"/>
  <c r="F188" i="32"/>
  <c r="E188" i="32"/>
  <c r="D188" i="32"/>
  <c r="C188" i="32"/>
  <c r="B188" i="32"/>
  <c r="F187" i="32"/>
  <c r="E187" i="32"/>
  <c r="D187" i="32"/>
  <c r="C187" i="32"/>
  <c r="B187" i="32"/>
  <c r="F186" i="32"/>
  <c r="E186" i="32"/>
  <c r="D186" i="32"/>
  <c r="C186" i="32"/>
  <c r="B186" i="32"/>
  <c r="F185" i="32"/>
  <c r="E185" i="32"/>
  <c r="D185" i="32"/>
  <c r="C185" i="32"/>
  <c r="B185" i="32"/>
  <c r="F184" i="32"/>
  <c r="E184" i="32"/>
  <c r="D184" i="32"/>
  <c r="C184" i="32"/>
  <c r="B184" i="32"/>
  <c r="F183" i="32"/>
  <c r="E183" i="32"/>
  <c r="D183" i="32"/>
  <c r="C183" i="32"/>
  <c r="B183" i="32"/>
  <c r="F182" i="32"/>
  <c r="E182" i="32"/>
  <c r="D182" i="32"/>
  <c r="C182" i="32"/>
  <c r="B182" i="32"/>
  <c r="F181" i="32"/>
  <c r="E181" i="32"/>
  <c r="D181" i="32"/>
  <c r="C181" i="32"/>
  <c r="B181" i="32"/>
  <c r="F180" i="32"/>
  <c r="E180" i="32"/>
  <c r="D180" i="32"/>
  <c r="C180" i="32"/>
  <c r="B180" i="32"/>
  <c r="F177" i="32"/>
  <c r="E177" i="32"/>
  <c r="D177" i="32"/>
  <c r="C177" i="32"/>
  <c r="B177" i="32"/>
  <c r="F176" i="32"/>
  <c r="E176" i="32"/>
  <c r="D176" i="32"/>
  <c r="C176" i="32"/>
  <c r="B176" i="32"/>
  <c r="F175" i="32"/>
  <c r="E175" i="32"/>
  <c r="D175" i="32"/>
  <c r="C175" i="32"/>
  <c r="B175" i="32"/>
  <c r="J174" i="32"/>
  <c r="F174" i="32"/>
  <c r="E174" i="32"/>
  <c r="D174" i="32"/>
  <c r="C174" i="32"/>
  <c r="B174" i="32"/>
  <c r="F173" i="32"/>
  <c r="E173" i="32"/>
  <c r="D173" i="32"/>
  <c r="C173" i="32"/>
  <c r="B173" i="32"/>
  <c r="F172" i="32"/>
  <c r="E172" i="32"/>
  <c r="D172" i="32"/>
  <c r="C172" i="32"/>
  <c r="B172" i="32"/>
  <c r="F171" i="32"/>
  <c r="E171" i="32"/>
  <c r="D171" i="32"/>
  <c r="C171" i="32"/>
  <c r="B171" i="32"/>
  <c r="F170" i="32"/>
  <c r="E170" i="32"/>
  <c r="D170" i="32"/>
  <c r="C170" i="32"/>
  <c r="B170" i="32"/>
  <c r="J169" i="32"/>
  <c r="H169" i="32"/>
  <c r="F169" i="32"/>
  <c r="E169" i="32"/>
  <c r="D169" i="32"/>
  <c r="C169" i="32"/>
  <c r="B169" i="32"/>
  <c r="F168" i="32"/>
  <c r="E168" i="32"/>
  <c r="D168" i="32"/>
  <c r="C168" i="32"/>
  <c r="B168" i="32"/>
  <c r="F167" i="32"/>
  <c r="E167" i="32"/>
  <c r="D167" i="32"/>
  <c r="C167" i="32"/>
  <c r="B167" i="32"/>
  <c r="J166" i="32"/>
  <c r="F166" i="32"/>
  <c r="E166" i="32"/>
  <c r="D166" i="32"/>
  <c r="C166" i="32"/>
  <c r="B166" i="32"/>
  <c r="F165" i="32"/>
  <c r="E165" i="32"/>
  <c r="D165" i="32"/>
  <c r="C165" i="32"/>
  <c r="B165" i="32"/>
  <c r="F162" i="32"/>
  <c r="E162" i="32"/>
  <c r="D162" i="32"/>
  <c r="C162" i="32"/>
  <c r="B162" i="32"/>
  <c r="F161" i="32"/>
  <c r="E161" i="32"/>
  <c r="D161" i="32"/>
  <c r="C161" i="32"/>
  <c r="B161" i="32"/>
  <c r="F160" i="32"/>
  <c r="E160" i="32"/>
  <c r="D160" i="32"/>
  <c r="C160" i="32"/>
  <c r="B160" i="32"/>
  <c r="I159" i="32"/>
  <c r="F159" i="32"/>
  <c r="E159" i="32"/>
  <c r="D159" i="32"/>
  <c r="C159" i="32"/>
  <c r="B159" i="32"/>
  <c r="F158" i="32"/>
  <c r="E158" i="32"/>
  <c r="D158" i="32"/>
  <c r="C158" i="32"/>
  <c r="B158" i="32"/>
  <c r="F157" i="32"/>
  <c r="E157" i="32"/>
  <c r="D157" i="32"/>
  <c r="C157" i="32"/>
  <c r="B157" i="32"/>
  <c r="F156" i="32"/>
  <c r="E156" i="32"/>
  <c r="D156" i="32"/>
  <c r="C156" i="32"/>
  <c r="B156" i="32"/>
  <c r="J155" i="32"/>
  <c r="F155" i="32"/>
  <c r="E155" i="32"/>
  <c r="D155" i="32"/>
  <c r="C155" i="32"/>
  <c r="B155" i="32"/>
  <c r="F154" i="32"/>
  <c r="E154" i="32"/>
  <c r="D154" i="32"/>
  <c r="C154" i="32"/>
  <c r="B154" i="32"/>
  <c r="F153" i="32"/>
  <c r="E153" i="32"/>
  <c r="D153" i="32"/>
  <c r="C153" i="32"/>
  <c r="B153" i="32"/>
  <c r="F150" i="32"/>
  <c r="E150" i="32"/>
  <c r="D150" i="32"/>
  <c r="C150" i="32"/>
  <c r="B150" i="32"/>
  <c r="F149" i="32"/>
  <c r="E149" i="32"/>
  <c r="D149" i="32"/>
  <c r="C149" i="32"/>
  <c r="B149" i="32"/>
  <c r="F148" i="32"/>
  <c r="E148" i="32"/>
  <c r="D148" i="32"/>
  <c r="C148" i="32"/>
  <c r="B148" i="32"/>
  <c r="F147" i="32"/>
  <c r="E147" i="32"/>
  <c r="D147" i="32"/>
  <c r="C147" i="32"/>
  <c r="B147" i="32"/>
  <c r="F146" i="32"/>
  <c r="E146" i="32"/>
  <c r="D146" i="32"/>
  <c r="C146" i="32"/>
  <c r="B146" i="32"/>
  <c r="F145" i="32"/>
  <c r="E145" i="32"/>
  <c r="D145" i="32"/>
  <c r="C145" i="32"/>
  <c r="B145" i="32"/>
  <c r="F144" i="32"/>
  <c r="E144" i="32"/>
  <c r="D144" i="32"/>
  <c r="C144" i="32"/>
  <c r="B144" i="32"/>
  <c r="F143" i="32"/>
  <c r="E143" i="32"/>
  <c r="D143" i="32"/>
  <c r="C143" i="32"/>
  <c r="B143" i="32"/>
  <c r="F142" i="32"/>
  <c r="E142" i="32"/>
  <c r="D142" i="32"/>
  <c r="C142" i="32"/>
  <c r="B142" i="32"/>
  <c r="F141" i="32"/>
  <c r="E141" i="32"/>
  <c r="D141" i="32"/>
  <c r="C141" i="32"/>
  <c r="B141" i="32"/>
  <c r="H140" i="32"/>
  <c r="F140" i="32"/>
  <c r="E140" i="32"/>
  <c r="D140" i="32"/>
  <c r="C140" i="32"/>
  <c r="B140" i="32"/>
  <c r="F139" i="32"/>
  <c r="E139" i="32"/>
  <c r="D139" i="32"/>
  <c r="C139" i="32"/>
  <c r="B139" i="32"/>
  <c r="F138" i="32"/>
  <c r="E138" i="32"/>
  <c r="D138" i="32"/>
  <c r="C138" i="32"/>
  <c r="B138" i="32"/>
  <c r="H137" i="32"/>
  <c r="F137" i="32"/>
  <c r="E137" i="32"/>
  <c r="D137" i="32"/>
  <c r="C137" i="32"/>
  <c r="B137" i="32"/>
  <c r="F136" i="32"/>
  <c r="E136" i="32"/>
  <c r="D136" i="32"/>
  <c r="C136" i="32"/>
  <c r="B136" i="32"/>
  <c r="F135" i="32"/>
  <c r="E135" i="32"/>
  <c r="D135" i="32"/>
  <c r="C135" i="32"/>
  <c r="B135" i="32"/>
  <c r="F134" i="32"/>
  <c r="E134" i="32"/>
  <c r="D134" i="32"/>
  <c r="C134" i="32"/>
  <c r="B134" i="32"/>
  <c r="F133" i="32"/>
  <c r="E133" i="32"/>
  <c r="D133" i="32"/>
  <c r="C133" i="32"/>
  <c r="B133" i="32"/>
  <c r="F130" i="32"/>
  <c r="E130" i="32"/>
  <c r="D130" i="32"/>
  <c r="C130" i="32"/>
  <c r="B130" i="32"/>
  <c r="J129" i="32"/>
  <c r="F129" i="32"/>
  <c r="E129" i="32"/>
  <c r="D129" i="32"/>
  <c r="C129" i="32"/>
  <c r="B129" i="32"/>
  <c r="F128" i="32"/>
  <c r="E128" i="32"/>
  <c r="D128" i="32"/>
  <c r="C128" i="32"/>
  <c r="B128" i="32"/>
  <c r="F127" i="32"/>
  <c r="E127" i="32"/>
  <c r="D127" i="32"/>
  <c r="C127" i="32"/>
  <c r="B127" i="32"/>
  <c r="H126" i="32"/>
  <c r="F126" i="32"/>
  <c r="E126" i="32"/>
  <c r="D126" i="32"/>
  <c r="C126" i="32"/>
  <c r="B126" i="32"/>
  <c r="F125" i="32"/>
  <c r="E125" i="32"/>
  <c r="D125" i="32"/>
  <c r="C125" i="32"/>
  <c r="B125" i="32"/>
  <c r="G124" i="32"/>
  <c r="F124" i="32"/>
  <c r="E124" i="32"/>
  <c r="D124" i="32"/>
  <c r="C124" i="32"/>
  <c r="B124" i="32"/>
  <c r="F123" i="32"/>
  <c r="E123" i="32"/>
  <c r="D123" i="32"/>
  <c r="C123" i="32"/>
  <c r="B123" i="32"/>
  <c r="N122" i="32"/>
  <c r="F122" i="32"/>
  <c r="E122" i="32"/>
  <c r="D122" i="32"/>
  <c r="C122" i="32"/>
  <c r="B122" i="32"/>
  <c r="F121" i="32"/>
  <c r="E121" i="32"/>
  <c r="D121" i="32"/>
  <c r="C121" i="32"/>
  <c r="B121" i="32"/>
  <c r="F120" i="32"/>
  <c r="E120" i="32"/>
  <c r="D120" i="32"/>
  <c r="C120" i="32"/>
  <c r="B120" i="32"/>
  <c r="F119" i="32"/>
  <c r="E119" i="32"/>
  <c r="D119" i="32"/>
  <c r="C119" i="32"/>
  <c r="B119" i="32"/>
  <c r="F118" i="32"/>
  <c r="E118" i="32"/>
  <c r="D118" i="32"/>
  <c r="C118" i="32"/>
  <c r="B118" i="32"/>
  <c r="F117" i="32"/>
  <c r="E117" i="32"/>
  <c r="D117" i="32"/>
  <c r="C117" i="32"/>
  <c r="B117" i="32"/>
  <c r="F116" i="32"/>
  <c r="E116" i="32"/>
  <c r="D116" i="32"/>
  <c r="C116" i="32"/>
  <c r="B116" i="32"/>
  <c r="F115" i="32"/>
  <c r="E115" i="32"/>
  <c r="D115" i="32"/>
  <c r="C115" i="32"/>
  <c r="B115" i="32"/>
  <c r="F114" i="32"/>
  <c r="E114" i="32"/>
  <c r="D114" i="32"/>
  <c r="C114" i="32"/>
  <c r="B114" i="32"/>
  <c r="F113" i="32"/>
  <c r="E113" i="32"/>
  <c r="D113" i="32"/>
  <c r="C113" i="32"/>
  <c r="B113" i="32"/>
  <c r="F112" i="32"/>
  <c r="E112" i="32"/>
  <c r="D112" i="32"/>
  <c r="C112" i="32"/>
  <c r="B112" i="32"/>
  <c r="F111" i="32"/>
  <c r="E111" i="32"/>
  <c r="D111" i="32"/>
  <c r="C111" i="32"/>
  <c r="B111" i="32"/>
  <c r="F110" i="32"/>
  <c r="E110" i="32"/>
  <c r="D110" i="32"/>
  <c r="C110" i="32"/>
  <c r="B110" i="32"/>
  <c r="F109" i="32"/>
  <c r="E109" i="32"/>
  <c r="D109" i="32"/>
  <c r="C109" i="32"/>
  <c r="B109" i="32"/>
  <c r="F108" i="32"/>
  <c r="E108" i="32"/>
  <c r="D108" i="32"/>
  <c r="C108" i="32"/>
  <c r="B108" i="32"/>
  <c r="F107" i="32"/>
  <c r="E107" i="32"/>
  <c r="D107" i="32"/>
  <c r="C107" i="32"/>
  <c r="B107" i="32"/>
  <c r="F106" i="32"/>
  <c r="E106" i="32"/>
  <c r="D106" i="32"/>
  <c r="C106" i="32"/>
  <c r="B106" i="32"/>
  <c r="J103" i="32"/>
  <c r="H103" i="32"/>
  <c r="G103" i="32"/>
  <c r="F103" i="32"/>
  <c r="E103" i="32"/>
  <c r="D103" i="32"/>
  <c r="C103" i="32"/>
  <c r="B103" i="32"/>
  <c r="J102" i="32"/>
  <c r="I102" i="32"/>
  <c r="H102" i="32"/>
  <c r="G102" i="32"/>
  <c r="F102" i="32"/>
  <c r="E102" i="32"/>
  <c r="D102" i="32"/>
  <c r="C102" i="32"/>
  <c r="B102" i="32"/>
  <c r="F101" i="32"/>
  <c r="E101" i="32"/>
  <c r="D101" i="32"/>
  <c r="C101" i="32"/>
  <c r="B101" i="32"/>
  <c r="F100" i="32"/>
  <c r="E100" i="32"/>
  <c r="D100" i="32"/>
  <c r="C100" i="32"/>
  <c r="B100" i="32"/>
  <c r="J99" i="32"/>
  <c r="F99" i="32"/>
  <c r="E99" i="32"/>
  <c r="D99" i="32"/>
  <c r="C99" i="32"/>
  <c r="B99" i="32"/>
  <c r="F98" i="32"/>
  <c r="E98" i="32"/>
  <c r="D98" i="32"/>
  <c r="C98" i="32"/>
  <c r="B98" i="32"/>
  <c r="F97" i="32"/>
  <c r="E97" i="32"/>
  <c r="D97" i="32"/>
  <c r="C97" i="32"/>
  <c r="B97" i="32"/>
  <c r="F96" i="32"/>
  <c r="E96" i="32"/>
  <c r="D96" i="32"/>
  <c r="C96" i="32"/>
  <c r="B96" i="32"/>
  <c r="I95" i="32"/>
  <c r="F95" i="32"/>
  <c r="E95" i="32"/>
  <c r="D95" i="32"/>
  <c r="C95" i="32"/>
  <c r="B95" i="32"/>
  <c r="F94" i="32"/>
  <c r="E94" i="32"/>
  <c r="D94" i="32"/>
  <c r="C94" i="32"/>
  <c r="B94" i="32"/>
  <c r="I93" i="32"/>
  <c r="F93" i="32"/>
  <c r="E93" i="32"/>
  <c r="D93" i="32"/>
  <c r="C93" i="32"/>
  <c r="B93" i="32"/>
  <c r="F92" i="32"/>
  <c r="E92" i="32"/>
  <c r="D92" i="32"/>
  <c r="C92" i="32"/>
  <c r="B92" i="32"/>
  <c r="F91" i="32"/>
  <c r="E91" i="32"/>
  <c r="D91" i="32"/>
  <c r="C91" i="32"/>
  <c r="B91" i="32"/>
  <c r="H90" i="32"/>
  <c r="F90" i="32"/>
  <c r="E90" i="32"/>
  <c r="D90" i="32"/>
  <c r="C90" i="32"/>
  <c r="B90" i="32"/>
  <c r="F89" i="32"/>
  <c r="E89" i="32"/>
  <c r="D89" i="32"/>
  <c r="C89" i="32"/>
  <c r="B89" i="32"/>
  <c r="J88" i="32"/>
  <c r="F88" i="32"/>
  <c r="E88" i="32"/>
  <c r="D88" i="32"/>
  <c r="C88" i="32"/>
  <c r="B88" i="32"/>
  <c r="J87" i="32"/>
  <c r="I87" i="32"/>
  <c r="F87" i="32"/>
  <c r="E87" i="32"/>
  <c r="D87" i="32"/>
  <c r="C87" i="32"/>
  <c r="B87" i="32"/>
  <c r="F86" i="32"/>
  <c r="E86" i="32"/>
  <c r="D86" i="32"/>
  <c r="C86" i="32"/>
  <c r="B86" i="32"/>
  <c r="F85" i="32"/>
  <c r="E85" i="32"/>
  <c r="D85" i="32"/>
  <c r="C85" i="32"/>
  <c r="B85" i="32"/>
  <c r="J84" i="32"/>
  <c r="F84" i="32"/>
  <c r="E84" i="32"/>
  <c r="D84" i="32"/>
  <c r="C84" i="32"/>
  <c r="B84" i="32"/>
  <c r="F83" i="32"/>
  <c r="E83" i="32"/>
  <c r="D83" i="32"/>
  <c r="C83" i="32"/>
  <c r="B83" i="32"/>
  <c r="F82" i="32"/>
  <c r="E82" i="32"/>
  <c r="D82" i="32"/>
  <c r="C82" i="32"/>
  <c r="B82" i="32"/>
  <c r="F81" i="32"/>
  <c r="E81" i="32"/>
  <c r="D81" i="32"/>
  <c r="C81" i="32"/>
  <c r="B81" i="32"/>
  <c r="J80" i="32"/>
  <c r="F80" i="32"/>
  <c r="E80" i="32"/>
  <c r="D80" i="32"/>
  <c r="C80" i="32"/>
  <c r="B80" i="32"/>
  <c r="F79" i="32"/>
  <c r="E79" i="32"/>
  <c r="D79" i="32"/>
  <c r="C79" i="32"/>
  <c r="B79" i="32"/>
  <c r="F78" i="32"/>
  <c r="E78" i="32"/>
  <c r="D78" i="32"/>
  <c r="C78" i="32"/>
  <c r="B78" i="32"/>
  <c r="J77" i="32"/>
  <c r="H77" i="32"/>
  <c r="F77" i="32"/>
  <c r="E77" i="32"/>
  <c r="D77" i="32"/>
  <c r="C77" i="32"/>
  <c r="B77" i="32"/>
  <c r="J76" i="32"/>
  <c r="F76" i="32"/>
  <c r="E76" i="32"/>
  <c r="D76" i="32"/>
  <c r="C76" i="32"/>
  <c r="B76" i="32"/>
  <c r="L75" i="32"/>
  <c r="H75" i="32"/>
  <c r="F75" i="32"/>
  <c r="E75" i="32"/>
  <c r="D75" i="32"/>
  <c r="C75" i="32"/>
  <c r="B75" i="32"/>
  <c r="F74" i="32"/>
  <c r="E74" i="32"/>
  <c r="D74" i="32"/>
  <c r="C74" i="32"/>
  <c r="B74" i="32"/>
  <c r="H71" i="32"/>
  <c r="F71" i="32"/>
  <c r="E71" i="32"/>
  <c r="D71" i="32"/>
  <c r="C71" i="32"/>
  <c r="B71" i="32"/>
  <c r="N70" i="32"/>
  <c r="F70" i="32"/>
  <c r="E70" i="32"/>
  <c r="D70" i="32"/>
  <c r="C70" i="32"/>
  <c r="B70" i="32"/>
  <c r="N69" i="32"/>
  <c r="F69" i="32"/>
  <c r="E69" i="32"/>
  <c r="D69" i="32"/>
  <c r="C69" i="32"/>
  <c r="B69" i="32"/>
  <c r="N68" i="32"/>
  <c r="F68" i="32"/>
  <c r="E68" i="32"/>
  <c r="D68" i="32"/>
  <c r="C68" i="32"/>
  <c r="B68" i="32"/>
  <c r="F67" i="32"/>
  <c r="E67" i="32"/>
  <c r="D67" i="32"/>
  <c r="C67" i="32"/>
  <c r="B67" i="32"/>
  <c r="N66" i="32"/>
  <c r="H66" i="32"/>
  <c r="F66" i="32"/>
  <c r="E66" i="32"/>
  <c r="D66" i="32"/>
  <c r="C66" i="32"/>
  <c r="B66" i="32"/>
  <c r="N65" i="32"/>
  <c r="F65" i="32"/>
  <c r="E65" i="32"/>
  <c r="D65" i="32"/>
  <c r="C65" i="32"/>
  <c r="B65" i="32"/>
  <c r="N64" i="32"/>
  <c r="F64" i="32"/>
  <c r="E64" i="32"/>
  <c r="D64" i="32"/>
  <c r="C64" i="32"/>
  <c r="B64" i="32"/>
  <c r="H63" i="32"/>
  <c r="F63" i="32"/>
  <c r="E63" i="32"/>
  <c r="D63" i="32"/>
  <c r="C63" i="32"/>
  <c r="B63" i="32"/>
  <c r="N62" i="32"/>
  <c r="F62" i="32"/>
  <c r="E62" i="32"/>
  <c r="D62" i="32"/>
  <c r="C62" i="32"/>
  <c r="B62" i="32"/>
  <c r="N61" i="32"/>
  <c r="F61" i="32"/>
  <c r="E61" i="32"/>
  <c r="D61" i="32"/>
  <c r="C61" i="32"/>
  <c r="B61" i="32"/>
  <c r="N60" i="32"/>
  <c r="F60" i="32"/>
  <c r="E60" i="32"/>
  <c r="D60" i="32"/>
  <c r="C60" i="32"/>
  <c r="B60" i="32"/>
  <c r="F59" i="32"/>
  <c r="E59" i="32"/>
  <c r="D59" i="32"/>
  <c r="C59" i="32"/>
  <c r="B59" i="32"/>
  <c r="N58" i="32"/>
  <c r="F58" i="32"/>
  <c r="E58" i="32"/>
  <c r="D58" i="32"/>
  <c r="C58" i="32"/>
  <c r="B58" i="32"/>
  <c r="F57" i="32"/>
  <c r="E57" i="32"/>
  <c r="D57" i="32"/>
  <c r="C57" i="32"/>
  <c r="B57" i="32"/>
  <c r="N56" i="32"/>
  <c r="F56" i="32"/>
  <c r="E56" i="32"/>
  <c r="D56" i="32"/>
  <c r="C56" i="32"/>
  <c r="B56" i="32"/>
  <c r="H55" i="32"/>
  <c r="F55" i="32"/>
  <c r="E55" i="32"/>
  <c r="D55" i="32"/>
  <c r="C55" i="32"/>
  <c r="B55" i="32"/>
  <c r="N54" i="32"/>
  <c r="F54" i="32"/>
  <c r="E54" i="32"/>
  <c r="D54" i="32"/>
  <c r="C54" i="32"/>
  <c r="B54" i="32"/>
  <c r="N53" i="32"/>
  <c r="F53" i="32"/>
  <c r="E53" i="32"/>
  <c r="D53" i="32"/>
  <c r="C53" i="32"/>
  <c r="B53" i="32"/>
  <c r="N52" i="32"/>
  <c r="J52" i="32"/>
  <c r="F52" i="32"/>
  <c r="E52" i="32"/>
  <c r="D52" i="32"/>
  <c r="C52" i="32"/>
  <c r="B52" i="32"/>
  <c r="J51" i="32"/>
  <c r="F51" i="32"/>
  <c r="E51" i="32"/>
  <c r="D51" i="32"/>
  <c r="C51" i="32"/>
  <c r="B51" i="32"/>
  <c r="N50" i="32"/>
  <c r="F50" i="32"/>
  <c r="E50" i="32"/>
  <c r="D50" i="32"/>
  <c r="C50" i="32"/>
  <c r="B50" i="32"/>
  <c r="J47" i="32"/>
  <c r="F47" i="32"/>
  <c r="E47" i="32"/>
  <c r="D47" i="32"/>
  <c r="C47" i="32"/>
  <c r="B47" i="32"/>
  <c r="J46" i="32"/>
  <c r="F46" i="32"/>
  <c r="E46" i="32"/>
  <c r="D46" i="32"/>
  <c r="C46" i="32"/>
  <c r="B46" i="32"/>
  <c r="J45" i="32"/>
  <c r="F45" i="32"/>
  <c r="E45" i="32"/>
  <c r="D45" i="32"/>
  <c r="C45" i="32"/>
  <c r="B45" i="32"/>
  <c r="M44" i="32"/>
  <c r="J44" i="32"/>
  <c r="F44" i="32"/>
  <c r="E44" i="32"/>
  <c r="D44" i="32"/>
  <c r="C44" i="32"/>
  <c r="B44" i="32"/>
  <c r="J43" i="32"/>
  <c r="F43" i="32"/>
  <c r="E43" i="32"/>
  <c r="D43" i="32"/>
  <c r="C43" i="32"/>
  <c r="B43" i="32"/>
  <c r="J42" i="32"/>
  <c r="F42" i="32"/>
  <c r="E42" i="32"/>
  <c r="D42" i="32"/>
  <c r="C42" i="32"/>
  <c r="B42" i="32"/>
  <c r="J41" i="32"/>
  <c r="F41" i="32"/>
  <c r="E41" i="32"/>
  <c r="D41" i="32"/>
  <c r="C41" i="32"/>
  <c r="B41" i="32"/>
  <c r="J40" i="32"/>
  <c r="F40" i="32"/>
  <c r="E40" i="32"/>
  <c r="D40" i="32"/>
  <c r="C40" i="32"/>
  <c r="B40" i="32"/>
  <c r="F39" i="32"/>
  <c r="E39" i="32"/>
  <c r="D39" i="32"/>
  <c r="C39" i="32"/>
  <c r="B39" i="32"/>
  <c r="F38" i="32"/>
  <c r="E38" i="32"/>
  <c r="D38" i="32"/>
  <c r="C38" i="32"/>
  <c r="B38" i="32"/>
  <c r="F37" i="32"/>
  <c r="E37" i="32"/>
  <c r="D37" i="32"/>
  <c r="C37" i="32"/>
  <c r="B37" i="32"/>
  <c r="I36" i="32"/>
  <c r="F36" i="32"/>
  <c r="E36" i="32"/>
  <c r="D36" i="32"/>
  <c r="C36" i="32"/>
  <c r="B36" i="32"/>
  <c r="F35" i="32"/>
  <c r="E35" i="32"/>
  <c r="D35" i="32"/>
  <c r="C35" i="32"/>
  <c r="B35" i="32"/>
  <c r="F34" i="32"/>
  <c r="E34" i="32"/>
  <c r="D34" i="32"/>
  <c r="C34" i="32"/>
  <c r="B34" i="32"/>
  <c r="F33" i="32"/>
  <c r="E33" i="32"/>
  <c r="D33" i="32"/>
  <c r="C33" i="32"/>
  <c r="B33" i="32"/>
  <c r="J32" i="32"/>
  <c r="F32" i="32"/>
  <c r="E32" i="32"/>
  <c r="D32" i="32"/>
  <c r="C32" i="32"/>
  <c r="B32" i="32"/>
  <c r="H31" i="32"/>
  <c r="F31" i="32"/>
  <c r="E31" i="32"/>
  <c r="D31" i="32"/>
  <c r="C31" i="32"/>
  <c r="B31" i="32"/>
  <c r="I30" i="32"/>
  <c r="F30" i="32"/>
  <c r="E30" i="32"/>
  <c r="D30" i="32"/>
  <c r="C30" i="32"/>
  <c r="B30" i="32"/>
  <c r="J29" i="32"/>
  <c r="F29" i="32"/>
  <c r="E29" i="32"/>
  <c r="D29" i="32"/>
  <c r="C29" i="32"/>
  <c r="B29" i="32"/>
  <c r="I28" i="32"/>
  <c r="F28" i="32"/>
  <c r="E28" i="32"/>
  <c r="D28" i="32"/>
  <c r="C28" i="32"/>
  <c r="B28" i="32"/>
  <c r="J27" i="32"/>
  <c r="F27" i="32"/>
  <c r="E27" i="32"/>
  <c r="D27" i="32"/>
  <c r="C27" i="32"/>
  <c r="B27" i="32"/>
  <c r="F26" i="32"/>
  <c r="E26" i="32"/>
  <c r="D26" i="32"/>
  <c r="C26" i="32"/>
  <c r="B26" i="32"/>
  <c r="H25" i="32"/>
  <c r="F25" i="32"/>
  <c r="E25" i="32"/>
  <c r="D25" i="32"/>
  <c r="C25" i="32"/>
  <c r="B25" i="32"/>
  <c r="F24" i="32"/>
  <c r="E24" i="32"/>
  <c r="D24" i="32"/>
  <c r="C24" i="32"/>
  <c r="B24" i="32"/>
  <c r="H23" i="32"/>
  <c r="F23" i="32"/>
  <c r="E23" i="32"/>
  <c r="D23" i="32"/>
  <c r="C23" i="32"/>
  <c r="B23" i="32"/>
  <c r="F22" i="32"/>
  <c r="E22" i="32"/>
  <c r="D22" i="32"/>
  <c r="C22" i="32"/>
  <c r="B22" i="32"/>
  <c r="F19" i="32"/>
  <c r="E19" i="32"/>
  <c r="D19" i="32"/>
  <c r="C19" i="32"/>
  <c r="B19" i="32"/>
  <c r="F18" i="32"/>
  <c r="E18" i="32"/>
  <c r="D18" i="32"/>
  <c r="C18" i="32"/>
  <c r="B18" i="32"/>
  <c r="F17" i="32"/>
  <c r="E17" i="32"/>
  <c r="D17" i="32"/>
  <c r="C17" i="32"/>
  <c r="B17" i="32"/>
  <c r="H16" i="32"/>
  <c r="F16" i="32"/>
  <c r="E16" i="32"/>
  <c r="D16" i="32"/>
  <c r="C16" i="32"/>
  <c r="B16" i="32"/>
  <c r="F15" i="32"/>
  <c r="E15" i="32"/>
  <c r="D15" i="32"/>
  <c r="C15" i="32"/>
  <c r="B15" i="32"/>
  <c r="H14" i="32"/>
  <c r="F14" i="32"/>
  <c r="E14" i="32"/>
  <c r="D14" i="32"/>
  <c r="C14" i="32"/>
  <c r="B14" i="32"/>
  <c r="H13" i="32"/>
  <c r="F13" i="32"/>
  <c r="E13" i="32"/>
  <c r="D13" i="32"/>
  <c r="C13" i="32"/>
  <c r="B13" i="32"/>
  <c r="F12" i="32"/>
  <c r="E12" i="32"/>
  <c r="D12" i="32"/>
  <c r="C12" i="32"/>
  <c r="B12" i="32"/>
  <c r="N11" i="32"/>
  <c r="F11" i="32"/>
  <c r="E11" i="32"/>
  <c r="D11" i="32"/>
  <c r="C11" i="32"/>
  <c r="B11" i="32"/>
  <c r="M10" i="32"/>
  <c r="F10" i="32"/>
  <c r="E10" i="32"/>
  <c r="D10" i="32"/>
  <c r="C10" i="32"/>
  <c r="B10" i="32"/>
  <c r="F9" i="32"/>
  <c r="E9" i="32"/>
  <c r="D9" i="32"/>
  <c r="C9" i="32"/>
  <c r="B9" i="32"/>
  <c r="F8" i="32"/>
  <c r="E8" i="32"/>
  <c r="D8" i="32"/>
  <c r="C8" i="32"/>
  <c r="B8" i="32"/>
  <c r="J7" i="32"/>
  <c r="H7" i="32"/>
  <c r="F7" i="32"/>
  <c r="E7" i="32"/>
  <c r="D7" i="32"/>
  <c r="C7" i="32"/>
  <c r="B7" i="32"/>
  <c r="J6" i="32"/>
  <c r="F6" i="32"/>
  <c r="E6" i="32"/>
  <c r="D6" i="32"/>
  <c r="C6" i="32"/>
  <c r="B6" i="32"/>
  <c r="F5" i="32"/>
  <c r="E5" i="32"/>
  <c r="D5" i="32"/>
  <c r="C5" i="32"/>
  <c r="B5" i="32"/>
  <c r="J4" i="32"/>
  <c r="I4" i="32"/>
  <c r="F4" i="32"/>
  <c r="E4" i="32"/>
  <c r="D4" i="32"/>
  <c r="C4" i="32"/>
  <c r="B4" i="32"/>
  <c r="G6" i="15"/>
  <c r="V7" i="19" s="1"/>
  <c r="Z7" i="19" s="1"/>
  <c r="H6" i="15"/>
  <c r="H4" i="32" s="1"/>
  <c r="I6" i="15"/>
  <c r="J6" i="15"/>
  <c r="G7" i="15"/>
  <c r="H7" i="15"/>
  <c r="H5" i="32" s="1"/>
  <c r="I7" i="15"/>
  <c r="I5" i="32" s="1"/>
  <c r="J7" i="15"/>
  <c r="N7" i="15" s="1"/>
  <c r="N5" i="32" s="1"/>
  <c r="G8" i="15"/>
  <c r="E7" i="29" s="1"/>
  <c r="H8" i="15"/>
  <c r="L8" i="15" s="1"/>
  <c r="L6" i="32" s="1"/>
  <c r="I8" i="15"/>
  <c r="M8" i="15" s="1"/>
  <c r="M6" i="32" s="1"/>
  <c r="J8" i="15"/>
  <c r="N8" i="15" s="1"/>
  <c r="N6" i="32" s="1"/>
  <c r="Q8" i="15"/>
  <c r="R8" i="15"/>
  <c r="G9" i="15"/>
  <c r="E8" i="29" s="1"/>
  <c r="H9" i="15"/>
  <c r="P9" i="15" s="1"/>
  <c r="I9" i="15"/>
  <c r="Q9" i="15" s="1"/>
  <c r="J9" i="15"/>
  <c r="N9" i="15" s="1"/>
  <c r="N7" i="32" s="1"/>
  <c r="G10" i="15"/>
  <c r="H10" i="15"/>
  <c r="P10" i="15" s="1"/>
  <c r="I10" i="15"/>
  <c r="M9" i="29" s="1"/>
  <c r="J10" i="15"/>
  <c r="R10" i="15" s="1"/>
  <c r="G11" i="15"/>
  <c r="K11" i="15" s="1"/>
  <c r="K9" i="32" s="1"/>
  <c r="H11" i="15"/>
  <c r="P11" i="15" s="1"/>
  <c r="I11" i="15"/>
  <c r="J11" i="15"/>
  <c r="Q11" i="15"/>
  <c r="R11" i="15"/>
  <c r="G12" i="15"/>
  <c r="H12" i="15"/>
  <c r="L12" i="15" s="1"/>
  <c r="L10" i="32" s="1"/>
  <c r="I12" i="15"/>
  <c r="I10" i="32" s="1"/>
  <c r="J12" i="15"/>
  <c r="N12" i="15" s="1"/>
  <c r="N10" i="32" s="1"/>
  <c r="R12" i="15"/>
  <c r="G13" i="15"/>
  <c r="H13" i="15"/>
  <c r="L13" i="15" s="1"/>
  <c r="L11" i="32" s="1"/>
  <c r="I13" i="15"/>
  <c r="M13" i="15" s="1"/>
  <c r="M11" i="32" s="1"/>
  <c r="J13" i="15"/>
  <c r="N13" i="15" s="1"/>
  <c r="R13" i="15"/>
  <c r="G14" i="15"/>
  <c r="G12" i="32" s="1"/>
  <c r="H14" i="15"/>
  <c r="L14" i="15" s="1"/>
  <c r="L12" i="32" s="1"/>
  <c r="I14" i="15"/>
  <c r="J14" i="15"/>
  <c r="P14" i="15"/>
  <c r="Q14" i="15"/>
  <c r="G15" i="15"/>
  <c r="H15" i="15"/>
  <c r="I15" i="15"/>
  <c r="M15" i="15" s="1"/>
  <c r="M13" i="32" s="1"/>
  <c r="J15" i="15"/>
  <c r="J13" i="32" s="1"/>
  <c r="P15" i="15"/>
  <c r="Q15" i="15"/>
  <c r="R15" i="15"/>
  <c r="G16" i="15"/>
  <c r="G14" i="32" s="1"/>
  <c r="H16" i="15"/>
  <c r="I16" i="15"/>
  <c r="J16" i="15"/>
  <c r="N16" i="15" s="1"/>
  <c r="N14" i="32" s="1"/>
  <c r="G17" i="15"/>
  <c r="E16" i="29" s="1"/>
  <c r="H17" i="15"/>
  <c r="I17" i="15"/>
  <c r="J17" i="15"/>
  <c r="N17" i="15" s="1"/>
  <c r="N15" i="32" s="1"/>
  <c r="G18" i="15"/>
  <c r="G16" i="32" s="1"/>
  <c r="H18" i="15"/>
  <c r="L18" i="15" s="1"/>
  <c r="L16" i="32" s="1"/>
  <c r="I18" i="15"/>
  <c r="J18" i="15"/>
  <c r="P18" i="15"/>
  <c r="Q18" i="15"/>
  <c r="R18" i="15"/>
  <c r="G19" i="15"/>
  <c r="K19" i="15" s="1"/>
  <c r="K17" i="32" s="1"/>
  <c r="H19" i="15"/>
  <c r="H17" i="32" s="1"/>
  <c r="I19" i="15"/>
  <c r="I17" i="32" s="1"/>
  <c r="J19" i="15"/>
  <c r="R19" i="15" s="1"/>
  <c r="G20" i="15"/>
  <c r="H20" i="15"/>
  <c r="I20" i="15"/>
  <c r="Q20" i="15" s="1"/>
  <c r="J20" i="15"/>
  <c r="J18" i="32" s="1"/>
  <c r="G21" i="15"/>
  <c r="G19" i="32" s="1"/>
  <c r="H21" i="15"/>
  <c r="I21" i="15"/>
  <c r="J21" i="15"/>
  <c r="J19" i="32" s="1"/>
  <c r="P21" i="15"/>
  <c r="G23" i="15"/>
  <c r="K23" i="15" s="1"/>
  <c r="K22" i="32" s="1"/>
  <c r="H23" i="15"/>
  <c r="L23" i="15" s="1"/>
  <c r="L22" i="32" s="1"/>
  <c r="I23" i="15"/>
  <c r="I22" i="32" s="1"/>
  <c r="J23" i="15"/>
  <c r="P23" i="15"/>
  <c r="G24" i="15"/>
  <c r="H24" i="15"/>
  <c r="L24" i="15" s="1"/>
  <c r="L23" i="32" s="1"/>
  <c r="I24" i="15"/>
  <c r="J24" i="15"/>
  <c r="N24" i="15" s="1"/>
  <c r="N23" i="32" s="1"/>
  <c r="G25" i="15"/>
  <c r="H25" i="15"/>
  <c r="P25" i="15" s="1"/>
  <c r="I25" i="15"/>
  <c r="J25" i="15"/>
  <c r="R25" i="15"/>
  <c r="G26" i="15"/>
  <c r="K26" i="15" s="1"/>
  <c r="K25" i="32" s="1"/>
  <c r="H26" i="15"/>
  <c r="P26" i="15" s="1"/>
  <c r="I26" i="15"/>
  <c r="Q26" i="15" s="1"/>
  <c r="J26" i="15"/>
  <c r="N26" i="15" s="1"/>
  <c r="N25" i="32" s="1"/>
  <c r="G27" i="15"/>
  <c r="K27" i="15" s="1"/>
  <c r="K26" i="32" s="1"/>
  <c r="H27" i="15"/>
  <c r="H26" i="32" s="1"/>
  <c r="I27" i="15"/>
  <c r="J27" i="15"/>
  <c r="J26" i="32" s="1"/>
  <c r="G28" i="15"/>
  <c r="H28" i="15"/>
  <c r="H27" i="32" s="1"/>
  <c r="I28" i="15"/>
  <c r="Q28" i="15" s="1"/>
  <c r="J28" i="15"/>
  <c r="N28" i="15" s="1"/>
  <c r="N27" i="32" s="1"/>
  <c r="G29" i="15"/>
  <c r="H29" i="15"/>
  <c r="I29" i="15"/>
  <c r="M29" i="15" s="1"/>
  <c r="M28" i="32" s="1"/>
  <c r="J29" i="15"/>
  <c r="N29" i="15" s="1"/>
  <c r="N28" i="32" s="1"/>
  <c r="Q29" i="15"/>
  <c r="G30" i="15"/>
  <c r="K30" i="15" s="1"/>
  <c r="K29" i="32" s="1"/>
  <c r="H30" i="15"/>
  <c r="L30" i="15" s="1"/>
  <c r="L29" i="32" s="1"/>
  <c r="I30" i="15"/>
  <c r="J30" i="15"/>
  <c r="N30" i="15" s="1"/>
  <c r="N29" i="32" s="1"/>
  <c r="R30" i="15"/>
  <c r="G31" i="15"/>
  <c r="H31" i="15"/>
  <c r="L31" i="15" s="1"/>
  <c r="L30" i="32" s="1"/>
  <c r="I31" i="15"/>
  <c r="M31" i="15" s="1"/>
  <c r="M30" i="32" s="1"/>
  <c r="J31" i="15"/>
  <c r="J30" i="32" s="1"/>
  <c r="G32" i="15"/>
  <c r="K32" i="15" s="1"/>
  <c r="K31" i="32" s="1"/>
  <c r="H32" i="15"/>
  <c r="P32" i="15" s="1"/>
  <c r="I32" i="15"/>
  <c r="Q32" i="15" s="1"/>
  <c r="J32" i="15"/>
  <c r="N32" i="15" s="1"/>
  <c r="N31" i="32" s="1"/>
  <c r="G33" i="15"/>
  <c r="K33" i="15" s="1"/>
  <c r="K32" i="32" s="1"/>
  <c r="H33" i="15"/>
  <c r="I33" i="15"/>
  <c r="J33" i="15"/>
  <c r="R33" i="15" s="1"/>
  <c r="G34" i="15"/>
  <c r="H34" i="15"/>
  <c r="L34" i="15" s="1"/>
  <c r="L33" i="32" s="1"/>
  <c r="I34" i="15"/>
  <c r="J34" i="15"/>
  <c r="G35" i="15"/>
  <c r="K35" i="15" s="1"/>
  <c r="K34" i="32" s="1"/>
  <c r="H35" i="15"/>
  <c r="I35" i="15"/>
  <c r="J35" i="15"/>
  <c r="J34" i="32" s="1"/>
  <c r="Q35" i="15"/>
  <c r="R35" i="15"/>
  <c r="G36" i="15"/>
  <c r="G35" i="32" s="1"/>
  <c r="H36" i="15"/>
  <c r="I36" i="15"/>
  <c r="J36" i="15"/>
  <c r="G37" i="15"/>
  <c r="H37" i="15"/>
  <c r="H36" i="32" s="1"/>
  <c r="I37" i="15"/>
  <c r="M37" i="15" s="1"/>
  <c r="M36" i="32" s="1"/>
  <c r="J37" i="15"/>
  <c r="N37" i="15" s="1"/>
  <c r="N36" i="32" s="1"/>
  <c r="G38" i="15"/>
  <c r="K38" i="15" s="1"/>
  <c r="K37" i="32" s="1"/>
  <c r="H38" i="15"/>
  <c r="L38" i="15" s="1"/>
  <c r="L37" i="32" s="1"/>
  <c r="I38" i="15"/>
  <c r="M38" i="15" s="1"/>
  <c r="M37" i="32" s="1"/>
  <c r="J38" i="15"/>
  <c r="J37" i="32" s="1"/>
  <c r="Q38" i="15"/>
  <c r="R38" i="15"/>
  <c r="G39" i="15"/>
  <c r="H39" i="15"/>
  <c r="I39" i="15"/>
  <c r="J39" i="15"/>
  <c r="G40" i="15"/>
  <c r="H40" i="15"/>
  <c r="I40" i="15"/>
  <c r="M40" i="15" s="1"/>
  <c r="M39" i="32" s="1"/>
  <c r="J40" i="15"/>
  <c r="N40" i="15" s="1"/>
  <c r="N39" i="32" s="1"/>
  <c r="G41" i="15"/>
  <c r="K41" i="15" s="1"/>
  <c r="K40" i="32" s="1"/>
  <c r="H41" i="15"/>
  <c r="L41" i="15" s="1"/>
  <c r="L40" i="32" s="1"/>
  <c r="I41" i="15"/>
  <c r="M41" i="15" s="1"/>
  <c r="M40" i="32" s="1"/>
  <c r="R41" i="15"/>
  <c r="G42" i="15"/>
  <c r="K42" i="15" s="1"/>
  <c r="K41" i="32" s="1"/>
  <c r="H42" i="15"/>
  <c r="I42" i="15"/>
  <c r="N41" i="32"/>
  <c r="R42" i="15"/>
  <c r="G43" i="15"/>
  <c r="H43" i="15"/>
  <c r="I43" i="15"/>
  <c r="M43" i="15" s="1"/>
  <c r="M42" i="32" s="1"/>
  <c r="R43" i="15"/>
  <c r="G44" i="15"/>
  <c r="H44" i="15"/>
  <c r="I44" i="15"/>
  <c r="M44" i="15" s="1"/>
  <c r="M43" i="32" s="1"/>
  <c r="N43" i="32"/>
  <c r="R44" i="15"/>
  <c r="G45" i="15"/>
  <c r="K45" i="15" s="1"/>
  <c r="K44" i="32" s="1"/>
  <c r="H45" i="15"/>
  <c r="I45" i="15"/>
  <c r="M45" i="15" s="1"/>
  <c r="R45" i="15"/>
  <c r="G46" i="15"/>
  <c r="H46" i="15"/>
  <c r="H45" i="32" s="1"/>
  <c r="I46" i="15"/>
  <c r="I45" i="32" s="1"/>
  <c r="R46" i="15"/>
  <c r="G47" i="15"/>
  <c r="K47" i="15" s="1"/>
  <c r="K46" i="32" s="1"/>
  <c r="H47" i="15"/>
  <c r="H46" i="32" s="1"/>
  <c r="I47" i="15"/>
  <c r="R47" i="15"/>
  <c r="G48" i="15"/>
  <c r="K48" i="15" s="1"/>
  <c r="K47" i="32" s="1"/>
  <c r="H48" i="15"/>
  <c r="I48" i="15"/>
  <c r="I47" i="32" s="1"/>
  <c r="R48" i="15"/>
  <c r="G50" i="15"/>
  <c r="H50" i="15"/>
  <c r="P50" i="15" s="1"/>
  <c r="I50" i="15"/>
  <c r="I50" i="32" s="1"/>
  <c r="J50" i="15"/>
  <c r="G51" i="15"/>
  <c r="G51" i="32" s="1"/>
  <c r="H51" i="15"/>
  <c r="H51" i="32" s="1"/>
  <c r="I51" i="15"/>
  <c r="M51" i="15" s="1"/>
  <c r="M51" i="32" s="1"/>
  <c r="J51" i="15"/>
  <c r="P51" i="15"/>
  <c r="G52" i="15"/>
  <c r="G52" i="32" s="1"/>
  <c r="H52" i="15"/>
  <c r="L52" i="15" s="1"/>
  <c r="L52" i="32" s="1"/>
  <c r="I52" i="15"/>
  <c r="M52" i="15" s="1"/>
  <c r="M52" i="32" s="1"/>
  <c r="J52" i="15"/>
  <c r="G53" i="15"/>
  <c r="H53" i="15"/>
  <c r="I53" i="15"/>
  <c r="J53" i="15"/>
  <c r="G54" i="15"/>
  <c r="K54" i="15" s="1"/>
  <c r="K54" i="32" s="1"/>
  <c r="H54" i="15"/>
  <c r="I54" i="15"/>
  <c r="M54" i="15" s="1"/>
  <c r="M54" i="32" s="1"/>
  <c r="J54" i="15"/>
  <c r="J54" i="32" s="1"/>
  <c r="G55" i="15"/>
  <c r="K55" i="15" s="1"/>
  <c r="K55" i="32" s="1"/>
  <c r="H55" i="15"/>
  <c r="L55" i="15" s="1"/>
  <c r="L55" i="32" s="1"/>
  <c r="I55" i="15"/>
  <c r="Q55" i="15" s="1"/>
  <c r="J55" i="15"/>
  <c r="J55" i="32" s="1"/>
  <c r="G56" i="15"/>
  <c r="H56" i="15"/>
  <c r="I56" i="15"/>
  <c r="J56" i="15"/>
  <c r="J56" i="32" s="1"/>
  <c r="G57" i="15"/>
  <c r="K57" i="15" s="1"/>
  <c r="K57" i="32" s="1"/>
  <c r="H57" i="15"/>
  <c r="L57" i="15" s="1"/>
  <c r="L57" i="32" s="1"/>
  <c r="I57" i="15"/>
  <c r="J57" i="15"/>
  <c r="J57" i="32" s="1"/>
  <c r="P57" i="15"/>
  <c r="G58" i="15"/>
  <c r="H58" i="15"/>
  <c r="I58" i="15"/>
  <c r="J58" i="15"/>
  <c r="J58" i="32" s="1"/>
  <c r="G59" i="15"/>
  <c r="H59" i="15"/>
  <c r="I59" i="15"/>
  <c r="J59" i="15"/>
  <c r="J59" i="32" s="1"/>
  <c r="G60" i="15"/>
  <c r="K60" i="15" s="1"/>
  <c r="K60" i="32" s="1"/>
  <c r="H60" i="15"/>
  <c r="H60" i="32" s="1"/>
  <c r="I60" i="15"/>
  <c r="I60" i="32" s="1"/>
  <c r="J60" i="15"/>
  <c r="J60" i="32" s="1"/>
  <c r="G61" i="15"/>
  <c r="G61" i="32" s="1"/>
  <c r="H61" i="15"/>
  <c r="H61" i="32" s="1"/>
  <c r="I61" i="15"/>
  <c r="J61" i="15"/>
  <c r="J61" i="32" s="1"/>
  <c r="Q61" i="15"/>
  <c r="R61" i="15"/>
  <c r="G62" i="15"/>
  <c r="K62" i="15" s="1"/>
  <c r="K62" i="32" s="1"/>
  <c r="H62" i="15"/>
  <c r="I62" i="15"/>
  <c r="J62" i="15"/>
  <c r="G63" i="15"/>
  <c r="G63" i="32" s="1"/>
  <c r="H63" i="15"/>
  <c r="L63" i="15" s="1"/>
  <c r="L63" i="32" s="1"/>
  <c r="I63" i="15"/>
  <c r="I63" i="32" s="1"/>
  <c r="J63" i="15"/>
  <c r="J63" i="32" s="1"/>
  <c r="G64" i="15"/>
  <c r="K64" i="15" s="1"/>
  <c r="K64" i="32" s="1"/>
  <c r="H64" i="15"/>
  <c r="L64" i="15" s="1"/>
  <c r="L64" i="32" s="1"/>
  <c r="I64" i="15"/>
  <c r="M64" i="15" s="1"/>
  <c r="M64" i="32" s="1"/>
  <c r="J64" i="15"/>
  <c r="R64" i="15" s="1"/>
  <c r="G65" i="15"/>
  <c r="H65" i="15"/>
  <c r="H65" i="32" s="1"/>
  <c r="I65" i="15"/>
  <c r="J65" i="15"/>
  <c r="G66" i="15"/>
  <c r="H66" i="15"/>
  <c r="L66" i="15" s="1"/>
  <c r="L66" i="32" s="1"/>
  <c r="I66" i="15"/>
  <c r="M66" i="15" s="1"/>
  <c r="M66" i="32" s="1"/>
  <c r="J66" i="15"/>
  <c r="J66" i="32" s="1"/>
  <c r="G67" i="15"/>
  <c r="H67" i="15"/>
  <c r="L67" i="15" s="1"/>
  <c r="L67" i="32" s="1"/>
  <c r="I67" i="15"/>
  <c r="I67" i="32" s="1"/>
  <c r="J67" i="15"/>
  <c r="J67" i="32" s="1"/>
  <c r="P67" i="15"/>
  <c r="G68" i="15"/>
  <c r="H68" i="15"/>
  <c r="I68" i="15"/>
  <c r="J68" i="15"/>
  <c r="J68" i="32" s="1"/>
  <c r="G69" i="15"/>
  <c r="H69" i="15"/>
  <c r="I69" i="15"/>
  <c r="J69" i="15"/>
  <c r="G70" i="15"/>
  <c r="H70" i="15"/>
  <c r="L70" i="15" s="1"/>
  <c r="L70" i="32" s="1"/>
  <c r="I70" i="15"/>
  <c r="M70" i="15" s="1"/>
  <c r="M70" i="32" s="1"/>
  <c r="J70" i="15"/>
  <c r="J70" i="32" s="1"/>
  <c r="G71" i="15"/>
  <c r="H71" i="15"/>
  <c r="L71" i="15" s="1"/>
  <c r="L71" i="32" s="1"/>
  <c r="I71" i="15"/>
  <c r="I71" i="32" s="1"/>
  <c r="J71" i="15"/>
  <c r="R71" i="15" s="1"/>
  <c r="G73" i="15"/>
  <c r="K73" i="15" s="1"/>
  <c r="K74" i="32" s="1"/>
  <c r="H73" i="15"/>
  <c r="P73" i="15" s="1"/>
  <c r="I73" i="15"/>
  <c r="J73" i="15"/>
  <c r="G74" i="15"/>
  <c r="K74" i="15" s="1"/>
  <c r="K75" i="32" s="1"/>
  <c r="H74" i="15"/>
  <c r="L74" i="15" s="1"/>
  <c r="I74" i="15"/>
  <c r="J74" i="15"/>
  <c r="Q74" i="15"/>
  <c r="G75" i="15"/>
  <c r="H75" i="15"/>
  <c r="I75" i="15"/>
  <c r="J75" i="15"/>
  <c r="N75" i="15" s="1"/>
  <c r="N76" i="32" s="1"/>
  <c r="R75" i="15"/>
  <c r="G76" i="15"/>
  <c r="H76" i="15"/>
  <c r="I76" i="15"/>
  <c r="Q76" i="15" s="1"/>
  <c r="J76" i="15"/>
  <c r="N76" i="15" s="1"/>
  <c r="N77" i="32" s="1"/>
  <c r="G77" i="15"/>
  <c r="K77" i="15" s="1"/>
  <c r="K78" i="32" s="1"/>
  <c r="H77" i="15"/>
  <c r="I77" i="15"/>
  <c r="J77" i="15"/>
  <c r="N77" i="15" s="1"/>
  <c r="N78" i="32" s="1"/>
  <c r="G78" i="15"/>
  <c r="K78" i="15" s="1"/>
  <c r="K79" i="32" s="1"/>
  <c r="H78" i="15"/>
  <c r="I78" i="15"/>
  <c r="I79" i="32" s="1"/>
  <c r="J78" i="15"/>
  <c r="R78" i="15" s="1"/>
  <c r="Q78" i="15"/>
  <c r="G79" i="15"/>
  <c r="H79" i="15"/>
  <c r="L79" i="15" s="1"/>
  <c r="L80" i="32" s="1"/>
  <c r="I79" i="15"/>
  <c r="I80" i="32" s="1"/>
  <c r="J79" i="15"/>
  <c r="N79" i="15" s="1"/>
  <c r="N80" i="32" s="1"/>
  <c r="R79" i="15"/>
  <c r="G80" i="15"/>
  <c r="K80" i="15" s="1"/>
  <c r="K81" i="32" s="1"/>
  <c r="H80" i="15"/>
  <c r="I80" i="15"/>
  <c r="J80" i="15"/>
  <c r="R80" i="15" s="1"/>
  <c r="G81" i="15"/>
  <c r="K81" i="15" s="1"/>
  <c r="K82" i="32" s="1"/>
  <c r="H81" i="15"/>
  <c r="I81" i="15"/>
  <c r="J81" i="15"/>
  <c r="P81" i="15"/>
  <c r="Q81" i="15"/>
  <c r="G82" i="15"/>
  <c r="H82" i="15"/>
  <c r="I82" i="15"/>
  <c r="Q82" i="15" s="1"/>
  <c r="J82" i="15"/>
  <c r="N82" i="15" s="1"/>
  <c r="N83" i="32" s="1"/>
  <c r="R82" i="15"/>
  <c r="G83" i="15"/>
  <c r="H83" i="15"/>
  <c r="I83" i="15"/>
  <c r="M83" i="15" s="1"/>
  <c r="M84" i="32" s="1"/>
  <c r="J83" i="15"/>
  <c r="G84" i="15"/>
  <c r="H84" i="15"/>
  <c r="I84" i="15"/>
  <c r="J84" i="15"/>
  <c r="P84" i="15"/>
  <c r="G85" i="15"/>
  <c r="K85" i="15" s="1"/>
  <c r="K86" i="32" s="1"/>
  <c r="H85" i="15"/>
  <c r="I85" i="15"/>
  <c r="Q85" i="15" s="1"/>
  <c r="J85" i="15"/>
  <c r="R85" i="15" s="1"/>
  <c r="P85" i="15"/>
  <c r="G86" i="15"/>
  <c r="H86" i="15"/>
  <c r="I86" i="15"/>
  <c r="M86" i="15" s="1"/>
  <c r="M87" i="32" s="1"/>
  <c r="J86" i="15"/>
  <c r="G87" i="15"/>
  <c r="H87" i="15"/>
  <c r="I87" i="15"/>
  <c r="I88" i="32" s="1"/>
  <c r="J87" i="15"/>
  <c r="R87" i="15" s="1"/>
  <c r="Q87" i="15"/>
  <c r="G88" i="15"/>
  <c r="H88" i="15"/>
  <c r="I88" i="15"/>
  <c r="M88" i="15" s="1"/>
  <c r="M89" i="32" s="1"/>
  <c r="J88" i="15"/>
  <c r="N89" i="32" s="1"/>
  <c r="G89" i="15"/>
  <c r="K89" i="15" s="1"/>
  <c r="K90" i="32" s="1"/>
  <c r="H89" i="15"/>
  <c r="P89" i="15" s="1"/>
  <c r="I89" i="15"/>
  <c r="I90" i="32" s="1"/>
  <c r="J89" i="15"/>
  <c r="G90" i="15"/>
  <c r="H90" i="15"/>
  <c r="I90" i="15"/>
  <c r="I91" i="32" s="1"/>
  <c r="J90" i="15"/>
  <c r="G91" i="15"/>
  <c r="K91" i="15" s="1"/>
  <c r="K92" i="32" s="1"/>
  <c r="H91" i="15"/>
  <c r="I91" i="15"/>
  <c r="J91" i="15"/>
  <c r="N92" i="32" s="1"/>
  <c r="R91" i="15"/>
  <c r="G92" i="15"/>
  <c r="H92" i="15"/>
  <c r="I92" i="15"/>
  <c r="J92" i="15"/>
  <c r="N93" i="32" s="1"/>
  <c r="G93" i="15"/>
  <c r="H93" i="15"/>
  <c r="I93" i="15"/>
  <c r="J93" i="15"/>
  <c r="N94" i="32" s="1"/>
  <c r="G94" i="15"/>
  <c r="H94" i="15"/>
  <c r="I94" i="15"/>
  <c r="M94" i="15" s="1"/>
  <c r="M95" i="32" s="1"/>
  <c r="J94" i="15"/>
  <c r="Q94" i="15"/>
  <c r="G95" i="15"/>
  <c r="H95" i="15"/>
  <c r="I95" i="15"/>
  <c r="J95" i="15"/>
  <c r="G96" i="15"/>
  <c r="H96" i="15"/>
  <c r="L96" i="15" s="1"/>
  <c r="L97" i="32" s="1"/>
  <c r="I96" i="15"/>
  <c r="I97" i="32" s="1"/>
  <c r="J96" i="15"/>
  <c r="R96" i="15" s="1"/>
  <c r="Q96" i="15"/>
  <c r="G97" i="15"/>
  <c r="H97" i="15"/>
  <c r="H98" i="32" s="1"/>
  <c r="I97" i="15"/>
  <c r="J97" i="15"/>
  <c r="P97" i="15"/>
  <c r="Q97" i="15"/>
  <c r="G98" i="15"/>
  <c r="H98" i="15"/>
  <c r="I98" i="15"/>
  <c r="J98" i="15"/>
  <c r="N99" i="32" s="1"/>
  <c r="G99" i="15"/>
  <c r="K99" i="15" s="1"/>
  <c r="K100" i="32" s="1"/>
  <c r="H99" i="15"/>
  <c r="L99" i="15" s="1"/>
  <c r="L100" i="32" s="1"/>
  <c r="I99" i="15"/>
  <c r="J99" i="15"/>
  <c r="Q99" i="15"/>
  <c r="R99" i="15"/>
  <c r="G100" i="15"/>
  <c r="H100" i="15"/>
  <c r="I100" i="15"/>
  <c r="J100" i="15"/>
  <c r="P100" i="15"/>
  <c r="R100" i="15"/>
  <c r="G104" i="15"/>
  <c r="H104" i="15"/>
  <c r="I104" i="15"/>
  <c r="J104" i="15"/>
  <c r="R104" i="15" s="1"/>
  <c r="G105" i="15"/>
  <c r="K105" i="15" s="1"/>
  <c r="K107" i="32" s="1"/>
  <c r="H105" i="15"/>
  <c r="P105" i="15" s="1"/>
  <c r="I105" i="15"/>
  <c r="J105" i="15"/>
  <c r="R105" i="15"/>
  <c r="G106" i="15"/>
  <c r="H106" i="15"/>
  <c r="H108" i="32" s="1"/>
  <c r="I106" i="15"/>
  <c r="I108" i="32" s="1"/>
  <c r="J106" i="15"/>
  <c r="Q106" i="15"/>
  <c r="G107" i="15"/>
  <c r="K107" i="15" s="1"/>
  <c r="K109" i="32" s="1"/>
  <c r="H107" i="15"/>
  <c r="P107" i="15" s="1"/>
  <c r="I107" i="15"/>
  <c r="J107" i="15"/>
  <c r="Q107" i="15"/>
  <c r="G108" i="15"/>
  <c r="H108" i="15"/>
  <c r="H110" i="32" s="1"/>
  <c r="I108" i="15"/>
  <c r="M108" i="15" s="1"/>
  <c r="M110" i="32" s="1"/>
  <c r="J108" i="15"/>
  <c r="J110" i="32" s="1"/>
  <c r="P108" i="15"/>
  <c r="G109" i="15"/>
  <c r="H109" i="15"/>
  <c r="I109" i="15"/>
  <c r="J109" i="15"/>
  <c r="G110" i="15"/>
  <c r="H110" i="15"/>
  <c r="I110" i="15"/>
  <c r="J110" i="15"/>
  <c r="G111" i="15"/>
  <c r="G113" i="32" s="1"/>
  <c r="H111" i="15"/>
  <c r="I111" i="15"/>
  <c r="J111" i="15"/>
  <c r="Q111" i="15"/>
  <c r="R111" i="15"/>
  <c r="G112" i="15"/>
  <c r="K112" i="15" s="1"/>
  <c r="K114" i="32" s="1"/>
  <c r="H112" i="15"/>
  <c r="I112" i="15"/>
  <c r="J112" i="15"/>
  <c r="G113" i="15"/>
  <c r="H113" i="15"/>
  <c r="I113" i="15"/>
  <c r="Q113" i="15" s="1"/>
  <c r="J113" i="15"/>
  <c r="G114" i="15"/>
  <c r="K114" i="15" s="1"/>
  <c r="K116" i="32" s="1"/>
  <c r="H114" i="15"/>
  <c r="P114" i="15" s="1"/>
  <c r="I114" i="15"/>
  <c r="M114" i="15" s="1"/>
  <c r="M116" i="32" s="1"/>
  <c r="J114" i="15"/>
  <c r="Q114" i="15"/>
  <c r="G115" i="15"/>
  <c r="K115" i="15" s="1"/>
  <c r="K117" i="32" s="1"/>
  <c r="H115" i="15"/>
  <c r="L115" i="15" s="1"/>
  <c r="L117" i="32" s="1"/>
  <c r="I115" i="15"/>
  <c r="J115" i="15"/>
  <c r="N115" i="15" s="1"/>
  <c r="N117" i="32" s="1"/>
  <c r="G118" i="32"/>
  <c r="J118" i="32"/>
  <c r="R116" i="15"/>
  <c r="L119" i="32"/>
  <c r="I119" i="32"/>
  <c r="R117" i="15"/>
  <c r="R118" i="15"/>
  <c r="I121" i="32"/>
  <c r="Q119" i="15"/>
  <c r="R119" i="15"/>
  <c r="G122" i="32"/>
  <c r="H122" i="32"/>
  <c r="L123" i="32"/>
  <c r="M123" i="32"/>
  <c r="N123" i="32"/>
  <c r="K124" i="32"/>
  <c r="P122" i="15"/>
  <c r="M126" i="32"/>
  <c r="J126" i="32"/>
  <c r="R124" i="15"/>
  <c r="P125" i="15"/>
  <c r="G128" i="32"/>
  <c r="L129" i="32"/>
  <c r="M129" i="32"/>
  <c r="N129" i="32"/>
  <c r="Q127" i="15"/>
  <c r="R128" i="15"/>
  <c r="G130" i="15"/>
  <c r="H130" i="15"/>
  <c r="I130" i="15"/>
  <c r="J130" i="15"/>
  <c r="J133" i="32" s="1"/>
  <c r="G131" i="15"/>
  <c r="H131" i="15"/>
  <c r="P131" i="15" s="1"/>
  <c r="I131" i="15"/>
  <c r="J131" i="15"/>
  <c r="Q131" i="15"/>
  <c r="G132" i="15"/>
  <c r="H132" i="15"/>
  <c r="I132" i="15"/>
  <c r="Q132" i="15" s="1"/>
  <c r="J132" i="15"/>
  <c r="P132" i="15"/>
  <c r="G133" i="15"/>
  <c r="H133" i="15"/>
  <c r="I133" i="15"/>
  <c r="J133" i="15"/>
  <c r="R133" i="15" s="1"/>
  <c r="G134" i="15"/>
  <c r="K134" i="15" s="1"/>
  <c r="K137" i="32" s="1"/>
  <c r="H134" i="15"/>
  <c r="L134" i="15" s="1"/>
  <c r="L137" i="32" s="1"/>
  <c r="I134" i="15"/>
  <c r="M134" i="15" s="1"/>
  <c r="M137" i="32" s="1"/>
  <c r="J134" i="15"/>
  <c r="J137" i="32" s="1"/>
  <c r="R134" i="15"/>
  <c r="G135" i="15"/>
  <c r="G138" i="32" s="1"/>
  <c r="H135" i="15"/>
  <c r="I135" i="15"/>
  <c r="M135" i="15" s="1"/>
  <c r="M138" i="32" s="1"/>
  <c r="J135" i="15"/>
  <c r="J138" i="32" s="1"/>
  <c r="Q135" i="15"/>
  <c r="G136" i="15"/>
  <c r="H136" i="15"/>
  <c r="I136" i="15"/>
  <c r="J136" i="15"/>
  <c r="P136" i="15"/>
  <c r="Q136" i="15"/>
  <c r="R136" i="15"/>
  <c r="G137" i="15"/>
  <c r="G140" i="32" s="1"/>
  <c r="H137" i="15"/>
  <c r="P137" i="15" s="1"/>
  <c r="I137" i="15"/>
  <c r="I140" i="32" s="1"/>
  <c r="J137" i="15"/>
  <c r="G138" i="15"/>
  <c r="H138" i="15"/>
  <c r="I138" i="15"/>
  <c r="Q138" i="15" s="1"/>
  <c r="J138" i="15"/>
  <c r="R138" i="15" s="1"/>
  <c r="G139" i="15"/>
  <c r="G142" i="32" s="1"/>
  <c r="H139" i="15"/>
  <c r="I139" i="15"/>
  <c r="J139" i="15"/>
  <c r="P139" i="15"/>
  <c r="Q139" i="15"/>
  <c r="P140" i="15"/>
  <c r="M143" i="32"/>
  <c r="P142" i="15"/>
  <c r="K146" i="32"/>
  <c r="J146" i="32"/>
  <c r="G148" i="32"/>
  <c r="J148" i="32"/>
  <c r="N150" i="32"/>
  <c r="G149" i="15"/>
  <c r="H149" i="15"/>
  <c r="I149" i="15"/>
  <c r="J149" i="15"/>
  <c r="Q149" i="15"/>
  <c r="G150" i="15"/>
  <c r="H150" i="15"/>
  <c r="P150" i="15" s="1"/>
  <c r="I150" i="15"/>
  <c r="J150" i="15"/>
  <c r="Q150" i="15"/>
  <c r="R150" i="15"/>
  <c r="G151" i="15"/>
  <c r="K151" i="15" s="1"/>
  <c r="K155" i="32" s="1"/>
  <c r="H151" i="15"/>
  <c r="L151" i="15" s="1"/>
  <c r="L155" i="32" s="1"/>
  <c r="I151" i="15"/>
  <c r="I155" i="32" s="1"/>
  <c r="J151" i="15"/>
  <c r="N155" i="32" s="1"/>
  <c r="P151" i="15"/>
  <c r="G152" i="15"/>
  <c r="H152" i="15"/>
  <c r="I152" i="15"/>
  <c r="J152" i="15"/>
  <c r="G153" i="15"/>
  <c r="G157" i="32" s="1"/>
  <c r="H153" i="15"/>
  <c r="I153" i="15"/>
  <c r="J153" i="15"/>
  <c r="R153" i="15"/>
  <c r="G154" i="15"/>
  <c r="G158" i="32" s="1"/>
  <c r="H154" i="15"/>
  <c r="I154" i="15"/>
  <c r="Q154" i="15" s="1"/>
  <c r="J154" i="15"/>
  <c r="R154" i="15"/>
  <c r="G155" i="15"/>
  <c r="K155" i="15" s="1"/>
  <c r="K159" i="32" s="1"/>
  <c r="H155" i="15"/>
  <c r="I155" i="15"/>
  <c r="M155" i="15" s="1"/>
  <c r="M159" i="32" s="1"/>
  <c r="J155" i="15"/>
  <c r="Q155" i="15"/>
  <c r="G156" i="15"/>
  <c r="H156" i="15"/>
  <c r="I156" i="15"/>
  <c r="J156" i="15"/>
  <c r="G157" i="15"/>
  <c r="K157" i="15" s="1"/>
  <c r="K161" i="32" s="1"/>
  <c r="H157" i="15"/>
  <c r="I157" i="15"/>
  <c r="M157" i="15" s="1"/>
  <c r="M161" i="32" s="1"/>
  <c r="J157" i="15"/>
  <c r="G158" i="15"/>
  <c r="H158" i="15"/>
  <c r="I158" i="15"/>
  <c r="Q158" i="15" s="1"/>
  <c r="J158" i="15"/>
  <c r="N162" i="32" s="1"/>
  <c r="G160" i="15"/>
  <c r="H160" i="15"/>
  <c r="P160" i="15" s="1"/>
  <c r="I160" i="15"/>
  <c r="J160" i="15"/>
  <c r="G161" i="15"/>
  <c r="K161" i="15" s="1"/>
  <c r="K166" i="32" s="1"/>
  <c r="H161" i="15"/>
  <c r="L161" i="15" s="1"/>
  <c r="L166" i="32" s="1"/>
  <c r="I161" i="15"/>
  <c r="M161" i="15" s="1"/>
  <c r="M166" i="32" s="1"/>
  <c r="J161" i="15"/>
  <c r="N161" i="15" s="1"/>
  <c r="N166" i="32" s="1"/>
  <c r="R161" i="15"/>
  <c r="G162" i="15"/>
  <c r="H162" i="15"/>
  <c r="I162" i="15"/>
  <c r="J162" i="15"/>
  <c r="R162" i="15" s="1"/>
  <c r="Q162" i="15"/>
  <c r="G163" i="15"/>
  <c r="H163" i="15"/>
  <c r="I163" i="15"/>
  <c r="I168" i="32" s="1"/>
  <c r="J163" i="15"/>
  <c r="J168" i="32" s="1"/>
  <c r="G164" i="15"/>
  <c r="G169" i="32" s="1"/>
  <c r="H164" i="15"/>
  <c r="I164" i="15"/>
  <c r="M164" i="15" s="1"/>
  <c r="M169" i="32" s="1"/>
  <c r="J164" i="15"/>
  <c r="N164" i="15" s="1"/>
  <c r="N169" i="32" s="1"/>
  <c r="R164" i="15"/>
  <c r="G165" i="15"/>
  <c r="H165" i="15"/>
  <c r="P165" i="15" s="1"/>
  <c r="I165" i="15"/>
  <c r="J165" i="15"/>
  <c r="Q165" i="15"/>
  <c r="G166" i="15"/>
  <c r="H166" i="15"/>
  <c r="I166" i="15"/>
  <c r="J166" i="15"/>
  <c r="R166" i="15" s="1"/>
  <c r="G167" i="15"/>
  <c r="H167" i="15"/>
  <c r="P167" i="15" s="1"/>
  <c r="I167" i="15"/>
  <c r="J167" i="15"/>
  <c r="G168" i="15"/>
  <c r="G173" i="32" s="1"/>
  <c r="H168" i="15"/>
  <c r="I168" i="15"/>
  <c r="J168" i="15"/>
  <c r="G169" i="15"/>
  <c r="H169" i="15"/>
  <c r="I169" i="15"/>
  <c r="J169" i="15"/>
  <c r="N169" i="15" s="1"/>
  <c r="N174" i="32" s="1"/>
  <c r="P170" i="15"/>
  <c r="R170" i="15"/>
  <c r="K176" i="32"/>
  <c r="H176" i="32"/>
  <c r="P172" i="15"/>
  <c r="G174" i="15"/>
  <c r="K174" i="15" s="1"/>
  <c r="K180" i="32" s="1"/>
  <c r="H174" i="15"/>
  <c r="L174" i="15" s="1"/>
  <c r="L180" i="32" s="1"/>
  <c r="I174" i="15"/>
  <c r="J174" i="15"/>
  <c r="G175" i="15"/>
  <c r="H175" i="15"/>
  <c r="P175" i="15" s="1"/>
  <c r="I175" i="15"/>
  <c r="J175" i="15"/>
  <c r="Q175" i="15"/>
  <c r="G176" i="15"/>
  <c r="H176" i="15"/>
  <c r="P176" i="15" s="1"/>
  <c r="I176" i="15"/>
  <c r="J176" i="15"/>
  <c r="Q176" i="15"/>
  <c r="R176" i="15"/>
  <c r="G177" i="15"/>
  <c r="H177" i="15"/>
  <c r="P177" i="15" s="1"/>
  <c r="I177" i="15"/>
  <c r="J177" i="15"/>
  <c r="G178" i="15"/>
  <c r="H178" i="15"/>
  <c r="P178" i="15" s="1"/>
  <c r="I178" i="15"/>
  <c r="J178" i="15"/>
  <c r="N178" i="15" s="1"/>
  <c r="N184" i="32" s="1"/>
  <c r="G179" i="15"/>
  <c r="G185" i="32" s="1"/>
  <c r="H179" i="15"/>
  <c r="I179" i="15"/>
  <c r="J179" i="15"/>
  <c r="R179" i="15"/>
  <c r="G180" i="15"/>
  <c r="H180" i="15"/>
  <c r="I180" i="15"/>
  <c r="J180" i="15"/>
  <c r="Q180" i="15"/>
  <c r="R180" i="15"/>
  <c r="G181" i="15"/>
  <c r="H181" i="15"/>
  <c r="I181" i="15"/>
  <c r="J181" i="15"/>
  <c r="G182" i="15"/>
  <c r="H182" i="15"/>
  <c r="L182" i="15" s="1"/>
  <c r="L188" i="32" s="1"/>
  <c r="I182" i="15"/>
  <c r="M182" i="15" s="1"/>
  <c r="M188" i="32" s="1"/>
  <c r="J182" i="15"/>
  <c r="G183" i="15"/>
  <c r="K183" i="15" s="1"/>
  <c r="K189" i="32" s="1"/>
  <c r="H183" i="15"/>
  <c r="H189" i="32" s="1"/>
  <c r="I183" i="15"/>
  <c r="J183" i="15"/>
  <c r="R183" i="15" s="1"/>
  <c r="P183" i="15"/>
  <c r="Q183" i="15"/>
  <c r="I190" i="32"/>
  <c r="J190" i="32"/>
  <c r="R184" i="15"/>
  <c r="K191" i="32"/>
  <c r="M191" i="32"/>
  <c r="R186" i="15"/>
  <c r="P186" i="15"/>
  <c r="Q186" i="15"/>
  <c r="G188" i="15"/>
  <c r="H188" i="15"/>
  <c r="H195" i="32" s="1"/>
  <c r="I188" i="15"/>
  <c r="I195" i="32" s="1"/>
  <c r="J188" i="15"/>
  <c r="P188" i="15"/>
  <c r="R188" i="15"/>
  <c r="G189" i="15"/>
  <c r="K189" i="15" s="1"/>
  <c r="K196" i="32" s="1"/>
  <c r="H189" i="15"/>
  <c r="I189" i="15"/>
  <c r="Q189" i="15" s="1"/>
  <c r="J189" i="15"/>
  <c r="R189" i="15" s="1"/>
  <c r="G190" i="15"/>
  <c r="H190" i="15"/>
  <c r="L190" i="15" s="1"/>
  <c r="L197" i="32" s="1"/>
  <c r="I190" i="15"/>
  <c r="J190" i="15"/>
  <c r="G191" i="15"/>
  <c r="K191" i="15" s="1"/>
  <c r="K198" i="32" s="1"/>
  <c r="H191" i="15"/>
  <c r="L191" i="15" s="1"/>
  <c r="L198" i="32" s="1"/>
  <c r="I191" i="15"/>
  <c r="J191" i="15"/>
  <c r="N198" i="32" s="1"/>
  <c r="P191" i="15"/>
  <c r="G192" i="15"/>
  <c r="H192" i="15"/>
  <c r="I192" i="15"/>
  <c r="Q192" i="15" s="1"/>
  <c r="J192" i="15"/>
  <c r="P192" i="15"/>
  <c r="G193" i="15"/>
  <c r="H193" i="15"/>
  <c r="L193" i="15" s="1"/>
  <c r="L200" i="32" s="1"/>
  <c r="I193" i="15"/>
  <c r="M193" i="15" s="1"/>
  <c r="M200" i="32" s="1"/>
  <c r="J193" i="15"/>
  <c r="N200" i="32" s="1"/>
  <c r="G194" i="15"/>
  <c r="G201" i="32" s="1"/>
  <c r="H194" i="15"/>
  <c r="I194" i="15"/>
  <c r="J194" i="15"/>
  <c r="G195" i="15"/>
  <c r="K195" i="15" s="1"/>
  <c r="K202" i="32" s="1"/>
  <c r="H195" i="15"/>
  <c r="I195" i="15"/>
  <c r="J195" i="15"/>
  <c r="R195" i="15" s="1"/>
  <c r="P195" i="15"/>
  <c r="G196" i="15"/>
  <c r="K196" i="15" s="1"/>
  <c r="K203" i="32" s="1"/>
  <c r="H196" i="15"/>
  <c r="L196" i="15" s="1"/>
  <c r="L203" i="32" s="1"/>
  <c r="I196" i="15"/>
  <c r="I203" i="32" s="1"/>
  <c r="J196" i="15"/>
  <c r="R196" i="15" s="1"/>
  <c r="G197" i="15"/>
  <c r="H197" i="15"/>
  <c r="I197" i="15"/>
  <c r="J197" i="15"/>
  <c r="J204" i="32" s="1"/>
  <c r="R197" i="15"/>
  <c r="Q198" i="15"/>
  <c r="Q199" i="15"/>
  <c r="M207" i="32"/>
  <c r="R200" i="15"/>
  <c r="Q200" i="15"/>
  <c r="R201" i="15"/>
  <c r="Q202" i="15"/>
  <c r="N210" i="32"/>
  <c r="G205" i="15"/>
  <c r="H205" i="15"/>
  <c r="P205" i="15" s="1"/>
  <c r="I205" i="15"/>
  <c r="M194" i="29" s="1"/>
  <c r="J205" i="15"/>
  <c r="Q194" i="29" s="1"/>
  <c r="R205" i="15"/>
  <c r="G206" i="15"/>
  <c r="H206" i="15"/>
  <c r="I206" i="15"/>
  <c r="M195" i="29" s="1"/>
  <c r="J206" i="15"/>
  <c r="Q206" i="15"/>
  <c r="G207" i="15"/>
  <c r="H207" i="15"/>
  <c r="H215" i="32" s="1"/>
  <c r="I207" i="15"/>
  <c r="Q207" i="15" s="1"/>
  <c r="J207" i="15"/>
  <c r="G208" i="15"/>
  <c r="K208" i="15" s="1"/>
  <c r="K216" i="32" s="1"/>
  <c r="H208" i="15"/>
  <c r="I208" i="15"/>
  <c r="M208" i="15" s="1"/>
  <c r="M216" i="32" s="1"/>
  <c r="J208" i="15"/>
  <c r="N216" i="32" s="1"/>
  <c r="G209" i="15"/>
  <c r="H209" i="15"/>
  <c r="I209" i="15"/>
  <c r="M209" i="15" s="1"/>
  <c r="J209" i="15"/>
  <c r="N217" i="32" s="1"/>
  <c r="R209" i="15"/>
  <c r="G210" i="15"/>
  <c r="G218" i="32" s="1"/>
  <c r="H210" i="15"/>
  <c r="I210" i="15"/>
  <c r="J210" i="15"/>
  <c r="G211" i="15"/>
  <c r="K211" i="15" s="1"/>
  <c r="K219" i="32" s="1"/>
  <c r="H211" i="15"/>
  <c r="I211" i="15"/>
  <c r="J211" i="15"/>
  <c r="N219" i="32" s="1"/>
  <c r="Q211" i="15"/>
  <c r="R211" i="15"/>
  <c r="G212" i="15"/>
  <c r="H212" i="15"/>
  <c r="I212" i="15"/>
  <c r="Q212" i="15" s="1"/>
  <c r="J212" i="15"/>
  <c r="J221" i="32"/>
  <c r="P214" i="15"/>
  <c r="Q214" i="15"/>
  <c r="N223" i="32"/>
  <c r="G217" i="15"/>
  <c r="G226" i="32" s="1"/>
  <c r="H217" i="15"/>
  <c r="I217" i="15"/>
  <c r="J217" i="15"/>
  <c r="R217" i="15" s="1"/>
  <c r="Q217" i="15"/>
  <c r="G218" i="15"/>
  <c r="E206" i="29" s="1"/>
  <c r="H218" i="15"/>
  <c r="L218" i="15" s="1"/>
  <c r="L227" i="32" s="1"/>
  <c r="I218" i="15"/>
  <c r="I227" i="32" s="1"/>
  <c r="J218" i="15"/>
  <c r="N227" i="32" s="1"/>
  <c r="P218" i="15"/>
  <c r="Q218" i="15"/>
  <c r="R218" i="15"/>
  <c r="G219" i="15"/>
  <c r="G228" i="32" s="1"/>
  <c r="H219" i="15"/>
  <c r="H228" i="32" s="1"/>
  <c r="I219" i="15"/>
  <c r="M219" i="15" s="1"/>
  <c r="M228" i="32" s="1"/>
  <c r="J219" i="15"/>
  <c r="J228" i="32" s="1"/>
  <c r="G220" i="15"/>
  <c r="E208" i="29" s="1"/>
  <c r="H220" i="15"/>
  <c r="P220" i="15" s="1"/>
  <c r="I220" i="15"/>
  <c r="J220" i="15"/>
  <c r="G221" i="15"/>
  <c r="K221" i="15" s="1"/>
  <c r="K230" i="32" s="1"/>
  <c r="H221" i="15"/>
  <c r="H230" i="32" s="1"/>
  <c r="I221" i="15"/>
  <c r="J221" i="15"/>
  <c r="N230" i="32" s="1"/>
  <c r="P221" i="15"/>
  <c r="Q221" i="15"/>
  <c r="R221" i="15"/>
  <c r="G222" i="15"/>
  <c r="H222" i="15"/>
  <c r="I222" i="15"/>
  <c r="M222" i="15" s="1"/>
  <c r="M231" i="32" s="1"/>
  <c r="J222" i="15"/>
  <c r="G223" i="15"/>
  <c r="K223" i="15" s="1"/>
  <c r="K232" i="32" s="1"/>
  <c r="H223" i="15"/>
  <c r="P223" i="15" s="1"/>
  <c r="I223" i="15"/>
  <c r="J223" i="15"/>
  <c r="G224" i="15"/>
  <c r="E212" i="29" s="1"/>
  <c r="H224" i="15"/>
  <c r="I224" i="15"/>
  <c r="J224" i="15"/>
  <c r="J233" i="32" s="1"/>
  <c r="P224" i="15"/>
  <c r="Q224" i="15"/>
  <c r="R224" i="15"/>
  <c r="G225" i="15"/>
  <c r="H225" i="15"/>
  <c r="L225" i="15" s="1"/>
  <c r="L234" i="32" s="1"/>
  <c r="I225" i="15"/>
  <c r="Q225" i="15" s="1"/>
  <c r="J225" i="15"/>
  <c r="G226" i="15"/>
  <c r="H226" i="15"/>
  <c r="I226" i="15"/>
  <c r="J226" i="15"/>
  <c r="J235" i="32" s="1"/>
  <c r="J236" i="32"/>
  <c r="P227" i="15"/>
  <c r="Q227" i="15"/>
  <c r="R227" i="15"/>
  <c r="N237" i="32"/>
  <c r="G230" i="15"/>
  <c r="G240" i="32" s="1"/>
  <c r="H230" i="15"/>
  <c r="L230" i="15" s="1"/>
  <c r="L240" i="32" s="1"/>
  <c r="I230" i="15"/>
  <c r="Q230" i="15" s="1"/>
  <c r="J230" i="15"/>
  <c r="P230" i="15"/>
  <c r="G231" i="15"/>
  <c r="K231" i="15" s="1"/>
  <c r="K241" i="32" s="1"/>
  <c r="H231" i="15"/>
  <c r="I231" i="15"/>
  <c r="J231" i="15"/>
  <c r="P231" i="15"/>
  <c r="Q231" i="15"/>
  <c r="R231" i="15"/>
  <c r="G232" i="15"/>
  <c r="H232" i="15"/>
  <c r="L232" i="15" s="1"/>
  <c r="L242" i="32" s="1"/>
  <c r="I232" i="15"/>
  <c r="M232" i="15" s="1"/>
  <c r="M242" i="32" s="1"/>
  <c r="J232" i="15"/>
  <c r="Q218" i="29" s="1"/>
  <c r="G233" i="15"/>
  <c r="K233" i="15" s="1"/>
  <c r="K243" i="32" s="1"/>
  <c r="H233" i="15"/>
  <c r="I233" i="15"/>
  <c r="J233" i="15"/>
  <c r="G234" i="15"/>
  <c r="K234" i="15" s="1"/>
  <c r="K244" i="32" s="1"/>
  <c r="H234" i="15"/>
  <c r="I234" i="15"/>
  <c r="M234" i="15" s="1"/>
  <c r="M244" i="32" s="1"/>
  <c r="J234" i="15"/>
  <c r="P234" i="15"/>
  <c r="Q234" i="15"/>
  <c r="R234" i="15"/>
  <c r="G235" i="15"/>
  <c r="H235" i="15"/>
  <c r="L235" i="15" s="1"/>
  <c r="L245" i="32" s="1"/>
  <c r="I235" i="15"/>
  <c r="M235" i="15" s="1"/>
  <c r="M245" i="32" s="1"/>
  <c r="J235" i="15"/>
  <c r="Q221" i="29" s="1"/>
  <c r="G236" i="15"/>
  <c r="H236" i="15"/>
  <c r="I222" i="29" s="1"/>
  <c r="I236" i="15"/>
  <c r="J236" i="15"/>
  <c r="N246" i="32" s="1"/>
  <c r="G237" i="15"/>
  <c r="H237" i="15"/>
  <c r="H247" i="32" s="1"/>
  <c r="I237" i="15"/>
  <c r="J237" i="15"/>
  <c r="P237" i="15"/>
  <c r="G238" i="15"/>
  <c r="G248" i="32" s="1"/>
  <c r="H238" i="15"/>
  <c r="I238" i="15"/>
  <c r="I248" i="32" s="1"/>
  <c r="J238" i="15"/>
  <c r="P238" i="15"/>
  <c r="G249" i="32"/>
  <c r="Q239" i="15"/>
  <c r="N250" i="32"/>
  <c r="G242" i="15"/>
  <c r="H242" i="15"/>
  <c r="P242" i="15" s="1"/>
  <c r="I242" i="15"/>
  <c r="Q242" i="15" s="1"/>
  <c r="R242" i="15"/>
  <c r="G243" i="15"/>
  <c r="K243" i="15" s="1"/>
  <c r="K254" i="32" s="1"/>
  <c r="H243" i="15"/>
  <c r="I243" i="15"/>
  <c r="M243" i="15" s="1"/>
  <c r="M254" i="32" s="1"/>
  <c r="Q243" i="15"/>
  <c r="R243" i="15"/>
  <c r="G244" i="15"/>
  <c r="G255" i="32" s="1"/>
  <c r="H244" i="15"/>
  <c r="I244" i="15"/>
  <c r="R244" i="15"/>
  <c r="G245" i="15"/>
  <c r="G256" i="32" s="1"/>
  <c r="H245" i="15"/>
  <c r="I245" i="15"/>
  <c r="R245" i="15"/>
  <c r="G246" i="15"/>
  <c r="G257" i="32" s="1"/>
  <c r="H246" i="15"/>
  <c r="L246" i="15" s="1"/>
  <c r="L257" i="32" s="1"/>
  <c r="I246" i="15"/>
  <c r="M246" i="15" s="1"/>
  <c r="M257" i="32" s="1"/>
  <c r="R246" i="15"/>
  <c r="G247" i="15"/>
  <c r="G258" i="32" s="1"/>
  <c r="H247" i="15"/>
  <c r="H258" i="32" s="1"/>
  <c r="I247" i="15"/>
  <c r="Q247" i="15" s="1"/>
  <c r="P247" i="15"/>
  <c r="R247" i="15"/>
  <c r="G248" i="15"/>
  <c r="E233" i="29" s="1"/>
  <c r="H248" i="15"/>
  <c r="I248" i="15"/>
  <c r="M248" i="15" s="1"/>
  <c r="M259" i="32" s="1"/>
  <c r="P248" i="15"/>
  <c r="R248" i="15"/>
  <c r="G249" i="15"/>
  <c r="H249" i="15"/>
  <c r="I249" i="15"/>
  <c r="I260" i="32" s="1"/>
  <c r="Q249" i="15"/>
  <c r="R249" i="15"/>
  <c r="G250" i="15"/>
  <c r="E235" i="29" s="1"/>
  <c r="H250" i="15"/>
  <c r="I250" i="15"/>
  <c r="Q250" i="15" s="1"/>
  <c r="P250" i="15"/>
  <c r="R250" i="15"/>
  <c r="M262" i="32"/>
  <c r="Q251" i="15"/>
  <c r="R251" i="15"/>
  <c r="K263" i="32"/>
  <c r="Q252" i="15"/>
  <c r="R252" i="15"/>
  <c r="K264" i="32"/>
  <c r="L264" i="32"/>
  <c r="M264" i="32"/>
  <c r="R253" i="15"/>
  <c r="H265" i="32"/>
  <c r="I265" i="32"/>
  <c r="P254" i="15"/>
  <c r="R254" i="15"/>
  <c r="K266" i="32"/>
  <c r="L266" i="32"/>
  <c r="Q255" i="15"/>
  <c r="R255" i="15"/>
  <c r="K267" i="32"/>
  <c r="P256" i="15"/>
  <c r="R256" i="15"/>
  <c r="E242" i="29"/>
  <c r="I242" i="29"/>
  <c r="Q257" i="15"/>
  <c r="R257" i="15"/>
  <c r="I243" i="29"/>
  <c r="Q258" i="15"/>
  <c r="R258" i="15"/>
  <c r="Q259" i="15"/>
  <c r="R259" i="15"/>
  <c r="L271" i="32"/>
  <c r="M271" i="32"/>
  <c r="P260" i="15"/>
  <c r="R260" i="15"/>
  <c r="G262" i="15"/>
  <c r="H262" i="15"/>
  <c r="I262" i="15"/>
  <c r="M262" i="15" s="1"/>
  <c r="M274" i="32" s="1"/>
  <c r="R262" i="15"/>
  <c r="G263" i="15"/>
  <c r="H263" i="15"/>
  <c r="P263" i="15" s="1"/>
  <c r="I263" i="15"/>
  <c r="Q263" i="15" s="1"/>
  <c r="R263" i="15"/>
  <c r="G264" i="15"/>
  <c r="K264" i="15" s="1"/>
  <c r="K276" i="32" s="1"/>
  <c r="H264" i="15"/>
  <c r="L264" i="15" s="1"/>
  <c r="L276" i="32" s="1"/>
  <c r="I264" i="15"/>
  <c r="M264" i="15" s="1"/>
  <c r="M276" i="32" s="1"/>
  <c r="P264" i="15"/>
  <c r="Q264" i="15"/>
  <c r="R264" i="15"/>
  <c r="G265" i="15"/>
  <c r="H265" i="15"/>
  <c r="I265" i="15"/>
  <c r="I277" i="32" s="1"/>
  <c r="P265" i="15"/>
  <c r="R265" i="15"/>
  <c r="G266" i="15"/>
  <c r="K266" i="15" s="1"/>
  <c r="K278" i="32" s="1"/>
  <c r="H266" i="15"/>
  <c r="I266" i="15"/>
  <c r="M266" i="15" s="1"/>
  <c r="M278" i="32" s="1"/>
  <c r="R266" i="15"/>
  <c r="G267" i="15"/>
  <c r="H267" i="15"/>
  <c r="L267" i="15" s="1"/>
  <c r="L279" i="32" s="1"/>
  <c r="I267" i="15"/>
  <c r="M267" i="15" s="1"/>
  <c r="M279" i="32" s="1"/>
  <c r="Q267" i="15"/>
  <c r="R267" i="15"/>
  <c r="G268" i="15"/>
  <c r="H268" i="15"/>
  <c r="I268" i="15"/>
  <c r="Q268" i="15"/>
  <c r="R268" i="15"/>
  <c r="G269" i="15"/>
  <c r="H269" i="15"/>
  <c r="P269" i="15" s="1"/>
  <c r="I269" i="15"/>
  <c r="Q269" i="15"/>
  <c r="R269" i="15"/>
  <c r="G271" i="15"/>
  <c r="K271" i="15" s="1"/>
  <c r="K284" i="32" s="1"/>
  <c r="H271" i="15"/>
  <c r="I271" i="15"/>
  <c r="R271" i="15"/>
  <c r="G272" i="15"/>
  <c r="H272" i="15"/>
  <c r="I272" i="15"/>
  <c r="Q272" i="15" s="1"/>
  <c r="R272" i="15"/>
  <c r="G273" i="15"/>
  <c r="H273" i="15"/>
  <c r="P273" i="15" s="1"/>
  <c r="I273" i="15"/>
  <c r="Q273" i="15" s="1"/>
  <c r="R273" i="15"/>
  <c r="G274" i="15"/>
  <c r="H274" i="15"/>
  <c r="L274" i="15" s="1"/>
  <c r="L287" i="32" s="1"/>
  <c r="I274" i="15"/>
  <c r="M274" i="15" s="1"/>
  <c r="M287" i="32" s="1"/>
  <c r="R274" i="15"/>
  <c r="G275" i="15"/>
  <c r="H275" i="15"/>
  <c r="I275" i="15"/>
  <c r="Q275" i="15"/>
  <c r="R275" i="15"/>
  <c r="G276" i="15"/>
  <c r="H276" i="15"/>
  <c r="P276" i="15" s="1"/>
  <c r="I276" i="15"/>
  <c r="Q276" i="15" s="1"/>
  <c r="R276" i="15"/>
  <c r="G277" i="15"/>
  <c r="H277" i="15"/>
  <c r="I277" i="15"/>
  <c r="M277" i="15" s="1"/>
  <c r="M290" i="32" s="1"/>
  <c r="Q277" i="15"/>
  <c r="R277" i="15"/>
  <c r="G278" i="15"/>
  <c r="H278" i="15"/>
  <c r="P278" i="15" s="1"/>
  <c r="I278" i="15"/>
  <c r="Q278" i="15"/>
  <c r="R278" i="15"/>
  <c r="P280" i="15"/>
  <c r="Q280" i="15"/>
  <c r="R280" i="15"/>
  <c r="P281" i="15"/>
  <c r="Q281" i="15"/>
  <c r="R281" i="15"/>
  <c r="P282" i="15"/>
  <c r="Q282" i="15"/>
  <c r="R282" i="15"/>
  <c r="P283" i="15"/>
  <c r="Q283" i="15"/>
  <c r="R283" i="15"/>
  <c r="P284" i="15"/>
  <c r="Q284" i="15"/>
  <c r="R284" i="15"/>
  <c r="P285" i="15"/>
  <c r="Q285" i="15"/>
  <c r="R285" i="15"/>
  <c r="P286" i="15"/>
  <c r="Q286" i="15"/>
  <c r="R286" i="15"/>
  <c r="P287" i="15"/>
  <c r="Q287" i="15"/>
  <c r="R287" i="15"/>
  <c r="P288" i="15"/>
  <c r="Q288" i="15"/>
  <c r="R288" i="15"/>
  <c r="P289" i="15"/>
  <c r="Q289" i="15"/>
  <c r="R289" i="15"/>
  <c r="P290" i="15"/>
  <c r="Q290" i="15"/>
  <c r="R290" i="15"/>
  <c r="P291" i="15"/>
  <c r="Q291" i="15"/>
  <c r="R291" i="15"/>
  <c r="P292" i="15"/>
  <c r="Q292" i="15"/>
  <c r="R292" i="15"/>
  <c r="P293" i="15"/>
  <c r="Q293" i="15"/>
  <c r="R293" i="15"/>
  <c r="P294" i="15"/>
  <c r="Q294" i="15"/>
  <c r="R294" i="15"/>
  <c r="P295" i="15"/>
  <c r="Q295" i="15"/>
  <c r="R295" i="15"/>
  <c r="P296" i="15"/>
  <c r="Q296" i="15"/>
  <c r="R296" i="15"/>
  <c r="P297" i="15"/>
  <c r="Q297" i="15"/>
  <c r="R297" i="15"/>
  <c r="P298" i="15"/>
  <c r="Q298" i="15"/>
  <c r="R298" i="15"/>
  <c r="P299" i="15"/>
  <c r="Q299" i="15"/>
  <c r="R299" i="15"/>
  <c r="P300" i="15"/>
  <c r="Q300" i="15"/>
  <c r="R300" i="15"/>
  <c r="P301" i="15"/>
  <c r="Q301" i="15"/>
  <c r="R301" i="15"/>
  <c r="P302" i="15"/>
  <c r="Q302" i="15"/>
  <c r="R302" i="15"/>
  <c r="P303" i="15"/>
  <c r="Q303" i="15"/>
  <c r="R303" i="15"/>
  <c r="P304" i="15"/>
  <c r="Q304" i="15"/>
  <c r="R304" i="15"/>
  <c r="P305" i="15"/>
  <c r="Q305" i="15"/>
  <c r="R305" i="15"/>
  <c r="P306" i="15"/>
  <c r="Q306" i="15"/>
  <c r="R306" i="15"/>
  <c r="P307" i="15"/>
  <c r="Q307" i="15"/>
  <c r="R307" i="15"/>
  <c r="P308" i="15"/>
  <c r="Q308" i="15"/>
  <c r="R308" i="15"/>
  <c r="P309" i="15"/>
  <c r="Q309" i="15"/>
  <c r="R309" i="15"/>
  <c r="P310" i="15"/>
  <c r="Q310" i="15"/>
  <c r="R310" i="15"/>
  <c r="P311" i="15"/>
  <c r="Q311" i="15"/>
  <c r="R311" i="15"/>
  <c r="P312" i="15"/>
  <c r="Q312" i="15"/>
  <c r="R312" i="15"/>
  <c r="P313" i="15"/>
  <c r="Q313" i="15"/>
  <c r="R313" i="15"/>
  <c r="P314" i="15"/>
  <c r="Q314" i="15"/>
  <c r="R314" i="15"/>
  <c r="P315" i="15"/>
  <c r="Q315" i="15"/>
  <c r="R315" i="15"/>
  <c r="P316" i="15"/>
  <c r="Q316" i="15"/>
  <c r="R316" i="15"/>
  <c r="P317" i="15"/>
  <c r="Q317" i="15"/>
  <c r="R317" i="15"/>
  <c r="P318" i="15"/>
  <c r="Q318" i="15"/>
  <c r="R318" i="15"/>
  <c r="P319" i="15"/>
  <c r="Q319" i="15"/>
  <c r="R319" i="15"/>
  <c r="P320" i="15"/>
  <c r="Q320" i="15"/>
  <c r="R320" i="15"/>
  <c r="P321" i="15"/>
  <c r="Q321" i="15"/>
  <c r="R321" i="15"/>
  <c r="P322" i="15"/>
  <c r="Q322" i="15"/>
  <c r="R322" i="15"/>
  <c r="P323" i="15"/>
  <c r="Q323" i="15"/>
  <c r="R323" i="15"/>
  <c r="P324" i="15"/>
  <c r="Q324" i="15"/>
  <c r="R324" i="15"/>
  <c r="P325" i="15"/>
  <c r="Q325" i="15"/>
  <c r="R325" i="15"/>
  <c r="P326" i="15"/>
  <c r="Q326" i="15"/>
  <c r="R326" i="15"/>
  <c r="P328" i="15"/>
  <c r="Q328" i="15"/>
  <c r="R328" i="15"/>
  <c r="P329" i="15"/>
  <c r="Q329" i="15"/>
  <c r="R329" i="15"/>
  <c r="P330" i="15"/>
  <c r="Q330" i="15"/>
  <c r="R330" i="15"/>
  <c r="P331" i="15"/>
  <c r="Q331" i="15"/>
  <c r="R331" i="15"/>
  <c r="P332" i="15"/>
  <c r="Q332" i="15"/>
  <c r="R332" i="15"/>
  <c r="P333" i="15"/>
  <c r="Q333" i="15"/>
  <c r="R333" i="15"/>
  <c r="P334" i="15"/>
  <c r="Q334" i="15"/>
  <c r="R334" i="15"/>
  <c r="P335" i="15"/>
  <c r="Q335" i="15"/>
  <c r="R335" i="15"/>
  <c r="P336" i="15"/>
  <c r="Q336" i="15"/>
  <c r="R336" i="15"/>
  <c r="P337" i="15"/>
  <c r="Q337" i="15"/>
  <c r="R337" i="15"/>
  <c r="P338" i="15"/>
  <c r="Q338" i="15"/>
  <c r="R338" i="15"/>
  <c r="P339" i="15"/>
  <c r="Q339" i="15"/>
  <c r="R339" i="15"/>
  <c r="P340" i="15"/>
  <c r="Q340" i="15"/>
  <c r="R340" i="15"/>
  <c r="P341" i="15"/>
  <c r="Q341" i="15"/>
  <c r="R341" i="15"/>
  <c r="P342" i="15"/>
  <c r="Q342" i="15"/>
  <c r="R342" i="15"/>
  <c r="P343" i="15"/>
  <c r="Q343" i="15"/>
  <c r="R343" i="15"/>
  <c r="P344" i="15"/>
  <c r="Q344" i="15"/>
  <c r="R344" i="15"/>
  <c r="P345" i="15"/>
  <c r="Q345" i="15"/>
  <c r="R345" i="15"/>
  <c r="P346" i="15"/>
  <c r="Q346" i="15"/>
  <c r="R346" i="15"/>
  <c r="P347" i="15"/>
  <c r="Q347" i="15"/>
  <c r="R347" i="15"/>
  <c r="P348" i="15"/>
  <c r="Q348" i="15"/>
  <c r="R348" i="15"/>
  <c r="P349" i="15"/>
  <c r="Q349" i="15"/>
  <c r="R349" i="15"/>
  <c r="P350" i="15"/>
  <c r="Q350" i="15"/>
  <c r="R350" i="15"/>
  <c r="T32" i="14"/>
  <c r="S32" i="14"/>
  <c r="R32" i="14"/>
  <c r="Q32" i="14"/>
  <c r="T31" i="14"/>
  <c r="S31" i="14"/>
  <c r="R31" i="14"/>
  <c r="Q31" i="14"/>
  <c r="T26" i="14"/>
  <c r="S26" i="14"/>
  <c r="R26" i="14"/>
  <c r="Q26" i="14"/>
  <c r="T25" i="14"/>
  <c r="S25" i="14"/>
  <c r="R25" i="14"/>
  <c r="Q25" i="14"/>
  <c r="T24" i="14"/>
  <c r="S24" i="14"/>
  <c r="R24" i="14"/>
  <c r="Q24" i="14"/>
  <c r="T23" i="14"/>
  <c r="S23" i="14"/>
  <c r="R23" i="14"/>
  <c r="Q23" i="14"/>
  <c r="T22" i="14"/>
  <c r="S22" i="14"/>
  <c r="R22" i="14"/>
  <c r="Q22" i="14"/>
  <c r="T21" i="14"/>
  <c r="S21" i="14"/>
  <c r="R21" i="14"/>
  <c r="Q21" i="14"/>
  <c r="T20" i="14"/>
  <c r="S20" i="14"/>
  <c r="R20" i="14"/>
  <c r="Q20" i="14"/>
  <c r="T19" i="14"/>
  <c r="S19" i="14"/>
  <c r="R19" i="14"/>
  <c r="Q19" i="14"/>
  <c r="T18" i="14"/>
  <c r="S18" i="14"/>
  <c r="R18" i="14"/>
  <c r="Q18" i="14"/>
  <c r="N32" i="14"/>
  <c r="M32" i="14"/>
  <c r="L32" i="14"/>
  <c r="K32" i="14"/>
  <c r="N31" i="14"/>
  <c r="M31" i="14"/>
  <c r="L31" i="14"/>
  <c r="K31" i="14"/>
  <c r="N26" i="14"/>
  <c r="M26" i="14"/>
  <c r="L26" i="14"/>
  <c r="K26" i="14"/>
  <c r="N25" i="14"/>
  <c r="M25" i="14"/>
  <c r="L25" i="14"/>
  <c r="K25" i="14"/>
  <c r="N24" i="14"/>
  <c r="M24" i="14"/>
  <c r="L24" i="14"/>
  <c r="K24" i="14"/>
  <c r="N23" i="14"/>
  <c r="M23" i="14"/>
  <c r="L23" i="14"/>
  <c r="K23" i="14"/>
  <c r="N22" i="14"/>
  <c r="M22" i="14"/>
  <c r="L22" i="14"/>
  <c r="K22" i="14"/>
  <c r="N21" i="14"/>
  <c r="M21" i="14"/>
  <c r="L21" i="14"/>
  <c r="K21" i="14"/>
  <c r="N20" i="14"/>
  <c r="M20" i="14"/>
  <c r="L20" i="14"/>
  <c r="K20" i="14"/>
  <c r="N19" i="14"/>
  <c r="M19" i="14"/>
  <c r="L19" i="14"/>
  <c r="K19" i="14"/>
  <c r="N18" i="14"/>
  <c r="M18" i="14"/>
  <c r="L18" i="14"/>
  <c r="K18" i="14"/>
  <c r="U208" i="19"/>
  <c r="U207" i="19"/>
  <c r="U206" i="19"/>
  <c r="U205" i="19"/>
  <c r="U204" i="19"/>
  <c r="U203" i="19"/>
  <c r="U202" i="19"/>
  <c r="U201" i="19"/>
  <c r="U200" i="19"/>
  <c r="U199" i="19"/>
  <c r="U198" i="19"/>
  <c r="U197" i="19"/>
  <c r="U196" i="19"/>
  <c r="U195" i="19"/>
  <c r="U194" i="19"/>
  <c r="U193" i="19"/>
  <c r="U192" i="19"/>
  <c r="U191" i="19"/>
  <c r="U190" i="19"/>
  <c r="U189" i="19"/>
  <c r="U188" i="19"/>
  <c r="U187" i="19"/>
  <c r="U186" i="19"/>
  <c r="U185" i="19"/>
  <c r="U184" i="19"/>
  <c r="U183" i="19"/>
  <c r="U182" i="19"/>
  <c r="P208" i="19"/>
  <c r="T208" i="19" s="1"/>
  <c r="O208" i="19"/>
  <c r="S208" i="19" s="1"/>
  <c r="P207" i="19"/>
  <c r="T207" i="19" s="1"/>
  <c r="O207" i="19"/>
  <c r="S207" i="19" s="1"/>
  <c r="P206" i="19"/>
  <c r="T206" i="19" s="1"/>
  <c r="O206" i="19"/>
  <c r="S206" i="19" s="1"/>
  <c r="P205" i="19"/>
  <c r="T205" i="19" s="1"/>
  <c r="O205" i="19"/>
  <c r="S205" i="19" s="1"/>
  <c r="P204" i="19"/>
  <c r="T204" i="19" s="1"/>
  <c r="O204" i="19"/>
  <c r="S204" i="19" s="1"/>
  <c r="P203" i="19"/>
  <c r="T203" i="19" s="1"/>
  <c r="O203" i="19"/>
  <c r="S203" i="19" s="1"/>
  <c r="P202" i="19"/>
  <c r="T202" i="19" s="1"/>
  <c r="O202" i="19"/>
  <c r="S202" i="19" s="1"/>
  <c r="P201" i="19"/>
  <c r="T201" i="19" s="1"/>
  <c r="O201" i="19"/>
  <c r="S201" i="19" s="1"/>
  <c r="P200" i="19"/>
  <c r="T200" i="19" s="1"/>
  <c r="O200" i="19"/>
  <c r="S200" i="19" s="1"/>
  <c r="P199" i="19"/>
  <c r="T199" i="19" s="1"/>
  <c r="O199" i="19"/>
  <c r="S199" i="19" s="1"/>
  <c r="P198" i="19"/>
  <c r="T198" i="19" s="1"/>
  <c r="O198" i="19"/>
  <c r="S198" i="19" s="1"/>
  <c r="P197" i="19"/>
  <c r="T197" i="19" s="1"/>
  <c r="O197" i="19"/>
  <c r="S197" i="19" s="1"/>
  <c r="P196" i="19"/>
  <c r="T196" i="19" s="1"/>
  <c r="O196" i="19"/>
  <c r="S196" i="19" s="1"/>
  <c r="P195" i="19"/>
  <c r="T195" i="19" s="1"/>
  <c r="O195" i="19"/>
  <c r="S195" i="19" s="1"/>
  <c r="P194" i="19"/>
  <c r="T194" i="19" s="1"/>
  <c r="O194" i="19"/>
  <c r="S194" i="19" s="1"/>
  <c r="P193" i="19"/>
  <c r="T193" i="19" s="1"/>
  <c r="O193" i="19"/>
  <c r="S193" i="19" s="1"/>
  <c r="P192" i="19"/>
  <c r="T192" i="19" s="1"/>
  <c r="O192" i="19"/>
  <c r="S192" i="19" s="1"/>
  <c r="P191" i="19"/>
  <c r="T191" i="19" s="1"/>
  <c r="O191" i="19"/>
  <c r="S191" i="19" s="1"/>
  <c r="P190" i="19"/>
  <c r="T190" i="19" s="1"/>
  <c r="O190" i="19"/>
  <c r="S190" i="19" s="1"/>
  <c r="P189" i="19"/>
  <c r="T189" i="19" s="1"/>
  <c r="O189" i="19"/>
  <c r="S189" i="19" s="1"/>
  <c r="P188" i="19"/>
  <c r="T188" i="19" s="1"/>
  <c r="O188" i="19"/>
  <c r="S188" i="19" s="1"/>
  <c r="P187" i="19"/>
  <c r="T187" i="19" s="1"/>
  <c r="O187" i="19"/>
  <c r="S187" i="19" s="1"/>
  <c r="P186" i="19"/>
  <c r="T186" i="19" s="1"/>
  <c r="O186" i="19"/>
  <c r="S186" i="19" s="1"/>
  <c r="P185" i="19"/>
  <c r="T185" i="19" s="1"/>
  <c r="O185" i="19"/>
  <c r="S185" i="19" s="1"/>
  <c r="P184" i="19"/>
  <c r="T184" i="19" s="1"/>
  <c r="O184" i="19"/>
  <c r="S184" i="19" s="1"/>
  <c r="P183" i="19"/>
  <c r="T183" i="19" s="1"/>
  <c r="O183" i="19"/>
  <c r="S183" i="19" s="1"/>
  <c r="P182" i="19"/>
  <c r="T182" i="19" s="1"/>
  <c r="O182" i="19"/>
  <c r="S182" i="19" s="1"/>
  <c r="V98" i="19"/>
  <c r="W98" i="19"/>
  <c r="O98" i="19" s="1"/>
  <c r="S98" i="19" s="1"/>
  <c r="X98" i="19"/>
  <c r="P98" i="19" s="1"/>
  <c r="T98" i="19" s="1"/>
  <c r="Y98" i="19"/>
  <c r="Q98" i="19" s="1"/>
  <c r="U98" i="19" s="1"/>
  <c r="V99" i="19"/>
  <c r="W99" i="19"/>
  <c r="O99" i="19" s="1"/>
  <c r="S99" i="19" s="1"/>
  <c r="X99" i="19"/>
  <c r="P99" i="19" s="1"/>
  <c r="T99" i="19" s="1"/>
  <c r="Y99" i="19"/>
  <c r="Q99" i="19" s="1"/>
  <c r="U99" i="19" s="1"/>
  <c r="V100" i="19"/>
  <c r="W100" i="19"/>
  <c r="O100" i="19" s="1"/>
  <c r="S100" i="19" s="1"/>
  <c r="X100" i="19"/>
  <c r="P100" i="19" s="1"/>
  <c r="T100" i="19" s="1"/>
  <c r="Y100" i="19"/>
  <c r="Q100" i="19" s="1"/>
  <c r="U100" i="19" s="1"/>
  <c r="V101" i="19"/>
  <c r="W101" i="19"/>
  <c r="O101" i="19" s="1"/>
  <c r="S101" i="19" s="1"/>
  <c r="X101" i="19"/>
  <c r="P101" i="19" s="1"/>
  <c r="T101" i="19" s="1"/>
  <c r="Y101" i="19"/>
  <c r="Q101" i="19" s="1"/>
  <c r="U101" i="19" s="1"/>
  <c r="V102" i="19"/>
  <c r="W102" i="19"/>
  <c r="O102" i="19" s="1"/>
  <c r="S102" i="19" s="1"/>
  <c r="X102" i="19"/>
  <c r="P102" i="19" s="1"/>
  <c r="T102" i="19" s="1"/>
  <c r="Y102" i="19"/>
  <c r="V103" i="19"/>
  <c r="N103" i="19" s="1"/>
  <c r="R103" i="19" s="1"/>
  <c r="W103" i="19"/>
  <c r="O103" i="19" s="1"/>
  <c r="S103" i="19" s="1"/>
  <c r="X103" i="19"/>
  <c r="P103" i="19" s="1"/>
  <c r="T103" i="19" s="1"/>
  <c r="Y103" i="19"/>
  <c r="Q103" i="19" s="1"/>
  <c r="U103" i="19" s="1"/>
  <c r="V104" i="19"/>
  <c r="W104" i="19"/>
  <c r="O104" i="19" s="1"/>
  <c r="S104" i="19" s="1"/>
  <c r="X104" i="19"/>
  <c r="P104" i="19" s="1"/>
  <c r="T104" i="19" s="1"/>
  <c r="Y104" i="19"/>
  <c r="Q104" i="19" s="1"/>
  <c r="U104" i="19" s="1"/>
  <c r="V105" i="19"/>
  <c r="W105" i="19"/>
  <c r="O105" i="19" s="1"/>
  <c r="S105" i="19" s="1"/>
  <c r="X105" i="19"/>
  <c r="P105" i="19" s="1"/>
  <c r="T105" i="19" s="1"/>
  <c r="Y105" i="19"/>
  <c r="Q105" i="19" s="1"/>
  <c r="U105" i="19" s="1"/>
  <c r="V106" i="19"/>
  <c r="N106" i="19" s="1"/>
  <c r="R106" i="19" s="1"/>
  <c r="W106" i="19"/>
  <c r="O106" i="19" s="1"/>
  <c r="S106" i="19" s="1"/>
  <c r="X106" i="19"/>
  <c r="P106" i="19" s="1"/>
  <c r="T106" i="19" s="1"/>
  <c r="Y106" i="19"/>
  <c r="Q106" i="19" s="1"/>
  <c r="U106" i="19" s="1"/>
  <c r="V107" i="19"/>
  <c r="W107" i="19"/>
  <c r="O107" i="19" s="1"/>
  <c r="S107" i="19" s="1"/>
  <c r="X107" i="19"/>
  <c r="P107" i="19" s="1"/>
  <c r="T107" i="19" s="1"/>
  <c r="Y107" i="19"/>
  <c r="V108" i="19"/>
  <c r="N108" i="19" s="1"/>
  <c r="R108" i="19" s="1"/>
  <c r="W108" i="19"/>
  <c r="O108" i="19" s="1"/>
  <c r="S108" i="19" s="1"/>
  <c r="X108" i="19"/>
  <c r="P108" i="19" s="1"/>
  <c r="T108" i="19" s="1"/>
  <c r="Y108" i="19"/>
  <c r="Q108" i="19" s="1"/>
  <c r="U108" i="19" s="1"/>
  <c r="V109" i="19"/>
  <c r="W109" i="19"/>
  <c r="X109" i="19"/>
  <c r="Y109" i="19"/>
  <c r="V110" i="19"/>
  <c r="W110" i="19"/>
  <c r="X110" i="19"/>
  <c r="Y110" i="19"/>
  <c r="V111" i="19"/>
  <c r="W111" i="19"/>
  <c r="O111" i="19" s="1"/>
  <c r="S111" i="19" s="1"/>
  <c r="X111" i="19"/>
  <c r="P111" i="19" s="1"/>
  <c r="T111" i="19" s="1"/>
  <c r="Y111" i="19"/>
  <c r="Q111" i="19" s="1"/>
  <c r="U111" i="19" s="1"/>
  <c r="V112" i="19"/>
  <c r="W112" i="19"/>
  <c r="O112" i="19" s="1"/>
  <c r="S112" i="19" s="1"/>
  <c r="X112" i="19"/>
  <c r="P112" i="19" s="1"/>
  <c r="T112" i="19" s="1"/>
  <c r="Y112" i="19"/>
  <c r="V113" i="19"/>
  <c r="W113" i="19"/>
  <c r="O113" i="19" s="1"/>
  <c r="S113" i="19" s="1"/>
  <c r="X113" i="19"/>
  <c r="P113" i="19" s="1"/>
  <c r="T113" i="19" s="1"/>
  <c r="Y113" i="19"/>
  <c r="Q113" i="19" s="1"/>
  <c r="U113" i="19" s="1"/>
  <c r="V114" i="19"/>
  <c r="N114" i="19" s="1"/>
  <c r="R114" i="19" s="1"/>
  <c r="W114" i="19"/>
  <c r="O114" i="19" s="1"/>
  <c r="S114" i="19" s="1"/>
  <c r="X114" i="19"/>
  <c r="P114" i="19" s="1"/>
  <c r="T114" i="19" s="1"/>
  <c r="Y114" i="19"/>
  <c r="Q114" i="19" s="1"/>
  <c r="U114" i="19" s="1"/>
  <c r="V115" i="19"/>
  <c r="N115" i="19" s="1"/>
  <c r="R115" i="19" s="1"/>
  <c r="W115" i="19"/>
  <c r="O115" i="19" s="1"/>
  <c r="S115" i="19" s="1"/>
  <c r="X115" i="19"/>
  <c r="P115" i="19" s="1"/>
  <c r="T115" i="19" s="1"/>
  <c r="Y115" i="19"/>
  <c r="Q115" i="19" s="1"/>
  <c r="U115" i="19" s="1"/>
  <c r="V116" i="19"/>
  <c r="N116" i="19" s="1"/>
  <c r="R116" i="19" s="1"/>
  <c r="W116" i="19"/>
  <c r="O116" i="19" s="1"/>
  <c r="S116" i="19" s="1"/>
  <c r="X116" i="19"/>
  <c r="P116" i="19" s="1"/>
  <c r="T116" i="19" s="1"/>
  <c r="Y116" i="19"/>
  <c r="Q116" i="19" s="1"/>
  <c r="U116" i="19" s="1"/>
  <c r="V117" i="19"/>
  <c r="W117" i="19"/>
  <c r="O117" i="19" s="1"/>
  <c r="S117" i="19" s="1"/>
  <c r="X117" i="19"/>
  <c r="P117" i="19" s="1"/>
  <c r="T117" i="19" s="1"/>
  <c r="Y117" i="19"/>
  <c r="Q117" i="19" s="1"/>
  <c r="U117" i="19" s="1"/>
  <c r="V118" i="19"/>
  <c r="W118" i="19"/>
  <c r="O118" i="19" s="1"/>
  <c r="S118" i="19" s="1"/>
  <c r="X118" i="19"/>
  <c r="P118" i="19" s="1"/>
  <c r="T118" i="19" s="1"/>
  <c r="Y118" i="19"/>
  <c r="V119" i="19"/>
  <c r="W119" i="19"/>
  <c r="O119" i="19" s="1"/>
  <c r="S119" i="19" s="1"/>
  <c r="X119" i="19"/>
  <c r="P119" i="19" s="1"/>
  <c r="T119" i="19" s="1"/>
  <c r="Y119" i="19"/>
  <c r="V120" i="19"/>
  <c r="W120" i="19"/>
  <c r="O120" i="19" s="1"/>
  <c r="S120" i="19" s="1"/>
  <c r="X120" i="19"/>
  <c r="P120" i="19" s="1"/>
  <c r="T120" i="19" s="1"/>
  <c r="Y120" i="19"/>
  <c r="Q120" i="19" s="1"/>
  <c r="U120" i="19" s="1"/>
  <c r="V121" i="19"/>
  <c r="W121" i="19"/>
  <c r="O121" i="19" s="1"/>
  <c r="S121" i="19" s="1"/>
  <c r="X121" i="19"/>
  <c r="P121" i="19" s="1"/>
  <c r="T121" i="19" s="1"/>
  <c r="Y121" i="19"/>
  <c r="Q121" i="19" s="1"/>
  <c r="U121" i="19" s="1"/>
  <c r="V122" i="19"/>
  <c r="W122" i="19"/>
  <c r="O122" i="19" s="1"/>
  <c r="S122" i="19" s="1"/>
  <c r="X122" i="19"/>
  <c r="P122" i="19" s="1"/>
  <c r="T122" i="19" s="1"/>
  <c r="Y122" i="19"/>
  <c r="Q122" i="19" s="1"/>
  <c r="U122" i="19" s="1"/>
  <c r="V123" i="19"/>
  <c r="W123" i="19"/>
  <c r="O123" i="19" s="1"/>
  <c r="S123" i="19" s="1"/>
  <c r="X123" i="19"/>
  <c r="P123" i="19" s="1"/>
  <c r="T123" i="19" s="1"/>
  <c r="Y123" i="19"/>
  <c r="Q123" i="19" s="1"/>
  <c r="U123" i="19" s="1"/>
  <c r="V124" i="19"/>
  <c r="W124" i="19"/>
  <c r="O124" i="19" s="1"/>
  <c r="S124" i="19" s="1"/>
  <c r="X124" i="19"/>
  <c r="P124" i="19" s="1"/>
  <c r="T124" i="19" s="1"/>
  <c r="Y124" i="19"/>
  <c r="Q124" i="19" s="1"/>
  <c r="U124" i="19" s="1"/>
  <c r="V125" i="19"/>
  <c r="W125" i="19"/>
  <c r="O125" i="19" s="1"/>
  <c r="S125" i="19" s="1"/>
  <c r="X125" i="19"/>
  <c r="P125" i="19" s="1"/>
  <c r="T125" i="19" s="1"/>
  <c r="Y125" i="19"/>
  <c r="Q125" i="19" s="1"/>
  <c r="U125" i="19" s="1"/>
  <c r="V126" i="19"/>
  <c r="W126" i="19"/>
  <c r="O126" i="19" s="1"/>
  <c r="S126" i="19" s="1"/>
  <c r="X126" i="19"/>
  <c r="P126" i="19" s="1"/>
  <c r="T126" i="19" s="1"/>
  <c r="Y126" i="19"/>
  <c r="Q126" i="19" s="1"/>
  <c r="U126" i="19" s="1"/>
  <c r="V127" i="19"/>
  <c r="W127" i="19"/>
  <c r="O127" i="19" s="1"/>
  <c r="S127" i="19" s="1"/>
  <c r="X127" i="19"/>
  <c r="P127" i="19" s="1"/>
  <c r="T127" i="19" s="1"/>
  <c r="Y127" i="19"/>
  <c r="Q127" i="19" s="1"/>
  <c r="U127" i="19" s="1"/>
  <c r="V128" i="19"/>
  <c r="W128" i="19"/>
  <c r="O128" i="19" s="1"/>
  <c r="S128" i="19" s="1"/>
  <c r="X128" i="19"/>
  <c r="P128" i="19" s="1"/>
  <c r="T128" i="19" s="1"/>
  <c r="Y128" i="19"/>
  <c r="Q128" i="19" s="1"/>
  <c r="U128" i="19" s="1"/>
  <c r="V129" i="19"/>
  <c r="W129" i="19"/>
  <c r="O129" i="19" s="1"/>
  <c r="S129" i="19" s="1"/>
  <c r="X129" i="19"/>
  <c r="P129" i="19" s="1"/>
  <c r="T129" i="19" s="1"/>
  <c r="Y129" i="19"/>
  <c r="Q129" i="19" s="1"/>
  <c r="U129" i="19" s="1"/>
  <c r="V137" i="19"/>
  <c r="N137" i="19" s="1"/>
  <c r="W137" i="19"/>
  <c r="O137" i="19" s="1"/>
  <c r="S137" i="19" s="1"/>
  <c r="X137" i="19"/>
  <c r="P137" i="19" s="1"/>
  <c r="T137" i="19" s="1"/>
  <c r="Y137" i="19"/>
  <c r="Q137" i="19" s="1"/>
  <c r="U137" i="19" s="1"/>
  <c r="V138" i="19"/>
  <c r="N138" i="19" s="1"/>
  <c r="W138" i="19"/>
  <c r="O138" i="19" s="1"/>
  <c r="S138" i="19" s="1"/>
  <c r="X138" i="19"/>
  <c r="P138" i="19" s="1"/>
  <c r="T138" i="19" s="1"/>
  <c r="Y138" i="19"/>
  <c r="Q138" i="19" s="1"/>
  <c r="U138" i="19" s="1"/>
  <c r="V139" i="19"/>
  <c r="W139" i="19"/>
  <c r="O139" i="19" s="1"/>
  <c r="S139" i="19" s="1"/>
  <c r="X139" i="19"/>
  <c r="P139" i="19" s="1"/>
  <c r="T139" i="19" s="1"/>
  <c r="Y139" i="19"/>
  <c r="V140" i="19"/>
  <c r="N140" i="19" s="1"/>
  <c r="W140" i="19"/>
  <c r="O140" i="19" s="1"/>
  <c r="S140" i="19" s="1"/>
  <c r="X140" i="19"/>
  <c r="P140" i="19" s="1"/>
  <c r="T140" i="19" s="1"/>
  <c r="Y140" i="19"/>
  <c r="V141" i="19"/>
  <c r="W141" i="19"/>
  <c r="O141" i="19" s="1"/>
  <c r="S141" i="19" s="1"/>
  <c r="X141" i="19"/>
  <c r="P141" i="19" s="1"/>
  <c r="T141" i="19" s="1"/>
  <c r="Y141" i="19"/>
  <c r="Q141" i="19" s="1"/>
  <c r="U141" i="19" s="1"/>
  <c r="V148" i="19"/>
  <c r="W148" i="19"/>
  <c r="O148" i="19" s="1"/>
  <c r="S148" i="19" s="1"/>
  <c r="X148" i="19"/>
  <c r="P148" i="19" s="1"/>
  <c r="T148" i="19" s="1"/>
  <c r="Y148" i="19"/>
  <c r="Q148" i="19" s="1"/>
  <c r="U148" i="19" s="1"/>
  <c r="V149" i="19"/>
  <c r="W149" i="19"/>
  <c r="O149" i="19" s="1"/>
  <c r="S149" i="19" s="1"/>
  <c r="X149" i="19"/>
  <c r="P149" i="19" s="1"/>
  <c r="T149" i="19" s="1"/>
  <c r="Y149" i="19"/>
  <c r="V150" i="19"/>
  <c r="W150" i="19"/>
  <c r="O150" i="19" s="1"/>
  <c r="S150" i="19" s="1"/>
  <c r="X150" i="19"/>
  <c r="P150" i="19" s="1"/>
  <c r="T150" i="19" s="1"/>
  <c r="Y150" i="19"/>
  <c r="V151" i="19"/>
  <c r="W151" i="19"/>
  <c r="O151" i="19" s="1"/>
  <c r="S151" i="19" s="1"/>
  <c r="X151" i="19"/>
  <c r="P151" i="19" s="1"/>
  <c r="T151" i="19" s="1"/>
  <c r="Y151" i="19"/>
  <c r="V152" i="19"/>
  <c r="W152" i="19"/>
  <c r="O152" i="19" s="1"/>
  <c r="S152" i="19" s="1"/>
  <c r="X152" i="19"/>
  <c r="P152" i="19" s="1"/>
  <c r="T152" i="19" s="1"/>
  <c r="Y152" i="19"/>
  <c r="Q152" i="19" s="1"/>
  <c r="U152" i="19" s="1"/>
  <c r="V159" i="19"/>
  <c r="W159" i="19"/>
  <c r="O159" i="19" s="1"/>
  <c r="S159" i="19" s="1"/>
  <c r="X159" i="19"/>
  <c r="P159" i="19" s="1"/>
  <c r="T159" i="19" s="1"/>
  <c r="Y159" i="19"/>
  <c r="V160" i="19"/>
  <c r="W160" i="19"/>
  <c r="O160" i="19" s="1"/>
  <c r="S160" i="19" s="1"/>
  <c r="X160" i="19"/>
  <c r="P160" i="19" s="1"/>
  <c r="T160" i="19" s="1"/>
  <c r="Y160" i="19"/>
  <c r="Q160" i="19" s="1"/>
  <c r="U160" i="19" s="1"/>
  <c r="V161" i="19"/>
  <c r="W161" i="19"/>
  <c r="O161" i="19" s="1"/>
  <c r="S161" i="19" s="1"/>
  <c r="X161" i="19"/>
  <c r="P161" i="19" s="1"/>
  <c r="T161" i="19" s="1"/>
  <c r="Y161" i="19"/>
  <c r="Q161" i="19" s="1"/>
  <c r="U161" i="19" s="1"/>
  <c r="V162" i="19"/>
  <c r="W162" i="19"/>
  <c r="O162" i="19" s="1"/>
  <c r="S162" i="19" s="1"/>
  <c r="X162" i="19"/>
  <c r="P162" i="19" s="1"/>
  <c r="T162" i="19" s="1"/>
  <c r="Y162" i="19"/>
  <c r="Q162" i="19" s="1"/>
  <c r="U162" i="19" s="1"/>
  <c r="V163" i="19"/>
  <c r="W163" i="19"/>
  <c r="O163" i="19" s="1"/>
  <c r="S163" i="19" s="1"/>
  <c r="X163" i="19"/>
  <c r="P163" i="19" s="1"/>
  <c r="T163" i="19" s="1"/>
  <c r="Y163" i="19"/>
  <c r="Q163" i="19" s="1"/>
  <c r="U163" i="19" s="1"/>
  <c r="V164" i="19"/>
  <c r="W164" i="19"/>
  <c r="O164" i="19" s="1"/>
  <c r="S164" i="19" s="1"/>
  <c r="X164" i="19"/>
  <c r="P164" i="19" s="1"/>
  <c r="T164" i="19" s="1"/>
  <c r="Y164" i="19"/>
  <c r="Q164" i="19" s="1"/>
  <c r="U164" i="19" s="1"/>
  <c r="V165" i="19"/>
  <c r="W165" i="19"/>
  <c r="O165" i="19" s="1"/>
  <c r="S165" i="19" s="1"/>
  <c r="X165" i="19"/>
  <c r="P165" i="19" s="1"/>
  <c r="T165" i="19" s="1"/>
  <c r="Y165" i="19"/>
  <c r="Q165" i="19" s="1"/>
  <c r="U165" i="19" s="1"/>
  <c r="V166" i="19"/>
  <c r="W166" i="19"/>
  <c r="O166" i="19" s="1"/>
  <c r="S166" i="19" s="1"/>
  <c r="X166" i="19"/>
  <c r="P166" i="19" s="1"/>
  <c r="T166" i="19" s="1"/>
  <c r="Y166" i="19"/>
  <c r="Q166" i="19" s="1"/>
  <c r="U166" i="19" s="1"/>
  <c r="V167" i="19"/>
  <c r="W167" i="19"/>
  <c r="O167" i="19" s="1"/>
  <c r="S167" i="19" s="1"/>
  <c r="X167" i="19"/>
  <c r="P167" i="19" s="1"/>
  <c r="T167" i="19" s="1"/>
  <c r="Y167" i="19"/>
  <c r="Q167" i="19" s="1"/>
  <c r="U167" i="19" s="1"/>
  <c r="V168" i="19"/>
  <c r="W168" i="19"/>
  <c r="O168" i="19" s="1"/>
  <c r="S168" i="19" s="1"/>
  <c r="X168" i="19"/>
  <c r="P168" i="19" s="1"/>
  <c r="T168" i="19" s="1"/>
  <c r="Y168" i="19"/>
  <c r="Q168" i="19" s="1"/>
  <c r="U168" i="19" s="1"/>
  <c r="V169" i="19"/>
  <c r="W169" i="19"/>
  <c r="O169" i="19" s="1"/>
  <c r="S169" i="19" s="1"/>
  <c r="X169" i="19"/>
  <c r="P169" i="19" s="1"/>
  <c r="T169" i="19" s="1"/>
  <c r="Y169" i="19"/>
  <c r="Q169" i="19" s="1"/>
  <c r="U169" i="19" s="1"/>
  <c r="V170" i="19"/>
  <c r="N170" i="19" s="1"/>
  <c r="R170" i="19" s="1"/>
  <c r="W170" i="19"/>
  <c r="O170" i="19" s="1"/>
  <c r="S170" i="19" s="1"/>
  <c r="X170" i="19"/>
  <c r="P170" i="19" s="1"/>
  <c r="T170" i="19" s="1"/>
  <c r="Y170" i="19"/>
  <c r="Q170" i="19" s="1"/>
  <c r="U170" i="19" s="1"/>
  <c r="V171" i="19"/>
  <c r="W171" i="19"/>
  <c r="O171" i="19" s="1"/>
  <c r="S171" i="19" s="1"/>
  <c r="X171" i="19"/>
  <c r="P171" i="19" s="1"/>
  <c r="T171" i="19" s="1"/>
  <c r="Y171" i="19"/>
  <c r="V172" i="19"/>
  <c r="W172" i="19"/>
  <c r="O172" i="19" s="1"/>
  <c r="S172" i="19" s="1"/>
  <c r="X172" i="19"/>
  <c r="P172" i="19" s="1"/>
  <c r="T172" i="19" s="1"/>
  <c r="Y172" i="19"/>
  <c r="Q172" i="19" s="1"/>
  <c r="U172" i="19" s="1"/>
  <c r="V173" i="19"/>
  <c r="W173" i="19"/>
  <c r="O173" i="19" s="1"/>
  <c r="S173" i="19" s="1"/>
  <c r="X173" i="19"/>
  <c r="P173" i="19" s="1"/>
  <c r="T173" i="19" s="1"/>
  <c r="Y173" i="19"/>
  <c r="Q173" i="19" s="1"/>
  <c r="U173" i="19" s="1"/>
  <c r="V174" i="19"/>
  <c r="W174" i="19"/>
  <c r="O174" i="19" s="1"/>
  <c r="S174" i="19" s="1"/>
  <c r="X174" i="19"/>
  <c r="P174" i="19" s="1"/>
  <c r="T174" i="19" s="1"/>
  <c r="Y174" i="19"/>
  <c r="Q174" i="19" s="1"/>
  <c r="U174" i="19" s="1"/>
  <c r="AJ174" i="19"/>
  <c r="AK174" i="19" s="1"/>
  <c r="AJ173" i="19"/>
  <c r="AJ172" i="19"/>
  <c r="AJ171" i="19"/>
  <c r="AJ170" i="19"/>
  <c r="AJ169" i="19"/>
  <c r="AJ168" i="19"/>
  <c r="AK168" i="19" s="1"/>
  <c r="AJ167" i="19"/>
  <c r="AK167" i="19" s="1"/>
  <c r="AJ166" i="19"/>
  <c r="AK166" i="19" s="1"/>
  <c r="AJ165" i="19"/>
  <c r="AK165" i="19" s="1"/>
  <c r="AJ164" i="19"/>
  <c r="AK164" i="19" s="1"/>
  <c r="AJ163" i="19"/>
  <c r="AK163" i="19" s="1"/>
  <c r="AJ162" i="19"/>
  <c r="AK162" i="19" s="1"/>
  <c r="AJ161" i="19"/>
  <c r="AK161" i="19" s="1"/>
  <c r="AJ160" i="19"/>
  <c r="AK160" i="19" s="1"/>
  <c r="AJ159" i="19"/>
  <c r="AK159" i="19" s="1"/>
  <c r="AJ152" i="19"/>
  <c r="AJ151" i="19"/>
  <c r="AJ150" i="19"/>
  <c r="AJ149" i="19"/>
  <c r="AK149" i="19" s="1"/>
  <c r="AJ148" i="19"/>
  <c r="AK148" i="19" s="1"/>
  <c r="AJ141" i="19"/>
  <c r="AK141" i="19" s="1"/>
  <c r="AJ140" i="19"/>
  <c r="AJ139" i="19"/>
  <c r="AJ138" i="19"/>
  <c r="AJ137" i="19"/>
  <c r="AJ129" i="19"/>
  <c r="AJ128" i="19"/>
  <c r="AJ127" i="19"/>
  <c r="AJ126" i="19"/>
  <c r="AJ125" i="19"/>
  <c r="AJ124" i="19"/>
  <c r="AJ123" i="19"/>
  <c r="AK123" i="19" s="1"/>
  <c r="AJ122" i="19"/>
  <c r="AK122" i="19" s="1"/>
  <c r="AJ121" i="19"/>
  <c r="AK121" i="19" s="1"/>
  <c r="AJ120" i="19"/>
  <c r="AK120" i="19" s="1"/>
  <c r="AJ119" i="19"/>
  <c r="AK119" i="19" s="1"/>
  <c r="AJ118" i="19"/>
  <c r="AK118" i="19" s="1"/>
  <c r="AJ117" i="19"/>
  <c r="AK117" i="19" s="1"/>
  <c r="AJ116" i="19"/>
  <c r="AJ115" i="19"/>
  <c r="AK115" i="19" s="1"/>
  <c r="AJ114" i="19"/>
  <c r="AJ113" i="19"/>
  <c r="AK113" i="19" s="1"/>
  <c r="AJ112" i="19"/>
  <c r="AK112" i="19" s="1"/>
  <c r="AJ111" i="19"/>
  <c r="AK111" i="19" s="1"/>
  <c r="AJ110" i="19"/>
  <c r="AJ109" i="19"/>
  <c r="AJ108" i="19"/>
  <c r="AJ107" i="19"/>
  <c r="AJ106" i="19"/>
  <c r="AK106" i="19" s="1"/>
  <c r="AJ105" i="19"/>
  <c r="AK105" i="19" s="1"/>
  <c r="AJ104" i="19"/>
  <c r="AK104" i="19" s="1"/>
  <c r="AJ103" i="19"/>
  <c r="AJ102" i="19"/>
  <c r="AJ101" i="19"/>
  <c r="AJ100" i="19"/>
  <c r="AJ99" i="19"/>
  <c r="AK99" i="19" s="1"/>
  <c r="AJ98" i="19"/>
  <c r="AK98" i="19" s="1"/>
  <c r="AG174" i="19"/>
  <c r="AG173" i="19"/>
  <c r="AG172" i="19"/>
  <c r="AG171" i="19"/>
  <c r="AG170" i="19"/>
  <c r="AG169" i="19"/>
  <c r="AG168" i="19"/>
  <c r="AG167" i="19"/>
  <c r="AG166" i="19"/>
  <c r="AG165" i="19"/>
  <c r="AG164" i="19"/>
  <c r="AG163" i="19"/>
  <c r="AG162" i="19"/>
  <c r="AG161" i="19"/>
  <c r="AG160" i="19"/>
  <c r="AG159" i="19"/>
  <c r="AG152" i="19"/>
  <c r="AG151" i="19"/>
  <c r="AG150" i="19"/>
  <c r="AG149" i="19"/>
  <c r="AG148" i="19"/>
  <c r="AG141" i="19"/>
  <c r="AG140" i="19"/>
  <c r="AG139" i="19"/>
  <c r="AG138" i="19"/>
  <c r="AG137" i="19"/>
  <c r="AG129" i="19"/>
  <c r="AG128" i="19"/>
  <c r="AG127" i="19"/>
  <c r="AG126" i="19"/>
  <c r="AG125" i="19"/>
  <c r="AG124" i="19"/>
  <c r="AG123" i="19"/>
  <c r="AG122" i="19"/>
  <c r="AG121" i="19"/>
  <c r="AG120" i="19"/>
  <c r="AG119" i="19"/>
  <c r="AG118" i="19"/>
  <c r="AG117" i="19"/>
  <c r="AG116" i="19"/>
  <c r="AG115" i="19"/>
  <c r="AG114" i="19"/>
  <c r="AG113" i="19"/>
  <c r="AG112" i="19"/>
  <c r="AG111" i="19"/>
  <c r="AG110" i="19"/>
  <c r="AG109" i="19"/>
  <c r="AG108" i="19"/>
  <c r="AG107" i="19"/>
  <c r="AG106" i="19"/>
  <c r="AG105" i="19"/>
  <c r="AG104" i="19"/>
  <c r="AG103" i="19"/>
  <c r="AG102" i="19"/>
  <c r="AG101" i="19"/>
  <c r="AG100" i="19"/>
  <c r="AG99" i="19"/>
  <c r="AG98" i="19"/>
  <c r="AF174" i="19"/>
  <c r="AF173" i="19"/>
  <c r="AF172" i="19"/>
  <c r="AF171" i="19"/>
  <c r="AF170" i="19"/>
  <c r="AF169" i="19"/>
  <c r="AF168" i="19"/>
  <c r="AF167" i="19"/>
  <c r="AF166" i="19"/>
  <c r="AF165" i="19"/>
  <c r="AF164" i="19"/>
  <c r="AF163" i="19"/>
  <c r="AF162" i="19"/>
  <c r="AF161" i="19"/>
  <c r="AF160" i="19"/>
  <c r="AF159" i="19"/>
  <c r="AF152" i="19"/>
  <c r="AF151" i="19"/>
  <c r="AF150" i="19"/>
  <c r="AF149" i="19"/>
  <c r="AF148" i="19"/>
  <c r="AF141" i="19"/>
  <c r="AF140" i="19"/>
  <c r="AF139" i="19"/>
  <c r="AF138" i="19"/>
  <c r="AF137" i="19"/>
  <c r="AF129" i="19"/>
  <c r="AF128" i="19"/>
  <c r="AF127" i="19"/>
  <c r="AF126" i="19"/>
  <c r="AF125" i="19"/>
  <c r="AF124" i="19"/>
  <c r="AF123" i="19"/>
  <c r="AF122" i="19"/>
  <c r="AF121" i="19"/>
  <c r="AF120" i="19"/>
  <c r="AF119" i="19"/>
  <c r="AF118" i="19"/>
  <c r="AF117" i="19"/>
  <c r="AF116" i="19"/>
  <c r="AF115" i="19"/>
  <c r="AF114" i="19"/>
  <c r="AF113" i="19"/>
  <c r="AF112" i="19"/>
  <c r="AF111" i="19"/>
  <c r="AF110" i="19"/>
  <c r="AF109" i="19"/>
  <c r="AF108" i="19"/>
  <c r="AF107" i="19"/>
  <c r="AF106" i="19"/>
  <c r="AF105" i="19"/>
  <c r="AF104" i="19"/>
  <c r="AF103" i="19"/>
  <c r="AF102" i="19"/>
  <c r="AF101" i="19"/>
  <c r="AF100" i="19"/>
  <c r="AF99" i="19"/>
  <c r="AF98" i="19"/>
  <c r="AE174" i="19"/>
  <c r="AE173" i="19"/>
  <c r="AE172" i="19"/>
  <c r="AE171" i="19"/>
  <c r="AE170" i="19"/>
  <c r="AE169" i="19"/>
  <c r="AE168" i="19"/>
  <c r="AE167" i="19"/>
  <c r="AE166" i="19"/>
  <c r="AE165" i="19"/>
  <c r="AE164" i="19"/>
  <c r="AE163" i="19"/>
  <c r="AE162" i="19"/>
  <c r="AE161" i="19"/>
  <c r="AE160" i="19"/>
  <c r="AE159" i="19"/>
  <c r="AE152" i="19"/>
  <c r="AE151" i="19"/>
  <c r="AE150" i="19"/>
  <c r="AE149" i="19"/>
  <c r="AE148" i="19"/>
  <c r="AE141" i="19"/>
  <c r="AE140" i="19"/>
  <c r="AE139" i="19"/>
  <c r="AE138" i="19"/>
  <c r="AE137" i="19"/>
  <c r="AE129" i="19"/>
  <c r="AE128" i="19"/>
  <c r="AE127" i="19"/>
  <c r="AE126" i="19"/>
  <c r="AE125" i="19"/>
  <c r="AE124" i="19"/>
  <c r="AE123" i="19"/>
  <c r="AE122" i="19"/>
  <c r="AE121" i="19"/>
  <c r="AE120" i="19"/>
  <c r="AE119" i="19"/>
  <c r="AE118" i="19"/>
  <c r="AE117" i="19"/>
  <c r="AE116" i="19"/>
  <c r="AE115" i="19"/>
  <c r="AE114" i="19"/>
  <c r="AE113" i="19"/>
  <c r="AE112" i="19"/>
  <c r="AE111" i="19"/>
  <c r="AE110" i="19"/>
  <c r="AE109" i="19"/>
  <c r="AE108" i="19"/>
  <c r="AE107" i="19"/>
  <c r="AE106" i="19"/>
  <c r="AE105" i="19"/>
  <c r="AE104" i="19"/>
  <c r="AE103" i="19"/>
  <c r="AE102" i="19"/>
  <c r="AE101" i="19"/>
  <c r="AE100" i="19"/>
  <c r="AE99" i="19"/>
  <c r="AE98" i="19"/>
  <c r="AD174" i="19"/>
  <c r="AD173" i="19"/>
  <c r="AD172" i="19"/>
  <c r="AD171" i="19"/>
  <c r="AH171" i="19" s="1"/>
  <c r="AD170" i="19"/>
  <c r="AD169" i="19"/>
  <c r="AD168" i="19"/>
  <c r="AD167" i="19"/>
  <c r="AD166" i="19"/>
  <c r="AD165" i="19"/>
  <c r="AD164" i="19"/>
  <c r="AD163" i="19"/>
  <c r="AD162" i="19"/>
  <c r="AD161" i="19"/>
  <c r="AD160" i="19"/>
  <c r="AD159" i="19"/>
  <c r="AD152" i="19"/>
  <c r="AD151" i="19"/>
  <c r="AD150" i="19"/>
  <c r="AD149" i="19"/>
  <c r="AD148" i="19"/>
  <c r="AD141" i="19"/>
  <c r="AD140" i="19"/>
  <c r="AD139" i="19"/>
  <c r="AD138" i="19"/>
  <c r="AD137" i="19"/>
  <c r="AD129" i="19"/>
  <c r="AD128" i="19"/>
  <c r="AD127" i="19"/>
  <c r="AD126" i="19"/>
  <c r="AD125" i="19"/>
  <c r="AD124" i="19"/>
  <c r="AD123" i="19"/>
  <c r="AD122" i="19"/>
  <c r="AD121" i="19"/>
  <c r="AD120" i="19"/>
  <c r="AH120" i="19" s="1"/>
  <c r="AD119" i="19"/>
  <c r="AD118" i="19"/>
  <c r="AD117" i="19"/>
  <c r="AD116" i="19"/>
  <c r="AD115" i="19"/>
  <c r="AD114" i="19"/>
  <c r="AD113" i="19"/>
  <c r="AD112" i="19"/>
  <c r="AD111" i="19"/>
  <c r="AD110" i="19"/>
  <c r="AD109" i="19"/>
  <c r="AD108" i="19"/>
  <c r="AD107" i="19"/>
  <c r="AD106" i="19"/>
  <c r="AD105" i="19"/>
  <c r="AD104" i="19"/>
  <c r="AD103" i="19"/>
  <c r="AD102" i="19"/>
  <c r="AD101" i="19"/>
  <c r="AD100" i="19"/>
  <c r="AD99" i="19"/>
  <c r="AD98" i="19"/>
  <c r="AM3" i="19"/>
  <c r="P200" i="29"/>
  <c r="Q332" i="29"/>
  <c r="Q333" i="29"/>
  <c r="Q334" i="29"/>
  <c r="Q335" i="29"/>
  <c r="Q336" i="29"/>
  <c r="Q337" i="29"/>
  <c r="Q338" i="29"/>
  <c r="Q339" i="29"/>
  <c r="M332" i="29"/>
  <c r="M333" i="29"/>
  <c r="M334" i="29"/>
  <c r="M335" i="29"/>
  <c r="M336" i="29"/>
  <c r="M337" i="29"/>
  <c r="M338" i="29"/>
  <c r="M339" i="29"/>
  <c r="I332" i="29"/>
  <c r="I333" i="29"/>
  <c r="I334" i="29"/>
  <c r="I335" i="29"/>
  <c r="I336" i="29"/>
  <c r="I337" i="29"/>
  <c r="I338" i="29"/>
  <c r="I339" i="29"/>
  <c r="E332" i="29"/>
  <c r="E333" i="29"/>
  <c r="E334" i="29"/>
  <c r="E335" i="29"/>
  <c r="E336" i="29"/>
  <c r="E337" i="29"/>
  <c r="E338" i="29"/>
  <c r="E339" i="29"/>
  <c r="C306" i="29"/>
  <c r="C307" i="29"/>
  <c r="P307" i="29" s="1"/>
  <c r="C308" i="29"/>
  <c r="C309" i="29"/>
  <c r="L309" i="29" s="1"/>
  <c r="C310" i="29"/>
  <c r="P310" i="29" s="1"/>
  <c r="C311" i="29"/>
  <c r="P311" i="29" s="1"/>
  <c r="C312" i="29"/>
  <c r="P312" i="29" s="1"/>
  <c r="C313" i="29"/>
  <c r="L313" i="29" s="1"/>
  <c r="C314" i="29"/>
  <c r="L314" i="29" s="1"/>
  <c r="C315" i="29"/>
  <c r="L315" i="29" s="1"/>
  <c r="C316" i="29"/>
  <c r="L316" i="29" s="1"/>
  <c r="C317" i="29"/>
  <c r="L317" i="29" s="1"/>
  <c r="C318" i="29"/>
  <c r="C319" i="29"/>
  <c r="L319" i="29" s="1"/>
  <c r="C320" i="29"/>
  <c r="C321" i="29"/>
  <c r="C322" i="29"/>
  <c r="C323" i="29"/>
  <c r="P323" i="29" s="1"/>
  <c r="C324" i="29"/>
  <c r="P324" i="29" s="1"/>
  <c r="C325" i="29"/>
  <c r="C326" i="29"/>
  <c r="L326" i="29" s="1"/>
  <c r="C327" i="29"/>
  <c r="C328" i="29"/>
  <c r="D328" i="29" s="1"/>
  <c r="C329" i="29"/>
  <c r="D329" i="29" s="1"/>
  <c r="C330" i="29"/>
  <c r="D330" i="29" s="1"/>
  <c r="C331" i="29"/>
  <c r="D331" i="29" s="1"/>
  <c r="C332" i="29"/>
  <c r="D332" i="29" s="1"/>
  <c r="C333" i="29"/>
  <c r="D333" i="29" s="1"/>
  <c r="C334" i="29"/>
  <c r="C335" i="29"/>
  <c r="D335" i="29" s="1"/>
  <c r="C336" i="29"/>
  <c r="C337" i="29"/>
  <c r="D337" i="29" s="1"/>
  <c r="C338" i="29"/>
  <c r="P338" i="29" s="1"/>
  <c r="C339" i="29"/>
  <c r="L339" i="29" s="1"/>
  <c r="C246" i="29"/>
  <c r="C247" i="29"/>
  <c r="C248" i="29"/>
  <c r="C249" i="29"/>
  <c r="C250" i="29"/>
  <c r="C251" i="29"/>
  <c r="L251" i="29" s="1"/>
  <c r="C252" i="29"/>
  <c r="C253" i="29"/>
  <c r="C254" i="29"/>
  <c r="C255" i="29"/>
  <c r="C256" i="29"/>
  <c r="L256" i="29" s="1"/>
  <c r="C257" i="29"/>
  <c r="C258" i="29"/>
  <c r="C259" i="29"/>
  <c r="H259" i="29" s="1"/>
  <c r="C260" i="29"/>
  <c r="C261" i="29"/>
  <c r="C262" i="29"/>
  <c r="C263" i="29"/>
  <c r="L263" i="29" s="1"/>
  <c r="C264" i="29"/>
  <c r="H264" i="29" s="1"/>
  <c r="C265" i="29"/>
  <c r="P265" i="29" s="1"/>
  <c r="C266" i="29"/>
  <c r="P266" i="29" s="1"/>
  <c r="C267" i="29"/>
  <c r="P267" i="29" s="1"/>
  <c r="C268" i="29"/>
  <c r="P268" i="29" s="1"/>
  <c r="C269" i="29"/>
  <c r="P269" i="29" s="1"/>
  <c r="C270" i="29"/>
  <c r="P270" i="29" s="1"/>
  <c r="C271" i="29"/>
  <c r="C272" i="29"/>
  <c r="P272" i="29" s="1"/>
  <c r="C273" i="29"/>
  <c r="C274" i="29"/>
  <c r="C275" i="29"/>
  <c r="P275" i="29" s="1"/>
  <c r="C276" i="29"/>
  <c r="P276" i="29" s="1"/>
  <c r="C277" i="29"/>
  <c r="L277" i="29" s="1"/>
  <c r="C278" i="29"/>
  <c r="C279" i="29"/>
  <c r="L279" i="29" s="1"/>
  <c r="C280" i="29"/>
  <c r="P280" i="29" s="1"/>
  <c r="C281" i="29"/>
  <c r="P281" i="29" s="1"/>
  <c r="C282" i="29"/>
  <c r="P282" i="29" s="1"/>
  <c r="C283" i="29"/>
  <c r="P283" i="29" s="1"/>
  <c r="C284" i="29"/>
  <c r="P284" i="29" s="1"/>
  <c r="C285" i="29"/>
  <c r="L285" i="29" s="1"/>
  <c r="C286" i="29"/>
  <c r="L286" i="29" s="1"/>
  <c r="C287" i="29"/>
  <c r="C288" i="29"/>
  <c r="P288" i="29" s="1"/>
  <c r="C289" i="29"/>
  <c r="C290" i="29"/>
  <c r="C291" i="29"/>
  <c r="C292" i="29"/>
  <c r="L292" i="29" s="1"/>
  <c r="C293" i="29"/>
  <c r="P293" i="29" s="1"/>
  <c r="C294" i="29"/>
  <c r="C295" i="29"/>
  <c r="C296" i="29"/>
  <c r="D296" i="29" s="1"/>
  <c r="C297" i="29"/>
  <c r="L297" i="29" s="1"/>
  <c r="C298" i="29"/>
  <c r="L298" i="29" s="1"/>
  <c r="C299" i="29"/>
  <c r="L299" i="29" s="1"/>
  <c r="C300" i="29"/>
  <c r="L300" i="29" s="1"/>
  <c r="C301" i="29"/>
  <c r="L301" i="29" s="1"/>
  <c r="C302" i="29"/>
  <c r="L302" i="29" s="1"/>
  <c r="C303" i="29"/>
  <c r="C304" i="29"/>
  <c r="H304" i="29" s="1"/>
  <c r="C305" i="29"/>
  <c r="C186" i="29"/>
  <c r="C187" i="29"/>
  <c r="C188" i="29"/>
  <c r="C189" i="29"/>
  <c r="C190" i="29"/>
  <c r="C191" i="29"/>
  <c r="C192" i="29"/>
  <c r="C193" i="29"/>
  <c r="C194" i="29"/>
  <c r="L194" i="29" s="1"/>
  <c r="C195" i="29"/>
  <c r="L195" i="29" s="1"/>
  <c r="C196" i="29"/>
  <c r="L196" i="29" s="1"/>
  <c r="C197" i="29"/>
  <c r="C198" i="29"/>
  <c r="L198" i="29" s="1"/>
  <c r="C199" i="29"/>
  <c r="C200" i="29"/>
  <c r="C201" i="29"/>
  <c r="D201" i="29" s="1"/>
  <c r="C202" i="29"/>
  <c r="C203" i="29"/>
  <c r="L203" i="29" s="1"/>
  <c r="C204" i="29"/>
  <c r="L204" i="29" s="1"/>
  <c r="C205" i="29"/>
  <c r="P205" i="29" s="1"/>
  <c r="C206" i="29"/>
  <c r="C207" i="29"/>
  <c r="C208" i="29"/>
  <c r="P208" i="29" s="1"/>
  <c r="C209" i="29"/>
  <c r="P209" i="29" s="1"/>
  <c r="C210" i="29"/>
  <c r="P210" i="29" s="1"/>
  <c r="C211" i="29"/>
  <c r="P211" i="29" s="1"/>
  <c r="C212" i="29"/>
  <c r="P212" i="29" s="1"/>
  <c r="C213" i="29"/>
  <c r="P213" i="29" s="1"/>
  <c r="C214" i="29"/>
  <c r="P214" i="29" s="1"/>
  <c r="C215" i="29"/>
  <c r="C216" i="29"/>
  <c r="L216" i="29" s="1"/>
  <c r="C217" i="29"/>
  <c r="C218" i="29"/>
  <c r="C219" i="29"/>
  <c r="C220" i="29"/>
  <c r="C221" i="29"/>
  <c r="C222" i="29"/>
  <c r="C223" i="29"/>
  <c r="C224" i="29"/>
  <c r="C225" i="29"/>
  <c r="P225" i="29" s="1"/>
  <c r="C226" i="29"/>
  <c r="P226" i="29" s="1"/>
  <c r="C227" i="29"/>
  <c r="P227" i="29" s="1"/>
  <c r="C228" i="29"/>
  <c r="P228" i="29" s="1"/>
  <c r="C229" i="29"/>
  <c r="P229" i="29" s="1"/>
  <c r="C230" i="29"/>
  <c r="P230" i="29" s="1"/>
  <c r="C231" i="29"/>
  <c r="C232" i="29"/>
  <c r="L232" i="29" s="1"/>
  <c r="C233" i="29"/>
  <c r="C234" i="29"/>
  <c r="C235" i="29"/>
  <c r="H235" i="29" s="1"/>
  <c r="C236" i="29"/>
  <c r="H236" i="29" s="1"/>
  <c r="C237" i="29"/>
  <c r="H237" i="29" s="1"/>
  <c r="C238" i="29"/>
  <c r="C239" i="29"/>
  <c r="C240" i="29"/>
  <c r="C241" i="29"/>
  <c r="P241" i="29" s="1"/>
  <c r="C242" i="29"/>
  <c r="P242" i="29" s="1"/>
  <c r="C243" i="29"/>
  <c r="P243" i="29" s="1"/>
  <c r="C244" i="29"/>
  <c r="P244" i="29" s="1"/>
  <c r="C245" i="29"/>
  <c r="P245" i="29" s="1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D152" i="29" s="1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72" i="29"/>
  <c r="C173" i="29"/>
  <c r="C174" i="29"/>
  <c r="C175" i="29"/>
  <c r="C176" i="29"/>
  <c r="C177" i="29"/>
  <c r="C178" i="29"/>
  <c r="C179" i="29"/>
  <c r="C180" i="29"/>
  <c r="C181" i="29"/>
  <c r="C182" i="29"/>
  <c r="C183" i="29"/>
  <c r="C184" i="29"/>
  <c r="C18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H116" i="29" s="1"/>
  <c r="C117" i="29"/>
  <c r="C118" i="29"/>
  <c r="C119" i="29"/>
  <c r="C120" i="29"/>
  <c r="C121" i="29"/>
  <c r="C122" i="29"/>
  <c r="C123" i="29"/>
  <c r="C124" i="29"/>
  <c r="C125" i="29"/>
  <c r="C6" i="29"/>
  <c r="C7" i="29"/>
  <c r="C8" i="29"/>
  <c r="P8" i="29" s="1"/>
  <c r="C9" i="29"/>
  <c r="L9" i="29" s="1"/>
  <c r="C10" i="29"/>
  <c r="C11" i="29"/>
  <c r="D11" i="29" s="1"/>
  <c r="C12" i="29"/>
  <c r="D12" i="29" s="1"/>
  <c r="C13" i="29"/>
  <c r="D13" i="29" s="1"/>
  <c r="C14" i="29"/>
  <c r="C15" i="29"/>
  <c r="C16" i="29"/>
  <c r="D16" i="29" s="1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D41" i="29" s="1"/>
  <c r="C42" i="29"/>
  <c r="C43" i="29"/>
  <c r="D43" i="29" s="1"/>
  <c r="C44" i="29"/>
  <c r="C45" i="29"/>
  <c r="C46" i="29"/>
  <c r="C47" i="29"/>
  <c r="C48" i="29"/>
  <c r="C49" i="29"/>
  <c r="C50" i="29"/>
  <c r="C5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5" i="29"/>
  <c r="H5" i="29" s="1"/>
  <c r="Q292" i="29"/>
  <c r="Q293" i="29"/>
  <c r="Q296" i="29"/>
  <c r="Q297" i="29"/>
  <c r="Q298" i="29"/>
  <c r="Q299" i="29"/>
  <c r="Q300" i="29"/>
  <c r="Q301" i="29"/>
  <c r="Q302" i="29"/>
  <c r="Q303" i="29"/>
  <c r="Q306" i="29"/>
  <c r="Q309" i="29"/>
  <c r="Q310" i="29"/>
  <c r="Q313" i="29"/>
  <c r="Q314" i="29"/>
  <c r="Q315" i="29"/>
  <c r="Q316" i="29"/>
  <c r="Q320" i="29"/>
  <c r="Q321" i="29"/>
  <c r="Q322" i="29"/>
  <c r="Q323" i="29"/>
  <c r="Q327" i="29"/>
  <c r="Q330" i="29"/>
  <c r="Q331" i="29"/>
  <c r="M289" i="29"/>
  <c r="M290" i="29"/>
  <c r="M291" i="29"/>
  <c r="M292" i="29"/>
  <c r="M294" i="29"/>
  <c r="M295" i="29"/>
  <c r="M296" i="29"/>
  <c r="M297" i="29"/>
  <c r="M299" i="29"/>
  <c r="M300" i="29"/>
  <c r="M303" i="29"/>
  <c r="M305" i="29"/>
  <c r="M306" i="29"/>
  <c r="M309" i="29"/>
  <c r="M310" i="29"/>
  <c r="M311" i="29"/>
  <c r="M314" i="29"/>
  <c r="M315" i="29"/>
  <c r="M316" i="29"/>
  <c r="M317" i="29"/>
  <c r="M318" i="29"/>
  <c r="M319" i="29"/>
  <c r="M320" i="29"/>
  <c r="M321" i="29"/>
  <c r="M322" i="29"/>
  <c r="M326" i="29"/>
  <c r="M327" i="29"/>
  <c r="M328" i="29"/>
  <c r="M329" i="29"/>
  <c r="M330" i="29"/>
  <c r="M331" i="29"/>
  <c r="I289" i="29"/>
  <c r="I290" i="29"/>
  <c r="I294" i="29"/>
  <c r="I295" i="29"/>
  <c r="I296" i="29"/>
  <c r="H295" i="24"/>
  <c r="L295" i="24" s="1"/>
  <c r="I298" i="29"/>
  <c r="I300" i="29"/>
  <c r="I301" i="29"/>
  <c r="I303" i="29"/>
  <c r="I305" i="29"/>
  <c r="I306" i="29"/>
  <c r="I307" i="29"/>
  <c r="I309" i="29"/>
  <c r="I310" i="29"/>
  <c r="I311" i="29"/>
  <c r="I312" i="29"/>
  <c r="I313" i="29"/>
  <c r="I314" i="29"/>
  <c r="I317" i="29"/>
  <c r="I318" i="29"/>
  <c r="I319" i="29"/>
  <c r="I321" i="29"/>
  <c r="I322" i="29"/>
  <c r="I323" i="29"/>
  <c r="I324" i="29"/>
  <c r="I325" i="29"/>
  <c r="I326" i="29"/>
  <c r="I327" i="29"/>
  <c r="I328" i="29"/>
  <c r="I330" i="29"/>
  <c r="I331" i="29"/>
  <c r="E289" i="29"/>
  <c r="E290" i="29"/>
  <c r="E291" i="29"/>
  <c r="E292" i="29"/>
  <c r="E293" i="29"/>
  <c r="E294" i="29"/>
  <c r="E295" i="29"/>
  <c r="E296" i="29"/>
  <c r="E297" i="29"/>
  <c r="E298" i="29"/>
  <c r="E299" i="29"/>
  <c r="E300" i="29"/>
  <c r="E301" i="29"/>
  <c r="E302" i="29"/>
  <c r="E303" i="29"/>
  <c r="E304" i="29"/>
  <c r="E305" i="29"/>
  <c r="E306" i="29"/>
  <c r="E307" i="29"/>
  <c r="E309" i="29"/>
  <c r="E310" i="29"/>
  <c r="E311" i="29"/>
  <c r="E312" i="29"/>
  <c r="E313" i="29"/>
  <c r="E314" i="29"/>
  <c r="E316" i="29"/>
  <c r="E321" i="29"/>
  <c r="E323" i="29"/>
  <c r="E324" i="29"/>
  <c r="E326" i="29"/>
  <c r="E328" i="29"/>
  <c r="E331" i="29"/>
  <c r="Q242" i="29"/>
  <c r="Q244" i="29"/>
  <c r="Q245" i="29"/>
  <c r="Q262" i="29"/>
  <c r="Q263" i="29"/>
  <c r="Q264" i="29"/>
  <c r="Q265" i="29"/>
  <c r="Q267" i="29"/>
  <c r="Q268" i="29"/>
  <c r="Q269" i="29"/>
  <c r="Q270" i="29"/>
  <c r="Q271" i="29"/>
  <c r="Q274" i="29"/>
  <c r="Q275" i="29"/>
  <c r="Q276" i="29"/>
  <c r="Q277" i="29"/>
  <c r="Q278" i="29"/>
  <c r="Q280" i="29"/>
  <c r="Q283" i="29"/>
  <c r="Q284" i="29"/>
  <c r="Q285" i="29"/>
  <c r="Q286" i="29"/>
  <c r="Q287" i="29"/>
  <c r="Q288" i="29"/>
  <c r="M262" i="29"/>
  <c r="M263" i="29"/>
  <c r="M267" i="29"/>
  <c r="M268" i="29"/>
  <c r="M269" i="29"/>
  <c r="M270" i="29"/>
  <c r="M271" i="29"/>
  <c r="M273" i="29"/>
  <c r="M274" i="29"/>
  <c r="M275" i="29"/>
  <c r="M276" i="29"/>
  <c r="M278" i="29"/>
  <c r="M279" i="29"/>
  <c r="M282" i="29"/>
  <c r="M284" i="29"/>
  <c r="M285" i="29"/>
  <c r="M286" i="29"/>
  <c r="M287" i="29"/>
  <c r="M288" i="29"/>
  <c r="I245" i="29"/>
  <c r="I262" i="29"/>
  <c r="I263" i="29"/>
  <c r="I264" i="29"/>
  <c r="I265" i="29"/>
  <c r="I267" i="29"/>
  <c r="I268" i="29"/>
  <c r="I269" i="29"/>
  <c r="I270" i="29"/>
  <c r="I271" i="29"/>
  <c r="I272" i="29"/>
  <c r="I273" i="29"/>
  <c r="I274" i="29"/>
  <c r="I275" i="29"/>
  <c r="I276" i="29"/>
  <c r="I278" i="29"/>
  <c r="I279" i="29"/>
  <c r="H278" i="24"/>
  <c r="L278" i="24" s="1"/>
  <c r="H279" i="24"/>
  <c r="L279" i="24" s="1"/>
  <c r="I282" i="29"/>
  <c r="I284" i="29"/>
  <c r="I285" i="29"/>
  <c r="I287" i="29"/>
  <c r="E262" i="29"/>
  <c r="E263" i="29"/>
  <c r="E264" i="29"/>
  <c r="E265" i="29"/>
  <c r="E266" i="29"/>
  <c r="E267" i="29"/>
  <c r="E268" i="29"/>
  <c r="E269" i="29"/>
  <c r="E270" i="29"/>
  <c r="E271" i="29"/>
  <c r="E272" i="29"/>
  <c r="E273" i="29"/>
  <c r="E274" i="29"/>
  <c r="E275" i="29"/>
  <c r="E276" i="29"/>
  <c r="E277" i="29"/>
  <c r="E278" i="29"/>
  <c r="E279" i="29"/>
  <c r="E280" i="29"/>
  <c r="E281" i="29"/>
  <c r="E282" i="29"/>
  <c r="E283" i="29"/>
  <c r="E284" i="29"/>
  <c r="E285" i="29"/>
  <c r="E286" i="29"/>
  <c r="E287" i="29"/>
  <c r="E288" i="29"/>
  <c r="Q198" i="29"/>
  <c r="Q200" i="29"/>
  <c r="Q201" i="29"/>
  <c r="Q209" i="29"/>
  <c r="Q213" i="29"/>
  <c r="Q220" i="29"/>
  <c r="Q222" i="29"/>
  <c r="Q225" i="29"/>
  <c r="Q226" i="29"/>
  <c r="Q227" i="29"/>
  <c r="Q228" i="29"/>
  <c r="Q230" i="29"/>
  <c r="Q231" i="29"/>
  <c r="Q233" i="29"/>
  <c r="Q234" i="29"/>
  <c r="Q235" i="29"/>
  <c r="Q236" i="29"/>
  <c r="Q239" i="29"/>
  <c r="Q241" i="29"/>
  <c r="M199" i="29"/>
  <c r="M200" i="29"/>
  <c r="M205" i="29"/>
  <c r="M209" i="29"/>
  <c r="M221" i="29"/>
  <c r="M223" i="29"/>
  <c r="M226" i="29"/>
  <c r="M236" i="29"/>
  <c r="M237" i="29"/>
  <c r="M241" i="29"/>
  <c r="I196" i="29"/>
  <c r="I212" i="29"/>
  <c r="I215" i="29"/>
  <c r="G31" i="28"/>
  <c r="I220" i="29"/>
  <c r="I221" i="29"/>
  <c r="I226" i="29"/>
  <c r="I231" i="29"/>
  <c r="I236" i="29"/>
  <c r="I237" i="29"/>
  <c r="I238" i="29"/>
  <c r="E210" i="29"/>
  <c r="E215" i="29"/>
  <c r="E236" i="29"/>
  <c r="E238" i="29"/>
  <c r="I194" i="29"/>
  <c r="I7" i="28"/>
  <c r="Q10" i="29"/>
  <c r="Q11" i="29"/>
  <c r="Q13" i="29"/>
  <c r="Q14" i="29"/>
  <c r="Q17" i="29"/>
  <c r="M7" i="29"/>
  <c r="M8" i="29"/>
  <c r="M10" i="29"/>
  <c r="M13" i="29"/>
  <c r="M14" i="29"/>
  <c r="M17" i="29"/>
  <c r="H18" i="28"/>
  <c r="M19" i="29"/>
  <c r="H20" i="28"/>
  <c r="I8" i="29"/>
  <c r="I10" i="29"/>
  <c r="I11" i="29"/>
  <c r="I13" i="29"/>
  <c r="I14" i="29"/>
  <c r="I18" i="29"/>
  <c r="I20" i="29"/>
  <c r="F14" i="28"/>
  <c r="Q5" i="29"/>
  <c r="I5" i="29"/>
  <c r="I273" i="24"/>
  <c r="M273" i="24" s="1"/>
  <c r="O307" i="24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257" i="28"/>
  <c r="E258" i="28"/>
  <c r="E259" i="28"/>
  <c r="E260" i="28"/>
  <c r="E261" i="28"/>
  <c r="E262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I179" i="19"/>
  <c r="I180" i="19"/>
  <c r="G179" i="19"/>
  <c r="G180" i="19"/>
  <c r="G18" i="14"/>
  <c r="G19" i="14"/>
  <c r="G20" i="14"/>
  <c r="G21" i="14"/>
  <c r="G22" i="14"/>
  <c r="G23" i="14"/>
  <c r="G24" i="14"/>
  <c r="G25" i="14"/>
  <c r="G26" i="14"/>
  <c r="E18" i="14"/>
  <c r="E19" i="14"/>
  <c r="E20" i="14"/>
  <c r="E21" i="14"/>
  <c r="E22" i="14"/>
  <c r="E23" i="14"/>
  <c r="E24" i="14"/>
  <c r="E25" i="14"/>
  <c r="E26" i="14"/>
  <c r="O2" i="24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202" i="24"/>
  <c r="O203" i="24"/>
  <c r="O204" i="24"/>
  <c r="O205" i="24"/>
  <c r="O206" i="24"/>
  <c r="O207" i="24"/>
  <c r="O208" i="24"/>
  <c r="O209" i="24"/>
  <c r="O210" i="24"/>
  <c r="O211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J39" i="14"/>
  <c r="H39" i="14"/>
  <c r="F39" i="14"/>
  <c r="D39" i="14"/>
  <c r="J38" i="14"/>
  <c r="H38" i="14"/>
  <c r="F38" i="14"/>
  <c r="D38" i="14"/>
  <c r="G7" i="26"/>
  <c r="H7" i="26" s="1"/>
  <c r="G8" i="26"/>
  <c r="H8" i="26" s="1"/>
  <c r="G9" i="26"/>
  <c r="H9" i="26" s="1"/>
  <c r="G10" i="26"/>
  <c r="H10" i="26" s="1"/>
  <c r="G11" i="26"/>
  <c r="H11" i="26" s="1"/>
  <c r="G12" i="26"/>
  <c r="H12" i="26"/>
  <c r="G13" i="26"/>
  <c r="H13" i="26" s="1"/>
  <c r="G14" i="26"/>
  <c r="H14" i="26" s="1"/>
  <c r="G15" i="26"/>
  <c r="H15" i="26" s="1"/>
  <c r="G16" i="26"/>
  <c r="H16" i="26" s="1"/>
  <c r="G17" i="26"/>
  <c r="H17" i="26" s="1"/>
  <c r="G18" i="26"/>
  <c r="H18" i="26" s="1"/>
  <c r="C22" i="26"/>
  <c r="H22" i="26"/>
  <c r="I22" i="26" s="1"/>
  <c r="K22" i="26"/>
  <c r="L22" i="26" s="1"/>
  <c r="C23" i="26"/>
  <c r="H23" i="26"/>
  <c r="I23" i="26" s="1"/>
  <c r="K23" i="26"/>
  <c r="L23" i="26" s="1"/>
  <c r="C24" i="26"/>
  <c r="H24" i="26"/>
  <c r="I24" i="26" s="1"/>
  <c r="K24" i="26"/>
  <c r="L24" i="26" s="1"/>
  <c r="C25" i="26"/>
  <c r="H25" i="26"/>
  <c r="I25" i="26" s="1"/>
  <c r="K25" i="26"/>
  <c r="L25" i="26" s="1"/>
  <c r="C26" i="26"/>
  <c r="H26" i="26"/>
  <c r="I26" i="26" s="1"/>
  <c r="K26" i="26"/>
  <c r="L26" i="26" s="1"/>
  <c r="C27" i="26"/>
  <c r="H27" i="26"/>
  <c r="I27" i="26" s="1"/>
  <c r="K27" i="26"/>
  <c r="L27" i="26" s="1"/>
  <c r="C28" i="26"/>
  <c r="H28" i="26"/>
  <c r="I28" i="26" s="1"/>
  <c r="K28" i="26"/>
  <c r="L28" i="26" s="1"/>
  <c r="C29" i="26"/>
  <c r="H29" i="26"/>
  <c r="I29" i="26" s="1"/>
  <c r="K29" i="26"/>
  <c r="L29" i="26" s="1"/>
  <c r="C30" i="26"/>
  <c r="H30" i="26"/>
  <c r="I30" i="26" s="1"/>
  <c r="K30" i="26"/>
  <c r="L30" i="26" s="1"/>
  <c r="C31" i="26"/>
  <c r="H31" i="26"/>
  <c r="I31" i="26" s="1"/>
  <c r="K31" i="26"/>
  <c r="L31" i="26" s="1"/>
  <c r="C32" i="26"/>
  <c r="H32" i="26"/>
  <c r="I32" i="26" s="1"/>
  <c r="K32" i="26"/>
  <c r="L32" i="26" s="1"/>
  <c r="D36" i="26"/>
  <c r="E36" i="26" s="1"/>
  <c r="D37" i="26"/>
  <c r="G37" i="26" s="1"/>
  <c r="H37" i="26" s="1"/>
  <c r="D38" i="26"/>
  <c r="M180" i="19"/>
  <c r="E97" i="19"/>
  <c r="E96" i="19"/>
  <c r="E95" i="19"/>
  <c r="AE95" i="19" s="1"/>
  <c r="E94" i="19"/>
  <c r="E93" i="19"/>
  <c r="AJ93" i="19" s="1"/>
  <c r="E92" i="19"/>
  <c r="AD92" i="19" s="1"/>
  <c r="E91" i="19"/>
  <c r="AG91" i="19" s="1"/>
  <c r="E90" i="19"/>
  <c r="AE90" i="19" s="1"/>
  <c r="D97" i="19"/>
  <c r="D96" i="19"/>
  <c r="D95" i="19"/>
  <c r="D94" i="19"/>
  <c r="D93" i="19"/>
  <c r="D92" i="19"/>
  <c r="D91" i="19"/>
  <c r="D90" i="19"/>
  <c r="C37" i="14"/>
  <c r="E308" i="29" s="1"/>
  <c r="P260" i="29"/>
  <c r="C32" i="14"/>
  <c r="D256" i="29" s="1"/>
  <c r="C31" i="14"/>
  <c r="I26" i="14"/>
  <c r="C26" i="14"/>
  <c r="I25" i="14"/>
  <c r="C25" i="14"/>
  <c r="I24" i="14"/>
  <c r="C24" i="14"/>
  <c r="I23" i="14"/>
  <c r="C23" i="14"/>
  <c r="I22" i="14"/>
  <c r="C22" i="14"/>
  <c r="I21" i="14"/>
  <c r="C21" i="14"/>
  <c r="I20" i="14"/>
  <c r="C20" i="14"/>
  <c r="D89" i="29" s="1"/>
  <c r="I19" i="14"/>
  <c r="C19" i="14"/>
  <c r="I18" i="14"/>
  <c r="C18" i="14"/>
  <c r="J37" i="14"/>
  <c r="H37" i="14"/>
  <c r="F37" i="14"/>
  <c r="D37" i="14"/>
  <c r="J36" i="14"/>
  <c r="H36" i="14"/>
  <c r="F36" i="14"/>
  <c r="D36" i="14"/>
  <c r="J35" i="14"/>
  <c r="H35" i="14"/>
  <c r="F35" i="14"/>
  <c r="D35" i="14"/>
  <c r="J34" i="14"/>
  <c r="H34" i="14"/>
  <c r="F34" i="14"/>
  <c r="D34" i="14"/>
  <c r="J33" i="14"/>
  <c r="H33" i="14"/>
  <c r="F33" i="14"/>
  <c r="D33" i="14"/>
  <c r="J32" i="14"/>
  <c r="H32" i="14"/>
  <c r="F32" i="14"/>
  <c r="D32" i="14"/>
  <c r="J31" i="14"/>
  <c r="H31" i="14"/>
  <c r="F31" i="14"/>
  <c r="D31" i="14"/>
  <c r="J30" i="14"/>
  <c r="H30" i="14"/>
  <c r="F30" i="14"/>
  <c r="D30" i="14"/>
  <c r="J29" i="14"/>
  <c r="H29" i="14"/>
  <c r="F29" i="14"/>
  <c r="D29" i="14"/>
  <c r="J28" i="14"/>
  <c r="H28" i="14"/>
  <c r="F28" i="14"/>
  <c r="D28" i="14"/>
  <c r="J27" i="14"/>
  <c r="H27" i="14"/>
  <c r="F27" i="14"/>
  <c r="D27" i="14"/>
  <c r="J26" i="14"/>
  <c r="H26" i="14"/>
  <c r="F26" i="14"/>
  <c r="D26" i="14"/>
  <c r="J25" i="14"/>
  <c r="H25" i="14"/>
  <c r="F25" i="14"/>
  <c r="D25" i="14"/>
  <c r="J24" i="14"/>
  <c r="H24" i="14"/>
  <c r="F24" i="14"/>
  <c r="D24" i="14"/>
  <c r="J23" i="14"/>
  <c r="H23" i="14"/>
  <c r="F23" i="14"/>
  <c r="D23" i="14"/>
  <c r="J22" i="14"/>
  <c r="H22" i="14"/>
  <c r="F22" i="14"/>
  <c r="D22" i="14"/>
  <c r="J21" i="14"/>
  <c r="H21" i="14"/>
  <c r="F21" i="14"/>
  <c r="D21" i="14"/>
  <c r="J20" i="14"/>
  <c r="H20" i="14"/>
  <c r="F20" i="14"/>
  <c r="D20" i="14"/>
  <c r="J19" i="14"/>
  <c r="H19" i="14"/>
  <c r="F19" i="14"/>
  <c r="D19" i="14"/>
  <c r="J18" i="14"/>
  <c r="H18" i="14"/>
  <c r="F18" i="14"/>
  <c r="D18" i="14"/>
  <c r="J17" i="14"/>
  <c r="H17" i="14"/>
  <c r="F17" i="14"/>
  <c r="D17" i="14"/>
  <c r="F140" i="19"/>
  <c r="F139" i="19"/>
  <c r="F129" i="19"/>
  <c r="F127" i="19"/>
  <c r="F138" i="19"/>
  <c r="F137" i="19"/>
  <c r="F136" i="19"/>
  <c r="F135" i="19"/>
  <c r="F134" i="19"/>
  <c r="F133" i="19"/>
  <c r="F132" i="19"/>
  <c r="F131" i="19"/>
  <c r="F130" i="19"/>
  <c r="F128" i="19"/>
  <c r="F126" i="19"/>
  <c r="F125" i="19"/>
  <c r="G82" i="32" l="1"/>
  <c r="F5" i="28"/>
  <c r="E228" i="29"/>
  <c r="G74" i="32"/>
  <c r="E232" i="29"/>
  <c r="E220" i="29"/>
  <c r="E217" i="29"/>
  <c r="G81" i="32"/>
  <c r="E216" i="29"/>
  <c r="E209" i="29"/>
  <c r="G243" i="32"/>
  <c r="K36" i="15"/>
  <c r="K35" i="32" s="1"/>
  <c r="K63" i="15"/>
  <c r="K63" i="32" s="1"/>
  <c r="G22" i="32"/>
  <c r="K164" i="15"/>
  <c r="K169" i="32" s="1"/>
  <c r="G6" i="32"/>
  <c r="G75" i="32"/>
  <c r="G161" i="32"/>
  <c r="G166" i="32"/>
  <c r="K135" i="15"/>
  <c r="K138" i="32" s="1"/>
  <c r="K137" i="15"/>
  <c r="K140" i="32" s="1"/>
  <c r="K245" i="15"/>
  <c r="K256" i="32" s="1"/>
  <c r="G230" i="32"/>
  <c r="K8" i="15"/>
  <c r="K6" i="32" s="1"/>
  <c r="K139" i="15"/>
  <c r="K142" i="32" s="1"/>
  <c r="G31" i="32"/>
  <c r="G216" i="32"/>
  <c r="G219" i="32"/>
  <c r="E20" i="29"/>
  <c r="E230" i="29"/>
  <c r="G34" i="32"/>
  <c r="K18" i="15"/>
  <c r="K16" i="32" s="1"/>
  <c r="G29" i="32"/>
  <c r="K21" i="15"/>
  <c r="K19" i="32" s="1"/>
  <c r="J123" i="32"/>
  <c r="J36" i="32"/>
  <c r="L46" i="15"/>
  <c r="L45" i="32" s="1"/>
  <c r="Q18" i="29"/>
  <c r="Q140" i="15"/>
  <c r="Q64" i="15"/>
  <c r="P61" i="15"/>
  <c r="P8" i="15"/>
  <c r="H6" i="32"/>
  <c r="H22" i="32"/>
  <c r="I31" i="32"/>
  <c r="J39" i="32"/>
  <c r="G46" i="32"/>
  <c r="I126" i="32"/>
  <c r="G191" i="32"/>
  <c r="J250" i="32"/>
  <c r="I290" i="32"/>
  <c r="L28" i="15"/>
  <c r="L27" i="32" s="1"/>
  <c r="M60" i="15"/>
  <c r="M60" i="32" s="1"/>
  <c r="L89" i="15"/>
  <c r="L90" i="32" s="1"/>
  <c r="M225" i="29"/>
  <c r="Q197" i="29"/>
  <c r="P267" i="15"/>
  <c r="Q238" i="15"/>
  <c r="R235" i="15"/>
  <c r="R158" i="15"/>
  <c r="Q124" i="15"/>
  <c r="P117" i="15"/>
  <c r="P64" i="15"/>
  <c r="R54" i="15"/>
  <c r="I6" i="32"/>
  <c r="I13" i="32"/>
  <c r="I44" i="32"/>
  <c r="H70" i="32"/>
  <c r="G107" i="32"/>
  <c r="G116" i="32"/>
  <c r="H129" i="32"/>
  <c r="H166" i="32"/>
  <c r="H242" i="32"/>
  <c r="N15" i="15"/>
  <c r="N13" i="32" s="1"/>
  <c r="N31" i="15"/>
  <c r="N30" i="32" s="1"/>
  <c r="K61" i="15"/>
  <c r="K61" i="32" s="1"/>
  <c r="N97" i="32"/>
  <c r="J15" i="32"/>
  <c r="H29" i="32"/>
  <c r="G57" i="32"/>
  <c r="K14" i="15"/>
  <c r="K12" i="32" s="1"/>
  <c r="D51" i="29"/>
  <c r="I9" i="29"/>
  <c r="Q15" i="29"/>
  <c r="I232" i="29"/>
  <c r="Q235" i="15"/>
  <c r="R232" i="15"/>
  <c r="R151" i="15"/>
  <c r="R127" i="15"/>
  <c r="Q88" i="15"/>
  <c r="R67" i="15"/>
  <c r="Q54" i="15"/>
  <c r="Q19" i="15"/>
  <c r="R16" i="15"/>
  <c r="I18" i="32"/>
  <c r="G25" i="32"/>
  <c r="G79" i="32"/>
  <c r="I103" i="32"/>
  <c r="I110" i="32"/>
  <c r="I116" i="32"/>
  <c r="I129" i="32"/>
  <c r="G137" i="32"/>
  <c r="I166" i="32"/>
  <c r="G196" i="32"/>
  <c r="I242" i="32"/>
  <c r="K16" i="15"/>
  <c r="K14" i="32" s="1"/>
  <c r="M48" i="15"/>
  <c r="M47" i="32" s="1"/>
  <c r="L61" i="15"/>
  <c r="L61" i="32" s="1"/>
  <c r="L97" i="15"/>
  <c r="L98" i="32" s="1"/>
  <c r="M265" i="15"/>
  <c r="M277" i="32" s="1"/>
  <c r="P274" i="15"/>
  <c r="Q205" i="15"/>
  <c r="Q182" i="15"/>
  <c r="P134" i="15"/>
  <c r="Q50" i="15"/>
  <c r="R32" i="15"/>
  <c r="G9" i="32"/>
  <c r="I25" i="32"/>
  <c r="J93" i="32"/>
  <c r="H119" i="32"/>
  <c r="I162" i="32"/>
  <c r="G189" i="32"/>
  <c r="I216" i="32"/>
  <c r="I245" i="32"/>
  <c r="H257" i="32"/>
  <c r="M32" i="15"/>
  <c r="M31" i="32" s="1"/>
  <c r="M163" i="15"/>
  <c r="M168" i="32" s="1"/>
  <c r="P75" i="29"/>
  <c r="E224" i="29"/>
  <c r="M207" i="29"/>
  <c r="Q208" i="15"/>
  <c r="P182" i="15"/>
  <c r="R29" i="15"/>
  <c r="Q7" i="15"/>
  <c r="H9" i="32"/>
  <c r="J25" i="32"/>
  <c r="I37" i="32"/>
  <c r="I51" i="32"/>
  <c r="I77" i="32"/>
  <c r="J122" i="32"/>
  <c r="J162" i="32"/>
  <c r="I169" i="32"/>
  <c r="I257" i="32"/>
  <c r="H271" i="32"/>
  <c r="L7" i="15"/>
  <c r="L5" i="32" s="1"/>
  <c r="M19" i="15"/>
  <c r="M17" i="32" s="1"/>
  <c r="N33" i="15"/>
  <c r="N32" i="32" s="1"/>
  <c r="L137" i="15"/>
  <c r="L140" i="32" s="1"/>
  <c r="N163" i="15"/>
  <c r="N168" i="32" s="1"/>
  <c r="N233" i="32"/>
  <c r="I7" i="29"/>
  <c r="J23" i="32"/>
  <c r="R102" i="15"/>
  <c r="E10" i="29"/>
  <c r="I262" i="28"/>
  <c r="H117" i="32"/>
  <c r="I200" i="32"/>
  <c r="G267" i="32"/>
  <c r="N21" i="15"/>
  <c r="N19" i="32" s="1"/>
  <c r="L51" i="15"/>
  <c r="L51" i="32" s="1"/>
  <c r="L106" i="15"/>
  <c r="L108" i="32" s="1"/>
  <c r="Q102" i="15"/>
  <c r="J28" i="32"/>
  <c r="G40" i="32"/>
  <c r="M20" i="15"/>
  <c r="M18" i="32" s="1"/>
  <c r="J14" i="32"/>
  <c r="G117" i="32"/>
  <c r="M50" i="15"/>
  <c r="M50" i="32" s="1"/>
  <c r="N204" i="32"/>
  <c r="Q214" i="29"/>
  <c r="P106" i="15"/>
  <c r="Q31" i="15"/>
  <c r="I43" i="32"/>
  <c r="I64" i="32"/>
  <c r="J71" i="32"/>
  <c r="I138" i="32"/>
  <c r="J200" i="32"/>
  <c r="G203" i="32"/>
  <c r="I217" i="32"/>
  <c r="J230" i="32"/>
  <c r="J246" i="32"/>
  <c r="K247" i="15"/>
  <c r="K258" i="32" s="1"/>
  <c r="H35" i="29"/>
  <c r="M12" i="29"/>
  <c r="I211" i="29"/>
  <c r="R55" i="15"/>
  <c r="Q48" i="15"/>
  <c r="P31" i="15"/>
  <c r="R28" i="15"/>
  <c r="H10" i="32"/>
  <c r="G54" i="32"/>
  <c r="H97" i="32"/>
  <c r="G176" i="32"/>
  <c r="G276" i="32"/>
  <c r="I278" i="32"/>
  <c r="M9" i="15"/>
  <c r="M7" i="32" s="1"/>
  <c r="M76" i="15"/>
  <c r="M77" i="32" s="1"/>
  <c r="M121" i="32"/>
  <c r="K230" i="15"/>
  <c r="K240" i="32" s="1"/>
  <c r="L247" i="15"/>
  <c r="L258" i="32" s="1"/>
  <c r="E241" i="29"/>
  <c r="Q212" i="29"/>
  <c r="R236" i="15"/>
  <c r="R193" i="15"/>
  <c r="P190" i="15"/>
  <c r="R108" i="15"/>
  <c r="P55" i="15"/>
  <c r="P41" i="15"/>
  <c r="H52" i="32"/>
  <c r="I54" i="32"/>
  <c r="G78" i="32"/>
  <c r="G109" i="32"/>
  <c r="H123" i="32"/>
  <c r="J150" i="32"/>
  <c r="G155" i="32"/>
  <c r="H276" i="32"/>
  <c r="K52" i="15"/>
  <c r="K52" i="32" s="1"/>
  <c r="L122" i="32"/>
  <c r="K154" i="15"/>
  <c r="K158" i="32" s="1"/>
  <c r="G32" i="32"/>
  <c r="G146" i="32"/>
  <c r="N235" i="32"/>
  <c r="H30" i="32"/>
  <c r="E240" i="29"/>
  <c r="Q260" i="15"/>
  <c r="P196" i="15"/>
  <c r="R135" i="15"/>
  <c r="Q108" i="15"/>
  <c r="R58" i="15"/>
  <c r="Q44" i="15"/>
  <c r="J10" i="32"/>
  <c r="I52" i="32"/>
  <c r="I89" i="32"/>
  <c r="I123" i="32"/>
  <c r="H155" i="32"/>
  <c r="G198" i="32"/>
  <c r="I274" i="32"/>
  <c r="I276" i="32"/>
  <c r="L11" i="15"/>
  <c r="L9" i="32" s="1"/>
  <c r="L26" i="15"/>
  <c r="L25" i="32" s="1"/>
  <c r="N126" i="32"/>
  <c r="K179" i="15"/>
  <c r="K185" i="32" s="1"/>
  <c r="L207" i="15"/>
  <c r="L215" i="32" s="1"/>
  <c r="M168" i="15"/>
  <c r="M173" i="32" s="1"/>
  <c r="I173" i="32"/>
  <c r="L162" i="15"/>
  <c r="L167" i="32" s="1"/>
  <c r="H167" i="32"/>
  <c r="N161" i="32"/>
  <c r="J161" i="32"/>
  <c r="R113" i="15"/>
  <c r="N113" i="15"/>
  <c r="N115" i="32" s="1"/>
  <c r="J115" i="32"/>
  <c r="Q91" i="15"/>
  <c r="I92" i="32"/>
  <c r="M91" i="15"/>
  <c r="M92" i="32" s="1"/>
  <c r="L88" i="15"/>
  <c r="L89" i="32" s="1"/>
  <c r="H89" i="32"/>
  <c r="H83" i="32"/>
  <c r="L82" i="15"/>
  <c r="L83" i="32" s="1"/>
  <c r="G80" i="32"/>
  <c r="K79" i="15"/>
  <c r="K80" i="32" s="1"/>
  <c r="K40" i="15"/>
  <c r="K39" i="32" s="1"/>
  <c r="G39" i="32"/>
  <c r="L33" i="15"/>
  <c r="L32" i="32" s="1"/>
  <c r="H32" i="32"/>
  <c r="K20" i="15"/>
  <c r="K18" i="32" s="1"/>
  <c r="G18" i="32"/>
  <c r="R237" i="15"/>
  <c r="N247" i="32"/>
  <c r="J247" i="32"/>
  <c r="N201" i="32"/>
  <c r="J201" i="32"/>
  <c r="R194" i="15"/>
  <c r="N176" i="32"/>
  <c r="J176" i="32"/>
  <c r="L168" i="15"/>
  <c r="L173" i="32" s="1"/>
  <c r="H173" i="32"/>
  <c r="P168" i="15"/>
  <c r="K165" i="15"/>
  <c r="K170" i="32" s="1"/>
  <c r="G170" i="32"/>
  <c r="K162" i="15"/>
  <c r="K167" i="32" s="1"/>
  <c r="G167" i="32"/>
  <c r="M125" i="32"/>
  <c r="I125" i="32"/>
  <c r="Q123" i="15"/>
  <c r="L91" i="15"/>
  <c r="L92" i="32" s="1"/>
  <c r="H92" i="32"/>
  <c r="P91" i="15"/>
  <c r="K88" i="15"/>
  <c r="K89" i="32" s="1"/>
  <c r="G89" i="32"/>
  <c r="K82" i="15"/>
  <c r="K83" i="32" s="1"/>
  <c r="G83" i="32"/>
  <c r="L43" i="15"/>
  <c r="L42" i="32" s="1"/>
  <c r="H42" i="32"/>
  <c r="P43" i="15"/>
  <c r="R39" i="15"/>
  <c r="N39" i="15"/>
  <c r="N38" i="32" s="1"/>
  <c r="J38" i="32"/>
  <c r="M36" i="15"/>
  <c r="M35" i="32" s="1"/>
  <c r="I35" i="32"/>
  <c r="M30" i="15"/>
  <c r="M29" i="32" s="1"/>
  <c r="I29" i="32"/>
  <c r="M27" i="15"/>
  <c r="M26" i="32" s="1"/>
  <c r="I26" i="32"/>
  <c r="G23" i="32"/>
  <c r="K24" i="15"/>
  <c r="K23" i="32" s="1"/>
  <c r="J198" i="32"/>
  <c r="G286" i="32"/>
  <c r="K273" i="15"/>
  <c r="K286" i="32" s="1"/>
  <c r="Q240" i="15"/>
  <c r="M250" i="32"/>
  <c r="I250" i="32"/>
  <c r="I204" i="32"/>
  <c r="Q197" i="15"/>
  <c r="M197" i="15"/>
  <c r="M204" i="32" s="1"/>
  <c r="M194" i="15"/>
  <c r="M201" i="32" s="1"/>
  <c r="I201" i="32"/>
  <c r="M191" i="15"/>
  <c r="M198" i="32" s="1"/>
  <c r="Q191" i="15"/>
  <c r="R178" i="15"/>
  <c r="J184" i="32"/>
  <c r="M176" i="32"/>
  <c r="I176" i="32"/>
  <c r="Q171" i="15"/>
  <c r="R126" i="15"/>
  <c r="N128" i="32"/>
  <c r="J128" i="32"/>
  <c r="P123" i="15"/>
  <c r="L125" i="32"/>
  <c r="H125" i="32"/>
  <c r="N95" i="32"/>
  <c r="J95" i="32"/>
  <c r="R94" i="15"/>
  <c r="K43" i="15"/>
  <c r="K42" i="32" s="1"/>
  <c r="G42" i="32"/>
  <c r="M46" i="15"/>
  <c r="M45" i="32" s="1"/>
  <c r="P197" i="15"/>
  <c r="L197" i="15"/>
  <c r="L204" i="32" s="1"/>
  <c r="H204" i="32"/>
  <c r="H201" i="32"/>
  <c r="L194" i="15"/>
  <c r="L201" i="32" s="1"/>
  <c r="P194" i="15"/>
  <c r="N181" i="15"/>
  <c r="N187" i="32" s="1"/>
  <c r="R181" i="15"/>
  <c r="J187" i="32"/>
  <c r="M178" i="15"/>
  <c r="M184" i="32" s="1"/>
  <c r="I184" i="32"/>
  <c r="I128" i="32"/>
  <c r="M128" i="32"/>
  <c r="Q109" i="15"/>
  <c r="M109" i="15"/>
  <c r="M111" i="32" s="1"/>
  <c r="I111" i="32"/>
  <c r="J50" i="32"/>
  <c r="R50" i="15"/>
  <c r="M16" i="15"/>
  <c r="M14" i="32" s="1"/>
  <c r="Q16" i="15"/>
  <c r="I12" i="24"/>
  <c r="M12" i="24" s="1"/>
  <c r="I14" i="32"/>
  <c r="K276" i="15"/>
  <c r="K289" i="32" s="1"/>
  <c r="G289" i="32"/>
  <c r="H207" i="32"/>
  <c r="P200" i="15"/>
  <c r="K197" i="15"/>
  <c r="K204" i="32" s="1"/>
  <c r="G204" i="32"/>
  <c r="L190" i="32"/>
  <c r="H190" i="32"/>
  <c r="M181" i="15"/>
  <c r="M187" i="32" s="1"/>
  <c r="I187" i="32"/>
  <c r="Q181" i="15"/>
  <c r="M130" i="15"/>
  <c r="M133" i="32" s="1"/>
  <c r="I133" i="32"/>
  <c r="Q130" i="15"/>
  <c r="H128" i="32"/>
  <c r="P126" i="15"/>
  <c r="L128" i="32"/>
  <c r="R122" i="15"/>
  <c r="J124" i="32"/>
  <c r="N124" i="32"/>
  <c r="L121" i="32"/>
  <c r="H121" i="32"/>
  <c r="P119" i="15"/>
  <c r="N112" i="15"/>
  <c r="N114" i="32" s="1"/>
  <c r="R112" i="15"/>
  <c r="J114" i="32"/>
  <c r="L109" i="15"/>
  <c r="L111" i="32" s="1"/>
  <c r="H111" i="32"/>
  <c r="P109" i="15"/>
  <c r="K46" i="15"/>
  <c r="K45" i="32" s="1"/>
  <c r="G45" i="32"/>
  <c r="K39" i="15"/>
  <c r="K38" i="32" s="1"/>
  <c r="G38" i="32"/>
  <c r="K272" i="15"/>
  <c r="K285" i="32" s="1"/>
  <c r="G285" i="32"/>
  <c r="L210" i="15"/>
  <c r="L218" i="32" s="1"/>
  <c r="H218" i="32"/>
  <c r="P210" i="15"/>
  <c r="I199" i="29"/>
  <c r="K150" i="15"/>
  <c r="K154" i="32" s="1"/>
  <c r="G154" i="32"/>
  <c r="P145" i="15"/>
  <c r="L148" i="32"/>
  <c r="H148" i="32"/>
  <c r="M144" i="32"/>
  <c r="I144" i="32"/>
  <c r="Q141" i="15"/>
  <c r="Q125" i="15"/>
  <c r="M127" i="32"/>
  <c r="I127" i="32"/>
  <c r="M69" i="15"/>
  <c r="M69" i="32" s="1"/>
  <c r="I69" i="32"/>
  <c r="Q69" i="15"/>
  <c r="M62" i="15"/>
  <c r="M62" i="32" s="1"/>
  <c r="I62" i="32"/>
  <c r="Q62" i="15"/>
  <c r="P59" i="15"/>
  <c r="L59" i="15"/>
  <c r="L59" i="32" s="1"/>
  <c r="H59" i="32"/>
  <c r="K53" i="15"/>
  <c r="K53" i="32" s="1"/>
  <c r="G53" i="32"/>
  <c r="L45" i="15"/>
  <c r="L44" i="32" s="1"/>
  <c r="H44" i="32"/>
  <c r="N125" i="32"/>
  <c r="J125" i="32"/>
  <c r="L210" i="32"/>
  <c r="H210" i="32"/>
  <c r="P203" i="15"/>
  <c r="L130" i="15"/>
  <c r="L133" i="32" s="1"/>
  <c r="H133" i="32"/>
  <c r="K210" i="32"/>
  <c r="G210" i="32"/>
  <c r="M148" i="32"/>
  <c r="Q145" i="15"/>
  <c r="G133" i="32"/>
  <c r="K130" i="15"/>
  <c r="K133" i="32" s="1"/>
  <c r="K56" i="15"/>
  <c r="K56" i="32" s="1"/>
  <c r="G56" i="32"/>
  <c r="L221" i="32"/>
  <c r="P213" i="15"/>
  <c r="H221" i="32"/>
  <c r="I202" i="29"/>
  <c r="K210" i="15"/>
  <c r="K218" i="32" s="1"/>
  <c r="E199" i="29"/>
  <c r="R206" i="15"/>
  <c r="N214" i="32"/>
  <c r="J214" i="32"/>
  <c r="J156" i="32"/>
  <c r="N156" i="32"/>
  <c r="L144" i="32"/>
  <c r="H144" i="32"/>
  <c r="P141" i="15"/>
  <c r="J141" i="32"/>
  <c r="N141" i="32"/>
  <c r="M77" i="15"/>
  <c r="M78" i="32" s="1"/>
  <c r="I78" i="32"/>
  <c r="L69" i="15"/>
  <c r="L69" i="32" s="1"/>
  <c r="H69" i="32"/>
  <c r="P69" i="15"/>
  <c r="J65" i="32"/>
  <c r="R65" i="15"/>
  <c r="P62" i="15"/>
  <c r="L62" i="15"/>
  <c r="L62" i="32" s="1"/>
  <c r="H62" i="32"/>
  <c r="K59" i="15"/>
  <c r="K59" i="32" s="1"/>
  <c r="G59" i="32"/>
  <c r="G90" i="32"/>
  <c r="G263" i="32"/>
  <c r="L217" i="15"/>
  <c r="L226" i="32" s="1"/>
  <c r="P217" i="15"/>
  <c r="H226" i="32"/>
  <c r="L209" i="32"/>
  <c r="P202" i="15"/>
  <c r="H209" i="32"/>
  <c r="G165" i="32"/>
  <c r="K160" i="15"/>
  <c r="K165" i="32" s="1"/>
  <c r="L152" i="15"/>
  <c r="L156" i="32" s="1"/>
  <c r="H156" i="32"/>
  <c r="P152" i="15"/>
  <c r="I135" i="32"/>
  <c r="M132" i="15"/>
  <c r="M135" i="32" s="1"/>
  <c r="L80" i="15"/>
  <c r="L81" i="32" s="1"/>
  <c r="H81" i="32"/>
  <c r="R73" i="15"/>
  <c r="N73" i="15"/>
  <c r="N74" i="32" s="1"/>
  <c r="J74" i="32"/>
  <c r="L197" i="29"/>
  <c r="P197" i="29"/>
  <c r="G207" i="32"/>
  <c r="K207" i="32"/>
  <c r="L133" i="15"/>
  <c r="L136" i="32" s="1"/>
  <c r="H136" i="32"/>
  <c r="I53" i="32"/>
  <c r="Q53" i="15"/>
  <c r="M53" i="15"/>
  <c r="M53" i="32" s="1"/>
  <c r="K136" i="15"/>
  <c r="K139" i="32" s="1"/>
  <c r="G139" i="32"/>
  <c r="J62" i="32"/>
  <c r="R62" i="15"/>
  <c r="P42" i="15"/>
  <c r="L42" i="15"/>
  <c r="L41" i="32" s="1"/>
  <c r="H41" i="32"/>
  <c r="G288" i="32"/>
  <c r="K275" i="15"/>
  <c r="K288" i="32" s="1"/>
  <c r="N153" i="32"/>
  <c r="J153" i="32"/>
  <c r="R149" i="15"/>
  <c r="L77" i="15"/>
  <c r="L78" i="32" s="1"/>
  <c r="P77" i="15"/>
  <c r="H78" i="32"/>
  <c r="K278" i="15"/>
  <c r="K291" i="32" s="1"/>
  <c r="G291" i="32"/>
  <c r="R225" i="15"/>
  <c r="J234" i="32"/>
  <c r="N228" i="32"/>
  <c r="Q207" i="29"/>
  <c r="K206" i="15"/>
  <c r="K214" i="32" s="1"/>
  <c r="G214" i="32"/>
  <c r="E195" i="29"/>
  <c r="K166" i="15"/>
  <c r="K171" i="32" s="1"/>
  <c r="G171" i="32"/>
  <c r="L155" i="15"/>
  <c r="L159" i="32" s="1"/>
  <c r="H159" i="32"/>
  <c r="G141" i="32"/>
  <c r="K138" i="15"/>
  <c r="K141" i="32" s="1"/>
  <c r="M55" i="15"/>
  <c r="M55" i="32" s="1"/>
  <c r="I55" i="32"/>
  <c r="N248" i="32"/>
  <c r="J248" i="32"/>
  <c r="R238" i="15"/>
  <c r="P209" i="15"/>
  <c r="H217" i="32"/>
  <c r="L209" i="15"/>
  <c r="L217" i="32" s="1"/>
  <c r="I198" i="29"/>
  <c r="G147" i="32"/>
  <c r="K147" i="32"/>
  <c r="N143" i="32"/>
  <c r="J143" i="32"/>
  <c r="N140" i="32"/>
  <c r="J140" i="32"/>
  <c r="P92" i="15"/>
  <c r="L92" i="15"/>
  <c r="L93" i="32" s="1"/>
  <c r="H93" i="32"/>
  <c r="L68" i="15"/>
  <c r="L68" i="32" s="1"/>
  <c r="H68" i="32"/>
  <c r="P68" i="15"/>
  <c r="I148" i="32"/>
  <c r="N234" i="32"/>
  <c r="K188" i="15"/>
  <c r="K195" i="32" s="1"/>
  <c r="G195" i="32"/>
  <c r="M124" i="32"/>
  <c r="I124" i="32"/>
  <c r="Q122" i="15"/>
  <c r="K207" i="15"/>
  <c r="K215" i="32" s="1"/>
  <c r="G215" i="32"/>
  <c r="E196" i="29"/>
  <c r="N144" i="32"/>
  <c r="J144" i="32"/>
  <c r="R141" i="15"/>
  <c r="K133" i="15"/>
  <c r="K136" i="32" s="1"/>
  <c r="G136" i="32"/>
  <c r="L53" i="15"/>
  <c r="L53" i="32" s="1"/>
  <c r="P53" i="15"/>
  <c r="H53" i="32"/>
  <c r="N231" i="32"/>
  <c r="J231" i="32"/>
  <c r="K217" i="15"/>
  <c r="K226" i="32" s="1"/>
  <c r="E205" i="29"/>
  <c r="K209" i="32"/>
  <c r="G209" i="32"/>
  <c r="L147" i="32"/>
  <c r="H147" i="32"/>
  <c r="P144" i="15"/>
  <c r="L135" i="15"/>
  <c r="L138" i="32" s="1"/>
  <c r="H138" i="32"/>
  <c r="P135" i="15"/>
  <c r="G65" i="32"/>
  <c r="K65" i="15"/>
  <c r="K65" i="32" s="1"/>
  <c r="M58" i="15"/>
  <c r="M58" i="32" s="1"/>
  <c r="I58" i="32"/>
  <c r="L263" i="32"/>
  <c r="H263" i="32"/>
  <c r="P252" i="15"/>
  <c r="P249" i="15"/>
  <c r="L249" i="15"/>
  <c r="L260" i="32" s="1"/>
  <c r="H260" i="32"/>
  <c r="E231" i="29"/>
  <c r="K246" i="15"/>
  <c r="K257" i="32" s="1"/>
  <c r="Q215" i="15"/>
  <c r="M223" i="32"/>
  <c r="I223" i="32"/>
  <c r="M204" i="29"/>
  <c r="K209" i="15"/>
  <c r="K217" i="32" s="1"/>
  <c r="G217" i="32"/>
  <c r="E198" i="29"/>
  <c r="L169" i="15"/>
  <c r="L174" i="32" s="1"/>
  <c r="H174" i="32"/>
  <c r="P169" i="15"/>
  <c r="P162" i="15"/>
  <c r="J96" i="32"/>
  <c r="R95" i="15"/>
  <c r="N96" i="32"/>
  <c r="K92" i="15"/>
  <c r="K93" i="32" s="1"/>
  <c r="G93" i="32"/>
  <c r="P88" i="15"/>
  <c r="P82" i="15"/>
  <c r="P76" i="15"/>
  <c r="L76" i="15"/>
  <c r="L77" i="32" s="1"/>
  <c r="K68" i="15"/>
  <c r="K68" i="32" s="1"/>
  <c r="G68" i="32"/>
  <c r="G86" i="32"/>
  <c r="L207" i="32"/>
  <c r="G190" i="32"/>
  <c r="K190" i="32"/>
  <c r="K121" i="32"/>
  <c r="G121" i="32"/>
  <c r="N197" i="32"/>
  <c r="J197" i="32"/>
  <c r="R190" i="15"/>
  <c r="M59" i="15"/>
  <c r="M59" i="32" s="1"/>
  <c r="I59" i="32"/>
  <c r="K221" i="32"/>
  <c r="G221" i="32"/>
  <c r="E202" i="29"/>
  <c r="N159" i="32"/>
  <c r="R155" i="15"/>
  <c r="J159" i="32"/>
  <c r="M130" i="32"/>
  <c r="I130" i="32"/>
  <c r="Q128" i="15"/>
  <c r="P59" i="29"/>
  <c r="K263" i="15"/>
  <c r="K275" i="32" s="1"/>
  <c r="G275" i="32"/>
  <c r="M266" i="32"/>
  <c r="I266" i="32"/>
  <c r="K249" i="15"/>
  <c r="K260" i="32" s="1"/>
  <c r="G260" i="32"/>
  <c r="I253" i="32"/>
  <c r="M242" i="15"/>
  <c r="M253" i="32" s="1"/>
  <c r="K225" i="15"/>
  <c r="K234" i="32" s="1"/>
  <c r="G234" i="32"/>
  <c r="K222" i="15"/>
  <c r="K231" i="32" s="1"/>
  <c r="G231" i="32"/>
  <c r="K219" i="15"/>
  <c r="K228" i="32" s="1"/>
  <c r="E207" i="29"/>
  <c r="L223" i="32"/>
  <c r="I204" i="29"/>
  <c r="H223" i="32"/>
  <c r="P215" i="15"/>
  <c r="E201" i="29"/>
  <c r="K212" i="15"/>
  <c r="K220" i="32" s="1"/>
  <c r="G220" i="32"/>
  <c r="K169" i="15"/>
  <c r="K174" i="32" s="1"/>
  <c r="G174" i="32"/>
  <c r="R110" i="15"/>
  <c r="N110" i="15"/>
  <c r="N112" i="32" s="1"/>
  <c r="J112" i="32"/>
  <c r="I96" i="32"/>
  <c r="Q95" i="15"/>
  <c r="M95" i="15"/>
  <c r="M96" i="32" s="1"/>
  <c r="K76" i="15"/>
  <c r="K77" i="32" s="1"/>
  <c r="G77" i="32"/>
  <c r="Q17" i="15"/>
  <c r="M17" i="15"/>
  <c r="M15" i="32" s="1"/>
  <c r="M16" i="29"/>
  <c r="I15" i="32"/>
  <c r="M269" i="32"/>
  <c r="I269" i="32"/>
  <c r="I240" i="29"/>
  <c r="H266" i="32"/>
  <c r="P255" i="15"/>
  <c r="K237" i="32"/>
  <c r="G237" i="32"/>
  <c r="L191" i="32"/>
  <c r="H191" i="32"/>
  <c r="P185" i="15"/>
  <c r="N182" i="15"/>
  <c r="N188" i="32" s="1"/>
  <c r="J188" i="32"/>
  <c r="G162" i="32"/>
  <c r="K158" i="15"/>
  <c r="K162" i="32" s="1"/>
  <c r="K119" i="32"/>
  <c r="G119" i="32"/>
  <c r="I112" i="32"/>
  <c r="M110" i="15"/>
  <c r="M112" i="32" s="1"/>
  <c r="M98" i="15"/>
  <c r="M99" i="32" s="1"/>
  <c r="Q98" i="15"/>
  <c r="I99" i="32"/>
  <c r="P95" i="15"/>
  <c r="H96" i="32"/>
  <c r="L95" i="15"/>
  <c r="L96" i="32" s="1"/>
  <c r="P79" i="15"/>
  <c r="H80" i="32"/>
  <c r="L40" i="15"/>
  <c r="L39" i="32" s="1"/>
  <c r="P40" i="15"/>
  <c r="H39" i="32"/>
  <c r="Q36" i="15"/>
  <c r="M33" i="15"/>
  <c r="M32" i="32" s="1"/>
  <c r="Q33" i="15"/>
  <c r="I32" i="32"/>
  <c r="Q30" i="15"/>
  <c r="K28" i="15"/>
  <c r="K27" i="32" s="1"/>
  <c r="G27" i="32"/>
  <c r="M24" i="15"/>
  <c r="M23" i="32" s="1"/>
  <c r="I23" i="32"/>
  <c r="P20" i="15"/>
  <c r="I19" i="29"/>
  <c r="H18" i="32"/>
  <c r="H15" i="32"/>
  <c r="L17" i="15"/>
  <c r="L15" i="32" s="1"/>
  <c r="I16" i="29"/>
  <c r="P17" i="15"/>
  <c r="K122" i="32"/>
  <c r="M272" i="15"/>
  <c r="M285" i="32" s="1"/>
  <c r="I285" i="32"/>
  <c r="P268" i="15"/>
  <c r="L268" i="15"/>
  <c r="L280" i="32" s="1"/>
  <c r="H280" i="32"/>
  <c r="H277" i="32"/>
  <c r="L265" i="15"/>
  <c r="L277" i="32" s="1"/>
  <c r="L262" i="15"/>
  <c r="L274" i="32" s="1"/>
  <c r="H274" i="32"/>
  <c r="L269" i="32"/>
  <c r="H269" i="32"/>
  <c r="P258" i="15"/>
  <c r="M245" i="15"/>
  <c r="M256" i="32" s="1"/>
  <c r="I256" i="32"/>
  <c r="R212" i="15"/>
  <c r="N220" i="32"/>
  <c r="J220" i="32"/>
  <c r="R202" i="15"/>
  <c r="J209" i="32"/>
  <c r="N209" i="32"/>
  <c r="G177" i="32"/>
  <c r="K177" i="32"/>
  <c r="R165" i="15"/>
  <c r="N165" i="15"/>
  <c r="N170" i="32" s="1"/>
  <c r="J170" i="32"/>
  <c r="N162" i="15"/>
  <c r="N167" i="32" s="1"/>
  <c r="J167" i="32"/>
  <c r="G156" i="32"/>
  <c r="K152" i="15"/>
  <c r="K156" i="32" s="1"/>
  <c r="M149" i="15"/>
  <c r="M153" i="32" s="1"/>
  <c r="I153" i="32"/>
  <c r="N147" i="32"/>
  <c r="J147" i="32"/>
  <c r="R144" i="15"/>
  <c r="K144" i="32"/>
  <c r="G144" i="32"/>
  <c r="M138" i="15"/>
  <c r="M141" i="32" s="1"/>
  <c r="I141" i="32"/>
  <c r="K125" i="32"/>
  <c r="G125" i="32"/>
  <c r="N121" i="32"/>
  <c r="J121" i="32"/>
  <c r="M113" i="15"/>
  <c r="M115" i="32" s="1"/>
  <c r="I115" i="32"/>
  <c r="L104" i="15"/>
  <c r="L106" i="32" s="1"/>
  <c r="H106" i="32"/>
  <c r="P98" i="15"/>
  <c r="L98" i="15"/>
  <c r="L99" i="32" s="1"/>
  <c r="K95" i="15"/>
  <c r="K96" i="32" s="1"/>
  <c r="G96" i="32"/>
  <c r="N85" i="15"/>
  <c r="N86" i="32" s="1"/>
  <c r="J86" i="32"/>
  <c r="Q73" i="15"/>
  <c r="M73" i="15"/>
  <c r="M74" i="32" s="1"/>
  <c r="I74" i="32"/>
  <c r="I65" i="32"/>
  <c r="M65" i="15"/>
  <c r="M65" i="32" s="1"/>
  <c r="Q65" i="15"/>
  <c r="Q52" i="15"/>
  <c r="L50" i="15"/>
  <c r="L50" i="32" s="1"/>
  <c r="H50" i="32"/>
  <c r="Q39" i="15"/>
  <c r="M39" i="15"/>
  <c r="M38" i="32" s="1"/>
  <c r="L36" i="15"/>
  <c r="L35" i="32" s="1"/>
  <c r="H35" i="32"/>
  <c r="G44" i="32"/>
  <c r="N146" i="32"/>
  <c r="L278" i="15"/>
  <c r="L291" i="32" s="1"/>
  <c r="H291" i="32"/>
  <c r="P275" i="15"/>
  <c r="L275" i="15"/>
  <c r="L288" i="32" s="1"/>
  <c r="H288" i="32"/>
  <c r="L272" i="15"/>
  <c r="L285" i="32" s="1"/>
  <c r="H285" i="32"/>
  <c r="P272" i="15"/>
  <c r="K268" i="15"/>
  <c r="K280" i="32" s="1"/>
  <c r="G280" i="32"/>
  <c r="K265" i="15"/>
  <c r="K277" i="32" s="1"/>
  <c r="G277" i="32"/>
  <c r="K262" i="15"/>
  <c r="K274" i="32" s="1"/>
  <c r="G274" i="32"/>
  <c r="K269" i="32"/>
  <c r="E243" i="29"/>
  <c r="L245" i="15"/>
  <c r="L256" i="32" s="1"/>
  <c r="H256" i="32"/>
  <c r="G242" i="32"/>
  <c r="K232" i="15"/>
  <c r="K242" i="32" s="1"/>
  <c r="L237" i="32"/>
  <c r="H237" i="32"/>
  <c r="L222" i="15"/>
  <c r="L231" i="32" s="1"/>
  <c r="H231" i="32"/>
  <c r="P219" i="15"/>
  <c r="I207" i="29"/>
  <c r="L219" i="15"/>
  <c r="L228" i="32" s="1"/>
  <c r="J223" i="32"/>
  <c r="Q204" i="29"/>
  <c r="M212" i="15"/>
  <c r="M220" i="32" s="1"/>
  <c r="I220" i="32"/>
  <c r="P206" i="15"/>
  <c r="L206" i="15"/>
  <c r="L214" i="32" s="1"/>
  <c r="H214" i="32"/>
  <c r="I209" i="32"/>
  <c r="M209" i="32"/>
  <c r="R199" i="15"/>
  <c r="N206" i="32"/>
  <c r="J206" i="32"/>
  <c r="K176" i="15"/>
  <c r="K182" i="32" s="1"/>
  <c r="G182" i="32"/>
  <c r="N168" i="15"/>
  <c r="N173" i="32" s="1"/>
  <c r="J173" i="32"/>
  <c r="M165" i="15"/>
  <c r="M170" i="32" s="1"/>
  <c r="I170" i="32"/>
  <c r="P158" i="15"/>
  <c r="H162" i="32"/>
  <c r="L158" i="15"/>
  <c r="L162" i="32" s="1"/>
  <c r="L149" i="15"/>
  <c r="L153" i="32" s="1"/>
  <c r="H153" i="32"/>
  <c r="I147" i="32"/>
  <c r="Q144" i="15"/>
  <c r="L138" i="15"/>
  <c r="L141" i="32" s="1"/>
  <c r="H141" i="32"/>
  <c r="J135" i="32"/>
  <c r="N135" i="32"/>
  <c r="I118" i="32"/>
  <c r="M118" i="32"/>
  <c r="K104" i="15"/>
  <c r="K106" i="32" s="1"/>
  <c r="G106" i="32"/>
  <c r="K98" i="15"/>
  <c r="K99" i="32" s="1"/>
  <c r="G99" i="32"/>
  <c r="M85" i="15"/>
  <c r="M86" i="32" s="1"/>
  <c r="I86" i="32"/>
  <c r="I83" i="32"/>
  <c r="M82" i="15"/>
  <c r="M83" i="32" s="1"/>
  <c r="L73" i="15"/>
  <c r="L74" i="32" s="1"/>
  <c r="H74" i="32"/>
  <c r="M68" i="15"/>
  <c r="M68" i="32" s="1"/>
  <c r="I68" i="32"/>
  <c r="Q68" i="15"/>
  <c r="P52" i="15"/>
  <c r="K50" i="15"/>
  <c r="K50" i="32" s="1"/>
  <c r="G50" i="32"/>
  <c r="Q42" i="15"/>
  <c r="I41" i="32"/>
  <c r="H38" i="32"/>
  <c r="L39" i="15"/>
  <c r="L38" i="32" s="1"/>
  <c r="P39" i="15"/>
  <c r="I38" i="32"/>
  <c r="I42" i="32"/>
  <c r="I84" i="32"/>
  <c r="G114" i="32"/>
  <c r="I228" i="32"/>
  <c r="G278" i="32"/>
  <c r="M7" i="15"/>
  <c r="M5" i="32" s="1"/>
  <c r="P16" i="15"/>
  <c r="L16" i="15"/>
  <c r="L14" i="32" s="1"/>
  <c r="M244" i="15"/>
  <c r="M255" i="32" s="1"/>
  <c r="Q244" i="15"/>
  <c r="Q237" i="15"/>
  <c r="I247" i="32"/>
  <c r="L178" i="15"/>
  <c r="L184" i="32" s="1"/>
  <c r="H184" i="32"/>
  <c r="P171" i="15"/>
  <c r="L176" i="32"/>
  <c r="L130" i="32"/>
  <c r="H130" i="32"/>
  <c r="H124" i="32"/>
  <c r="L124" i="32"/>
  <c r="K109" i="15"/>
  <c r="K111" i="32" s="1"/>
  <c r="G111" i="32"/>
  <c r="N101" i="32"/>
  <c r="J101" i="32"/>
  <c r="M71" i="15"/>
  <c r="M71" i="32" s="1"/>
  <c r="Q71" i="15"/>
  <c r="Q9" i="29"/>
  <c r="N10" i="15"/>
  <c r="N8" i="32" s="1"/>
  <c r="J8" i="32"/>
  <c r="I255" i="32"/>
  <c r="L244" i="15"/>
  <c r="L255" i="32" s="1"/>
  <c r="P244" i="15"/>
  <c r="N241" i="32"/>
  <c r="J241" i="32"/>
  <c r="R208" i="15"/>
  <c r="J216" i="32"/>
  <c r="K178" i="15"/>
  <c r="K184" i="32" s="1"/>
  <c r="G184" i="32"/>
  <c r="L150" i="32"/>
  <c r="P147" i="15"/>
  <c r="K127" i="32"/>
  <c r="G127" i="32"/>
  <c r="P112" i="15"/>
  <c r="L112" i="15"/>
  <c r="L114" i="32" s="1"/>
  <c r="H114" i="32"/>
  <c r="I98" i="32"/>
  <c r="M97" i="15"/>
  <c r="M98" i="32" s="1"/>
  <c r="M61" i="15"/>
  <c r="M61" i="32" s="1"/>
  <c r="I61" i="32"/>
  <c r="M10" i="15"/>
  <c r="M8" i="32" s="1"/>
  <c r="I8" i="32"/>
  <c r="I231" i="32"/>
  <c r="I12" i="29"/>
  <c r="L291" i="29"/>
  <c r="D291" i="29"/>
  <c r="K244" i="15"/>
  <c r="K255" i="32" s="1"/>
  <c r="E229" i="29"/>
  <c r="K237" i="15"/>
  <c r="K247" i="32" s="1"/>
  <c r="E223" i="29"/>
  <c r="G247" i="32"/>
  <c r="I244" i="32"/>
  <c r="M220" i="29"/>
  <c r="M231" i="15"/>
  <c r="M241" i="32" s="1"/>
  <c r="I241" i="32"/>
  <c r="M217" i="29"/>
  <c r="N236" i="32"/>
  <c r="Q215" i="29"/>
  <c r="M208" i="32"/>
  <c r="I208" i="32"/>
  <c r="Q201" i="15"/>
  <c r="N205" i="32"/>
  <c r="R198" i="15"/>
  <c r="K190" i="15"/>
  <c r="K197" i="32" s="1"/>
  <c r="G197" i="32"/>
  <c r="N192" i="32"/>
  <c r="J192" i="32"/>
  <c r="L175" i="15"/>
  <c r="L181" i="32" s="1"/>
  <c r="H181" i="32"/>
  <c r="J172" i="32"/>
  <c r="N167" i="15"/>
  <c r="N172" i="32" s="1"/>
  <c r="G150" i="32"/>
  <c r="K150" i="32"/>
  <c r="L146" i="32"/>
  <c r="H146" i="32"/>
  <c r="K143" i="32"/>
  <c r="G143" i="32"/>
  <c r="M120" i="32"/>
  <c r="I120" i="32"/>
  <c r="Q118" i="15"/>
  <c r="L100" i="15"/>
  <c r="L101" i="32" s="1"/>
  <c r="H101" i="32"/>
  <c r="K94" i="15"/>
  <c r="K95" i="32" s="1"/>
  <c r="G95" i="32"/>
  <c r="Q84" i="15"/>
  <c r="I85" i="32"/>
  <c r="M84" i="15"/>
  <c r="M85" i="32" s="1"/>
  <c r="M75" i="15"/>
  <c r="M76" i="32" s="1"/>
  <c r="Q75" i="15"/>
  <c r="G71" i="32"/>
  <c r="K71" i="15"/>
  <c r="K71" i="32" s="1"/>
  <c r="P48" i="15"/>
  <c r="L48" i="15"/>
  <c r="L47" i="32" s="1"/>
  <c r="H47" i="32"/>
  <c r="L35" i="15"/>
  <c r="L34" i="32" s="1"/>
  <c r="H34" i="32"/>
  <c r="P35" i="15"/>
  <c r="P29" i="15"/>
  <c r="L29" i="15"/>
  <c r="L28" i="32" s="1"/>
  <c r="H28" i="32"/>
  <c r="K13" i="15"/>
  <c r="K11" i="32" s="1"/>
  <c r="G11" i="32"/>
  <c r="L10" i="15"/>
  <c r="L8" i="32" s="1"/>
  <c r="H8" i="32"/>
  <c r="H57" i="32"/>
  <c r="G62" i="32"/>
  <c r="I70" i="32"/>
  <c r="I76" i="32"/>
  <c r="J89" i="32"/>
  <c r="I161" i="32"/>
  <c r="I234" i="32"/>
  <c r="G244" i="32"/>
  <c r="N87" i="15"/>
  <c r="N88" i="32" s="1"/>
  <c r="M106" i="15"/>
  <c r="M108" i="32" s="1"/>
  <c r="L237" i="15"/>
  <c r="L247" i="32" s="1"/>
  <c r="L58" i="15"/>
  <c r="L58" i="32" s="1"/>
  <c r="H58" i="32"/>
  <c r="L250" i="32"/>
  <c r="H250" i="32"/>
  <c r="P240" i="15"/>
  <c r="E204" i="29"/>
  <c r="K223" i="32"/>
  <c r="G223" i="32"/>
  <c r="M190" i="15"/>
  <c r="M197" i="32" s="1"/>
  <c r="I197" i="32"/>
  <c r="Q190" i="15"/>
  <c r="L181" i="15"/>
  <c r="L187" i="32" s="1"/>
  <c r="H187" i="32"/>
  <c r="N175" i="15"/>
  <c r="N181" i="32" s="1"/>
  <c r="J181" i="32"/>
  <c r="M150" i="32"/>
  <c r="I150" i="32"/>
  <c r="Q147" i="15"/>
  <c r="K132" i="15"/>
  <c r="K135" i="32" s="1"/>
  <c r="G135" i="32"/>
  <c r="H127" i="32"/>
  <c r="L127" i="32"/>
  <c r="M112" i="15"/>
  <c r="M114" i="32" s="1"/>
  <c r="Q112" i="15"/>
  <c r="I114" i="32"/>
  <c r="R106" i="15"/>
  <c r="J108" i="32"/>
  <c r="N106" i="15"/>
  <c r="N108" i="32" s="1"/>
  <c r="J98" i="32"/>
  <c r="N98" i="32"/>
  <c r="J5" i="32"/>
  <c r="Q6" i="29"/>
  <c r="K250" i="32"/>
  <c r="G250" i="32"/>
  <c r="N244" i="32"/>
  <c r="J244" i="32"/>
  <c r="K193" i="15"/>
  <c r="K200" i="32" s="1"/>
  <c r="G200" i="32"/>
  <c r="K181" i="15"/>
  <c r="K187" i="32" s="1"/>
  <c r="G187" i="32"/>
  <c r="M175" i="15"/>
  <c r="M181" i="32" s="1"/>
  <c r="I181" i="32"/>
  <c r="I146" i="32"/>
  <c r="M146" i="32"/>
  <c r="L143" i="32"/>
  <c r="H143" i="32"/>
  <c r="K130" i="32"/>
  <c r="G130" i="32"/>
  <c r="M115" i="15"/>
  <c r="M117" i="32" s="1"/>
  <c r="Q115" i="15"/>
  <c r="I117" i="32"/>
  <c r="Q100" i="15"/>
  <c r="M100" i="15"/>
  <c r="M101" i="32" s="1"/>
  <c r="I101" i="32"/>
  <c r="L94" i="15"/>
  <c r="L95" i="32" s="1"/>
  <c r="H95" i="32"/>
  <c r="N91" i="32"/>
  <c r="J91" i="32"/>
  <c r="N84" i="15"/>
  <c r="N85" i="32" s="1"/>
  <c r="J85" i="32"/>
  <c r="D251" i="29"/>
  <c r="R239" i="15"/>
  <c r="N249" i="32"/>
  <c r="J249" i="32"/>
  <c r="L234" i="15"/>
  <c r="L244" i="32" s="1"/>
  <c r="H244" i="32"/>
  <c r="H241" i="32"/>
  <c r="L231" i="15"/>
  <c r="L241" i="32" s="1"/>
  <c r="M236" i="32"/>
  <c r="I236" i="32"/>
  <c r="M215" i="29"/>
  <c r="M224" i="15"/>
  <c r="M233" i="32" s="1"/>
  <c r="I233" i="32"/>
  <c r="M221" i="15"/>
  <c r="M230" i="32" s="1"/>
  <c r="I230" i="32"/>
  <c r="N222" i="32"/>
  <c r="J222" i="32"/>
  <c r="Q203" i="29"/>
  <c r="R214" i="15"/>
  <c r="H208" i="32"/>
  <c r="L208" i="32"/>
  <c r="P201" i="15"/>
  <c r="I205" i="32"/>
  <c r="M205" i="32"/>
  <c r="M192" i="32"/>
  <c r="I192" i="32"/>
  <c r="N183" i="15"/>
  <c r="N189" i="32" s="1"/>
  <c r="J189" i="32"/>
  <c r="J183" i="32"/>
  <c r="N177" i="15"/>
  <c r="N183" i="32" s="1"/>
  <c r="K175" i="15"/>
  <c r="K181" i="32" s="1"/>
  <c r="G181" i="32"/>
  <c r="I172" i="32"/>
  <c r="M167" i="15"/>
  <c r="M172" i="32" s="1"/>
  <c r="Q167" i="15"/>
  <c r="R156" i="15"/>
  <c r="J160" i="32"/>
  <c r="N160" i="32"/>
  <c r="N149" i="32"/>
  <c r="J149" i="32"/>
  <c r="R131" i="15"/>
  <c r="N134" i="32"/>
  <c r="J134" i="32"/>
  <c r="L120" i="32"/>
  <c r="H120" i="32"/>
  <c r="P118" i="15"/>
  <c r="K106" i="15"/>
  <c r="K108" i="32" s="1"/>
  <c r="G108" i="32"/>
  <c r="K97" i="15"/>
  <c r="K98" i="32" s="1"/>
  <c r="G98" i="32"/>
  <c r="L90" i="15"/>
  <c r="L91" i="32" s="1"/>
  <c r="H91" i="32"/>
  <c r="P87" i="15"/>
  <c r="L87" i="15"/>
  <c r="L88" i="32" s="1"/>
  <c r="H88" i="32"/>
  <c r="L75" i="15"/>
  <c r="L76" i="32" s="1"/>
  <c r="H76" i="32"/>
  <c r="P75" i="15"/>
  <c r="Q67" i="15"/>
  <c r="M67" i="15"/>
  <c r="M67" i="32" s="1"/>
  <c r="M57" i="15"/>
  <c r="M57" i="32" s="1"/>
  <c r="I57" i="32"/>
  <c r="K29" i="15"/>
  <c r="K28" i="32" s="1"/>
  <c r="G28" i="32"/>
  <c r="M21" i="15"/>
  <c r="M19" i="32" s="1"/>
  <c r="I19" i="32"/>
  <c r="Q21" i="15"/>
  <c r="N18" i="15"/>
  <c r="N16" i="32" s="1"/>
  <c r="J16" i="32"/>
  <c r="G8" i="32"/>
  <c r="K10" i="15"/>
  <c r="K8" i="32" s="1"/>
  <c r="K7" i="15"/>
  <c r="K5" i="32" s="1"/>
  <c r="G5" i="32"/>
  <c r="G37" i="32"/>
  <c r="G41" i="32"/>
  <c r="G64" i="32"/>
  <c r="H99" i="32"/>
  <c r="G159" i="32"/>
  <c r="H197" i="32"/>
  <c r="G202" i="32"/>
  <c r="J219" i="32"/>
  <c r="G264" i="32"/>
  <c r="L65" i="15"/>
  <c r="L65" i="32" s="1"/>
  <c r="L108" i="15"/>
  <c r="L110" i="32" s="1"/>
  <c r="M237" i="15"/>
  <c r="M247" i="32" s="1"/>
  <c r="M250" i="15"/>
  <c r="M261" i="32" s="1"/>
  <c r="I261" i="32"/>
  <c r="M235" i="29"/>
  <c r="M247" i="15"/>
  <c r="M258" i="32" s="1"/>
  <c r="I258" i="32"/>
  <c r="M249" i="32"/>
  <c r="I249" i="32"/>
  <c r="L224" i="15"/>
  <c r="L233" i="32" s="1"/>
  <c r="H233" i="32"/>
  <c r="L221" i="15"/>
  <c r="L230" i="32" s="1"/>
  <c r="I209" i="29"/>
  <c r="M222" i="32"/>
  <c r="I222" i="32"/>
  <c r="K208" i="32"/>
  <c r="G208" i="32"/>
  <c r="P198" i="15"/>
  <c r="H205" i="32"/>
  <c r="L205" i="32"/>
  <c r="N202" i="32"/>
  <c r="J202" i="32"/>
  <c r="R192" i="15"/>
  <c r="N199" i="32"/>
  <c r="J199" i="32"/>
  <c r="L192" i="32"/>
  <c r="H192" i="32"/>
  <c r="M183" i="15"/>
  <c r="M189" i="32" s="1"/>
  <c r="I189" i="32"/>
  <c r="R174" i="15"/>
  <c r="N174" i="15"/>
  <c r="N180" i="32" s="1"/>
  <c r="N175" i="32"/>
  <c r="J175" i="32"/>
  <c r="H172" i="32"/>
  <c r="L167" i="15"/>
  <c r="L172" i="32" s="1"/>
  <c r="I160" i="32"/>
  <c r="Q156" i="15"/>
  <c r="M156" i="15"/>
  <c r="M160" i="32" s="1"/>
  <c r="N157" i="32"/>
  <c r="J157" i="32"/>
  <c r="M149" i="32"/>
  <c r="I149" i="32"/>
  <c r="K120" i="32"/>
  <c r="G120" i="32"/>
  <c r="M93" i="15"/>
  <c r="M94" i="32" s="1"/>
  <c r="I94" i="32"/>
  <c r="K90" i="15"/>
  <c r="K91" i="32" s="1"/>
  <c r="G91" i="32"/>
  <c r="H79" i="32"/>
  <c r="P78" i="15"/>
  <c r="L78" i="15"/>
  <c r="L79" i="32" s="1"/>
  <c r="K75" i="15"/>
  <c r="K76" i="32" s="1"/>
  <c r="G76" i="32"/>
  <c r="L44" i="15"/>
  <c r="L43" i="32" s="1"/>
  <c r="P44" i="15"/>
  <c r="N34" i="15"/>
  <c r="N33" i="32" s="1"/>
  <c r="R34" i="15"/>
  <c r="J33" i="32"/>
  <c r="N25" i="15"/>
  <c r="N24" i="32" s="1"/>
  <c r="J24" i="32"/>
  <c r="H19" i="32"/>
  <c r="L21" i="15"/>
  <c r="L19" i="32" s="1"/>
  <c r="M18" i="15"/>
  <c r="M16" i="32" s="1"/>
  <c r="I16" i="32"/>
  <c r="H37" i="32"/>
  <c r="I39" i="32"/>
  <c r="H43" i="32"/>
  <c r="G55" i="32"/>
  <c r="H64" i="32"/>
  <c r="J78" i="32"/>
  <c r="J205" i="32"/>
  <c r="J217" i="32"/>
  <c r="H264" i="32"/>
  <c r="G266" i="32"/>
  <c r="N108" i="15"/>
  <c r="N110" i="32" s="1"/>
  <c r="K153" i="15"/>
  <c r="K157" i="32" s="1"/>
  <c r="K168" i="15"/>
  <c r="K173" i="32" s="1"/>
  <c r="Q266" i="15"/>
  <c r="M267" i="32"/>
  <c r="I267" i="32"/>
  <c r="L250" i="15"/>
  <c r="L261" i="32" s="1"/>
  <c r="H261" i="32"/>
  <c r="L249" i="32"/>
  <c r="H249" i="32"/>
  <c r="N243" i="32"/>
  <c r="J243" i="32"/>
  <c r="K236" i="32"/>
  <c r="G236" i="32"/>
  <c r="K224" i="15"/>
  <c r="K233" i="32" s="1"/>
  <c r="G233" i="32"/>
  <c r="K218" i="15"/>
  <c r="K227" i="32" s="1"/>
  <c r="G227" i="32"/>
  <c r="P207" i="15"/>
  <c r="K205" i="15"/>
  <c r="K213" i="32" s="1"/>
  <c r="E194" i="29"/>
  <c r="G213" i="32"/>
  <c r="G205" i="32"/>
  <c r="K205" i="32"/>
  <c r="Q195" i="15"/>
  <c r="M195" i="15"/>
  <c r="M202" i="32" s="1"/>
  <c r="I202" i="32"/>
  <c r="I199" i="32"/>
  <c r="M192" i="15"/>
  <c r="M199" i="32" s="1"/>
  <c r="M180" i="15"/>
  <c r="M186" i="32" s="1"/>
  <c r="I186" i="32"/>
  <c r="L177" i="15"/>
  <c r="L183" i="32" s="1"/>
  <c r="H183" i="32"/>
  <c r="M174" i="15"/>
  <c r="M180" i="32" s="1"/>
  <c r="Q174" i="15"/>
  <c r="M175" i="32"/>
  <c r="I175" i="32"/>
  <c r="Q170" i="15"/>
  <c r="L156" i="15"/>
  <c r="L160" i="32" s="1"/>
  <c r="H160" i="32"/>
  <c r="P156" i="15"/>
  <c r="M153" i="15"/>
  <c r="M157" i="32" s="1"/>
  <c r="I157" i="32"/>
  <c r="L149" i="32"/>
  <c r="H149" i="32"/>
  <c r="R142" i="15"/>
  <c r="N145" i="32"/>
  <c r="J145" i="32"/>
  <c r="K123" i="32"/>
  <c r="G123" i="32"/>
  <c r="J113" i="32"/>
  <c r="N111" i="15"/>
  <c r="N113" i="32" s="1"/>
  <c r="N83" i="15"/>
  <c r="N84" i="32" s="1"/>
  <c r="R83" i="15"/>
  <c r="K67" i="15"/>
  <c r="K67" i="32" s="1"/>
  <c r="G67" i="32"/>
  <c r="M47" i="15"/>
  <c r="M46" i="32" s="1"/>
  <c r="Q47" i="15"/>
  <c r="I46" i="32"/>
  <c r="K44" i="15"/>
  <c r="K43" i="32" s="1"/>
  <c r="G43" i="32"/>
  <c r="Q40" i="15"/>
  <c r="Q34" i="15"/>
  <c r="M34" i="15"/>
  <c r="M33" i="32" s="1"/>
  <c r="I33" i="32"/>
  <c r="Q25" i="15"/>
  <c r="M25" i="15"/>
  <c r="M24" i="32" s="1"/>
  <c r="I24" i="32"/>
  <c r="H11" i="32"/>
  <c r="G180" i="32"/>
  <c r="H227" i="32"/>
  <c r="I264" i="32"/>
  <c r="M42" i="15"/>
  <c r="M41" i="32" s="1"/>
  <c r="N137" i="32"/>
  <c r="M269" i="15"/>
  <c r="M281" i="32" s="1"/>
  <c r="I281" i="32"/>
  <c r="I270" i="32"/>
  <c r="M270" i="32"/>
  <c r="L267" i="32"/>
  <c r="I241" i="29"/>
  <c r="H267" i="32"/>
  <c r="K250" i="15"/>
  <c r="K261" i="32" s="1"/>
  <c r="G261" i="32"/>
  <c r="P243" i="15"/>
  <c r="L243" i="15"/>
  <c r="L254" i="32" s="1"/>
  <c r="H254" i="32"/>
  <c r="P236" i="15"/>
  <c r="L236" i="15"/>
  <c r="L246" i="32" s="1"/>
  <c r="H246" i="32"/>
  <c r="Q233" i="15"/>
  <c r="M233" i="15"/>
  <c r="M243" i="32" s="1"/>
  <c r="I243" i="32"/>
  <c r="R226" i="15"/>
  <c r="Q196" i="29"/>
  <c r="N215" i="32"/>
  <c r="J215" i="32"/>
  <c r="R207" i="15"/>
  <c r="L195" i="15"/>
  <c r="L202" i="32" s="1"/>
  <c r="H202" i="32"/>
  <c r="L192" i="15"/>
  <c r="L199" i="32" s="1"/>
  <c r="H199" i="32"/>
  <c r="I196" i="32"/>
  <c r="M189" i="15"/>
  <c r="M196" i="32" s="1"/>
  <c r="L180" i="15"/>
  <c r="L186" i="32" s="1"/>
  <c r="H186" i="32"/>
  <c r="K177" i="15"/>
  <c r="K183" i="32" s="1"/>
  <c r="G183" i="32"/>
  <c r="L175" i="32"/>
  <c r="H175" i="32"/>
  <c r="N160" i="15"/>
  <c r="N165" i="32" s="1"/>
  <c r="J165" i="32"/>
  <c r="R160" i="15"/>
  <c r="K156" i="15"/>
  <c r="K160" i="32" s="1"/>
  <c r="G160" i="32"/>
  <c r="P153" i="15"/>
  <c r="L153" i="15"/>
  <c r="L157" i="32" s="1"/>
  <c r="N154" i="32"/>
  <c r="J154" i="32"/>
  <c r="K149" i="32"/>
  <c r="G149" i="32"/>
  <c r="Q142" i="15"/>
  <c r="I145" i="32"/>
  <c r="M145" i="32"/>
  <c r="L126" i="32"/>
  <c r="P124" i="15"/>
  <c r="R114" i="15"/>
  <c r="N114" i="15"/>
  <c r="N116" i="32" s="1"/>
  <c r="J116" i="32"/>
  <c r="N105" i="15"/>
  <c r="N107" i="32" s="1"/>
  <c r="J107" i="32"/>
  <c r="N100" i="32"/>
  <c r="J100" i="32"/>
  <c r="R77" i="15"/>
  <c r="N74" i="15"/>
  <c r="N75" i="32" s="1"/>
  <c r="J75" i="32"/>
  <c r="K70" i="15"/>
  <c r="K70" i="32" s="1"/>
  <c r="G70" i="32"/>
  <c r="R66" i="15"/>
  <c r="Q63" i="15"/>
  <c r="M63" i="15"/>
  <c r="M63" i="32" s="1"/>
  <c r="P47" i="15"/>
  <c r="L47" i="15"/>
  <c r="L46" i="32" s="1"/>
  <c r="H33" i="32"/>
  <c r="P34" i="15"/>
  <c r="P6" i="15"/>
  <c r="L6" i="15"/>
  <c r="L4" i="32" s="1"/>
  <c r="I11" i="32"/>
  <c r="J64" i="32"/>
  <c r="I66" i="32"/>
  <c r="J94" i="32"/>
  <c r="I137" i="32"/>
  <c r="H180" i="32"/>
  <c r="H200" i="32"/>
  <c r="J210" i="32"/>
  <c r="I215" i="32"/>
  <c r="I254" i="32"/>
  <c r="M90" i="15"/>
  <c r="M91" i="32" s="1"/>
  <c r="K111" i="15"/>
  <c r="K113" i="32" s="1"/>
  <c r="M218" i="15"/>
  <c r="M227" i="32" s="1"/>
  <c r="I289" i="32"/>
  <c r="M276" i="15"/>
  <c r="M289" i="32" s="1"/>
  <c r="M273" i="15"/>
  <c r="M286" i="32" s="1"/>
  <c r="I286" i="32"/>
  <c r="L269" i="15"/>
  <c r="L281" i="32" s="1"/>
  <c r="H281" i="32"/>
  <c r="P266" i="15"/>
  <c r="H278" i="32"/>
  <c r="L266" i="15"/>
  <c r="L278" i="32" s="1"/>
  <c r="M263" i="15"/>
  <c r="M275" i="32" s="1"/>
  <c r="I275" i="32"/>
  <c r="L270" i="32"/>
  <c r="H270" i="32"/>
  <c r="K236" i="15"/>
  <c r="K246" i="32" s="1"/>
  <c r="G246" i="32"/>
  <c r="L233" i="15"/>
  <c r="L243" i="32" s="1"/>
  <c r="H243" i="32"/>
  <c r="P233" i="15"/>
  <c r="R230" i="15"/>
  <c r="N240" i="32"/>
  <c r="J240" i="32"/>
  <c r="N221" i="32"/>
  <c r="Q202" i="29"/>
  <c r="R210" i="15"/>
  <c r="J218" i="32"/>
  <c r="N218" i="32"/>
  <c r="H196" i="32"/>
  <c r="L189" i="15"/>
  <c r="L196" i="32" s="1"/>
  <c r="R185" i="15"/>
  <c r="N191" i="32"/>
  <c r="J191" i="32"/>
  <c r="K180" i="15"/>
  <c r="K186" i="32" s="1"/>
  <c r="G186" i="32"/>
  <c r="M166" i="15"/>
  <c r="M171" i="32" s="1"/>
  <c r="I171" i="32"/>
  <c r="Q166" i="15"/>
  <c r="P163" i="15"/>
  <c r="H168" i="32"/>
  <c r="Q160" i="15"/>
  <c r="M160" i="15"/>
  <c r="M165" i="32" s="1"/>
  <c r="I165" i="32"/>
  <c r="M150" i="15"/>
  <c r="M154" i="32" s="1"/>
  <c r="I154" i="32"/>
  <c r="L145" i="32"/>
  <c r="H145" i="32"/>
  <c r="K129" i="32"/>
  <c r="G129" i="32"/>
  <c r="K126" i="32"/>
  <c r="G126" i="32"/>
  <c r="M122" i="32"/>
  <c r="I122" i="32"/>
  <c r="N119" i="32"/>
  <c r="J119" i="32"/>
  <c r="P111" i="15"/>
  <c r="L111" i="15"/>
  <c r="L113" i="32" s="1"/>
  <c r="K108" i="15"/>
  <c r="K110" i="32" s="1"/>
  <c r="G110" i="32"/>
  <c r="M105" i="15"/>
  <c r="M107" i="32" s="1"/>
  <c r="I107" i="32"/>
  <c r="Q105" i="15"/>
  <c r="M99" i="15"/>
  <c r="M100" i="32" s="1"/>
  <c r="I100" i="32"/>
  <c r="L86" i="15"/>
  <c r="L87" i="32" s="1"/>
  <c r="H87" i="32"/>
  <c r="L83" i="15"/>
  <c r="L84" i="32" s="1"/>
  <c r="P83" i="15"/>
  <c r="H84" i="32"/>
  <c r="N80" i="15"/>
  <c r="N81" i="32" s="1"/>
  <c r="J81" i="32"/>
  <c r="M74" i="15"/>
  <c r="M75" i="32" s="1"/>
  <c r="I75" i="32"/>
  <c r="P37" i="15"/>
  <c r="L37" i="15"/>
  <c r="L36" i="32" s="1"/>
  <c r="K34" i="15"/>
  <c r="K33" i="32" s="1"/>
  <c r="G33" i="32"/>
  <c r="N20" i="15"/>
  <c r="N18" i="32" s="1"/>
  <c r="R20" i="15"/>
  <c r="K15" i="15"/>
  <c r="K13" i="32" s="1"/>
  <c r="G13" i="32"/>
  <c r="K12" i="15"/>
  <c r="K10" i="32" s="1"/>
  <c r="G10" i="32"/>
  <c r="E11" i="29"/>
  <c r="G11" i="29" s="1"/>
  <c r="K9" i="15"/>
  <c r="K7" i="32" s="1"/>
  <c r="G7" i="32"/>
  <c r="G4" i="32"/>
  <c r="K6" i="15"/>
  <c r="K4" i="32" s="1"/>
  <c r="J11" i="32"/>
  <c r="H113" i="32"/>
  <c r="I180" i="32"/>
  <c r="N118" i="32"/>
  <c r="L276" i="15"/>
  <c r="L289" i="32" s="1"/>
  <c r="H289" i="32"/>
  <c r="L273" i="15"/>
  <c r="L286" i="32" s="1"/>
  <c r="H286" i="32"/>
  <c r="K269" i="15"/>
  <c r="K281" i="32" s="1"/>
  <c r="G281" i="32"/>
  <c r="L263" i="15"/>
  <c r="L275" i="32" s="1"/>
  <c r="H275" i="32"/>
  <c r="K270" i="32"/>
  <c r="G270" i="32"/>
  <c r="M230" i="15"/>
  <c r="M240" i="32" s="1"/>
  <c r="I240" i="32"/>
  <c r="Q226" i="15"/>
  <c r="M226" i="15"/>
  <c r="M235" i="32" s="1"/>
  <c r="I235" i="32"/>
  <c r="M214" i="29"/>
  <c r="M221" i="32"/>
  <c r="I221" i="32"/>
  <c r="Q213" i="15"/>
  <c r="I218" i="32"/>
  <c r="M210" i="15"/>
  <c r="M218" i="32" s="1"/>
  <c r="Q210" i="15"/>
  <c r="M210" i="32"/>
  <c r="I210" i="32"/>
  <c r="N207" i="32"/>
  <c r="J207" i="32"/>
  <c r="Q185" i="15"/>
  <c r="I191" i="32"/>
  <c r="P166" i="15"/>
  <c r="L166" i="15"/>
  <c r="L171" i="32" s="1"/>
  <c r="H171" i="32"/>
  <c r="G168" i="32"/>
  <c r="K163" i="15"/>
  <c r="K168" i="32" s="1"/>
  <c r="L160" i="15"/>
  <c r="L165" i="32" s="1"/>
  <c r="H165" i="32"/>
  <c r="L150" i="15"/>
  <c r="L154" i="32" s="1"/>
  <c r="H154" i="32"/>
  <c r="N148" i="32"/>
  <c r="R145" i="15"/>
  <c r="M133" i="15"/>
  <c r="M136" i="32" s="1"/>
  <c r="I136" i="32"/>
  <c r="N133" i="32"/>
  <c r="R130" i="15"/>
  <c r="Q117" i="15"/>
  <c r="M119" i="32"/>
  <c r="L105" i="15"/>
  <c r="L107" i="32" s="1"/>
  <c r="H107" i="32"/>
  <c r="K86" i="15"/>
  <c r="K87" i="32" s="1"/>
  <c r="G87" i="32"/>
  <c r="K83" i="15"/>
  <c r="K84" i="32" s="1"/>
  <c r="G84" i="32"/>
  <c r="M80" i="15"/>
  <c r="M81" i="32" s="1"/>
  <c r="I81" i="32"/>
  <c r="R69" i="15"/>
  <c r="J69" i="32"/>
  <c r="L56" i="15"/>
  <c r="L56" i="32" s="1"/>
  <c r="H56" i="32"/>
  <c r="P56" i="15"/>
  <c r="R53" i="15"/>
  <c r="J53" i="32"/>
  <c r="G36" i="32"/>
  <c r="K37" i="15"/>
  <c r="K36" i="32" s="1"/>
  <c r="J92" i="32"/>
  <c r="J97" i="32"/>
  <c r="H150" i="32"/>
  <c r="H157" i="32"/>
  <c r="J180" i="32"/>
  <c r="M96" i="15"/>
  <c r="M97" i="32" s="1"/>
  <c r="N138" i="32"/>
  <c r="M225" i="15"/>
  <c r="M234" i="32" s="1"/>
  <c r="L25" i="15"/>
  <c r="L24" i="32" s="1"/>
  <c r="H24" i="32"/>
  <c r="M278" i="15"/>
  <c r="M291" i="32" s="1"/>
  <c r="I291" i="32"/>
  <c r="I288" i="32"/>
  <c r="M275" i="15"/>
  <c r="M288" i="32" s="1"/>
  <c r="M268" i="15"/>
  <c r="M280" i="32" s="1"/>
  <c r="I280" i="32"/>
  <c r="M263" i="32"/>
  <c r="I263" i="32"/>
  <c r="E225" i="29"/>
  <c r="K249" i="32"/>
  <c r="Q236" i="15"/>
  <c r="M236" i="15"/>
  <c r="M246" i="32" s="1"/>
  <c r="I246" i="32"/>
  <c r="L236" i="32"/>
  <c r="H236" i="32"/>
  <c r="L212" i="15"/>
  <c r="L220" i="32" s="1"/>
  <c r="H220" i="32"/>
  <c r="M206" i="15"/>
  <c r="M214" i="32" s="1"/>
  <c r="I214" i="32"/>
  <c r="K192" i="15"/>
  <c r="K199" i="32" s="1"/>
  <c r="G199" i="32"/>
  <c r="J196" i="32"/>
  <c r="N196" i="32"/>
  <c r="K192" i="32"/>
  <c r="G192" i="32"/>
  <c r="N180" i="15"/>
  <c r="N186" i="32" s="1"/>
  <c r="J186" i="32"/>
  <c r="Q177" i="15"/>
  <c r="I183" i="32"/>
  <c r="L165" i="15"/>
  <c r="L170" i="32" s="1"/>
  <c r="H170" i="32"/>
  <c r="M162" i="15"/>
  <c r="M167" i="32" s="1"/>
  <c r="I167" i="32"/>
  <c r="M152" i="15"/>
  <c r="M156" i="32" s="1"/>
  <c r="I156" i="32"/>
  <c r="Q137" i="15"/>
  <c r="M137" i="15"/>
  <c r="M140" i="32" s="1"/>
  <c r="L132" i="15"/>
  <c r="L135" i="32" s="1"/>
  <c r="H135" i="32"/>
  <c r="N130" i="32"/>
  <c r="J130" i="32"/>
  <c r="N127" i="32"/>
  <c r="J127" i="32"/>
  <c r="L114" i="15"/>
  <c r="L116" i="32" s="1"/>
  <c r="H116" i="32"/>
  <c r="I113" i="32"/>
  <c r="M111" i="15"/>
  <c r="M113" i="32" s="1"/>
  <c r="K100" i="15"/>
  <c r="K101" i="32" s="1"/>
  <c r="G101" i="32"/>
  <c r="L85" i="15"/>
  <c r="L86" i="32" s="1"/>
  <c r="H86" i="32"/>
  <c r="K58" i="15"/>
  <c r="K58" i="32" s="1"/>
  <c r="G58" i="32"/>
  <c r="R36" i="15"/>
  <c r="N36" i="15"/>
  <c r="N35" i="32" s="1"/>
  <c r="J35" i="32"/>
  <c r="G30" i="32"/>
  <c r="K31" i="15"/>
  <c r="K30" i="32" s="1"/>
  <c r="I27" i="32"/>
  <c r="M28" i="15"/>
  <c r="M27" i="32" s="1"/>
  <c r="K25" i="15"/>
  <c r="K24" i="32" s="1"/>
  <c r="G24" i="32"/>
  <c r="R6" i="15"/>
  <c r="N6" i="15"/>
  <c r="N4" i="32" s="1"/>
  <c r="J117" i="32"/>
  <c r="H198" i="32"/>
  <c r="I259" i="32"/>
  <c r="G284" i="32"/>
  <c r="N19" i="15"/>
  <c r="N17" i="32" s="1"/>
  <c r="K51" i="15"/>
  <c r="K51" i="32" s="1"/>
  <c r="M78" i="15"/>
  <c r="M79" i="32" s="1"/>
  <c r="K238" i="15"/>
  <c r="K248" i="32" s="1"/>
  <c r="M271" i="15"/>
  <c r="M284" i="32" s="1"/>
  <c r="I284" i="32"/>
  <c r="H253" i="32"/>
  <c r="L242" i="15"/>
  <c r="L253" i="32" s="1"/>
  <c r="N245" i="32"/>
  <c r="J245" i="32"/>
  <c r="P226" i="15"/>
  <c r="L226" i="15"/>
  <c r="L235" i="32" s="1"/>
  <c r="H235" i="32"/>
  <c r="J232" i="32"/>
  <c r="N232" i="32"/>
  <c r="J229" i="32"/>
  <c r="N229" i="32"/>
  <c r="L222" i="32"/>
  <c r="H222" i="32"/>
  <c r="M211" i="15"/>
  <c r="M219" i="32" s="1"/>
  <c r="I219" i="32"/>
  <c r="M206" i="32"/>
  <c r="I206" i="32"/>
  <c r="J185" i="32"/>
  <c r="N179" i="15"/>
  <c r="N185" i="32" s="1"/>
  <c r="K175" i="32"/>
  <c r="G175" i="32"/>
  <c r="K167" i="15"/>
  <c r="K172" i="32" s="1"/>
  <c r="G172" i="32"/>
  <c r="L157" i="15"/>
  <c r="L161" i="32" s="1"/>
  <c r="H161" i="32"/>
  <c r="N158" i="32"/>
  <c r="J158" i="32"/>
  <c r="G153" i="32"/>
  <c r="K149" i="15"/>
  <c r="K153" i="32" s="1"/>
  <c r="K145" i="32"/>
  <c r="G145" i="32"/>
  <c r="R139" i="15"/>
  <c r="N142" i="32"/>
  <c r="J142" i="32"/>
  <c r="M131" i="15"/>
  <c r="M134" i="32" s="1"/>
  <c r="I134" i="32"/>
  <c r="P116" i="15"/>
  <c r="H118" i="32"/>
  <c r="H115" i="32"/>
  <c r="L113" i="15"/>
  <c r="L115" i="32" s="1"/>
  <c r="L110" i="15"/>
  <c r="L112" i="32" s="1"/>
  <c r="H112" i="32"/>
  <c r="N107" i="15"/>
  <c r="N109" i="32" s="1"/>
  <c r="J109" i="32"/>
  <c r="L93" i="15"/>
  <c r="L94" i="32" s="1"/>
  <c r="H94" i="32"/>
  <c r="K87" i="15"/>
  <c r="K88" i="32" s="1"/>
  <c r="G88" i="32"/>
  <c r="L84" i="15"/>
  <c r="L85" i="32" s="1"/>
  <c r="H85" i="32"/>
  <c r="K69" i="15"/>
  <c r="K69" i="32" s="1"/>
  <c r="G69" i="32"/>
  <c r="K17" i="15"/>
  <c r="K15" i="32" s="1"/>
  <c r="G15" i="32"/>
  <c r="R14" i="15"/>
  <c r="N14" i="15"/>
  <c r="N12" i="32" s="1"/>
  <c r="J12" i="32"/>
  <c r="N11" i="15"/>
  <c r="N9" i="32" s="1"/>
  <c r="J9" i="32"/>
  <c r="J31" i="32"/>
  <c r="H40" i="32"/>
  <c r="G100" i="32"/>
  <c r="H203" i="32"/>
  <c r="J227" i="32"/>
  <c r="G241" i="32"/>
  <c r="I271" i="32"/>
  <c r="N38" i="15"/>
  <c r="N37" i="32" s="1"/>
  <c r="K148" i="32"/>
  <c r="P277" i="15"/>
  <c r="L277" i="15"/>
  <c r="L290" i="32" s="1"/>
  <c r="L271" i="15"/>
  <c r="L284" i="32" s="1"/>
  <c r="H284" i="32"/>
  <c r="M242" i="29"/>
  <c r="M268" i="32"/>
  <c r="I268" i="32"/>
  <c r="P251" i="15"/>
  <c r="L262" i="32"/>
  <c r="L248" i="15"/>
  <c r="L259" i="32" s="1"/>
  <c r="H259" i="32"/>
  <c r="G253" i="32"/>
  <c r="K242" i="15"/>
  <c r="K253" i="32" s="1"/>
  <c r="L238" i="15"/>
  <c r="L248" i="32" s="1"/>
  <c r="H248" i="32"/>
  <c r="N242" i="32"/>
  <c r="J242" i="32"/>
  <c r="K226" i="15"/>
  <c r="K235" i="32" s="1"/>
  <c r="G235" i="32"/>
  <c r="M223" i="15"/>
  <c r="M232" i="32" s="1"/>
  <c r="I232" i="32"/>
  <c r="M220" i="15"/>
  <c r="M229" i="32" s="1"/>
  <c r="I229" i="32"/>
  <c r="K222" i="32"/>
  <c r="G222" i="32"/>
  <c r="P211" i="15"/>
  <c r="L211" i="15"/>
  <c r="L219" i="32" s="1"/>
  <c r="L208" i="15"/>
  <c r="L216" i="32" s="1"/>
  <c r="H216" i="32"/>
  <c r="N213" i="32"/>
  <c r="J213" i="32"/>
  <c r="P199" i="15"/>
  <c r="L206" i="32"/>
  <c r="H206" i="32"/>
  <c r="N203" i="32"/>
  <c r="J203" i="32"/>
  <c r="N195" i="32"/>
  <c r="J195" i="32"/>
  <c r="I185" i="32"/>
  <c r="M179" i="15"/>
  <c r="M185" i="32" s="1"/>
  <c r="J182" i="32"/>
  <c r="N176" i="15"/>
  <c r="N182" i="32" s="1"/>
  <c r="R172" i="15"/>
  <c r="J177" i="32"/>
  <c r="N177" i="32"/>
  <c r="M154" i="15"/>
  <c r="M158" i="32" s="1"/>
  <c r="I158" i="32"/>
  <c r="Q151" i="15"/>
  <c r="M151" i="15"/>
  <c r="M155" i="32" s="1"/>
  <c r="M139" i="15"/>
  <c r="M142" i="32" s="1"/>
  <c r="I142" i="32"/>
  <c r="N139" i="32"/>
  <c r="J139" i="32"/>
  <c r="L131" i="15"/>
  <c r="L134" i="32" s="1"/>
  <c r="H134" i="32"/>
  <c r="K113" i="15"/>
  <c r="K115" i="32" s="1"/>
  <c r="G115" i="32"/>
  <c r="K110" i="15"/>
  <c r="K112" i="32" s="1"/>
  <c r="G112" i="32"/>
  <c r="M107" i="15"/>
  <c r="M109" i="32" s="1"/>
  <c r="I109" i="32"/>
  <c r="K96" i="15"/>
  <c r="K97" i="32" s="1"/>
  <c r="G97" i="32"/>
  <c r="K93" i="15"/>
  <c r="K94" i="32" s="1"/>
  <c r="G94" i="32"/>
  <c r="R89" i="15"/>
  <c r="N90" i="32"/>
  <c r="Q86" i="15"/>
  <c r="K84" i="15"/>
  <c r="K85" i="32" s="1"/>
  <c r="G85" i="32"/>
  <c r="R81" i="15"/>
  <c r="N81" i="15"/>
  <c r="N82" i="32" s="1"/>
  <c r="J82" i="32"/>
  <c r="K66" i="15"/>
  <c r="K66" i="32" s="1"/>
  <c r="G66" i="32"/>
  <c r="P54" i="15"/>
  <c r="L54" i="15"/>
  <c r="L54" i="32" s="1"/>
  <c r="H54" i="32"/>
  <c r="R23" i="15"/>
  <c r="N23" i="15"/>
  <c r="N22" i="32" s="1"/>
  <c r="J22" i="32"/>
  <c r="M14" i="15"/>
  <c r="M12" i="32" s="1"/>
  <c r="I12" i="32"/>
  <c r="M11" i="15"/>
  <c r="M9" i="32" s="1"/>
  <c r="I9" i="32"/>
  <c r="G26" i="32"/>
  <c r="I40" i="32"/>
  <c r="G47" i="32"/>
  <c r="G60" i="32"/>
  <c r="J90" i="32"/>
  <c r="H100" i="32"/>
  <c r="H188" i="32"/>
  <c r="H287" i="32"/>
  <c r="M26" i="15"/>
  <c r="M25" i="32" s="1"/>
  <c r="K118" i="32"/>
  <c r="K194" i="15"/>
  <c r="K201" i="32" s="1"/>
  <c r="I17" i="29"/>
  <c r="K277" i="15"/>
  <c r="K290" i="32" s="1"/>
  <c r="G290" i="32"/>
  <c r="K274" i="15"/>
  <c r="K287" i="32" s="1"/>
  <c r="G287" i="32"/>
  <c r="P257" i="15"/>
  <c r="H268" i="32"/>
  <c r="L268" i="32"/>
  <c r="K262" i="32"/>
  <c r="G262" i="32"/>
  <c r="K248" i="15"/>
  <c r="K259" i="32" s="1"/>
  <c r="G259" i="32"/>
  <c r="L223" i="15"/>
  <c r="L232" i="32" s="1"/>
  <c r="H232" i="32"/>
  <c r="L220" i="15"/>
  <c r="L229" i="32" s="1"/>
  <c r="H229" i="32"/>
  <c r="N226" i="32"/>
  <c r="J226" i="32"/>
  <c r="M205" i="15"/>
  <c r="M213" i="32" s="1"/>
  <c r="I213" i="32"/>
  <c r="G206" i="32"/>
  <c r="K206" i="32"/>
  <c r="Q196" i="15"/>
  <c r="M196" i="15"/>
  <c r="M203" i="32" s="1"/>
  <c r="K182" i="15"/>
  <c r="K188" i="32" s="1"/>
  <c r="G188" i="32"/>
  <c r="H185" i="32"/>
  <c r="L179" i="15"/>
  <c r="L185" i="32" s="1"/>
  <c r="I182" i="32"/>
  <c r="M176" i="15"/>
  <c r="M182" i="32" s="1"/>
  <c r="Q172" i="15"/>
  <c r="I177" i="32"/>
  <c r="M177" i="32"/>
  <c r="R163" i="15"/>
  <c r="P154" i="15"/>
  <c r="L154" i="15"/>
  <c r="L158" i="32" s="1"/>
  <c r="H158" i="32"/>
  <c r="H142" i="32"/>
  <c r="L139" i="15"/>
  <c r="L142" i="32" s="1"/>
  <c r="M136" i="15"/>
  <c r="M139" i="32" s="1"/>
  <c r="I139" i="32"/>
  <c r="K131" i="15"/>
  <c r="K134" i="32" s="1"/>
  <c r="G134" i="32"/>
  <c r="L107" i="15"/>
  <c r="L109" i="32" s="1"/>
  <c r="H109" i="32"/>
  <c r="N104" i="15"/>
  <c r="N106" i="32" s="1"/>
  <c r="J106" i="32"/>
  <c r="Q89" i="15"/>
  <c r="M89" i="15"/>
  <c r="M90" i="32" s="1"/>
  <c r="R86" i="15"/>
  <c r="N86" i="15"/>
  <c r="N87" i="32" s="1"/>
  <c r="M81" i="15"/>
  <c r="M82" i="32" s="1"/>
  <c r="I82" i="32"/>
  <c r="N78" i="15"/>
  <c r="N79" i="32" s="1"/>
  <c r="J79" i="32"/>
  <c r="Q23" i="15"/>
  <c r="M23" i="15"/>
  <c r="M22" i="32" s="1"/>
  <c r="J83" i="32"/>
  <c r="G92" i="32"/>
  <c r="I143" i="32"/>
  <c r="I188" i="32"/>
  <c r="G232" i="32"/>
  <c r="J237" i="32"/>
  <c r="H279" i="32"/>
  <c r="I287" i="32"/>
  <c r="L118" i="32"/>
  <c r="L265" i="32"/>
  <c r="K267" i="15"/>
  <c r="K279" i="32" s="1"/>
  <c r="G279" i="32"/>
  <c r="K271" i="32"/>
  <c r="G271" i="32"/>
  <c r="K268" i="32"/>
  <c r="G268" i="32"/>
  <c r="E239" i="29"/>
  <c r="K265" i="32"/>
  <c r="G265" i="32"/>
  <c r="K235" i="15"/>
  <c r="K245" i="32" s="1"/>
  <c r="G245" i="32"/>
  <c r="M237" i="32"/>
  <c r="I237" i="32"/>
  <c r="K220" i="15"/>
  <c r="K229" i="32" s="1"/>
  <c r="G229" i="32"/>
  <c r="M217" i="15"/>
  <c r="M226" i="32" s="1"/>
  <c r="I226" i="32"/>
  <c r="L205" i="15"/>
  <c r="L213" i="32" s="1"/>
  <c r="H213" i="32"/>
  <c r="N208" i="32"/>
  <c r="J208" i="32"/>
  <c r="L176" i="15"/>
  <c r="L182" i="32" s="1"/>
  <c r="H182" i="32"/>
  <c r="H177" i="32"/>
  <c r="L177" i="32"/>
  <c r="I174" i="32"/>
  <c r="M169" i="15"/>
  <c r="M174" i="32" s="1"/>
  <c r="N166" i="15"/>
  <c r="N171" i="32" s="1"/>
  <c r="J171" i="32"/>
  <c r="L136" i="15"/>
  <c r="L139" i="32" s="1"/>
  <c r="H139" i="32"/>
  <c r="N136" i="32"/>
  <c r="J136" i="32"/>
  <c r="N120" i="32"/>
  <c r="J120" i="32"/>
  <c r="R109" i="15"/>
  <c r="N109" i="15"/>
  <c r="N111" i="32" s="1"/>
  <c r="J111" i="32"/>
  <c r="M104" i="15"/>
  <c r="M106" i="32" s="1"/>
  <c r="I106" i="32"/>
  <c r="Q92" i="15"/>
  <c r="M92" i="15"/>
  <c r="M93" i="32" s="1"/>
  <c r="L81" i="15"/>
  <c r="L82" i="32" s="1"/>
  <c r="H82" i="32"/>
  <c r="Q56" i="15"/>
  <c r="M56" i="15"/>
  <c r="M56" i="32" s="1"/>
  <c r="I56" i="32"/>
  <c r="M35" i="15"/>
  <c r="M34" i="32" s="1"/>
  <c r="I34" i="32"/>
  <c r="I7" i="32"/>
  <c r="J17" i="32"/>
  <c r="H67" i="32"/>
  <c r="G254" i="32"/>
  <c r="I279" i="32"/>
  <c r="M177" i="15"/>
  <c r="M183" i="32" s="1"/>
  <c r="M265" i="32"/>
  <c r="Q6" i="15"/>
  <c r="M6" i="15"/>
  <c r="M4" i="32" s="1"/>
  <c r="G17" i="32"/>
  <c r="L9" i="15"/>
  <c r="L7" i="32" s="1"/>
  <c r="H12" i="32"/>
  <c r="K110" i="19"/>
  <c r="Q256" i="15"/>
  <c r="M239" i="29"/>
  <c r="R240" i="15"/>
  <c r="I210" i="29"/>
  <c r="P222" i="15"/>
  <c r="R220" i="15"/>
  <c r="Q208" i="29"/>
  <c r="R215" i="15"/>
  <c r="Q193" i="15"/>
  <c r="P189" i="15"/>
  <c r="R157" i="15"/>
  <c r="R132" i="15"/>
  <c r="P94" i="15"/>
  <c r="Q59" i="15"/>
  <c r="R27" i="15"/>
  <c r="F15" i="28"/>
  <c r="P7" i="15"/>
  <c r="Q265" i="15"/>
  <c r="P239" i="15"/>
  <c r="I225" i="29"/>
  <c r="P235" i="15"/>
  <c r="R233" i="15"/>
  <c r="Q219" i="29"/>
  <c r="M208" i="29"/>
  <c r="P193" i="15"/>
  <c r="R191" i="15"/>
  <c r="P174" i="15"/>
  <c r="Q157" i="15"/>
  <c r="R52" i="15"/>
  <c r="R31" i="15"/>
  <c r="Q27" i="15"/>
  <c r="P19" i="15"/>
  <c r="E13" i="29"/>
  <c r="Q248" i="15"/>
  <c r="G262" i="28"/>
  <c r="M210" i="29"/>
  <c r="Q222" i="15"/>
  <c r="R167" i="15"/>
  <c r="R146" i="15"/>
  <c r="P121" i="15"/>
  <c r="R59" i="15"/>
  <c r="Q37" i="15"/>
  <c r="H320" i="29"/>
  <c r="P320" i="29"/>
  <c r="I197" i="29"/>
  <c r="Q274" i="15"/>
  <c r="P138" i="15"/>
  <c r="Q79" i="15"/>
  <c r="R63" i="15"/>
  <c r="P27" i="15"/>
  <c r="Q153" i="15"/>
  <c r="P149" i="15"/>
  <c r="Q134" i="15"/>
  <c r="Q120" i="15"/>
  <c r="R56" i="15"/>
  <c r="R24" i="15"/>
  <c r="Q16" i="29"/>
  <c r="R17" i="15"/>
  <c r="E227" i="29"/>
  <c r="Q199" i="29"/>
  <c r="Q271" i="15"/>
  <c r="P262" i="15"/>
  <c r="M213" i="29"/>
  <c r="N213" i="29" s="1"/>
  <c r="Q219" i="15"/>
  <c r="P180" i="15"/>
  <c r="R168" i="15"/>
  <c r="P164" i="15"/>
  <c r="R137" i="15"/>
  <c r="P74" i="15"/>
  <c r="Q188" i="15"/>
  <c r="P271" i="15"/>
  <c r="I224" i="29"/>
  <c r="Q232" i="15"/>
  <c r="P225" i="15"/>
  <c r="R223" i="15"/>
  <c r="Q211" i="29"/>
  <c r="R203" i="15"/>
  <c r="Q168" i="15"/>
  <c r="Q143" i="15"/>
  <c r="Q133" i="15"/>
  <c r="R97" i="15"/>
  <c r="R93" i="15"/>
  <c r="P71" i="15"/>
  <c r="P212" i="15"/>
  <c r="I201" i="29"/>
  <c r="P70" i="15"/>
  <c r="R51" i="15"/>
  <c r="Q203" i="15"/>
  <c r="R125" i="15"/>
  <c r="P66" i="15"/>
  <c r="P46" i="15"/>
  <c r="R37" i="15"/>
  <c r="P259" i="15"/>
  <c r="H242" i="24"/>
  <c r="L242" i="24" s="1"/>
  <c r="P232" i="15"/>
  <c r="E213" i="29"/>
  <c r="Q223" i="15"/>
  <c r="M211" i="29"/>
  <c r="R175" i="15"/>
  <c r="R152" i="15"/>
  <c r="P143" i="15"/>
  <c r="P133" i="15"/>
  <c r="Q126" i="15"/>
  <c r="Q93" i="15"/>
  <c r="P86" i="15"/>
  <c r="Q163" i="15"/>
  <c r="Q46" i="15"/>
  <c r="P28" i="15"/>
  <c r="Q210" i="29"/>
  <c r="Q161" i="15"/>
  <c r="Q51" i="15"/>
  <c r="E244" i="29"/>
  <c r="P208" i="15"/>
  <c r="R147" i="15"/>
  <c r="P128" i="15"/>
  <c r="R121" i="15"/>
  <c r="R98" i="15"/>
  <c r="P93" i="15"/>
  <c r="P38" i="15"/>
  <c r="H11" i="28"/>
  <c r="Q12" i="15"/>
  <c r="Q179" i="15"/>
  <c r="Q57" i="15"/>
  <c r="E189" i="29"/>
  <c r="E197" i="29"/>
  <c r="P24" i="29"/>
  <c r="P181" i="29"/>
  <c r="I6" i="29"/>
  <c r="Q246" i="15"/>
  <c r="Q194" i="15"/>
  <c r="R169" i="15"/>
  <c r="P161" i="15"/>
  <c r="Q121" i="15"/>
  <c r="R115" i="15"/>
  <c r="R90" i="15"/>
  <c r="R84" i="15"/>
  <c r="Q66" i="15"/>
  <c r="P12" i="15"/>
  <c r="Q245" i="15"/>
  <c r="I200" i="29"/>
  <c r="P184" i="15"/>
  <c r="P155" i="15"/>
  <c r="P120" i="15"/>
  <c r="Q45" i="15"/>
  <c r="Q24" i="15"/>
  <c r="E6" i="29"/>
  <c r="M238" i="29"/>
  <c r="Q253" i="15"/>
  <c r="P245" i="15"/>
  <c r="R182" i="15"/>
  <c r="Q116" i="15"/>
  <c r="Q110" i="15"/>
  <c r="Q104" i="15"/>
  <c r="P65" i="15"/>
  <c r="P45" i="15"/>
  <c r="Q41" i="15"/>
  <c r="I219" i="29"/>
  <c r="Q262" i="15"/>
  <c r="P253" i="15"/>
  <c r="R219" i="15"/>
  <c r="Q209" i="15"/>
  <c r="M198" i="29"/>
  <c r="Q164" i="15"/>
  <c r="P110" i="15"/>
  <c r="P104" i="15"/>
  <c r="Q58" i="15"/>
  <c r="E18" i="29"/>
  <c r="E200" i="29"/>
  <c r="M233" i="29"/>
  <c r="L189" i="29"/>
  <c r="E221" i="29"/>
  <c r="M231" i="29"/>
  <c r="E12" i="29"/>
  <c r="M6" i="29"/>
  <c r="M230" i="29"/>
  <c r="L129" i="29"/>
  <c r="F262" i="28"/>
  <c r="Q254" i="15"/>
  <c r="P246" i="15"/>
  <c r="E222" i="29"/>
  <c r="R222" i="15"/>
  <c r="Q220" i="15"/>
  <c r="R213" i="15"/>
  <c r="Q169" i="15"/>
  <c r="Q90" i="15"/>
  <c r="Q70" i="15"/>
  <c r="P60" i="15"/>
  <c r="R57" i="15"/>
  <c r="D105" i="29"/>
  <c r="P146" i="15"/>
  <c r="R123" i="15"/>
  <c r="P63" i="15"/>
  <c r="Q43" i="15"/>
  <c r="H144" i="29"/>
  <c r="H128" i="29"/>
  <c r="H195" i="29"/>
  <c r="P113" i="15"/>
  <c r="R74" i="15"/>
  <c r="R7" i="15"/>
  <c r="Q184" i="15"/>
  <c r="Q178" i="15"/>
  <c r="R143" i="15"/>
  <c r="R120" i="15"/>
  <c r="R107" i="15"/>
  <c r="P99" i="15"/>
  <c r="R92" i="15"/>
  <c r="Q80" i="15"/>
  <c r="R70" i="15"/>
  <c r="R60" i="15"/>
  <c r="P33" i="15"/>
  <c r="R26" i="15"/>
  <c r="Q13" i="15"/>
  <c r="Q10" i="15"/>
  <c r="Q8" i="29"/>
  <c r="P179" i="15"/>
  <c r="R140" i="15"/>
  <c r="P127" i="15"/>
  <c r="P96" i="15"/>
  <c r="Q77" i="15"/>
  <c r="P30" i="15"/>
  <c r="R171" i="15"/>
  <c r="P157" i="15"/>
  <c r="Q152" i="15"/>
  <c r="P115" i="15"/>
  <c r="R88" i="15"/>
  <c r="R68" i="15"/>
  <c r="P58" i="15"/>
  <c r="R40" i="15"/>
  <c r="P36" i="15"/>
  <c r="R21" i="15"/>
  <c r="P181" i="15"/>
  <c r="R177" i="15"/>
  <c r="Q146" i="15"/>
  <c r="P130" i="15"/>
  <c r="P90" i="15"/>
  <c r="Q83" i="15"/>
  <c r="P24" i="15"/>
  <c r="R9" i="15"/>
  <c r="R76" i="15"/>
  <c r="P80" i="15"/>
  <c r="Q60" i="15"/>
  <c r="P13" i="15"/>
  <c r="L229" i="29"/>
  <c r="P315" i="29"/>
  <c r="S315" i="29" s="1"/>
  <c r="P316" i="29"/>
  <c r="L213" i="29"/>
  <c r="P301" i="29"/>
  <c r="H277" i="29"/>
  <c r="P285" i="29"/>
  <c r="R285" i="29" s="1"/>
  <c r="L272" i="29"/>
  <c r="P317" i="29"/>
  <c r="L269" i="29"/>
  <c r="N269" i="29" s="1"/>
  <c r="H317" i="29"/>
  <c r="P101" i="29"/>
  <c r="H316" i="29"/>
  <c r="D203" i="29"/>
  <c r="H315" i="29"/>
  <c r="H77" i="29"/>
  <c r="H197" i="29"/>
  <c r="H301" i="29"/>
  <c r="J301" i="29" s="1"/>
  <c r="H285" i="29"/>
  <c r="J285" i="29" s="1"/>
  <c r="Q155" i="29"/>
  <c r="L28" i="29"/>
  <c r="L56" i="29"/>
  <c r="H115" i="29"/>
  <c r="H99" i="29"/>
  <c r="H156" i="29"/>
  <c r="H32" i="28"/>
  <c r="M154" i="29"/>
  <c r="M146" i="29"/>
  <c r="M108" i="29"/>
  <c r="M67" i="29"/>
  <c r="E143" i="29"/>
  <c r="E153" i="29"/>
  <c r="AA169" i="19"/>
  <c r="AH111" i="19"/>
  <c r="AH110" i="19"/>
  <c r="AH139" i="19"/>
  <c r="AH101" i="19"/>
  <c r="AH117" i="19"/>
  <c r="AH174" i="19"/>
  <c r="O109" i="19"/>
  <c r="S109" i="19" s="1"/>
  <c r="P109" i="19"/>
  <c r="T109" i="19" s="1"/>
  <c r="O110" i="19"/>
  <c r="S110" i="19" s="1"/>
  <c r="P110" i="19"/>
  <c r="T110" i="19" s="1"/>
  <c r="AH160" i="19"/>
  <c r="AH113" i="19"/>
  <c r="AH129" i="19"/>
  <c r="AH98" i="19"/>
  <c r="AH137" i="19"/>
  <c r="AC112" i="19"/>
  <c r="AH138" i="19"/>
  <c r="AI148" i="19"/>
  <c r="AI149" i="19"/>
  <c r="P155" i="29"/>
  <c r="P60" i="29"/>
  <c r="P100" i="29"/>
  <c r="D84" i="29"/>
  <c r="D211" i="29"/>
  <c r="D268" i="29"/>
  <c r="F268" i="29" s="1"/>
  <c r="P251" i="29"/>
  <c r="D267" i="29"/>
  <c r="AH99" i="19"/>
  <c r="AH115" i="19"/>
  <c r="H196" i="29"/>
  <c r="K196" i="29" s="1"/>
  <c r="L244" i="29"/>
  <c r="AH100" i="19"/>
  <c r="AH116" i="19"/>
  <c r="P57" i="29"/>
  <c r="L243" i="29"/>
  <c r="L284" i="29"/>
  <c r="O284" i="29" s="1"/>
  <c r="P40" i="29"/>
  <c r="H24" i="29"/>
  <c r="L283" i="29"/>
  <c r="P300" i="29"/>
  <c r="P299" i="29"/>
  <c r="P196" i="29"/>
  <c r="L228" i="29"/>
  <c r="H300" i="29"/>
  <c r="D149" i="29"/>
  <c r="P195" i="29"/>
  <c r="L227" i="29"/>
  <c r="L268" i="29"/>
  <c r="N268" i="29" s="1"/>
  <c r="H299" i="29"/>
  <c r="AL120" i="19"/>
  <c r="D92" i="29"/>
  <c r="P76" i="29"/>
  <c r="P180" i="29"/>
  <c r="D188" i="29"/>
  <c r="D244" i="29"/>
  <c r="L267" i="29"/>
  <c r="D339" i="29"/>
  <c r="G339" i="29" s="1"/>
  <c r="AC149" i="19"/>
  <c r="L25" i="29"/>
  <c r="D107" i="29"/>
  <c r="D91" i="29"/>
  <c r="P179" i="29"/>
  <c r="D147" i="29"/>
  <c r="D187" i="29"/>
  <c r="P259" i="29"/>
  <c r="D243" i="29"/>
  <c r="L212" i="29"/>
  <c r="P277" i="29"/>
  <c r="S277" i="29" s="1"/>
  <c r="L324" i="29"/>
  <c r="D338" i="29"/>
  <c r="F338" i="29" s="1"/>
  <c r="H100" i="29"/>
  <c r="D229" i="29"/>
  <c r="L211" i="29"/>
  <c r="L323" i="29"/>
  <c r="H339" i="29"/>
  <c r="J339" i="29" s="1"/>
  <c r="AC151" i="19"/>
  <c r="P137" i="29"/>
  <c r="H153" i="29"/>
  <c r="L81" i="29"/>
  <c r="P33" i="29"/>
  <c r="L121" i="29"/>
  <c r="P73" i="29"/>
  <c r="L161" i="29"/>
  <c r="D228" i="29"/>
  <c r="G228" i="29" s="1"/>
  <c r="D324" i="29"/>
  <c r="L312" i="29"/>
  <c r="H326" i="29"/>
  <c r="H59" i="29"/>
  <c r="P64" i="29"/>
  <c r="L32" i="29"/>
  <c r="H120" i="29"/>
  <c r="P104" i="29"/>
  <c r="L72" i="29"/>
  <c r="P160" i="29"/>
  <c r="P144" i="29"/>
  <c r="D227" i="29"/>
  <c r="D284" i="29"/>
  <c r="G284" i="29" s="1"/>
  <c r="D323" i="29"/>
  <c r="G323" i="29" s="1"/>
  <c r="P335" i="29"/>
  <c r="Z160" i="19"/>
  <c r="AB119" i="19"/>
  <c r="AC159" i="19"/>
  <c r="D216" i="29"/>
  <c r="D283" i="29"/>
  <c r="D312" i="29"/>
  <c r="F312" i="29" s="1"/>
  <c r="L307" i="29"/>
  <c r="AB102" i="19"/>
  <c r="AE92" i="19"/>
  <c r="AF91" i="19"/>
  <c r="D169" i="29"/>
  <c r="D27" i="29"/>
  <c r="D161" i="29"/>
  <c r="D213" i="29"/>
  <c r="D272" i="29"/>
  <c r="D307" i="29"/>
  <c r="F307" i="29" s="1"/>
  <c r="L293" i="29"/>
  <c r="AH112" i="19"/>
  <c r="AE93" i="19"/>
  <c r="AF92" i="19"/>
  <c r="AH92" i="19" s="1"/>
  <c r="P61" i="29"/>
  <c r="H45" i="29"/>
  <c r="H117" i="29"/>
  <c r="P85" i="29"/>
  <c r="L69" i="29"/>
  <c r="L173" i="29"/>
  <c r="H157" i="29"/>
  <c r="P141" i="29"/>
  <c r="D204" i="29"/>
  <c r="D212" i="29"/>
  <c r="D269" i="29"/>
  <c r="G269" i="29" s="1"/>
  <c r="D293" i="29"/>
  <c r="AD91" i="19"/>
  <c r="AC124" i="19"/>
  <c r="AB151" i="19"/>
  <c r="AB173" i="19"/>
  <c r="AB149" i="19"/>
  <c r="AB150" i="19"/>
  <c r="AB172" i="19"/>
  <c r="AC108" i="19"/>
  <c r="AC125" i="19"/>
  <c r="AB107" i="19"/>
  <c r="Z107" i="19"/>
  <c r="H296" i="24"/>
  <c r="L296" i="24" s="1"/>
  <c r="AI168" i="19"/>
  <c r="L172" i="29"/>
  <c r="L83" i="29"/>
  <c r="L67" i="29"/>
  <c r="L139" i="29"/>
  <c r="AA150" i="19"/>
  <c r="AA172" i="19"/>
  <c r="AB152" i="19"/>
  <c r="AB123" i="19"/>
  <c r="AC138" i="19"/>
  <c r="AC166" i="19"/>
  <c r="L124" i="29"/>
  <c r="L123" i="29"/>
  <c r="L131" i="29"/>
  <c r="AL103" i="19"/>
  <c r="Z150" i="19"/>
  <c r="Z110" i="19"/>
  <c r="AI115" i="19"/>
  <c r="AA111" i="19"/>
  <c r="AA127" i="19"/>
  <c r="H276" i="24"/>
  <c r="L276" i="24" s="1"/>
  <c r="AA164" i="19"/>
  <c r="Z165" i="19"/>
  <c r="AA124" i="19"/>
  <c r="H260" i="24"/>
  <c r="L260" i="24" s="1"/>
  <c r="H243" i="24"/>
  <c r="L243" i="24" s="1"/>
  <c r="AB109" i="19"/>
  <c r="AB168" i="19"/>
  <c r="G67" i="28"/>
  <c r="Z140" i="19"/>
  <c r="AB169" i="19"/>
  <c r="AC109" i="19"/>
  <c r="AC139" i="19"/>
  <c r="AC168" i="19"/>
  <c r="AC140" i="19"/>
  <c r="Q149" i="19"/>
  <c r="U149" i="19" s="1"/>
  <c r="AC110" i="19"/>
  <c r="Q151" i="19"/>
  <c r="U151" i="19" s="1"/>
  <c r="AC101" i="19"/>
  <c r="AC117" i="19"/>
  <c r="Q159" i="19"/>
  <c r="U159" i="19" s="1"/>
  <c r="AC169" i="19"/>
  <c r="AC103" i="19"/>
  <c r="AC119" i="19"/>
  <c r="AC148" i="19"/>
  <c r="AC123" i="19"/>
  <c r="AA109" i="19"/>
  <c r="AA139" i="19"/>
  <c r="AA167" i="19"/>
  <c r="AA110" i="19"/>
  <c r="AA140" i="19"/>
  <c r="O285" i="29"/>
  <c r="AA103" i="19"/>
  <c r="AA119" i="19"/>
  <c r="AA170" i="19"/>
  <c r="AA104" i="19"/>
  <c r="AA120" i="19"/>
  <c r="AA165" i="19"/>
  <c r="AC102" i="19"/>
  <c r="AC118" i="19"/>
  <c r="AC141" i="19"/>
  <c r="AH140" i="19"/>
  <c r="AL118" i="19"/>
  <c r="AA160" i="19"/>
  <c r="AB112" i="19"/>
  <c r="AL119" i="19"/>
  <c r="Z98" i="19"/>
  <c r="Z103" i="19"/>
  <c r="AB148" i="19"/>
  <c r="AB170" i="19"/>
  <c r="AI116" i="19"/>
  <c r="AK103" i="19"/>
  <c r="AA112" i="19"/>
  <c r="Q112" i="19"/>
  <c r="U112" i="19" s="1"/>
  <c r="AA115" i="19"/>
  <c r="AI117" i="19"/>
  <c r="AI118" i="19"/>
  <c r="AL141" i="19"/>
  <c r="Z171" i="19"/>
  <c r="AB108" i="19"/>
  <c r="AB124" i="19"/>
  <c r="AJ91" i="19"/>
  <c r="AL164" i="19"/>
  <c r="Z120" i="19"/>
  <c r="AC171" i="19"/>
  <c r="AI103" i="19"/>
  <c r="AL121" i="19"/>
  <c r="AB125" i="19"/>
  <c r="Z112" i="19"/>
  <c r="Z151" i="19"/>
  <c r="AA171" i="19"/>
  <c r="AA125" i="19"/>
  <c r="AC164" i="19"/>
  <c r="AL138" i="19"/>
  <c r="AB164" i="19"/>
  <c r="AC99" i="19"/>
  <c r="AC115" i="19"/>
  <c r="AA151" i="19"/>
  <c r="AA173" i="19"/>
  <c r="R137" i="19"/>
  <c r="AC160" i="19"/>
  <c r="AE91" i="19"/>
  <c r="AA126" i="19"/>
  <c r="AC98" i="19"/>
  <c r="AC114" i="19"/>
  <c r="AC165" i="19"/>
  <c r="N174" i="19"/>
  <c r="R174" i="19" s="1"/>
  <c r="AI174" i="19"/>
  <c r="AH150" i="19"/>
  <c r="AG94" i="19"/>
  <c r="AD94" i="19"/>
  <c r="AF94" i="19"/>
  <c r="AJ94" i="19"/>
  <c r="AE94" i="19"/>
  <c r="N125" i="19"/>
  <c r="R125" i="19" s="1"/>
  <c r="AI125" i="19"/>
  <c r="AH165" i="19"/>
  <c r="AI108" i="19"/>
  <c r="AL152" i="19"/>
  <c r="AK152" i="19"/>
  <c r="AL173" i="19"/>
  <c r="AK173" i="19"/>
  <c r="AJ96" i="19"/>
  <c r="AF96" i="19"/>
  <c r="AE96" i="19"/>
  <c r="AD96" i="19"/>
  <c r="AG96" i="19"/>
  <c r="Z163" i="19"/>
  <c r="AH163" i="19"/>
  <c r="AL108" i="19"/>
  <c r="AK108" i="19"/>
  <c r="AL124" i="19"/>
  <c r="AK124" i="19"/>
  <c r="N169" i="19"/>
  <c r="R169" i="19" s="1"/>
  <c r="AI169" i="19"/>
  <c r="Z149" i="19"/>
  <c r="AH149" i="19"/>
  <c r="N172" i="19"/>
  <c r="R172" i="19" s="1"/>
  <c r="AI172" i="19"/>
  <c r="AK107" i="19"/>
  <c r="AL107" i="19"/>
  <c r="R138" i="19"/>
  <c r="AK138" i="19"/>
  <c r="AJ97" i="19"/>
  <c r="AG97" i="19"/>
  <c r="AF97" i="19"/>
  <c r="AD97" i="19"/>
  <c r="AE97" i="19"/>
  <c r="Z114" i="19"/>
  <c r="AH114" i="19"/>
  <c r="Z164" i="19"/>
  <c r="AH164" i="19"/>
  <c r="AH107" i="19"/>
  <c r="AI141" i="19"/>
  <c r="AL109" i="19"/>
  <c r="AK109" i="19"/>
  <c r="AL125" i="19"/>
  <c r="AK125" i="19"/>
  <c r="N141" i="19"/>
  <c r="R141" i="19" s="1"/>
  <c r="AK110" i="19"/>
  <c r="AL126" i="19"/>
  <c r="AK126" i="19"/>
  <c r="AI105" i="19"/>
  <c r="AL105" i="19"/>
  <c r="N105" i="19"/>
  <c r="R105" i="19" s="1"/>
  <c r="N150" i="19"/>
  <c r="R150" i="19" s="1"/>
  <c r="AI150" i="19"/>
  <c r="Z123" i="19"/>
  <c r="AH123" i="19"/>
  <c r="AH108" i="19"/>
  <c r="Z108" i="19"/>
  <c r="N107" i="19"/>
  <c r="R107" i="19" s="1"/>
  <c r="AI107" i="19"/>
  <c r="Q171" i="19"/>
  <c r="U171" i="19" s="1"/>
  <c r="N113" i="19"/>
  <c r="R113" i="19" s="1"/>
  <c r="AI113" i="19"/>
  <c r="AB139" i="19"/>
  <c r="Z166" i="19"/>
  <c r="AH166" i="19"/>
  <c r="AA152" i="19"/>
  <c r="AB118" i="19"/>
  <c r="N129" i="19"/>
  <c r="R129" i="19" s="1"/>
  <c r="AI129" i="19"/>
  <c r="N163" i="19"/>
  <c r="R163" i="19" s="1"/>
  <c r="AL163" i="19"/>
  <c r="AI163" i="19"/>
  <c r="AL165" i="19"/>
  <c r="N165" i="19"/>
  <c r="R165" i="19" s="1"/>
  <c r="AB140" i="19"/>
  <c r="Z139" i="19"/>
  <c r="AA108" i="19"/>
  <c r="AI165" i="19"/>
  <c r="N149" i="19"/>
  <c r="R149" i="19" s="1"/>
  <c r="AL149" i="19"/>
  <c r="AI122" i="19"/>
  <c r="N122" i="19"/>
  <c r="R122" i="19" s="1"/>
  <c r="AL122" i="19"/>
  <c r="N123" i="19"/>
  <c r="R123" i="19" s="1"/>
  <c r="AL123" i="19"/>
  <c r="AI123" i="19"/>
  <c r="AI139" i="19"/>
  <c r="N139" i="19"/>
  <c r="R139" i="19" s="1"/>
  <c r="N166" i="19"/>
  <c r="R166" i="19" s="1"/>
  <c r="AI166" i="19"/>
  <c r="AL166" i="19"/>
  <c r="AH102" i="19"/>
  <c r="Z102" i="19"/>
  <c r="Z118" i="19"/>
  <c r="AH118" i="19"/>
  <c r="N148" i="19"/>
  <c r="R148" i="19" s="1"/>
  <c r="AL148" i="19"/>
  <c r="AL100" i="19"/>
  <c r="AK100" i="19"/>
  <c r="AJ90" i="19"/>
  <c r="AG90" i="19"/>
  <c r="AF90" i="19"/>
  <c r="AD90" i="19"/>
  <c r="AI121" i="19"/>
  <c r="N121" i="19"/>
  <c r="R121" i="19" s="1"/>
  <c r="N171" i="19"/>
  <c r="R171" i="19" s="1"/>
  <c r="AI171" i="19"/>
  <c r="AI106" i="19"/>
  <c r="AL106" i="19"/>
  <c r="N151" i="19"/>
  <c r="R151" i="19" s="1"/>
  <c r="AI151" i="19"/>
  <c r="AH124" i="19"/>
  <c r="Z124" i="19"/>
  <c r="N152" i="19"/>
  <c r="R152" i="19" s="1"/>
  <c r="AI152" i="19"/>
  <c r="N124" i="19"/>
  <c r="R124" i="19" s="1"/>
  <c r="AI124" i="19"/>
  <c r="N126" i="19"/>
  <c r="R126" i="19" s="1"/>
  <c r="AI126" i="19"/>
  <c r="Z126" i="19"/>
  <c r="AI170" i="19"/>
  <c r="N167" i="19"/>
  <c r="R167" i="19" s="1"/>
  <c r="AI167" i="19"/>
  <c r="AL167" i="19"/>
  <c r="AH104" i="19"/>
  <c r="Z104" i="19"/>
  <c r="Z168" i="19"/>
  <c r="AH168" i="19"/>
  <c r="R140" i="19"/>
  <c r="AK140" i="19"/>
  <c r="AL104" i="19"/>
  <c r="N104" i="19"/>
  <c r="R104" i="19" s="1"/>
  <c r="AI120" i="19"/>
  <c r="N120" i="19"/>
  <c r="R120" i="19" s="1"/>
  <c r="N168" i="19"/>
  <c r="R168" i="19" s="1"/>
  <c r="AL168" i="19"/>
  <c r="Z105" i="19"/>
  <c r="AH105" i="19"/>
  <c r="Z121" i="19"/>
  <c r="AH121" i="19"/>
  <c r="AH169" i="19"/>
  <c r="Z169" i="19"/>
  <c r="AF93" i="19"/>
  <c r="AC163" i="19"/>
  <c r="N159" i="19"/>
  <c r="R159" i="19" s="1"/>
  <c r="AI159" i="19"/>
  <c r="AL159" i="19"/>
  <c r="AA168" i="19"/>
  <c r="AG92" i="19"/>
  <c r="AJ92" i="19"/>
  <c r="AG93" i="19"/>
  <c r="AD93" i="19"/>
  <c r="AI112" i="19"/>
  <c r="N112" i="19"/>
  <c r="R112" i="19" s="1"/>
  <c r="N128" i="19"/>
  <c r="R128" i="19" s="1"/>
  <c r="AI128" i="19"/>
  <c r="AA105" i="19"/>
  <c r="AA121" i="19"/>
  <c r="AB105" i="19"/>
  <c r="AI104" i="19"/>
  <c r="AI111" i="19"/>
  <c r="N111" i="19"/>
  <c r="R111" i="19" s="1"/>
  <c r="N127" i="19"/>
  <c r="R127" i="19" s="1"/>
  <c r="AI127" i="19"/>
  <c r="N173" i="19"/>
  <c r="R173" i="19" s="1"/>
  <c r="AI173" i="19"/>
  <c r="AH119" i="19"/>
  <c r="Z119" i="19"/>
  <c r="Z141" i="19"/>
  <c r="AH167" i="19"/>
  <c r="Z167" i="19"/>
  <c r="AB103" i="19"/>
  <c r="AB121" i="19"/>
  <c r="AL129" i="19"/>
  <c r="N98" i="19"/>
  <c r="R98" i="19" s="1"/>
  <c r="AI98" i="19"/>
  <c r="AH106" i="19"/>
  <c r="Z106" i="19"/>
  <c r="AH122" i="19"/>
  <c r="Z122" i="19"/>
  <c r="Z148" i="19"/>
  <c r="Z170" i="19"/>
  <c r="AH170" i="19"/>
  <c r="AA102" i="19"/>
  <c r="AA118" i="19"/>
  <c r="AA141" i="19"/>
  <c r="AA166" i="19"/>
  <c r="AB106" i="19"/>
  <c r="AB122" i="19"/>
  <c r="AB171" i="19"/>
  <c r="AI114" i="19"/>
  <c r="AL137" i="19"/>
  <c r="AK137" i="19"/>
  <c r="AL116" i="19"/>
  <c r="AK116" i="19"/>
  <c r="AL139" i="19"/>
  <c r="AK139" i="19"/>
  <c r="N118" i="19"/>
  <c r="R118" i="19" s="1"/>
  <c r="AH141" i="19"/>
  <c r="AA148" i="19"/>
  <c r="AJ95" i="19"/>
  <c r="AD95" i="19"/>
  <c r="AF95" i="19"/>
  <c r="N102" i="19"/>
  <c r="R102" i="19" s="1"/>
  <c r="AI102" i="19"/>
  <c r="AI140" i="19"/>
  <c r="AA106" i="19"/>
  <c r="AA122" i="19"/>
  <c r="AA149" i="19"/>
  <c r="AB110" i="19"/>
  <c r="AB126" i="19"/>
  <c r="AH148" i="19"/>
  <c r="AA107" i="19"/>
  <c r="AA123" i="19"/>
  <c r="AG95" i="19"/>
  <c r="AC128" i="19"/>
  <c r="AC162" i="19"/>
  <c r="AH103" i="19"/>
  <c r="N99" i="19"/>
  <c r="R99" i="19" s="1"/>
  <c r="AI99" i="19"/>
  <c r="N160" i="19"/>
  <c r="R160" i="19" s="1"/>
  <c r="AI160" i="19"/>
  <c r="AL160" i="19"/>
  <c r="Z109" i="19"/>
  <c r="AH109" i="19"/>
  <c r="Z125" i="19"/>
  <c r="AH125" i="19"/>
  <c r="AH151" i="19"/>
  <c r="AA128" i="19"/>
  <c r="AA159" i="19"/>
  <c r="AB111" i="19"/>
  <c r="AB127" i="19"/>
  <c r="AB159" i="19"/>
  <c r="AC172" i="19"/>
  <c r="AL101" i="19"/>
  <c r="AK101" i="19"/>
  <c r="AL140" i="19"/>
  <c r="N161" i="19"/>
  <c r="R161" i="19" s="1"/>
  <c r="AI161" i="19"/>
  <c r="AL161" i="19"/>
  <c r="AH126" i="19"/>
  <c r="Z152" i="19"/>
  <c r="AH152" i="19"/>
  <c r="Z172" i="19"/>
  <c r="AB128" i="19"/>
  <c r="AC152" i="19"/>
  <c r="AC173" i="19"/>
  <c r="AI137" i="19"/>
  <c r="N100" i="19"/>
  <c r="R100" i="19" s="1"/>
  <c r="AI100" i="19"/>
  <c r="N101" i="19"/>
  <c r="R101" i="19" s="1"/>
  <c r="AI101" i="19"/>
  <c r="N117" i="19"/>
  <c r="R117" i="19" s="1"/>
  <c r="AL117" i="19"/>
  <c r="N162" i="19"/>
  <c r="R162" i="19" s="1"/>
  <c r="AI162" i="19"/>
  <c r="AL162" i="19"/>
  <c r="Z111" i="19"/>
  <c r="Z127" i="19"/>
  <c r="AH127" i="19"/>
  <c r="AH173" i="19"/>
  <c r="Z173" i="19"/>
  <c r="AA98" i="19"/>
  <c r="AA114" i="19"/>
  <c r="AI138" i="19"/>
  <c r="AH128" i="19"/>
  <c r="Z128" i="19"/>
  <c r="Z174" i="19"/>
  <c r="AB98" i="19"/>
  <c r="AB114" i="19"/>
  <c r="AB162" i="19"/>
  <c r="AC126" i="19"/>
  <c r="N119" i="19"/>
  <c r="R119" i="19" s="1"/>
  <c r="AI119" i="19"/>
  <c r="N164" i="19"/>
  <c r="R164" i="19" s="1"/>
  <c r="AI164" i="19"/>
  <c r="Z113" i="19"/>
  <c r="Z129" i="19"/>
  <c r="Z159" i="19"/>
  <c r="AH159" i="19"/>
  <c r="AA163" i="19"/>
  <c r="AB99" i="19"/>
  <c r="AB163" i="19"/>
  <c r="AC111" i="19"/>
  <c r="AC127" i="19"/>
  <c r="AH172" i="19"/>
  <c r="AA113" i="19"/>
  <c r="AA129" i="19"/>
  <c r="AA174" i="19"/>
  <c r="AB138" i="19"/>
  <c r="AC104" i="19"/>
  <c r="AC120" i="19"/>
  <c r="AC167" i="19"/>
  <c r="AL102" i="19"/>
  <c r="AK102" i="19"/>
  <c r="AB101" i="19"/>
  <c r="AB117" i="19"/>
  <c r="AC105" i="19"/>
  <c r="AC121" i="19"/>
  <c r="AL169" i="19"/>
  <c r="AK169" i="19"/>
  <c r="Z99" i="19"/>
  <c r="Z115" i="19"/>
  <c r="AA99" i="19"/>
  <c r="AB165" i="19"/>
  <c r="AC106" i="19"/>
  <c r="AC122" i="19"/>
  <c r="AL170" i="19"/>
  <c r="AK170" i="19"/>
  <c r="Z100" i="19"/>
  <c r="Z116" i="19"/>
  <c r="Z137" i="19"/>
  <c r="Z161" i="19"/>
  <c r="AA100" i="19"/>
  <c r="AA116" i="19"/>
  <c r="AA137" i="19"/>
  <c r="AA161" i="19"/>
  <c r="AB141" i="19"/>
  <c r="AB166" i="19"/>
  <c r="AC107" i="19"/>
  <c r="AC170" i="19"/>
  <c r="AH161" i="19"/>
  <c r="AL150" i="19"/>
  <c r="AK150" i="19"/>
  <c r="AL171" i="19"/>
  <c r="AK171" i="19"/>
  <c r="Z101" i="19"/>
  <c r="Z117" i="19"/>
  <c r="Z138" i="19"/>
  <c r="Z162" i="19"/>
  <c r="AA101" i="19"/>
  <c r="AA117" i="19"/>
  <c r="AA138" i="19"/>
  <c r="AA162" i="19"/>
  <c r="AB104" i="19"/>
  <c r="AB120" i="19"/>
  <c r="AB167" i="19"/>
  <c r="AC150" i="19"/>
  <c r="AH162" i="19"/>
  <c r="AL151" i="19"/>
  <c r="AK151" i="19"/>
  <c r="AL172" i="19"/>
  <c r="AK172" i="19"/>
  <c r="AB113" i="19"/>
  <c r="AB129" i="19"/>
  <c r="AB174" i="19"/>
  <c r="AC113" i="19"/>
  <c r="AC129" i="19"/>
  <c r="AC174" i="19"/>
  <c r="AL111" i="19"/>
  <c r="AL127" i="19"/>
  <c r="AK127" i="19"/>
  <c r="AL98" i="19"/>
  <c r="AL174" i="19"/>
  <c r="AL112" i="19"/>
  <c r="AL128" i="19"/>
  <c r="AK128" i="19"/>
  <c r="AL99" i="19"/>
  <c r="AB115" i="19"/>
  <c r="AB160" i="19"/>
  <c r="AL113" i="19"/>
  <c r="AK129" i="19"/>
  <c r="AB100" i="19"/>
  <c r="AB116" i="19"/>
  <c r="AB137" i="19"/>
  <c r="AB161" i="19"/>
  <c r="AC100" i="19"/>
  <c r="AC116" i="19"/>
  <c r="AC137" i="19"/>
  <c r="AC161" i="19"/>
  <c r="AL114" i="19"/>
  <c r="AK114" i="19"/>
  <c r="AL115" i="19"/>
  <c r="N109" i="19"/>
  <c r="R109" i="19" s="1"/>
  <c r="Q107" i="19"/>
  <c r="U107" i="19" s="1"/>
  <c r="Q150" i="19"/>
  <c r="U150" i="19" s="1"/>
  <c r="Q118" i="19"/>
  <c r="U118" i="19" s="1"/>
  <c r="Q139" i="19"/>
  <c r="U139" i="19" s="1"/>
  <c r="Q119" i="19"/>
  <c r="U119" i="19" s="1"/>
  <c r="Q140" i="19"/>
  <c r="U140" i="19" s="1"/>
  <c r="Q102" i="19"/>
  <c r="U102" i="19" s="1"/>
  <c r="Q109" i="19"/>
  <c r="U109" i="19" s="1"/>
  <c r="P36" i="29"/>
  <c r="D67" i="29"/>
  <c r="H57" i="29"/>
  <c r="P80" i="29"/>
  <c r="D109" i="29"/>
  <c r="L91" i="29"/>
  <c r="L133" i="29"/>
  <c r="H184" i="29"/>
  <c r="I94" i="24"/>
  <c r="M94" i="24" s="1"/>
  <c r="P54" i="29"/>
  <c r="H54" i="29"/>
  <c r="L54" i="29"/>
  <c r="D54" i="29"/>
  <c r="L114" i="29"/>
  <c r="P82" i="29"/>
  <c r="P170" i="29"/>
  <c r="L154" i="29"/>
  <c r="P250" i="29"/>
  <c r="L44" i="29"/>
  <c r="P35" i="29"/>
  <c r="D65" i="29"/>
  <c r="H48" i="29"/>
  <c r="P77" i="29"/>
  <c r="D108" i="29"/>
  <c r="L89" i="29"/>
  <c r="H141" i="29"/>
  <c r="L132" i="29"/>
  <c r="H181" i="29"/>
  <c r="H261" i="29"/>
  <c r="L38" i="29"/>
  <c r="D38" i="29"/>
  <c r="P38" i="29"/>
  <c r="H38" i="29"/>
  <c r="L22" i="29"/>
  <c r="D22" i="29"/>
  <c r="P22" i="29"/>
  <c r="H22" i="29"/>
  <c r="L6" i="29"/>
  <c r="D6" i="29"/>
  <c r="P6" i="29"/>
  <c r="H6" i="29"/>
  <c r="L98" i="29"/>
  <c r="P66" i="29"/>
  <c r="L138" i="29"/>
  <c r="P53" i="29"/>
  <c r="H53" i="29"/>
  <c r="L37" i="29"/>
  <c r="D37" i="29"/>
  <c r="L21" i="29"/>
  <c r="D21" i="29"/>
  <c r="L113" i="29"/>
  <c r="D113" i="29"/>
  <c r="L97" i="29"/>
  <c r="D97" i="29"/>
  <c r="P81" i="29"/>
  <c r="H81" i="29"/>
  <c r="P185" i="29"/>
  <c r="H185" i="29"/>
  <c r="L185" i="29"/>
  <c r="P169" i="29"/>
  <c r="L153" i="29"/>
  <c r="L137" i="29"/>
  <c r="L193" i="29"/>
  <c r="P249" i="29"/>
  <c r="H327" i="29"/>
  <c r="L327" i="29"/>
  <c r="P327" i="29"/>
  <c r="L43" i="29"/>
  <c r="D56" i="29"/>
  <c r="H97" i="29"/>
  <c r="P120" i="29"/>
  <c r="H140" i="29"/>
  <c r="H180" i="29"/>
  <c r="H260" i="29"/>
  <c r="D292" i="29"/>
  <c r="G292" i="29" s="1"/>
  <c r="L308" i="29"/>
  <c r="M148" i="29"/>
  <c r="P52" i="29"/>
  <c r="H52" i="29"/>
  <c r="L36" i="29"/>
  <c r="D36" i="29"/>
  <c r="L20" i="29"/>
  <c r="D20" i="29"/>
  <c r="P112" i="29"/>
  <c r="H112" i="29"/>
  <c r="P96" i="29"/>
  <c r="H96" i="29"/>
  <c r="L80" i="29"/>
  <c r="D80" i="29"/>
  <c r="L184" i="29"/>
  <c r="D184" i="29"/>
  <c r="L168" i="29"/>
  <c r="D168" i="29"/>
  <c r="P152" i="29"/>
  <c r="H152" i="29"/>
  <c r="P136" i="29"/>
  <c r="H136" i="29"/>
  <c r="L240" i="29"/>
  <c r="D240" i="29"/>
  <c r="L224" i="29"/>
  <c r="D224" i="29"/>
  <c r="L208" i="29"/>
  <c r="D208" i="29"/>
  <c r="F208" i="29" s="1"/>
  <c r="P192" i="29"/>
  <c r="H192" i="29"/>
  <c r="P296" i="29"/>
  <c r="R296" i="29" s="1"/>
  <c r="H296" i="29"/>
  <c r="J296" i="29" s="1"/>
  <c r="L280" i="29"/>
  <c r="D280" i="29"/>
  <c r="G280" i="29" s="1"/>
  <c r="L264" i="29"/>
  <c r="D264" i="29"/>
  <c r="F264" i="29" s="1"/>
  <c r="L248" i="29"/>
  <c r="D248" i="29"/>
  <c r="L41" i="29"/>
  <c r="D53" i="29"/>
  <c r="L84" i="29"/>
  <c r="H88" i="29"/>
  <c r="P117" i="29"/>
  <c r="D148" i="29"/>
  <c r="H139" i="29"/>
  <c r="D192" i="29"/>
  <c r="H179" i="29"/>
  <c r="E43" i="29"/>
  <c r="G43" i="29" s="1"/>
  <c r="E36" i="29"/>
  <c r="Q139" i="29"/>
  <c r="P51" i="29"/>
  <c r="H51" i="29"/>
  <c r="L35" i="29"/>
  <c r="D35" i="29"/>
  <c r="L19" i="29"/>
  <c r="N19" i="29" s="1"/>
  <c r="D19" i="29"/>
  <c r="P111" i="29"/>
  <c r="H111" i="29"/>
  <c r="L111" i="29"/>
  <c r="D111" i="29"/>
  <c r="P95" i="29"/>
  <c r="H95" i="29"/>
  <c r="L95" i="29"/>
  <c r="D95" i="29"/>
  <c r="L79" i="29"/>
  <c r="D79" i="29"/>
  <c r="P79" i="29"/>
  <c r="H79" i="29"/>
  <c r="L183" i="29"/>
  <c r="D183" i="29"/>
  <c r="P183" i="29"/>
  <c r="H183" i="29"/>
  <c r="L167" i="29"/>
  <c r="D167" i="29"/>
  <c r="P167" i="29"/>
  <c r="H167" i="29"/>
  <c r="P151" i="29"/>
  <c r="H151" i="29"/>
  <c r="L151" i="29"/>
  <c r="D151" i="29"/>
  <c r="P135" i="29"/>
  <c r="H135" i="29"/>
  <c r="L135" i="29"/>
  <c r="D135" i="29"/>
  <c r="L239" i="29"/>
  <c r="N239" i="29" s="1"/>
  <c r="D239" i="29"/>
  <c r="P239" i="29"/>
  <c r="H239" i="29"/>
  <c r="L223" i="29"/>
  <c r="D223" i="29"/>
  <c r="P223" i="29"/>
  <c r="H223" i="29"/>
  <c r="L207" i="29"/>
  <c r="D207" i="29"/>
  <c r="P207" i="29"/>
  <c r="H207" i="29"/>
  <c r="P191" i="29"/>
  <c r="H191" i="29"/>
  <c r="L191" i="29"/>
  <c r="D191" i="29"/>
  <c r="P295" i="29"/>
  <c r="H295" i="29"/>
  <c r="K295" i="29" s="1"/>
  <c r="L295" i="29"/>
  <c r="N295" i="29" s="1"/>
  <c r="D295" i="29"/>
  <c r="G295" i="29" s="1"/>
  <c r="N263" i="29"/>
  <c r="L247" i="29"/>
  <c r="P325" i="29"/>
  <c r="D325" i="29"/>
  <c r="H325" i="29"/>
  <c r="K325" i="29" s="1"/>
  <c r="P309" i="29"/>
  <c r="S309" i="29" s="1"/>
  <c r="H309" i="29"/>
  <c r="J309" i="29" s="1"/>
  <c r="D9" i="29"/>
  <c r="P21" i="29"/>
  <c r="D52" i="29"/>
  <c r="D96" i="29"/>
  <c r="H85" i="29"/>
  <c r="P116" i="29"/>
  <c r="H137" i="29"/>
  <c r="D189" i="29"/>
  <c r="H168" i="29"/>
  <c r="P184" i="29"/>
  <c r="H240" i="29"/>
  <c r="H248" i="29"/>
  <c r="P264" i="29"/>
  <c r="R264" i="29" s="1"/>
  <c r="L296" i="29"/>
  <c r="D327" i="29"/>
  <c r="N309" i="29"/>
  <c r="L5" i="29"/>
  <c r="D5" i="29"/>
  <c r="P50" i="29"/>
  <c r="H50" i="29"/>
  <c r="L50" i="29"/>
  <c r="D50" i="29"/>
  <c r="L34" i="29"/>
  <c r="D34" i="29"/>
  <c r="P34" i="29"/>
  <c r="H34" i="29"/>
  <c r="L18" i="29"/>
  <c r="D18" i="29"/>
  <c r="P18" i="29"/>
  <c r="R18" i="29" s="1"/>
  <c r="H18" i="29"/>
  <c r="K18" i="29" s="1"/>
  <c r="M20" i="29"/>
  <c r="P110" i="29"/>
  <c r="H110" i="29"/>
  <c r="L110" i="29"/>
  <c r="D110" i="29"/>
  <c r="P94" i="29"/>
  <c r="H94" i="29"/>
  <c r="L94" i="29"/>
  <c r="D94" i="29"/>
  <c r="L78" i="29"/>
  <c r="D78" i="29"/>
  <c r="P78" i="29"/>
  <c r="H78" i="29"/>
  <c r="L182" i="29"/>
  <c r="D182" i="29"/>
  <c r="P182" i="29"/>
  <c r="H182" i="29"/>
  <c r="L166" i="29"/>
  <c r="D166" i="29"/>
  <c r="P166" i="29"/>
  <c r="H166" i="29"/>
  <c r="P150" i="29"/>
  <c r="H150" i="29"/>
  <c r="L150" i="29"/>
  <c r="D150" i="29"/>
  <c r="P134" i="29"/>
  <c r="H134" i="29"/>
  <c r="L134" i="29"/>
  <c r="D134" i="29"/>
  <c r="L238" i="29"/>
  <c r="D238" i="29"/>
  <c r="F238" i="29" s="1"/>
  <c r="P238" i="29"/>
  <c r="H238" i="29"/>
  <c r="L222" i="29"/>
  <c r="D222" i="29"/>
  <c r="P222" i="29"/>
  <c r="H222" i="29"/>
  <c r="L206" i="29"/>
  <c r="D206" i="29"/>
  <c r="P206" i="29"/>
  <c r="H206" i="29"/>
  <c r="P190" i="29"/>
  <c r="H190" i="29"/>
  <c r="L190" i="29"/>
  <c r="D190" i="29"/>
  <c r="P294" i="29"/>
  <c r="H294" i="29"/>
  <c r="L294" i="29"/>
  <c r="D294" i="29"/>
  <c r="L278" i="29"/>
  <c r="D278" i="29"/>
  <c r="F278" i="29" s="1"/>
  <c r="P278" i="29"/>
  <c r="H278" i="29"/>
  <c r="L262" i="29"/>
  <c r="D262" i="29"/>
  <c r="F262" i="29" s="1"/>
  <c r="P262" i="29"/>
  <c r="H262" i="29"/>
  <c r="L246" i="29"/>
  <c r="D246" i="29"/>
  <c r="P246" i="29"/>
  <c r="H246" i="29"/>
  <c r="P308" i="29"/>
  <c r="H40" i="29"/>
  <c r="L29" i="29"/>
  <c r="P20" i="29"/>
  <c r="D93" i="29"/>
  <c r="P115" i="29"/>
  <c r="D145" i="29"/>
  <c r="P157" i="29"/>
  <c r="H165" i="29"/>
  <c r="H245" i="29"/>
  <c r="P261" i="29"/>
  <c r="L7" i="29"/>
  <c r="D7" i="29"/>
  <c r="P7" i="29"/>
  <c r="H7" i="29"/>
  <c r="P65" i="29"/>
  <c r="H65" i="29"/>
  <c r="P49" i="29"/>
  <c r="H49" i="29"/>
  <c r="L33" i="29"/>
  <c r="D33" i="29"/>
  <c r="L17" i="29"/>
  <c r="D17" i="29"/>
  <c r="L125" i="29"/>
  <c r="D125" i="29"/>
  <c r="P109" i="29"/>
  <c r="H109" i="29"/>
  <c r="P93" i="29"/>
  <c r="H93" i="29"/>
  <c r="L77" i="29"/>
  <c r="D77" i="29"/>
  <c r="L181" i="29"/>
  <c r="D181" i="29"/>
  <c r="L165" i="29"/>
  <c r="D165" i="29"/>
  <c r="P149" i="29"/>
  <c r="H149" i="29"/>
  <c r="P133" i="29"/>
  <c r="H133" i="29"/>
  <c r="L237" i="29"/>
  <c r="N237" i="29" s="1"/>
  <c r="D237" i="29"/>
  <c r="L221" i="29"/>
  <c r="N221" i="29" s="1"/>
  <c r="D221" i="29"/>
  <c r="L205" i="29"/>
  <c r="N205" i="29" s="1"/>
  <c r="D205" i="29"/>
  <c r="P189" i="29"/>
  <c r="L261" i="29"/>
  <c r="H37" i="29"/>
  <c r="P19" i="29"/>
  <c r="D49" i="29"/>
  <c r="P113" i="29"/>
  <c r="D136" i="29"/>
  <c r="H125" i="29"/>
  <c r="P156" i="29"/>
  <c r="H338" i="29"/>
  <c r="K338" i="29" s="1"/>
  <c r="P83" i="29"/>
  <c r="H83" i="29"/>
  <c r="E190" i="29"/>
  <c r="L64" i="29"/>
  <c r="D64" i="29"/>
  <c r="L48" i="29"/>
  <c r="D48" i="29"/>
  <c r="P32" i="29"/>
  <c r="H32" i="29"/>
  <c r="P16" i="29"/>
  <c r="H16" i="29"/>
  <c r="P124" i="29"/>
  <c r="H124" i="29"/>
  <c r="P108" i="29"/>
  <c r="H108" i="29"/>
  <c r="P92" i="29"/>
  <c r="H92" i="29"/>
  <c r="L76" i="29"/>
  <c r="D76" i="29"/>
  <c r="L180" i="29"/>
  <c r="D180" i="29"/>
  <c r="P164" i="29"/>
  <c r="H164" i="29"/>
  <c r="P148" i="29"/>
  <c r="H148" i="29"/>
  <c r="P132" i="29"/>
  <c r="H132" i="29"/>
  <c r="L236" i="29"/>
  <c r="D236" i="29"/>
  <c r="L220" i="29"/>
  <c r="D220" i="29"/>
  <c r="P204" i="29"/>
  <c r="H204" i="29"/>
  <c r="P188" i="29"/>
  <c r="H188" i="29"/>
  <c r="P292" i="29"/>
  <c r="R292" i="29" s="1"/>
  <c r="H292" i="29"/>
  <c r="L276" i="29"/>
  <c r="O276" i="29" s="1"/>
  <c r="D276" i="29"/>
  <c r="F276" i="29" s="1"/>
  <c r="L260" i="29"/>
  <c r="P322" i="29"/>
  <c r="S322" i="29" s="1"/>
  <c r="H322" i="29"/>
  <c r="K322" i="29" s="1"/>
  <c r="L322" i="29"/>
  <c r="N322" i="29" s="1"/>
  <c r="D322" i="29"/>
  <c r="P306" i="29"/>
  <c r="S306" i="29" s="1"/>
  <c r="H306" i="29"/>
  <c r="K306" i="29" s="1"/>
  <c r="L306" i="29"/>
  <c r="O306" i="29" s="1"/>
  <c r="D306" i="29"/>
  <c r="G306" i="29" s="1"/>
  <c r="H36" i="29"/>
  <c r="L27" i="29"/>
  <c r="P17" i="29"/>
  <c r="R17" i="29" s="1"/>
  <c r="H80" i="29"/>
  <c r="D133" i="29"/>
  <c r="L164" i="29"/>
  <c r="D185" i="29"/>
  <c r="H337" i="29"/>
  <c r="K337" i="29" s="1"/>
  <c r="L99" i="29"/>
  <c r="D99" i="29"/>
  <c r="L63" i="29"/>
  <c r="D63" i="29"/>
  <c r="P63" i="29"/>
  <c r="H63" i="29"/>
  <c r="L47" i="29"/>
  <c r="D47" i="29"/>
  <c r="P47" i="29"/>
  <c r="H47" i="29"/>
  <c r="P31" i="29"/>
  <c r="H31" i="29"/>
  <c r="L31" i="29"/>
  <c r="D31" i="29"/>
  <c r="P15" i="29"/>
  <c r="H15" i="29"/>
  <c r="L15" i="29"/>
  <c r="D15" i="29"/>
  <c r="P123" i="29"/>
  <c r="H123" i="29"/>
  <c r="P107" i="29"/>
  <c r="H107" i="29"/>
  <c r="P91" i="29"/>
  <c r="H91" i="29"/>
  <c r="L75" i="29"/>
  <c r="D75" i="29"/>
  <c r="L179" i="29"/>
  <c r="D179" i="29"/>
  <c r="P163" i="29"/>
  <c r="H163" i="29"/>
  <c r="P147" i="29"/>
  <c r="H147" i="29"/>
  <c r="P131" i="29"/>
  <c r="H131" i="29"/>
  <c r="L235" i="29"/>
  <c r="D235" i="29"/>
  <c r="L219" i="29"/>
  <c r="D219" i="29"/>
  <c r="P203" i="29"/>
  <c r="H203" i="29"/>
  <c r="P187" i="29"/>
  <c r="H187" i="29"/>
  <c r="P291" i="29"/>
  <c r="H291" i="29"/>
  <c r="L275" i="29"/>
  <c r="D275" i="29"/>
  <c r="F275" i="29" s="1"/>
  <c r="L259" i="29"/>
  <c r="D259" i="29"/>
  <c r="P321" i="29"/>
  <c r="H321" i="29"/>
  <c r="L321" i="29"/>
  <c r="D321" i="29"/>
  <c r="G321" i="29" s="1"/>
  <c r="D44" i="29"/>
  <c r="L68" i="29"/>
  <c r="L112" i="29"/>
  <c r="D132" i="29"/>
  <c r="L163" i="29"/>
  <c r="P153" i="29"/>
  <c r="D176" i="29"/>
  <c r="L192" i="29"/>
  <c r="P168" i="29"/>
  <c r="H224" i="29"/>
  <c r="J224" i="29" s="1"/>
  <c r="P240" i="29"/>
  <c r="P248" i="29"/>
  <c r="P171" i="29"/>
  <c r="H171" i="29"/>
  <c r="L62" i="29"/>
  <c r="D62" i="29"/>
  <c r="P62" i="29"/>
  <c r="H62" i="29"/>
  <c r="L46" i="29"/>
  <c r="D46" i="29"/>
  <c r="P46" i="29"/>
  <c r="H46" i="29"/>
  <c r="P30" i="29"/>
  <c r="H30" i="29"/>
  <c r="L30" i="29"/>
  <c r="D30" i="29"/>
  <c r="P14" i="29"/>
  <c r="H14" i="29"/>
  <c r="K14" i="29" s="1"/>
  <c r="L14" i="29"/>
  <c r="O14" i="29" s="1"/>
  <c r="D14" i="29"/>
  <c r="P122" i="29"/>
  <c r="H122" i="29"/>
  <c r="L122" i="29"/>
  <c r="D122" i="29"/>
  <c r="P106" i="29"/>
  <c r="H106" i="29"/>
  <c r="L106" i="29"/>
  <c r="D106" i="29"/>
  <c r="P90" i="29"/>
  <c r="H90" i="29"/>
  <c r="L90" i="29"/>
  <c r="D90" i="29"/>
  <c r="L74" i="29"/>
  <c r="D74" i="29"/>
  <c r="P74" i="29"/>
  <c r="H74" i="29"/>
  <c r="L178" i="29"/>
  <c r="D178" i="29"/>
  <c r="P178" i="29"/>
  <c r="H178" i="29"/>
  <c r="P162" i="29"/>
  <c r="H162" i="29"/>
  <c r="L162" i="29"/>
  <c r="D162" i="29"/>
  <c r="P146" i="29"/>
  <c r="H146" i="29"/>
  <c r="L146" i="29"/>
  <c r="D146" i="29"/>
  <c r="P130" i="29"/>
  <c r="H130" i="29"/>
  <c r="L130" i="29"/>
  <c r="D130" i="29"/>
  <c r="L234" i="29"/>
  <c r="D234" i="29"/>
  <c r="P234" i="29"/>
  <c r="R234" i="29" s="1"/>
  <c r="H234" i="29"/>
  <c r="L218" i="29"/>
  <c r="D218" i="29"/>
  <c r="P218" i="29"/>
  <c r="R218" i="29" s="1"/>
  <c r="H218" i="29"/>
  <c r="P202" i="29"/>
  <c r="H202" i="29"/>
  <c r="K202" i="29" s="1"/>
  <c r="L202" i="29"/>
  <c r="D202" i="29"/>
  <c r="P186" i="29"/>
  <c r="H186" i="29"/>
  <c r="L186" i="29"/>
  <c r="D186" i="29"/>
  <c r="P290" i="29"/>
  <c r="H290" i="29"/>
  <c r="L290" i="29"/>
  <c r="D290" i="29"/>
  <c r="L274" i="29"/>
  <c r="D274" i="29"/>
  <c r="P274" i="29"/>
  <c r="H274" i="29"/>
  <c r="L258" i="29"/>
  <c r="D258" i="29"/>
  <c r="P258" i="29"/>
  <c r="H258" i="29"/>
  <c r="D336" i="29"/>
  <c r="F336" i="29" s="1"/>
  <c r="H336" i="29"/>
  <c r="J336" i="29" s="1"/>
  <c r="L320" i="29"/>
  <c r="D320" i="29"/>
  <c r="H33" i="29"/>
  <c r="L16" i="29"/>
  <c r="P5" i="29"/>
  <c r="R5" i="29" s="1"/>
  <c r="H76" i="29"/>
  <c r="L109" i="29"/>
  <c r="D131" i="29"/>
  <c r="D173" i="29"/>
  <c r="P165" i="29"/>
  <c r="H221" i="29"/>
  <c r="J221" i="29" s="1"/>
  <c r="P237" i="29"/>
  <c r="D253" i="29"/>
  <c r="L338" i="29"/>
  <c r="O338" i="29" s="1"/>
  <c r="L39" i="29"/>
  <c r="D39" i="29"/>
  <c r="P39" i="29"/>
  <c r="H39" i="29"/>
  <c r="L155" i="29"/>
  <c r="D155" i="29"/>
  <c r="L61" i="29"/>
  <c r="D61" i="29"/>
  <c r="L45" i="29"/>
  <c r="D45" i="29"/>
  <c r="P29" i="29"/>
  <c r="H29" i="29"/>
  <c r="P13" i="29"/>
  <c r="H13" i="29"/>
  <c r="P121" i="29"/>
  <c r="H121" i="29"/>
  <c r="P105" i="29"/>
  <c r="H105" i="29"/>
  <c r="P89" i="29"/>
  <c r="H89" i="29"/>
  <c r="L73" i="29"/>
  <c r="D73" i="29"/>
  <c r="L177" i="29"/>
  <c r="D177" i="29"/>
  <c r="P177" i="29"/>
  <c r="H177" i="29"/>
  <c r="P161" i="29"/>
  <c r="H161" i="29"/>
  <c r="P145" i="29"/>
  <c r="H145" i="29"/>
  <c r="P129" i="29"/>
  <c r="H129" i="29"/>
  <c r="L233" i="29"/>
  <c r="D233" i="29"/>
  <c r="P233" i="29"/>
  <c r="H233" i="29"/>
  <c r="L217" i="29"/>
  <c r="D217" i="29"/>
  <c r="P217" i="29"/>
  <c r="H217" i="29"/>
  <c r="P201" i="29"/>
  <c r="H201" i="29"/>
  <c r="L201" i="29"/>
  <c r="P305" i="29"/>
  <c r="H305" i="29"/>
  <c r="L305" i="29"/>
  <c r="D305" i="29"/>
  <c r="P289" i="29"/>
  <c r="H289" i="29"/>
  <c r="L289" i="29"/>
  <c r="D289" i="29"/>
  <c r="L273" i="29"/>
  <c r="D273" i="29"/>
  <c r="P273" i="29"/>
  <c r="H273" i="29"/>
  <c r="L257" i="29"/>
  <c r="D257" i="29"/>
  <c r="P257" i="29"/>
  <c r="H257" i="29"/>
  <c r="L13" i="29"/>
  <c r="O13" i="29" s="1"/>
  <c r="H75" i="29"/>
  <c r="L65" i="29"/>
  <c r="P48" i="29"/>
  <c r="L108" i="29"/>
  <c r="P99" i="29"/>
  <c r="D129" i="29"/>
  <c r="L152" i="29"/>
  <c r="D172" i="29"/>
  <c r="L188" i="29"/>
  <c r="H220" i="29"/>
  <c r="P236" i="29"/>
  <c r="D252" i="29"/>
  <c r="L337" i="29"/>
  <c r="O337" i="29" s="1"/>
  <c r="H2" i="24"/>
  <c r="L2" i="24" s="1"/>
  <c r="L60" i="29"/>
  <c r="D60" i="29"/>
  <c r="P44" i="29"/>
  <c r="H44" i="29"/>
  <c r="P28" i="29"/>
  <c r="H28" i="29"/>
  <c r="P12" i="29"/>
  <c r="H12" i="29"/>
  <c r="L120" i="29"/>
  <c r="D120" i="29"/>
  <c r="L104" i="29"/>
  <c r="D104" i="29"/>
  <c r="L88" i="29"/>
  <c r="D88" i="29"/>
  <c r="P72" i="29"/>
  <c r="H72" i="29"/>
  <c r="P176" i="29"/>
  <c r="H176" i="29"/>
  <c r="L160" i="29"/>
  <c r="D160" i="29"/>
  <c r="L144" i="29"/>
  <c r="D144" i="29"/>
  <c r="L128" i="29"/>
  <c r="D128" i="29"/>
  <c r="P232" i="29"/>
  <c r="H232" i="29"/>
  <c r="P216" i="29"/>
  <c r="H216" i="29"/>
  <c r="L200" i="29"/>
  <c r="O200" i="29" s="1"/>
  <c r="D200" i="29"/>
  <c r="L304" i="29"/>
  <c r="D304" i="29"/>
  <c r="L288" i="29"/>
  <c r="D288" i="29"/>
  <c r="P256" i="29"/>
  <c r="D334" i="29"/>
  <c r="F334" i="29" s="1"/>
  <c r="H334" i="29"/>
  <c r="L334" i="29"/>
  <c r="P334" i="29"/>
  <c r="L318" i="29"/>
  <c r="N318" i="29" s="1"/>
  <c r="D318" i="29"/>
  <c r="P318" i="29"/>
  <c r="H318" i="29"/>
  <c r="D32" i="29"/>
  <c r="H21" i="29"/>
  <c r="L12" i="29"/>
  <c r="D83" i="29"/>
  <c r="H73" i="29"/>
  <c r="P45" i="29"/>
  <c r="L107" i="29"/>
  <c r="P97" i="29"/>
  <c r="H160" i="29"/>
  <c r="L149" i="29"/>
  <c r="P140" i="29"/>
  <c r="D171" i="29"/>
  <c r="L187" i="29"/>
  <c r="H219" i="29"/>
  <c r="P235" i="29"/>
  <c r="L336" i="29"/>
  <c r="N336" i="29" s="1"/>
  <c r="P55" i="29"/>
  <c r="H55" i="29"/>
  <c r="L55" i="29"/>
  <c r="D55" i="29"/>
  <c r="L23" i="29"/>
  <c r="D23" i="29"/>
  <c r="P23" i="29"/>
  <c r="H23" i="29"/>
  <c r="P67" i="29"/>
  <c r="H67" i="29"/>
  <c r="L59" i="29"/>
  <c r="D59" i="29"/>
  <c r="P43" i="29"/>
  <c r="H43" i="29"/>
  <c r="P27" i="29"/>
  <c r="H27" i="29"/>
  <c r="P11" i="29"/>
  <c r="R11" i="29" s="1"/>
  <c r="H11" i="29"/>
  <c r="J11" i="29" s="1"/>
  <c r="L119" i="29"/>
  <c r="D119" i="29"/>
  <c r="P119" i="29"/>
  <c r="H119" i="29"/>
  <c r="L103" i="29"/>
  <c r="D103" i="29"/>
  <c r="P103" i="29"/>
  <c r="H103" i="29"/>
  <c r="L87" i="29"/>
  <c r="D87" i="29"/>
  <c r="P87" i="29"/>
  <c r="H87" i="29"/>
  <c r="P71" i="29"/>
  <c r="H71" i="29"/>
  <c r="L71" i="29"/>
  <c r="D71" i="29"/>
  <c r="P175" i="29"/>
  <c r="H175" i="29"/>
  <c r="L175" i="29"/>
  <c r="D175" i="29"/>
  <c r="L159" i="29"/>
  <c r="D159" i="29"/>
  <c r="P159" i="29"/>
  <c r="H159" i="29"/>
  <c r="L143" i="29"/>
  <c r="D143" i="29"/>
  <c r="P143" i="29"/>
  <c r="H143" i="29"/>
  <c r="L127" i="29"/>
  <c r="D127" i="29"/>
  <c r="P127" i="29"/>
  <c r="H127" i="29"/>
  <c r="P231" i="29"/>
  <c r="S231" i="29" s="1"/>
  <c r="H231" i="29"/>
  <c r="K231" i="29" s="1"/>
  <c r="L231" i="29"/>
  <c r="D231" i="29"/>
  <c r="P215" i="29"/>
  <c r="H215" i="29"/>
  <c r="J215" i="29" s="1"/>
  <c r="L215" i="29"/>
  <c r="D215" i="29"/>
  <c r="F215" i="29" s="1"/>
  <c r="L199" i="29"/>
  <c r="N199" i="29" s="1"/>
  <c r="D199" i="29"/>
  <c r="P199" i="29"/>
  <c r="H199" i="29"/>
  <c r="L303" i="29"/>
  <c r="N303" i="29" s="1"/>
  <c r="D303" i="29"/>
  <c r="F303" i="29" s="1"/>
  <c r="P303" i="29"/>
  <c r="S303" i="29" s="1"/>
  <c r="H303" i="29"/>
  <c r="K303" i="29" s="1"/>
  <c r="L287" i="29"/>
  <c r="O287" i="29" s="1"/>
  <c r="D287" i="29"/>
  <c r="F287" i="29" s="1"/>
  <c r="P287" i="29"/>
  <c r="S287" i="29" s="1"/>
  <c r="H287" i="29"/>
  <c r="K287" i="29" s="1"/>
  <c r="P271" i="29"/>
  <c r="H271" i="29"/>
  <c r="L271" i="29"/>
  <c r="N271" i="29" s="1"/>
  <c r="D271" i="29"/>
  <c r="G271" i="29" s="1"/>
  <c r="P255" i="29"/>
  <c r="H255" i="29"/>
  <c r="L255" i="29"/>
  <c r="D255" i="29"/>
  <c r="D29" i="29"/>
  <c r="H20" i="29"/>
  <c r="L11" i="29"/>
  <c r="D81" i="29"/>
  <c r="H64" i="29"/>
  <c r="L53" i="29"/>
  <c r="D124" i="29"/>
  <c r="L105" i="29"/>
  <c r="P88" i="29"/>
  <c r="L148" i="29"/>
  <c r="P139" i="29"/>
  <c r="H200" i="29"/>
  <c r="L176" i="29"/>
  <c r="D232" i="29"/>
  <c r="H208" i="29"/>
  <c r="P224" i="29"/>
  <c r="H280" i="29"/>
  <c r="H288" i="29"/>
  <c r="P304" i="29"/>
  <c r="L325" i="29"/>
  <c r="M169" i="29"/>
  <c r="S285" i="29"/>
  <c r="L58" i="29"/>
  <c r="D58" i="29"/>
  <c r="P58" i="29"/>
  <c r="H58" i="29"/>
  <c r="P42" i="29"/>
  <c r="H42" i="29"/>
  <c r="L42" i="29"/>
  <c r="D42" i="29"/>
  <c r="P26" i="29"/>
  <c r="H26" i="29"/>
  <c r="L26" i="29"/>
  <c r="D26" i="29"/>
  <c r="P10" i="29"/>
  <c r="R10" i="29" s="1"/>
  <c r="H10" i="29"/>
  <c r="L10" i="29"/>
  <c r="N10" i="29" s="1"/>
  <c r="D10" i="29"/>
  <c r="L118" i="29"/>
  <c r="D118" i="29"/>
  <c r="P118" i="29"/>
  <c r="H118" i="29"/>
  <c r="L102" i="29"/>
  <c r="D102" i="29"/>
  <c r="P102" i="29"/>
  <c r="H102" i="29"/>
  <c r="L86" i="29"/>
  <c r="D86" i="29"/>
  <c r="P86" i="29"/>
  <c r="H86" i="29"/>
  <c r="P70" i="29"/>
  <c r="H70" i="29"/>
  <c r="L70" i="29"/>
  <c r="D70" i="29"/>
  <c r="P174" i="29"/>
  <c r="H174" i="29"/>
  <c r="L174" i="29"/>
  <c r="D174" i="29"/>
  <c r="L158" i="29"/>
  <c r="D158" i="29"/>
  <c r="P158" i="29"/>
  <c r="H158" i="29"/>
  <c r="L142" i="29"/>
  <c r="D142" i="29"/>
  <c r="P142" i="29"/>
  <c r="H142" i="29"/>
  <c r="L126" i="29"/>
  <c r="D126" i="29"/>
  <c r="P126" i="29"/>
  <c r="H126" i="29"/>
  <c r="P254" i="29"/>
  <c r="D28" i="29"/>
  <c r="H19" i="29"/>
  <c r="D72" i="29"/>
  <c r="H61" i="29"/>
  <c r="L52" i="29"/>
  <c r="D123" i="29"/>
  <c r="H113" i="29"/>
  <c r="L96" i="29"/>
  <c r="L147" i="29"/>
  <c r="H205" i="29"/>
  <c r="P221" i="29"/>
  <c r="S221" i="29" s="1"/>
  <c r="L253" i="29"/>
  <c r="D309" i="29"/>
  <c r="P337" i="29"/>
  <c r="S337" i="29" s="1"/>
  <c r="L115" i="29"/>
  <c r="D115" i="29"/>
  <c r="N9" i="29"/>
  <c r="M166" i="29"/>
  <c r="L57" i="29"/>
  <c r="D57" i="29"/>
  <c r="P41" i="29"/>
  <c r="H41" i="29"/>
  <c r="P25" i="29"/>
  <c r="H25" i="29"/>
  <c r="P9" i="29"/>
  <c r="R9" i="29" s="1"/>
  <c r="H9" i="29"/>
  <c r="K9" i="29" s="1"/>
  <c r="L117" i="29"/>
  <c r="D117" i="29"/>
  <c r="L101" i="29"/>
  <c r="D101" i="29"/>
  <c r="L85" i="29"/>
  <c r="D85" i="29"/>
  <c r="P69" i="29"/>
  <c r="H69" i="29"/>
  <c r="P173" i="29"/>
  <c r="H173" i="29"/>
  <c r="L157" i="29"/>
  <c r="D157" i="29"/>
  <c r="L141" i="29"/>
  <c r="D141" i="29"/>
  <c r="L245" i="29"/>
  <c r="D245" i="29"/>
  <c r="P253" i="29"/>
  <c r="H17" i="29"/>
  <c r="D69" i="29"/>
  <c r="H60" i="29"/>
  <c r="L51" i="29"/>
  <c r="D121" i="29"/>
  <c r="H104" i="29"/>
  <c r="L93" i="29"/>
  <c r="D164" i="29"/>
  <c r="H155" i="29"/>
  <c r="L145" i="29"/>
  <c r="P128" i="29"/>
  <c r="P220" i="29"/>
  <c r="H276" i="29"/>
  <c r="L252" i="29"/>
  <c r="D308" i="29"/>
  <c r="P336" i="29"/>
  <c r="R336" i="29" s="1"/>
  <c r="P56" i="29"/>
  <c r="H56" i="29"/>
  <c r="L40" i="29"/>
  <c r="D40" i="29"/>
  <c r="L24" i="29"/>
  <c r="D24" i="29"/>
  <c r="L8" i="29"/>
  <c r="N8" i="29" s="1"/>
  <c r="D8" i="29"/>
  <c r="G8" i="29" s="1"/>
  <c r="L116" i="29"/>
  <c r="D116" i="29"/>
  <c r="L100" i="29"/>
  <c r="D100" i="29"/>
  <c r="P84" i="29"/>
  <c r="H84" i="29"/>
  <c r="P68" i="29"/>
  <c r="H68" i="29"/>
  <c r="P172" i="29"/>
  <c r="H172" i="29"/>
  <c r="L156" i="29"/>
  <c r="D156" i="29"/>
  <c r="L140" i="29"/>
  <c r="P252" i="29"/>
  <c r="D25" i="29"/>
  <c r="H8" i="29"/>
  <c r="J8" i="29" s="1"/>
  <c r="P37" i="29"/>
  <c r="D68" i="29"/>
  <c r="L49" i="29"/>
  <c r="D112" i="29"/>
  <c r="H101" i="29"/>
  <c r="L92" i="29"/>
  <c r="D163" i="29"/>
  <c r="L136" i="29"/>
  <c r="P125" i="29"/>
  <c r="L171" i="29"/>
  <c r="P219" i="29"/>
  <c r="H275" i="29"/>
  <c r="H279" i="29"/>
  <c r="K279" i="29" s="1"/>
  <c r="H263" i="29"/>
  <c r="K263" i="29" s="1"/>
  <c r="H247" i="29"/>
  <c r="P279" i="29"/>
  <c r="P263" i="29"/>
  <c r="S263" i="29" s="1"/>
  <c r="P247" i="29"/>
  <c r="D311" i="29"/>
  <c r="H319" i="29"/>
  <c r="L311" i="29"/>
  <c r="P319" i="29"/>
  <c r="D326" i="29"/>
  <c r="P339" i="29"/>
  <c r="S339" i="29" s="1"/>
  <c r="H198" i="29"/>
  <c r="P198" i="29"/>
  <c r="D230" i="29"/>
  <c r="D214" i="29"/>
  <c r="L230" i="29"/>
  <c r="L214" i="29"/>
  <c r="D270" i="29"/>
  <c r="G270" i="29" s="1"/>
  <c r="D254" i="29"/>
  <c r="L270" i="29"/>
  <c r="N270" i="29" s="1"/>
  <c r="L254" i="29"/>
  <c r="D310" i="29"/>
  <c r="H302" i="29"/>
  <c r="H286" i="29"/>
  <c r="L310" i="29"/>
  <c r="P302" i="29"/>
  <c r="R302" i="29" s="1"/>
  <c r="P286" i="29"/>
  <c r="R286" i="29" s="1"/>
  <c r="D82" i="29"/>
  <c r="D66" i="29"/>
  <c r="L82" i="29"/>
  <c r="L66" i="29"/>
  <c r="H114" i="29"/>
  <c r="H98" i="29"/>
  <c r="P114" i="29"/>
  <c r="P98" i="29"/>
  <c r="H154" i="29"/>
  <c r="H138" i="29"/>
  <c r="P154" i="29"/>
  <c r="P138" i="29"/>
  <c r="D170" i="29"/>
  <c r="H194" i="29"/>
  <c r="L170" i="29"/>
  <c r="P194" i="29"/>
  <c r="D242" i="29"/>
  <c r="G242" i="29" s="1"/>
  <c r="D226" i="29"/>
  <c r="D210" i="29"/>
  <c r="L242" i="29"/>
  <c r="L226" i="29"/>
  <c r="L210" i="29"/>
  <c r="D282" i="29"/>
  <c r="D266" i="29"/>
  <c r="D250" i="29"/>
  <c r="L282" i="29"/>
  <c r="L266" i="29"/>
  <c r="L250" i="29"/>
  <c r="H314" i="29"/>
  <c r="K314" i="29" s="1"/>
  <c r="H298" i="29"/>
  <c r="P314" i="29"/>
  <c r="S314" i="29" s="1"/>
  <c r="P298" i="29"/>
  <c r="L335" i="29"/>
  <c r="H193" i="29"/>
  <c r="L169" i="29"/>
  <c r="P193" i="29"/>
  <c r="D241" i="29"/>
  <c r="D225" i="29"/>
  <c r="D209" i="29"/>
  <c r="L241" i="29"/>
  <c r="N241" i="29" s="1"/>
  <c r="L225" i="29"/>
  <c r="L209" i="29"/>
  <c r="N209" i="29" s="1"/>
  <c r="D281" i="29"/>
  <c r="D265" i="29"/>
  <c r="D249" i="29"/>
  <c r="L281" i="29"/>
  <c r="L265" i="29"/>
  <c r="L249" i="29"/>
  <c r="H313" i="29"/>
  <c r="J313" i="29" s="1"/>
  <c r="H297" i="29"/>
  <c r="P313" i="29"/>
  <c r="S313" i="29" s="1"/>
  <c r="P297" i="29"/>
  <c r="H335" i="29"/>
  <c r="P333" i="29"/>
  <c r="H272" i="29"/>
  <c r="H256" i="29"/>
  <c r="H312" i="29"/>
  <c r="J312" i="29" s="1"/>
  <c r="L333" i="29"/>
  <c r="O333" i="29" s="1"/>
  <c r="P332" i="29"/>
  <c r="D279" i="29"/>
  <c r="G279" i="29" s="1"/>
  <c r="D263" i="29"/>
  <c r="G263" i="29" s="1"/>
  <c r="D247" i="29"/>
  <c r="D319" i="29"/>
  <c r="H311" i="29"/>
  <c r="K311" i="29" s="1"/>
  <c r="H333" i="29"/>
  <c r="L332" i="29"/>
  <c r="P331" i="29"/>
  <c r="S331" i="29" s="1"/>
  <c r="D198" i="29"/>
  <c r="H230" i="29"/>
  <c r="H214" i="29"/>
  <c r="H270" i="29"/>
  <c r="K270" i="29" s="1"/>
  <c r="H254" i="29"/>
  <c r="D302" i="29"/>
  <c r="F302" i="29" s="1"/>
  <c r="D286" i="29"/>
  <c r="F286" i="29" s="1"/>
  <c r="H310" i="29"/>
  <c r="K310" i="29" s="1"/>
  <c r="H332" i="29"/>
  <c r="L331" i="29"/>
  <c r="O331" i="29" s="1"/>
  <c r="P330" i="29"/>
  <c r="R330" i="29" s="1"/>
  <c r="D197" i="29"/>
  <c r="H189" i="29"/>
  <c r="H229" i="29"/>
  <c r="H213" i="29"/>
  <c r="D277" i="29"/>
  <c r="F277" i="29" s="1"/>
  <c r="D261" i="29"/>
  <c r="H269" i="29"/>
  <c r="J269" i="29" s="1"/>
  <c r="H253" i="29"/>
  <c r="D317" i="29"/>
  <c r="D301" i="29"/>
  <c r="F301" i="29" s="1"/>
  <c r="D285" i="29"/>
  <c r="G285" i="29" s="1"/>
  <c r="H293" i="29"/>
  <c r="H331" i="29"/>
  <c r="K331" i="29" s="1"/>
  <c r="L330" i="29"/>
  <c r="O330" i="29" s="1"/>
  <c r="P329" i="29"/>
  <c r="D140" i="29"/>
  <c r="D196" i="29"/>
  <c r="H244" i="29"/>
  <c r="H228" i="29"/>
  <c r="H212" i="29"/>
  <c r="D260" i="29"/>
  <c r="H284" i="29"/>
  <c r="J284" i="29" s="1"/>
  <c r="H268" i="29"/>
  <c r="K268" i="29" s="1"/>
  <c r="H252" i="29"/>
  <c r="D316" i="29"/>
  <c r="D300" i="29"/>
  <c r="F300" i="29" s="1"/>
  <c r="H324" i="29"/>
  <c r="K324" i="29" s="1"/>
  <c r="H308" i="29"/>
  <c r="H330" i="29"/>
  <c r="J330" i="29" s="1"/>
  <c r="L329" i="29"/>
  <c r="N329" i="29" s="1"/>
  <c r="P328" i="29"/>
  <c r="D139" i="29"/>
  <c r="D195" i="29"/>
  <c r="H243" i="29"/>
  <c r="H227" i="29"/>
  <c r="H211" i="29"/>
  <c r="H283" i="29"/>
  <c r="H267" i="29"/>
  <c r="H251" i="29"/>
  <c r="D315" i="29"/>
  <c r="D299" i="29"/>
  <c r="H323" i="29"/>
  <c r="K323" i="29" s="1"/>
  <c r="H307" i="29"/>
  <c r="K307" i="29" s="1"/>
  <c r="H329" i="29"/>
  <c r="L328" i="29"/>
  <c r="O328" i="29" s="1"/>
  <c r="H82" i="29"/>
  <c r="H66" i="29"/>
  <c r="D114" i="29"/>
  <c r="D98" i="29"/>
  <c r="D154" i="29"/>
  <c r="D138" i="29"/>
  <c r="D194" i="29"/>
  <c r="H170" i="29"/>
  <c r="H242" i="29"/>
  <c r="H226" i="29"/>
  <c r="H210" i="29"/>
  <c r="H282" i="29"/>
  <c r="H266" i="29"/>
  <c r="H250" i="29"/>
  <c r="D314" i="29"/>
  <c r="G314" i="29" s="1"/>
  <c r="D298" i="29"/>
  <c r="H328" i="29"/>
  <c r="J328" i="29" s="1"/>
  <c r="P326" i="29"/>
  <c r="D153" i="29"/>
  <c r="D137" i="29"/>
  <c r="D193" i="29"/>
  <c r="H169" i="29"/>
  <c r="H241" i="29"/>
  <c r="H225" i="29"/>
  <c r="H209" i="29"/>
  <c r="H281" i="29"/>
  <c r="H265" i="29"/>
  <c r="K265" i="29" s="1"/>
  <c r="H249" i="29"/>
  <c r="D313" i="29"/>
  <c r="F313" i="29" s="1"/>
  <c r="D297" i="29"/>
  <c r="G297" i="29" s="1"/>
  <c r="J337" i="29"/>
  <c r="O9" i="29"/>
  <c r="O297" i="29"/>
  <c r="Q132" i="29"/>
  <c r="O286" i="29"/>
  <c r="O314" i="29"/>
  <c r="S338" i="29"/>
  <c r="E37" i="26"/>
  <c r="F123" i="28"/>
  <c r="E35" i="29"/>
  <c r="H100" i="28"/>
  <c r="E158" i="29"/>
  <c r="S280" i="29"/>
  <c r="M158" i="29"/>
  <c r="I253" i="28"/>
  <c r="E34" i="29"/>
  <c r="M79" i="29"/>
  <c r="E157" i="29"/>
  <c r="I128" i="24"/>
  <c r="M128" i="24" s="1"/>
  <c r="O339" i="29"/>
  <c r="E154" i="29"/>
  <c r="Q7" i="29"/>
  <c r="M216" i="29"/>
  <c r="O216" i="29" s="1"/>
  <c r="F296" i="29"/>
  <c r="S323" i="29"/>
  <c r="M60" i="29"/>
  <c r="Q68" i="29"/>
  <c r="E5" i="29"/>
  <c r="N300" i="29"/>
  <c r="I295" i="24"/>
  <c r="M295" i="24" s="1"/>
  <c r="E123" i="29"/>
  <c r="E14" i="29"/>
  <c r="S268" i="29"/>
  <c r="H3" i="24"/>
  <c r="L3" i="24" s="1"/>
  <c r="E107" i="29"/>
  <c r="S230" i="29"/>
  <c r="G16" i="29"/>
  <c r="F16" i="29"/>
  <c r="Q173" i="29"/>
  <c r="I37" i="28"/>
  <c r="Q171" i="29"/>
  <c r="Q172" i="29"/>
  <c r="G15" i="28"/>
  <c r="I15" i="29"/>
  <c r="M15" i="29"/>
  <c r="H116" i="28"/>
  <c r="M228" i="29"/>
  <c r="Q164" i="29"/>
  <c r="F260" i="28"/>
  <c r="E214" i="29"/>
  <c r="H226" i="24"/>
  <c r="L226" i="24" s="1"/>
  <c r="I228" i="29"/>
  <c r="I213" i="29"/>
  <c r="H115" i="28"/>
  <c r="M227" i="29"/>
  <c r="I209" i="24"/>
  <c r="M209" i="24" s="1"/>
  <c r="M212" i="29"/>
  <c r="I193" i="24"/>
  <c r="M193" i="24" s="1"/>
  <c r="M196" i="29"/>
  <c r="E327" i="29"/>
  <c r="I299" i="24"/>
  <c r="M299" i="24" s="1"/>
  <c r="M301" i="29"/>
  <c r="Q328" i="29"/>
  <c r="Q312" i="29"/>
  <c r="R312" i="29" s="1"/>
  <c r="E15" i="29"/>
  <c r="M11" i="29"/>
  <c r="I47" i="29"/>
  <c r="I48" i="29"/>
  <c r="I60" i="29"/>
  <c r="I63" i="29"/>
  <c r="I49" i="29"/>
  <c r="Q318" i="29"/>
  <c r="E165" i="29"/>
  <c r="E170" i="29"/>
  <c r="E173" i="29"/>
  <c r="E174" i="29"/>
  <c r="E175" i="29"/>
  <c r="E176" i="29"/>
  <c r="Q317" i="29"/>
  <c r="Q273" i="29"/>
  <c r="M229" i="29"/>
  <c r="E329" i="29"/>
  <c r="H290" i="24"/>
  <c r="L290" i="24" s="1"/>
  <c r="I292" i="29"/>
  <c r="H227" i="24"/>
  <c r="L227" i="24" s="1"/>
  <c r="I229" i="29"/>
  <c r="E69" i="29"/>
  <c r="E79" i="29"/>
  <c r="E256" i="29"/>
  <c r="I193" i="29"/>
  <c r="M133" i="29"/>
  <c r="M132" i="29"/>
  <c r="M139" i="29"/>
  <c r="M140" i="29"/>
  <c r="Q163" i="29"/>
  <c r="I227" i="29"/>
  <c r="H284" i="24"/>
  <c r="L284" i="24" s="1"/>
  <c r="I286" i="29"/>
  <c r="Q311" i="29"/>
  <c r="Q295" i="29"/>
  <c r="H203" i="24"/>
  <c r="L203" i="24" s="1"/>
  <c r="I206" i="29"/>
  <c r="M308" i="29"/>
  <c r="I305" i="24"/>
  <c r="M305" i="24" s="1"/>
  <c r="M307" i="29"/>
  <c r="H286" i="24"/>
  <c r="L286" i="24" s="1"/>
  <c r="I288" i="29"/>
  <c r="Q156" i="29"/>
  <c r="I189" i="29"/>
  <c r="F30" i="28"/>
  <c r="E226" i="29"/>
  <c r="F257" i="28"/>
  <c r="E211" i="29"/>
  <c r="H127" i="28"/>
  <c r="M240" i="29"/>
  <c r="I222" i="24"/>
  <c r="M222" i="24" s="1"/>
  <c r="M224" i="29"/>
  <c r="Q223" i="29"/>
  <c r="F269" i="29"/>
  <c r="I281" i="24"/>
  <c r="M281" i="24" s="1"/>
  <c r="M283" i="29"/>
  <c r="Q282" i="29"/>
  <c r="Q266" i="29"/>
  <c r="G38" i="26"/>
  <c r="H38" i="26" s="1"/>
  <c r="E38" i="26"/>
  <c r="Q143" i="29"/>
  <c r="I21" i="29"/>
  <c r="I33" i="29"/>
  <c r="I34" i="29"/>
  <c r="I35" i="29"/>
  <c r="I36" i="29"/>
  <c r="I44" i="29"/>
  <c r="Q157" i="29"/>
  <c r="E317" i="29"/>
  <c r="M323" i="29"/>
  <c r="H289" i="24"/>
  <c r="L289" i="24" s="1"/>
  <c r="I291" i="29"/>
  <c r="M302" i="29"/>
  <c r="N302" i="29" s="1"/>
  <c r="Q254" i="29"/>
  <c r="M111" i="29"/>
  <c r="H211" i="28"/>
  <c r="M113" i="29"/>
  <c r="M123" i="29"/>
  <c r="I28" i="28"/>
  <c r="Q224" i="29"/>
  <c r="E108" i="29"/>
  <c r="E100" i="29"/>
  <c r="M107" i="29"/>
  <c r="I188" i="29"/>
  <c r="Q243" i="29"/>
  <c r="I130" i="28"/>
  <c r="M18" i="29"/>
  <c r="Q272" i="29"/>
  <c r="Q168" i="29"/>
  <c r="H228" i="24"/>
  <c r="L228" i="24" s="1"/>
  <c r="I230" i="29"/>
  <c r="I194" i="24"/>
  <c r="M194" i="24" s="1"/>
  <c r="M197" i="29"/>
  <c r="Q240" i="29"/>
  <c r="Q111" i="29"/>
  <c r="I140" i="29"/>
  <c r="F9" i="28"/>
  <c r="E9" i="29"/>
  <c r="I281" i="29"/>
  <c r="K237" i="29"/>
  <c r="J237" i="29"/>
  <c r="E177" i="29"/>
  <c r="M246" i="29"/>
  <c r="R8" i="29"/>
  <c r="S8" i="29"/>
  <c r="Q167" i="29"/>
  <c r="H211" i="24"/>
  <c r="L211" i="24" s="1"/>
  <c r="I214" i="29"/>
  <c r="Q329" i="29"/>
  <c r="Q69" i="29"/>
  <c r="I167" i="29"/>
  <c r="I172" i="29"/>
  <c r="I173" i="29"/>
  <c r="G81" i="28"/>
  <c r="I190" i="29"/>
  <c r="Q308" i="29"/>
  <c r="G121" i="24"/>
  <c r="K121" i="24" s="1"/>
  <c r="I59" i="29"/>
  <c r="M206" i="29"/>
  <c r="I251" i="28"/>
  <c r="Q205" i="29"/>
  <c r="S205" i="29" s="1"/>
  <c r="I280" i="29"/>
  <c r="E33" i="29"/>
  <c r="F124" i="28"/>
  <c r="E237" i="29"/>
  <c r="H202" i="24"/>
  <c r="L202" i="24" s="1"/>
  <c r="I205" i="29"/>
  <c r="I217" i="24"/>
  <c r="M217" i="24" s="1"/>
  <c r="M219" i="29"/>
  <c r="E21" i="29"/>
  <c r="M185" i="29"/>
  <c r="Q180" i="29"/>
  <c r="I235" i="29"/>
  <c r="K235" i="29" s="1"/>
  <c r="M234" i="29"/>
  <c r="M218" i="29"/>
  <c r="M203" i="29"/>
  <c r="H66" i="28"/>
  <c r="Q217" i="29"/>
  <c r="E320" i="29"/>
  <c r="E178" i="29"/>
  <c r="E191" i="29"/>
  <c r="E192" i="29"/>
  <c r="I256" i="29"/>
  <c r="I258" i="29"/>
  <c r="M159" i="29"/>
  <c r="I152" i="24"/>
  <c r="M152" i="24" s="1"/>
  <c r="M156" i="29"/>
  <c r="M153" i="29"/>
  <c r="I254" i="29"/>
  <c r="I316" i="29"/>
  <c r="Q290" i="29"/>
  <c r="E47" i="29"/>
  <c r="Q53" i="29"/>
  <c r="Q52" i="29"/>
  <c r="Q246" i="29"/>
  <c r="I246" i="29"/>
  <c r="M149" i="29"/>
  <c r="M143" i="29"/>
  <c r="M144" i="29"/>
  <c r="M150" i="29"/>
  <c r="M277" i="29"/>
  <c r="M245" i="29"/>
  <c r="I315" i="29"/>
  <c r="H297" i="24"/>
  <c r="L297" i="24" s="1"/>
  <c r="I299" i="29"/>
  <c r="Q305" i="29"/>
  <c r="Q289" i="29"/>
  <c r="I59" i="28"/>
  <c r="Q195" i="29"/>
  <c r="M244" i="29"/>
  <c r="K109" i="19"/>
  <c r="E319" i="29"/>
  <c r="M325" i="29"/>
  <c r="I291" i="24"/>
  <c r="M291" i="24" s="1"/>
  <c r="M293" i="29"/>
  <c r="Q304" i="29"/>
  <c r="Q19" i="29"/>
  <c r="F17" i="28"/>
  <c r="E17" i="29"/>
  <c r="G59" i="28"/>
  <c r="I195" i="29"/>
  <c r="I244" i="29"/>
  <c r="G131" i="28"/>
  <c r="M243" i="29"/>
  <c r="K101" i="19"/>
  <c r="E318" i="29"/>
  <c r="I329" i="29"/>
  <c r="I297" i="29"/>
  <c r="M324" i="29"/>
  <c r="Q319" i="29"/>
  <c r="Q238" i="29"/>
  <c r="I283" i="29"/>
  <c r="M272" i="29"/>
  <c r="K104" i="19"/>
  <c r="E315" i="29"/>
  <c r="I308" i="29"/>
  <c r="M175" i="29"/>
  <c r="F19" i="28"/>
  <c r="E19" i="29"/>
  <c r="H237" i="24"/>
  <c r="L237" i="24" s="1"/>
  <c r="I239" i="29"/>
  <c r="I223" i="29"/>
  <c r="G254" i="28"/>
  <c r="I208" i="29"/>
  <c r="I220" i="24"/>
  <c r="M220" i="24" s="1"/>
  <c r="M222" i="29"/>
  <c r="Q237" i="29"/>
  <c r="I252" i="28"/>
  <c r="Q206" i="29"/>
  <c r="H264" i="24"/>
  <c r="L264" i="24" s="1"/>
  <c r="I266" i="29"/>
  <c r="S270" i="29"/>
  <c r="R270" i="29"/>
  <c r="E330" i="29"/>
  <c r="F330" i="29" s="1"/>
  <c r="H291" i="24"/>
  <c r="L291" i="24" s="1"/>
  <c r="I293" i="29"/>
  <c r="M304" i="29"/>
  <c r="Q20" i="29"/>
  <c r="I158" i="29"/>
  <c r="M59" i="29"/>
  <c r="F23" i="28"/>
  <c r="E219" i="29"/>
  <c r="I234" i="29"/>
  <c r="H216" i="24"/>
  <c r="L216" i="24" s="1"/>
  <c r="I218" i="29"/>
  <c r="I203" i="29"/>
  <c r="H67" i="28"/>
  <c r="M202" i="29"/>
  <c r="Q232" i="29"/>
  <c r="Q216" i="29"/>
  <c r="I277" i="29"/>
  <c r="K277" i="29" s="1"/>
  <c r="M266" i="29"/>
  <c r="Q281" i="29"/>
  <c r="S281" i="29" s="1"/>
  <c r="E325" i="29"/>
  <c r="I320" i="29"/>
  <c r="H302" i="24"/>
  <c r="L302" i="24" s="1"/>
  <c r="I304" i="29"/>
  <c r="Q326" i="29"/>
  <c r="Q294" i="29"/>
  <c r="Q12" i="29"/>
  <c r="Q140" i="29"/>
  <c r="I143" i="29"/>
  <c r="F122" i="28"/>
  <c r="E234" i="29"/>
  <c r="F22" i="28"/>
  <c r="E218" i="29"/>
  <c r="F66" i="28"/>
  <c r="E203" i="29"/>
  <c r="H231" i="24"/>
  <c r="L231" i="24" s="1"/>
  <c r="I233" i="29"/>
  <c r="I217" i="29"/>
  <c r="I230" i="24"/>
  <c r="M230" i="24" s="1"/>
  <c r="M232" i="29"/>
  <c r="M201" i="29"/>
  <c r="S200" i="29"/>
  <c r="R200" i="29"/>
  <c r="F132" i="28"/>
  <c r="E245" i="29"/>
  <c r="M281" i="29"/>
  <c r="M265" i="29"/>
  <c r="I157" i="29"/>
  <c r="G21" i="28"/>
  <c r="I216" i="29"/>
  <c r="M280" i="29"/>
  <c r="M264" i="29"/>
  <c r="Q279" i="29"/>
  <c r="I302" i="29"/>
  <c r="M313" i="29"/>
  <c r="O313" i="29" s="1"/>
  <c r="Q324" i="29"/>
  <c r="R283" i="29"/>
  <c r="S283" i="29"/>
  <c r="E163" i="29"/>
  <c r="I107" i="29"/>
  <c r="I155" i="29"/>
  <c r="Q229" i="29"/>
  <c r="R229" i="29" s="1"/>
  <c r="E322" i="29"/>
  <c r="M312" i="29"/>
  <c r="Q307" i="29"/>
  <c r="S307" i="29" s="1"/>
  <c r="Q291" i="29"/>
  <c r="J264" i="29"/>
  <c r="K264" i="29"/>
  <c r="S228" i="29"/>
  <c r="R228" i="29"/>
  <c r="I296" i="24"/>
  <c r="M296" i="24" s="1"/>
  <c r="M298" i="29"/>
  <c r="Q325" i="29"/>
  <c r="N299" i="29"/>
  <c r="O299" i="29"/>
  <c r="O292" i="29"/>
  <c r="N292" i="29"/>
  <c r="R241" i="29"/>
  <c r="S241" i="29"/>
  <c r="S293" i="29"/>
  <c r="R293" i="29"/>
  <c r="R268" i="29"/>
  <c r="S213" i="29"/>
  <c r="R213" i="29"/>
  <c r="O300" i="29"/>
  <c r="R301" i="29"/>
  <c r="S301" i="29"/>
  <c r="F337" i="29"/>
  <c r="G337" i="29"/>
  <c r="N285" i="29"/>
  <c r="S310" i="29"/>
  <c r="R310" i="29"/>
  <c r="S269" i="29"/>
  <c r="R269" i="29"/>
  <c r="N286" i="29"/>
  <c r="R280" i="29"/>
  <c r="K309" i="29"/>
  <c r="N339" i="29"/>
  <c r="O309" i="29"/>
  <c r="O315" i="29"/>
  <c r="N315" i="29"/>
  <c r="O263" i="29"/>
  <c r="G331" i="29"/>
  <c r="F331" i="29"/>
  <c r="Q50" i="29"/>
  <c r="Q66" i="29"/>
  <c r="H132" i="28"/>
  <c r="E49" i="29"/>
  <c r="Q49" i="29"/>
  <c r="Q65" i="29"/>
  <c r="Q252" i="29"/>
  <c r="H274" i="24"/>
  <c r="L274" i="24" s="1"/>
  <c r="H130" i="28"/>
  <c r="E44" i="29"/>
  <c r="I43" i="29"/>
  <c r="Q48" i="29"/>
  <c r="J61" i="24"/>
  <c r="N61" i="24" s="1"/>
  <c r="M145" i="29"/>
  <c r="E186" i="29"/>
  <c r="I156" i="29"/>
  <c r="Q169" i="29"/>
  <c r="E63" i="29"/>
  <c r="I68" i="29"/>
  <c r="M130" i="29"/>
  <c r="Q124" i="29"/>
  <c r="E169" i="29"/>
  <c r="I187" i="29"/>
  <c r="I250" i="29"/>
  <c r="K5" i="29"/>
  <c r="M51" i="29"/>
  <c r="E84" i="29"/>
  <c r="H197" i="28"/>
  <c r="M129" i="29"/>
  <c r="Q123" i="29"/>
  <c r="E162" i="29"/>
  <c r="M173" i="29"/>
  <c r="Q187" i="29"/>
  <c r="Q153" i="29"/>
  <c r="X93" i="19"/>
  <c r="P93" i="19" s="1"/>
  <c r="Q51" i="29"/>
  <c r="Q59" i="29"/>
  <c r="S59" i="29" s="1"/>
  <c r="E59" i="29"/>
  <c r="E140" i="29"/>
  <c r="I187" i="24"/>
  <c r="M187" i="24" s="1"/>
  <c r="E27" i="29"/>
  <c r="I52" i="29"/>
  <c r="M50" i="29"/>
  <c r="I66" i="29"/>
  <c r="M65" i="29"/>
  <c r="I95" i="28"/>
  <c r="E112" i="29"/>
  <c r="H227" i="28"/>
  <c r="Q107" i="29"/>
  <c r="E161" i="29"/>
  <c r="I183" i="29"/>
  <c r="M172" i="29"/>
  <c r="M252" i="29"/>
  <c r="E64" i="29"/>
  <c r="I242" i="24"/>
  <c r="M242" i="24" s="1"/>
  <c r="E139" i="29"/>
  <c r="Q128" i="29"/>
  <c r="Q127" i="29"/>
  <c r="I241" i="24"/>
  <c r="M241" i="24" s="1"/>
  <c r="H48" i="24"/>
  <c r="L48" i="24" s="1"/>
  <c r="M49" i="29"/>
  <c r="I65" i="29"/>
  <c r="I124" i="24"/>
  <c r="M124" i="24" s="1"/>
  <c r="E160" i="29"/>
  <c r="I176" i="29"/>
  <c r="Q183" i="29"/>
  <c r="Q151" i="29"/>
  <c r="X91" i="19"/>
  <c r="P91" i="19" s="1"/>
  <c r="M5" i="29"/>
  <c r="E52" i="29"/>
  <c r="Q179" i="29"/>
  <c r="E51" i="29"/>
  <c r="J60" i="24"/>
  <c r="N60" i="24" s="1"/>
  <c r="J246" i="24"/>
  <c r="N246" i="24" s="1"/>
  <c r="Q129" i="29"/>
  <c r="M189" i="29"/>
  <c r="M188" i="29"/>
  <c r="I243" i="24"/>
  <c r="M243" i="24" s="1"/>
  <c r="I50" i="29"/>
  <c r="H177" i="28"/>
  <c r="H61" i="24"/>
  <c r="L61" i="24" s="1"/>
  <c r="M63" i="29"/>
  <c r="M124" i="29"/>
  <c r="E159" i="29"/>
  <c r="H172" i="24"/>
  <c r="L172" i="24" s="1"/>
  <c r="M248" i="29"/>
  <c r="Q256" i="29"/>
  <c r="E132" i="29"/>
  <c r="I116" i="29"/>
  <c r="J145" i="24"/>
  <c r="N145" i="24" s="1"/>
  <c r="E185" i="29"/>
  <c r="Q36" i="29"/>
  <c r="I147" i="29"/>
  <c r="I115" i="29"/>
  <c r="K115" i="29" s="1"/>
  <c r="I168" i="29"/>
  <c r="M186" i="29"/>
  <c r="E144" i="29"/>
  <c r="E53" i="29"/>
  <c r="E54" i="29"/>
  <c r="E55" i="29"/>
  <c r="E56" i="29"/>
  <c r="E57" i="29"/>
  <c r="E58" i="29"/>
  <c r="E48" i="29"/>
  <c r="M44" i="29"/>
  <c r="Q43" i="29"/>
  <c r="I148" i="29"/>
  <c r="Q116" i="29"/>
  <c r="M187" i="29"/>
  <c r="M258" i="29"/>
  <c r="X96" i="19"/>
  <c r="P96" i="19" s="1"/>
  <c r="X97" i="19"/>
  <c r="P97" i="19" s="1"/>
  <c r="Q35" i="29"/>
  <c r="E130" i="29"/>
  <c r="I146" i="29"/>
  <c r="I114" i="29"/>
  <c r="Q146" i="29"/>
  <c r="Q114" i="29"/>
  <c r="M256" i="29"/>
  <c r="I128" i="29"/>
  <c r="M193" i="29"/>
  <c r="M178" i="29"/>
  <c r="M179" i="29"/>
  <c r="M180" i="29"/>
  <c r="M183" i="29"/>
  <c r="M35" i="29"/>
  <c r="Q34" i="29"/>
  <c r="E129" i="29"/>
  <c r="I145" i="29"/>
  <c r="I113" i="29"/>
  <c r="Q145" i="29"/>
  <c r="Q113" i="29"/>
  <c r="M182" i="29"/>
  <c r="X94" i="19"/>
  <c r="P94" i="19" s="1"/>
  <c r="E149" i="29"/>
  <c r="E150" i="29"/>
  <c r="E151" i="29"/>
  <c r="I69" i="29"/>
  <c r="I71" i="29"/>
  <c r="I72" i="29"/>
  <c r="I89" i="29"/>
  <c r="I94" i="29"/>
  <c r="E179" i="29"/>
  <c r="E180" i="29"/>
  <c r="E181" i="29"/>
  <c r="E183" i="29"/>
  <c r="E184" i="29"/>
  <c r="E187" i="29"/>
  <c r="M34" i="29"/>
  <c r="Q33" i="29"/>
  <c r="E128" i="29"/>
  <c r="I144" i="29"/>
  <c r="Q112" i="29"/>
  <c r="G52" i="28"/>
  <c r="M181" i="29"/>
  <c r="E258" i="29"/>
  <c r="M254" i="29"/>
  <c r="I129" i="29"/>
  <c r="Q44" i="29"/>
  <c r="I123" i="29"/>
  <c r="E117" i="29"/>
  <c r="E101" i="29"/>
  <c r="E118" i="29"/>
  <c r="E103" i="29"/>
  <c r="E119" i="29"/>
  <c r="E104" i="29"/>
  <c r="E120" i="29"/>
  <c r="E105" i="29"/>
  <c r="E121" i="29"/>
  <c r="E106" i="29"/>
  <c r="E122" i="29"/>
  <c r="E109" i="29"/>
  <c r="Q192" i="29"/>
  <c r="Q193" i="29"/>
  <c r="Q178" i="29"/>
  <c r="Q181" i="29"/>
  <c r="Q182" i="29"/>
  <c r="M33" i="29"/>
  <c r="E127" i="29"/>
  <c r="I111" i="29"/>
  <c r="I124" i="29"/>
  <c r="Q117" i="29"/>
  <c r="Q101" i="29"/>
  <c r="Q102" i="29"/>
  <c r="Q118" i="29"/>
  <c r="Q103" i="29"/>
  <c r="Q119" i="29"/>
  <c r="Q104" i="29"/>
  <c r="Q120" i="29"/>
  <c r="J102" i="24"/>
  <c r="N102" i="24" s="1"/>
  <c r="I220" i="28"/>
  <c r="Q109" i="29"/>
  <c r="Q110" i="29"/>
  <c r="Q188" i="29"/>
  <c r="G258" i="24"/>
  <c r="K258" i="24" s="1"/>
  <c r="Q38" i="29"/>
  <c r="Q39" i="29"/>
  <c r="Q40" i="29"/>
  <c r="Q45" i="29"/>
  <c r="Q46" i="29"/>
  <c r="V94" i="19"/>
  <c r="Z94" i="19" s="1"/>
  <c r="I133" i="29"/>
  <c r="I135" i="29"/>
  <c r="I136" i="29"/>
  <c r="I137" i="29"/>
  <c r="I138" i="29"/>
  <c r="I125" i="29"/>
  <c r="I141" i="29"/>
  <c r="M37" i="29"/>
  <c r="M38" i="29"/>
  <c r="M39" i="29"/>
  <c r="M41" i="29"/>
  <c r="M45" i="29"/>
  <c r="Q150" i="29"/>
  <c r="Q142" i="29"/>
  <c r="Q27" i="29"/>
  <c r="E254" i="29"/>
  <c r="E133" i="29"/>
  <c r="E134" i="29"/>
  <c r="E135" i="29"/>
  <c r="E136" i="29"/>
  <c r="E137" i="29"/>
  <c r="E138" i="29"/>
  <c r="E125" i="29"/>
  <c r="E126" i="29"/>
  <c r="M117" i="29"/>
  <c r="H200" i="28"/>
  <c r="M102" i="29"/>
  <c r="M118" i="29"/>
  <c r="M103" i="29"/>
  <c r="M119" i="29"/>
  <c r="M104" i="29"/>
  <c r="M105" i="29"/>
  <c r="M121" i="29"/>
  <c r="M106" i="29"/>
  <c r="M122" i="29"/>
  <c r="E68" i="29"/>
  <c r="E148" i="29"/>
  <c r="M116" i="29"/>
  <c r="Q133" i="29"/>
  <c r="Q134" i="29"/>
  <c r="Q135" i="29"/>
  <c r="Q137" i="29"/>
  <c r="Q138" i="29"/>
  <c r="Q141" i="29"/>
  <c r="Q126" i="29"/>
  <c r="I161" i="29"/>
  <c r="I162" i="29"/>
  <c r="I164" i="29"/>
  <c r="G46" i="28"/>
  <c r="H85" i="28"/>
  <c r="M70" i="29"/>
  <c r="M71" i="29"/>
  <c r="M72" i="29"/>
  <c r="M89" i="29"/>
  <c r="M74" i="29"/>
  <c r="M27" i="29"/>
  <c r="E99" i="29"/>
  <c r="I131" i="29"/>
  <c r="Q131" i="29"/>
  <c r="I152" i="29"/>
  <c r="I101" i="29"/>
  <c r="I102" i="29"/>
  <c r="I118" i="29"/>
  <c r="I103" i="29"/>
  <c r="I104" i="29"/>
  <c r="I106" i="29"/>
  <c r="I122" i="29"/>
  <c r="I109" i="29"/>
  <c r="I110" i="29"/>
  <c r="E248" i="29"/>
  <c r="V91" i="19"/>
  <c r="Z91" i="19" s="1"/>
  <c r="E252" i="29"/>
  <c r="I139" i="29"/>
  <c r="I165" i="29"/>
  <c r="I166" i="29"/>
  <c r="I169" i="29"/>
  <c r="I170" i="29"/>
  <c r="I84" i="29"/>
  <c r="H199" i="28"/>
  <c r="I132" i="29"/>
  <c r="I150" i="29"/>
  <c r="M53" i="29"/>
  <c r="M54" i="29"/>
  <c r="M55" i="29"/>
  <c r="M57" i="29"/>
  <c r="M58" i="29"/>
  <c r="M62" i="29"/>
  <c r="E66" i="29"/>
  <c r="M66" i="29"/>
  <c r="E146" i="29"/>
  <c r="E114" i="29"/>
  <c r="I130" i="29"/>
  <c r="M114" i="29"/>
  <c r="Q130" i="29"/>
  <c r="I151" i="29"/>
  <c r="Q184" i="29"/>
  <c r="E46" i="29"/>
  <c r="E94" i="29"/>
  <c r="Q94" i="29"/>
  <c r="Q62" i="29"/>
  <c r="M142" i="29"/>
  <c r="E172" i="29"/>
  <c r="E156" i="29"/>
  <c r="I186" i="29"/>
  <c r="M152" i="29"/>
  <c r="Q166" i="29"/>
  <c r="X92" i="19"/>
  <c r="P92" i="19" s="1"/>
  <c r="Q250" i="29"/>
  <c r="E45" i="29"/>
  <c r="I45" i="29"/>
  <c r="Q61" i="29"/>
  <c r="M125" i="29"/>
  <c r="E155" i="29"/>
  <c r="I185" i="29"/>
  <c r="M167" i="29"/>
  <c r="M151" i="29"/>
  <c r="Q165" i="29"/>
  <c r="W92" i="19"/>
  <c r="O92" i="19" s="1"/>
  <c r="E42" i="29"/>
  <c r="H39" i="24"/>
  <c r="L39" i="24" s="1"/>
  <c r="E74" i="29"/>
  <c r="Q74" i="29"/>
  <c r="Q58" i="29"/>
  <c r="M138" i="29"/>
  <c r="E168" i="29"/>
  <c r="E152" i="29"/>
  <c r="F152" i="29" s="1"/>
  <c r="I182" i="29"/>
  <c r="M164" i="29"/>
  <c r="Q162" i="29"/>
  <c r="E41" i="29"/>
  <c r="E89" i="29"/>
  <c r="E73" i="29"/>
  <c r="I57" i="29"/>
  <c r="J86" i="24"/>
  <c r="N86" i="24" s="1"/>
  <c r="Q73" i="29"/>
  <c r="M137" i="29"/>
  <c r="E167" i="29"/>
  <c r="I181" i="29"/>
  <c r="M163" i="29"/>
  <c r="Q161" i="29"/>
  <c r="B280" i="28"/>
  <c r="E40" i="29"/>
  <c r="I40" i="29"/>
  <c r="E72" i="29"/>
  <c r="Q56" i="29"/>
  <c r="M136" i="29"/>
  <c r="E166" i="29"/>
  <c r="I180" i="29"/>
  <c r="M162" i="29"/>
  <c r="Q160" i="29"/>
  <c r="Q260" i="29"/>
  <c r="E39" i="29"/>
  <c r="I39" i="29"/>
  <c r="E71" i="29"/>
  <c r="I55" i="29"/>
  <c r="Q71" i="29"/>
  <c r="Q55" i="29"/>
  <c r="M135" i="29"/>
  <c r="M177" i="29"/>
  <c r="M161" i="29"/>
  <c r="Q175" i="29"/>
  <c r="B278" i="28"/>
  <c r="E38" i="29"/>
  <c r="E70" i="29"/>
  <c r="Q70" i="29"/>
  <c r="Q54" i="29"/>
  <c r="M134" i="29"/>
  <c r="E164" i="29"/>
  <c r="I178" i="29"/>
  <c r="M176" i="29"/>
  <c r="M160" i="29"/>
  <c r="Q174" i="29"/>
  <c r="Q158" i="29"/>
  <c r="H258" i="24"/>
  <c r="L258" i="24" s="1"/>
  <c r="Q258" i="29"/>
  <c r="I37" i="29"/>
  <c r="K102" i="19"/>
  <c r="I275" i="24"/>
  <c r="M275" i="24" s="1"/>
  <c r="I132" i="28"/>
  <c r="I265" i="24"/>
  <c r="M265" i="24" s="1"/>
  <c r="F13" i="28"/>
  <c r="G121" i="28"/>
  <c r="F26" i="28"/>
  <c r="F253" i="28"/>
  <c r="F68" i="28"/>
  <c r="H275" i="24"/>
  <c r="L275" i="24" s="1"/>
  <c r="I232" i="24"/>
  <c r="M232" i="24" s="1"/>
  <c r="I31" i="28"/>
  <c r="N31" i="28" s="1"/>
  <c r="I294" i="24"/>
  <c r="M294" i="24" s="1"/>
  <c r="I263" i="24"/>
  <c r="M263" i="24" s="1"/>
  <c r="I262" i="24"/>
  <c r="M262" i="24" s="1"/>
  <c r="I120" i="28"/>
  <c r="H217" i="24"/>
  <c r="L217" i="24" s="1"/>
  <c r="F254" i="28"/>
  <c r="F251" i="28"/>
  <c r="F25" i="28"/>
  <c r="H192" i="24"/>
  <c r="L192" i="24" s="1"/>
  <c r="H8" i="24"/>
  <c r="L8" i="24" s="1"/>
  <c r="I202" i="24"/>
  <c r="M202" i="24" s="1"/>
  <c r="I233" i="24"/>
  <c r="M233" i="24" s="1"/>
  <c r="H215" i="24"/>
  <c r="L215" i="24" s="1"/>
  <c r="H199" i="24"/>
  <c r="L199" i="24" s="1"/>
  <c r="F252" i="28"/>
  <c r="F62" i="28"/>
  <c r="F255" i="28"/>
  <c r="F59" i="28"/>
  <c r="G133" i="28"/>
  <c r="F126" i="28"/>
  <c r="F125" i="28"/>
  <c r="H22" i="28"/>
  <c r="H59" i="28"/>
  <c r="G252" i="28"/>
  <c r="F256" i="28"/>
  <c r="F261" i="28"/>
  <c r="H263" i="24"/>
  <c r="L263" i="24" s="1"/>
  <c r="I67" i="28"/>
  <c r="I274" i="24"/>
  <c r="M274" i="24" s="1"/>
  <c r="G23" i="28"/>
  <c r="G22" i="28"/>
  <c r="H133" i="28"/>
  <c r="I22" i="28"/>
  <c r="H204" i="24"/>
  <c r="L204" i="24" s="1"/>
  <c r="I122" i="28"/>
  <c r="H233" i="24"/>
  <c r="L233" i="24" s="1"/>
  <c r="I192" i="24"/>
  <c r="M192" i="24" s="1"/>
  <c r="F133" i="28"/>
  <c r="H236" i="24"/>
  <c r="L236" i="24" s="1"/>
  <c r="I200" i="24"/>
  <c r="M200" i="24" s="1"/>
  <c r="F6" i="28"/>
  <c r="I219" i="24"/>
  <c r="M219" i="24" s="1"/>
  <c r="I203" i="24"/>
  <c r="M203" i="24" s="1"/>
  <c r="H23" i="28"/>
  <c r="I199" i="24"/>
  <c r="M199" i="24" s="1"/>
  <c r="H252" i="28"/>
  <c r="H200" i="24"/>
  <c r="L200" i="24" s="1"/>
  <c r="I65" i="28"/>
  <c r="G253" i="28"/>
  <c r="H12" i="24"/>
  <c r="L12" i="24" s="1"/>
  <c r="H11" i="24"/>
  <c r="L11" i="24" s="1"/>
  <c r="H220" i="24"/>
  <c r="L220" i="24" s="1"/>
  <c r="G66" i="28"/>
  <c r="F10" i="28"/>
  <c r="H205" i="24"/>
  <c r="L205" i="24" s="1"/>
  <c r="H31" i="28"/>
  <c r="I216" i="24"/>
  <c r="M216" i="24" s="1"/>
  <c r="H122" i="28"/>
  <c r="H121" i="28"/>
  <c r="F7" i="28"/>
  <c r="L7" i="28" s="1"/>
  <c r="I8" i="24"/>
  <c r="M8" i="24" s="1"/>
  <c r="F61" i="28"/>
  <c r="I238" i="24"/>
  <c r="M238" i="24" s="1"/>
  <c r="I2" i="24"/>
  <c r="M2" i="24" s="1"/>
  <c r="G11" i="28"/>
  <c r="F58" i="28"/>
  <c r="G5" i="28"/>
  <c r="J5" i="28" s="1"/>
  <c r="H232" i="24"/>
  <c r="L232" i="24" s="1"/>
  <c r="I231" i="24"/>
  <c r="M231" i="24" s="1"/>
  <c r="F258" i="28"/>
  <c r="H5" i="28"/>
  <c r="F24" i="28"/>
  <c r="G132" i="28"/>
  <c r="H16" i="24"/>
  <c r="L16" i="24" s="1"/>
  <c r="H131" i="28"/>
  <c r="I215" i="24"/>
  <c r="M215" i="24" s="1"/>
  <c r="H14" i="24"/>
  <c r="L14" i="24" s="1"/>
  <c r="F63" i="28"/>
  <c r="I127" i="28"/>
  <c r="I256" i="28"/>
  <c r="I5" i="28"/>
  <c r="I125" i="28"/>
  <c r="I64" i="28"/>
  <c r="I198" i="24"/>
  <c r="M198" i="24" s="1"/>
  <c r="I278" i="24"/>
  <c r="M278" i="24" s="1"/>
  <c r="I236" i="24"/>
  <c r="M236" i="24" s="1"/>
  <c r="H21" i="28"/>
  <c r="I280" i="24"/>
  <c r="M280" i="24" s="1"/>
  <c r="H120" i="28"/>
  <c r="H14" i="28"/>
  <c r="K14" i="28" s="1"/>
  <c r="I214" i="24"/>
  <c r="M214" i="24" s="1"/>
  <c r="I279" i="24"/>
  <c r="M279" i="24" s="1"/>
  <c r="I11" i="24"/>
  <c r="M11" i="24" s="1"/>
  <c r="I10" i="28"/>
  <c r="I7" i="24"/>
  <c r="M7" i="24" s="1"/>
  <c r="H10" i="28"/>
  <c r="H7" i="24"/>
  <c r="L7" i="24" s="1"/>
  <c r="G126" i="28"/>
  <c r="I15" i="28"/>
  <c r="I254" i="28"/>
  <c r="I297" i="24"/>
  <c r="M297" i="24" s="1"/>
  <c r="G6" i="28"/>
  <c r="F31" i="28"/>
  <c r="J31" i="28" s="1"/>
  <c r="H273" i="24"/>
  <c r="L273" i="24" s="1"/>
  <c r="F130" i="28"/>
  <c r="I286" i="24"/>
  <c r="M286" i="24" s="1"/>
  <c r="H240" i="24"/>
  <c r="L240" i="24" s="1"/>
  <c r="G118" i="28"/>
  <c r="I226" i="24"/>
  <c r="M226" i="24" s="1"/>
  <c r="H270" i="24"/>
  <c r="L270" i="24" s="1"/>
  <c r="G259" i="28"/>
  <c r="I6" i="24"/>
  <c r="M6" i="24" s="1"/>
  <c r="F259" i="28"/>
  <c r="H225" i="24"/>
  <c r="L225" i="24" s="1"/>
  <c r="I283" i="24"/>
  <c r="M283" i="24" s="1"/>
  <c r="H305" i="24"/>
  <c r="L305" i="24" s="1"/>
  <c r="H230" i="24"/>
  <c r="L230" i="24" s="1"/>
  <c r="H64" i="28"/>
  <c r="I197" i="24"/>
  <c r="M197" i="24" s="1"/>
  <c r="G64" i="28"/>
  <c r="H197" i="24"/>
  <c r="L197" i="24" s="1"/>
  <c r="F80" i="28"/>
  <c r="H195" i="24"/>
  <c r="L195" i="24" s="1"/>
  <c r="I285" i="24"/>
  <c r="M285" i="24" s="1"/>
  <c r="G61" i="28"/>
  <c r="H194" i="24"/>
  <c r="L194" i="24" s="1"/>
  <c r="I257" i="28"/>
  <c r="H285" i="24"/>
  <c r="L285" i="24" s="1"/>
  <c r="F21" i="28"/>
  <c r="I5" i="24"/>
  <c r="M5" i="24" s="1"/>
  <c r="I8" i="28"/>
  <c r="H224" i="24"/>
  <c r="L224" i="24" s="1"/>
  <c r="H60" i="28"/>
  <c r="F60" i="28"/>
  <c r="I115" i="28"/>
  <c r="F128" i="28"/>
  <c r="I221" i="24"/>
  <c r="M221" i="24" s="1"/>
  <c r="G130" i="28"/>
  <c r="I290" i="24"/>
  <c r="M290" i="24" s="1"/>
  <c r="I227" i="24"/>
  <c r="M227" i="24" s="1"/>
  <c r="I61" i="28"/>
  <c r="H292" i="24"/>
  <c r="L292" i="24" s="1"/>
  <c r="G117" i="28"/>
  <c r="H259" i="28"/>
  <c r="I258" i="28"/>
  <c r="I225" i="24"/>
  <c r="M225" i="24" s="1"/>
  <c r="H269" i="24"/>
  <c r="L269" i="24" s="1"/>
  <c r="G258" i="28"/>
  <c r="G9" i="28"/>
  <c r="I210" i="24"/>
  <c r="M210" i="24" s="1"/>
  <c r="F29" i="28"/>
  <c r="G127" i="28"/>
  <c r="G28" i="28"/>
  <c r="H222" i="24"/>
  <c r="L222" i="24" s="1"/>
  <c r="H262" i="28"/>
  <c r="H198" i="24"/>
  <c r="L198" i="24" s="1"/>
  <c r="F131" i="28"/>
  <c r="K105" i="19"/>
  <c r="I289" i="24"/>
  <c r="M289" i="24" s="1"/>
  <c r="F129" i="28"/>
  <c r="G260" i="28"/>
  <c r="F115" i="28"/>
  <c r="K106" i="19"/>
  <c r="I213" i="24"/>
  <c r="M213" i="24" s="1"/>
  <c r="H281" i="24"/>
  <c r="L281" i="24" s="1"/>
  <c r="I264" i="24"/>
  <c r="M264" i="24" s="1"/>
  <c r="H210" i="24"/>
  <c r="L210" i="24" s="1"/>
  <c r="H6" i="24"/>
  <c r="L6" i="24" s="1"/>
  <c r="I208" i="24"/>
  <c r="M208" i="24" s="1"/>
  <c r="F121" i="28"/>
  <c r="F8" i="28"/>
  <c r="G65" i="28"/>
  <c r="F120" i="28"/>
  <c r="H238" i="24"/>
  <c r="L238" i="24" s="1"/>
  <c r="F67" i="28"/>
  <c r="G120" i="28"/>
  <c r="H209" i="24"/>
  <c r="L209" i="24" s="1"/>
  <c r="G62" i="28"/>
  <c r="I268" i="24"/>
  <c r="M268" i="24" s="1"/>
  <c r="H268" i="24"/>
  <c r="L268" i="24" s="1"/>
  <c r="H206" i="24"/>
  <c r="L206" i="24" s="1"/>
  <c r="I306" i="24"/>
  <c r="M306" i="24" s="1"/>
  <c r="F118" i="28"/>
  <c r="G116" i="28"/>
  <c r="H208" i="24"/>
  <c r="L208" i="24" s="1"/>
  <c r="F119" i="28"/>
  <c r="H265" i="24"/>
  <c r="L265" i="24" s="1"/>
  <c r="F117" i="28"/>
  <c r="F65" i="28"/>
  <c r="G257" i="28"/>
  <c r="G115" i="28"/>
  <c r="H261" i="28"/>
  <c r="I259" i="28"/>
  <c r="H258" i="28"/>
  <c r="I284" i="24"/>
  <c r="M284" i="24" s="1"/>
  <c r="I9" i="28"/>
  <c r="G60" i="28"/>
  <c r="H193" i="24"/>
  <c r="L193" i="24" s="1"/>
  <c r="H187" i="24"/>
  <c r="L187" i="24" s="1"/>
  <c r="I117" i="28"/>
  <c r="H213" i="24"/>
  <c r="L213" i="24" s="1"/>
  <c r="H254" i="28"/>
  <c r="I205" i="24"/>
  <c r="M205" i="24" s="1"/>
  <c r="H241" i="24"/>
  <c r="L241" i="24" s="1"/>
  <c r="I269" i="24"/>
  <c r="M269" i="24" s="1"/>
  <c r="H272" i="24"/>
  <c r="L272" i="24" s="1"/>
  <c r="F116" i="28"/>
  <c r="F64" i="28"/>
  <c r="H117" i="28"/>
  <c r="H61" i="28"/>
  <c r="G27" i="28"/>
  <c r="H221" i="24"/>
  <c r="L221" i="24" s="1"/>
  <c r="H125" i="28"/>
  <c r="H26" i="28"/>
  <c r="I124" i="28"/>
  <c r="I25" i="28"/>
  <c r="I13" i="24"/>
  <c r="M13" i="24" s="1"/>
  <c r="H16" i="28"/>
  <c r="H13" i="24"/>
  <c r="L13" i="24" s="1"/>
  <c r="F127" i="28"/>
  <c r="F28" i="28"/>
  <c r="F12" i="28"/>
  <c r="H28" i="28"/>
  <c r="I126" i="28"/>
  <c r="I27" i="28"/>
  <c r="I121" i="28"/>
  <c r="I302" i="24"/>
  <c r="M302" i="24" s="1"/>
  <c r="I300" i="24"/>
  <c r="M300" i="24" s="1"/>
  <c r="H301" i="24"/>
  <c r="L301" i="24" s="1"/>
  <c r="H300" i="24"/>
  <c r="L300" i="24" s="1"/>
  <c r="I270" i="24"/>
  <c r="M270" i="24" s="1"/>
  <c r="F27" i="28"/>
  <c r="I19" i="28"/>
  <c r="I16" i="28"/>
  <c r="I17" i="24"/>
  <c r="M17" i="24" s="1"/>
  <c r="I16" i="24"/>
  <c r="M16" i="24" s="1"/>
  <c r="H19" i="28"/>
  <c r="G16" i="28"/>
  <c r="G19" i="28"/>
  <c r="F20" i="28"/>
  <c r="K20" i="28" s="1"/>
  <c r="F18" i="28"/>
  <c r="K18" i="28" s="1"/>
  <c r="F16" i="28"/>
  <c r="F11" i="28"/>
  <c r="H17" i="28"/>
  <c r="I14" i="24"/>
  <c r="M14" i="24" s="1"/>
  <c r="H255" i="28"/>
  <c r="I206" i="24"/>
  <c r="M206" i="24" s="1"/>
  <c r="I271" i="24"/>
  <c r="M271" i="24" s="1"/>
  <c r="H282" i="24"/>
  <c r="L282" i="24" s="1"/>
  <c r="H298" i="24"/>
  <c r="L298" i="24" s="1"/>
  <c r="G7" i="28"/>
  <c r="H4" i="24"/>
  <c r="L4" i="24" s="1"/>
  <c r="I255" i="28"/>
  <c r="H229" i="24"/>
  <c r="L229" i="24" s="1"/>
  <c r="I266" i="24"/>
  <c r="M266" i="24" s="1"/>
  <c r="H293" i="24"/>
  <c r="L293" i="24" s="1"/>
  <c r="I62" i="28"/>
  <c r="H218" i="24"/>
  <c r="L218" i="24" s="1"/>
  <c r="G24" i="28"/>
  <c r="G123" i="28"/>
  <c r="H234" i="24"/>
  <c r="L234" i="24" s="1"/>
  <c r="I17" i="28"/>
  <c r="H68" i="28"/>
  <c r="I29" i="28"/>
  <c r="G119" i="28"/>
  <c r="G68" i="28"/>
  <c r="H201" i="24"/>
  <c r="L201" i="24" s="1"/>
  <c r="H29" i="28"/>
  <c r="I223" i="24"/>
  <c r="M223" i="24" s="1"/>
  <c r="I239" i="24"/>
  <c r="M239" i="24" s="1"/>
  <c r="H128" i="28"/>
  <c r="H266" i="24"/>
  <c r="L266" i="24" s="1"/>
  <c r="I303" i="24"/>
  <c r="M303" i="24" s="1"/>
  <c r="H12" i="28"/>
  <c r="I9" i="24"/>
  <c r="M9" i="24" s="1"/>
  <c r="G63" i="28"/>
  <c r="H196" i="24"/>
  <c r="L196" i="24" s="1"/>
  <c r="H24" i="28"/>
  <c r="I218" i="24"/>
  <c r="M218" i="24" s="1"/>
  <c r="I234" i="24"/>
  <c r="M234" i="24" s="1"/>
  <c r="H123" i="28"/>
  <c r="H261" i="24"/>
  <c r="L261" i="24" s="1"/>
  <c r="I282" i="24"/>
  <c r="M282" i="24" s="1"/>
  <c r="I298" i="24"/>
  <c r="M298" i="24" s="1"/>
  <c r="H9" i="24"/>
  <c r="L9" i="24" s="1"/>
  <c r="G12" i="28"/>
  <c r="I260" i="28"/>
  <c r="I118" i="28"/>
  <c r="I287" i="24"/>
  <c r="M287" i="24" s="1"/>
  <c r="I6" i="28"/>
  <c r="G261" i="28"/>
  <c r="H212" i="24"/>
  <c r="L212" i="24" s="1"/>
  <c r="I128" i="28"/>
  <c r="H277" i="24"/>
  <c r="L277" i="24" s="1"/>
  <c r="I201" i="24"/>
  <c r="M201" i="24" s="1"/>
  <c r="H6" i="28"/>
  <c r="I3" i="24"/>
  <c r="M3" i="24" s="1"/>
  <c r="I11" i="28"/>
  <c r="G17" i="28"/>
  <c r="I48" i="28"/>
  <c r="H62" i="28"/>
  <c r="I195" i="24"/>
  <c r="M195" i="24" s="1"/>
  <c r="I66" i="28"/>
  <c r="G255" i="28"/>
  <c r="I211" i="24"/>
  <c r="M211" i="24" s="1"/>
  <c r="H260" i="28"/>
  <c r="I23" i="28"/>
  <c r="G29" i="28"/>
  <c r="H223" i="24"/>
  <c r="L223" i="24" s="1"/>
  <c r="I228" i="24"/>
  <c r="M228" i="24" s="1"/>
  <c r="H118" i="28"/>
  <c r="I133" i="28"/>
  <c r="H239" i="24"/>
  <c r="L239" i="24" s="1"/>
  <c r="G128" i="28"/>
  <c r="I260" i="24"/>
  <c r="M260" i="24" s="1"/>
  <c r="H271" i="24"/>
  <c r="L271" i="24" s="1"/>
  <c r="I276" i="24"/>
  <c r="M276" i="24" s="1"/>
  <c r="H287" i="24"/>
  <c r="L287" i="24" s="1"/>
  <c r="I292" i="24"/>
  <c r="M292" i="24" s="1"/>
  <c r="H303" i="24"/>
  <c r="L303" i="24" s="1"/>
  <c r="H7" i="28"/>
  <c r="I4" i="24"/>
  <c r="M4" i="24" s="1"/>
  <c r="G58" i="28"/>
  <c r="H191" i="24"/>
  <c r="L191" i="24" s="1"/>
  <c r="G256" i="28"/>
  <c r="H207" i="24"/>
  <c r="L207" i="24" s="1"/>
  <c r="I229" i="24"/>
  <c r="M229" i="24" s="1"/>
  <c r="I293" i="24"/>
  <c r="M293" i="24" s="1"/>
  <c r="G251" i="28"/>
  <c r="G124" i="28"/>
  <c r="H235" i="24"/>
  <c r="L235" i="24" s="1"/>
  <c r="I272" i="24"/>
  <c r="M272" i="24" s="1"/>
  <c r="H283" i="24"/>
  <c r="L283" i="24" s="1"/>
  <c r="H15" i="24"/>
  <c r="L15" i="24" s="1"/>
  <c r="G18" i="28"/>
  <c r="I212" i="24"/>
  <c r="M212" i="24" s="1"/>
  <c r="I123" i="28"/>
  <c r="I15" i="24"/>
  <c r="M15" i="24" s="1"/>
  <c r="I191" i="24"/>
  <c r="M191" i="24" s="1"/>
  <c r="H58" i="28"/>
  <c r="I207" i="24"/>
  <c r="M207" i="24" s="1"/>
  <c r="H256" i="28"/>
  <c r="I224" i="24"/>
  <c r="M224" i="24" s="1"/>
  <c r="H30" i="28"/>
  <c r="H129" i="28"/>
  <c r="I240" i="24"/>
  <c r="M240" i="24" s="1"/>
  <c r="H267" i="24"/>
  <c r="L267" i="24" s="1"/>
  <c r="I288" i="24"/>
  <c r="M288" i="24" s="1"/>
  <c r="I304" i="24"/>
  <c r="M304" i="24" s="1"/>
  <c r="I68" i="28"/>
  <c r="G30" i="28"/>
  <c r="I277" i="24"/>
  <c r="M277" i="24" s="1"/>
  <c r="H288" i="24"/>
  <c r="L288" i="24" s="1"/>
  <c r="H304" i="24"/>
  <c r="L304" i="24" s="1"/>
  <c r="I143" i="24"/>
  <c r="M143" i="24" s="1"/>
  <c r="H299" i="24"/>
  <c r="L299" i="24" s="1"/>
  <c r="H219" i="24"/>
  <c r="L219" i="24" s="1"/>
  <c r="H119" i="28"/>
  <c r="I261" i="24"/>
  <c r="M261" i="24" s="1"/>
  <c r="G25" i="28"/>
  <c r="H63" i="28"/>
  <c r="I196" i="24"/>
  <c r="M196" i="24" s="1"/>
  <c r="I24" i="28"/>
  <c r="G129" i="28"/>
  <c r="G13" i="28"/>
  <c r="H10" i="24"/>
  <c r="L10" i="24" s="1"/>
  <c r="I63" i="28"/>
  <c r="I261" i="28"/>
  <c r="I119" i="28"/>
  <c r="I12" i="28"/>
  <c r="I129" i="28"/>
  <c r="I13" i="28"/>
  <c r="H124" i="28"/>
  <c r="I235" i="24"/>
  <c r="M235" i="24" s="1"/>
  <c r="I18" i="28"/>
  <c r="H251" i="28"/>
  <c r="I30" i="28"/>
  <c r="H294" i="24"/>
  <c r="L294" i="24" s="1"/>
  <c r="H214" i="24"/>
  <c r="L214" i="24" s="1"/>
  <c r="H8" i="28"/>
  <c r="I20" i="28"/>
  <c r="O20" i="28" s="1"/>
  <c r="H9" i="28"/>
  <c r="I14" i="28"/>
  <c r="L14" i="28" s="1"/>
  <c r="H17" i="24"/>
  <c r="L17" i="24" s="1"/>
  <c r="G20" i="28"/>
  <c r="H5" i="24"/>
  <c r="L5" i="24" s="1"/>
  <c r="I301" i="24"/>
  <c r="M301" i="24" s="1"/>
  <c r="H280" i="24"/>
  <c r="L280" i="24" s="1"/>
  <c r="H262" i="24"/>
  <c r="L262" i="24" s="1"/>
  <c r="H13" i="28"/>
  <c r="I58" i="28"/>
  <c r="H25" i="28"/>
  <c r="I10" i="24"/>
  <c r="M10" i="24" s="1"/>
  <c r="G8" i="28"/>
  <c r="G10" i="28"/>
  <c r="H15" i="28"/>
  <c r="I60" i="28"/>
  <c r="H253" i="28"/>
  <c r="I204" i="24"/>
  <c r="M204" i="24" s="1"/>
  <c r="H27" i="28"/>
  <c r="I116" i="28"/>
  <c r="G122" i="28"/>
  <c r="I237" i="24"/>
  <c r="M237" i="24" s="1"/>
  <c r="H126" i="28"/>
  <c r="I131" i="28"/>
  <c r="I267" i="24"/>
  <c r="M267" i="24" s="1"/>
  <c r="H257" i="28"/>
  <c r="G26" i="28"/>
  <c r="G125" i="28"/>
  <c r="I21" i="28"/>
  <c r="G14" i="28"/>
  <c r="H65" i="28"/>
  <c r="I26" i="28"/>
  <c r="B269" i="28"/>
  <c r="B281" i="28"/>
  <c r="B270" i="28"/>
  <c r="B282" i="28"/>
  <c r="B279" i="28"/>
  <c r="B271" i="28"/>
  <c r="B272" i="28"/>
  <c r="B268" i="28"/>
  <c r="B275" i="28"/>
  <c r="B273" i="28"/>
  <c r="B274" i="28"/>
  <c r="B276" i="28"/>
  <c r="B277" i="28"/>
  <c r="B267" i="28"/>
  <c r="K103" i="19"/>
  <c r="G36" i="26"/>
  <c r="H36" i="26" s="1"/>
  <c r="G186" i="24"/>
  <c r="K186" i="24" s="1"/>
  <c r="D180" i="19"/>
  <c r="E179" i="19"/>
  <c r="A74" i="19"/>
  <c r="B74" i="19"/>
  <c r="C74" i="19"/>
  <c r="D74" i="19"/>
  <c r="E74" i="19"/>
  <c r="X74" i="19" s="1"/>
  <c r="P74" i="19" s="1"/>
  <c r="F74" i="19"/>
  <c r="G74" i="19"/>
  <c r="H74" i="19"/>
  <c r="I74" i="19"/>
  <c r="J74" i="19"/>
  <c r="K74" i="19"/>
  <c r="L74" i="19"/>
  <c r="M74" i="19"/>
  <c r="A75" i="19"/>
  <c r="B75" i="19"/>
  <c r="C75" i="19"/>
  <c r="D75" i="19"/>
  <c r="E75" i="19"/>
  <c r="V75" i="19" s="1"/>
  <c r="Z75" i="19" s="1"/>
  <c r="F75" i="19"/>
  <c r="G75" i="19"/>
  <c r="H75" i="19"/>
  <c r="I75" i="19"/>
  <c r="J75" i="19"/>
  <c r="K75" i="19"/>
  <c r="L75" i="19"/>
  <c r="M75" i="19"/>
  <c r="A76" i="19"/>
  <c r="B76" i="19"/>
  <c r="C76" i="19"/>
  <c r="D76" i="19"/>
  <c r="E76" i="19"/>
  <c r="F76" i="19"/>
  <c r="G76" i="19"/>
  <c r="H76" i="19"/>
  <c r="I76" i="19"/>
  <c r="J76" i="19"/>
  <c r="K76" i="19"/>
  <c r="L76" i="19"/>
  <c r="M76" i="19"/>
  <c r="A77" i="19"/>
  <c r="B77" i="19"/>
  <c r="C77" i="19"/>
  <c r="D77" i="19"/>
  <c r="E77" i="19"/>
  <c r="X77" i="19" s="1"/>
  <c r="P77" i="19" s="1"/>
  <c r="F77" i="19"/>
  <c r="G77" i="19"/>
  <c r="H77" i="19"/>
  <c r="I77" i="19"/>
  <c r="J77" i="19"/>
  <c r="K77" i="19"/>
  <c r="L77" i="19"/>
  <c r="M77" i="19"/>
  <c r="A78" i="19"/>
  <c r="B78" i="19"/>
  <c r="C78" i="19"/>
  <c r="D78" i="19"/>
  <c r="E78" i="19"/>
  <c r="F78" i="19"/>
  <c r="G78" i="19"/>
  <c r="H78" i="19"/>
  <c r="I78" i="19"/>
  <c r="J78" i="19"/>
  <c r="K78" i="19"/>
  <c r="L78" i="19"/>
  <c r="M78" i="19"/>
  <c r="A79" i="19"/>
  <c r="B79" i="19"/>
  <c r="C79" i="19"/>
  <c r="D79" i="19"/>
  <c r="E79" i="19"/>
  <c r="V79" i="19" s="1"/>
  <c r="Z79" i="19" s="1"/>
  <c r="F79" i="19"/>
  <c r="G79" i="19"/>
  <c r="H79" i="19"/>
  <c r="I79" i="19"/>
  <c r="J79" i="19"/>
  <c r="K79" i="19"/>
  <c r="L79" i="19"/>
  <c r="M79" i="19"/>
  <c r="A80" i="19"/>
  <c r="B80" i="19"/>
  <c r="C80" i="19"/>
  <c r="D80" i="19"/>
  <c r="E80" i="19"/>
  <c r="W80" i="19" s="1"/>
  <c r="O80" i="19" s="1"/>
  <c r="F80" i="19"/>
  <c r="G80" i="19"/>
  <c r="H80" i="19"/>
  <c r="I80" i="19"/>
  <c r="J80" i="19"/>
  <c r="K80" i="19"/>
  <c r="L80" i="19"/>
  <c r="M80" i="19"/>
  <c r="A81" i="19"/>
  <c r="B81" i="19"/>
  <c r="C81" i="19"/>
  <c r="D81" i="19"/>
  <c r="E81" i="19"/>
  <c r="V81" i="19" s="1"/>
  <c r="Z81" i="19" s="1"/>
  <c r="F81" i="19"/>
  <c r="G81" i="19"/>
  <c r="H81" i="19"/>
  <c r="I81" i="19"/>
  <c r="J81" i="19"/>
  <c r="K81" i="19"/>
  <c r="L81" i="19"/>
  <c r="M81" i="19"/>
  <c r="A82" i="19"/>
  <c r="B82" i="19"/>
  <c r="C82" i="19"/>
  <c r="D82" i="19"/>
  <c r="E82" i="19"/>
  <c r="V82" i="19" s="1"/>
  <c r="Z82" i="19" s="1"/>
  <c r="F82" i="19"/>
  <c r="G82" i="19"/>
  <c r="H82" i="19"/>
  <c r="I82" i="19"/>
  <c r="J82" i="19"/>
  <c r="K82" i="19"/>
  <c r="L82" i="19"/>
  <c r="M82" i="19"/>
  <c r="A83" i="19"/>
  <c r="B83" i="19"/>
  <c r="C83" i="19"/>
  <c r="D83" i="19"/>
  <c r="E83" i="19"/>
  <c r="V83" i="19" s="1"/>
  <c r="Z83" i="19" s="1"/>
  <c r="F83" i="19"/>
  <c r="G83" i="19"/>
  <c r="H83" i="19"/>
  <c r="I83" i="19"/>
  <c r="J83" i="19"/>
  <c r="K83" i="19"/>
  <c r="L83" i="19"/>
  <c r="M83" i="19"/>
  <c r="A84" i="19"/>
  <c r="B84" i="19"/>
  <c r="C84" i="19"/>
  <c r="D84" i="19"/>
  <c r="E84" i="19"/>
  <c r="W84" i="19" s="1"/>
  <c r="O84" i="19" s="1"/>
  <c r="F84" i="19"/>
  <c r="G84" i="19"/>
  <c r="H84" i="19"/>
  <c r="I84" i="19"/>
  <c r="J84" i="19"/>
  <c r="K84" i="19"/>
  <c r="L84" i="19"/>
  <c r="M84" i="19"/>
  <c r="A85" i="19"/>
  <c r="B85" i="19"/>
  <c r="C85" i="19"/>
  <c r="D85" i="19"/>
  <c r="E85" i="19"/>
  <c r="F85" i="19"/>
  <c r="G85" i="19"/>
  <c r="H85" i="19"/>
  <c r="I85" i="19"/>
  <c r="J85" i="19"/>
  <c r="K85" i="19"/>
  <c r="L85" i="19"/>
  <c r="M85" i="19"/>
  <c r="A86" i="19"/>
  <c r="B86" i="19"/>
  <c r="C86" i="19"/>
  <c r="D86" i="19"/>
  <c r="E86" i="19"/>
  <c r="F86" i="19"/>
  <c r="G86" i="19"/>
  <c r="H86" i="19"/>
  <c r="I86" i="19"/>
  <c r="J86" i="19"/>
  <c r="K86" i="19"/>
  <c r="L86" i="19"/>
  <c r="M86" i="19"/>
  <c r="A87" i="19"/>
  <c r="B87" i="19"/>
  <c r="C87" i="19"/>
  <c r="D87" i="19"/>
  <c r="E87" i="19"/>
  <c r="V87" i="19" s="1"/>
  <c r="Z87" i="19" s="1"/>
  <c r="F87" i="19"/>
  <c r="G87" i="19"/>
  <c r="H87" i="19"/>
  <c r="I87" i="19"/>
  <c r="J87" i="19"/>
  <c r="K87" i="19"/>
  <c r="L87" i="19"/>
  <c r="M87" i="19"/>
  <c r="A88" i="19"/>
  <c r="B88" i="19"/>
  <c r="C88" i="19"/>
  <c r="D88" i="19"/>
  <c r="E88" i="19"/>
  <c r="X88" i="19" s="1"/>
  <c r="P88" i="19" s="1"/>
  <c r="F88" i="19"/>
  <c r="G88" i="19"/>
  <c r="H88" i="19"/>
  <c r="I88" i="19"/>
  <c r="J88" i="19"/>
  <c r="K88" i="19"/>
  <c r="L88" i="19"/>
  <c r="M88" i="19"/>
  <c r="A89" i="19"/>
  <c r="B89" i="19"/>
  <c r="C89" i="19"/>
  <c r="D89" i="19"/>
  <c r="E89" i="19"/>
  <c r="V89" i="19" s="1"/>
  <c r="Z89" i="19" s="1"/>
  <c r="F89" i="19"/>
  <c r="G89" i="19"/>
  <c r="H89" i="19"/>
  <c r="I89" i="19"/>
  <c r="J89" i="19"/>
  <c r="K89" i="19"/>
  <c r="L89" i="19"/>
  <c r="M89" i="19"/>
  <c r="A90" i="19"/>
  <c r="B90" i="19"/>
  <c r="C90" i="19"/>
  <c r="F90" i="19"/>
  <c r="G90" i="19"/>
  <c r="H90" i="19"/>
  <c r="I90" i="19"/>
  <c r="J90" i="19"/>
  <c r="K90" i="19"/>
  <c r="L90" i="19"/>
  <c r="M90" i="19"/>
  <c r="A91" i="19"/>
  <c r="B91" i="19"/>
  <c r="C91" i="19"/>
  <c r="F91" i="19"/>
  <c r="G91" i="19"/>
  <c r="H91" i="19"/>
  <c r="I91" i="19"/>
  <c r="J91" i="19"/>
  <c r="K91" i="19"/>
  <c r="L91" i="19"/>
  <c r="M91" i="19"/>
  <c r="A92" i="19"/>
  <c r="B92" i="19"/>
  <c r="C92" i="19"/>
  <c r="F92" i="19"/>
  <c r="G92" i="19"/>
  <c r="H92" i="19"/>
  <c r="I92" i="19"/>
  <c r="J92" i="19"/>
  <c r="K92" i="19"/>
  <c r="L92" i="19"/>
  <c r="M92" i="19"/>
  <c r="A93" i="19"/>
  <c r="B93" i="19"/>
  <c r="C93" i="19"/>
  <c r="F93" i="19"/>
  <c r="AK93" i="19" s="1"/>
  <c r="G93" i="19"/>
  <c r="H93" i="19"/>
  <c r="I93" i="19"/>
  <c r="J93" i="19"/>
  <c r="K93" i="19"/>
  <c r="L93" i="19"/>
  <c r="M93" i="19"/>
  <c r="A94" i="19"/>
  <c r="B94" i="19"/>
  <c r="C94" i="19"/>
  <c r="F94" i="19"/>
  <c r="G94" i="19"/>
  <c r="H94" i="19"/>
  <c r="I94" i="19"/>
  <c r="J94" i="19"/>
  <c r="K94" i="19"/>
  <c r="L94" i="19"/>
  <c r="M94" i="19"/>
  <c r="A95" i="19"/>
  <c r="B95" i="19"/>
  <c r="C95" i="19"/>
  <c r="F95" i="19"/>
  <c r="G95" i="19"/>
  <c r="H95" i="19"/>
  <c r="I95" i="19"/>
  <c r="J95" i="19"/>
  <c r="K95" i="19"/>
  <c r="L95" i="19"/>
  <c r="M95" i="19"/>
  <c r="A96" i="19"/>
  <c r="B96" i="19"/>
  <c r="C96" i="19"/>
  <c r="F96" i="19"/>
  <c r="G96" i="19"/>
  <c r="H96" i="19"/>
  <c r="I96" i="19"/>
  <c r="J96" i="19"/>
  <c r="K96" i="19"/>
  <c r="L96" i="19"/>
  <c r="M96" i="19"/>
  <c r="A97" i="19"/>
  <c r="B97" i="19"/>
  <c r="C97" i="19"/>
  <c r="F97" i="19"/>
  <c r="G97" i="19"/>
  <c r="H97" i="19"/>
  <c r="I97" i="19"/>
  <c r="J97" i="19"/>
  <c r="K97" i="19"/>
  <c r="L97" i="19"/>
  <c r="M97" i="19"/>
  <c r="A47" i="19"/>
  <c r="B47" i="19"/>
  <c r="C47" i="19"/>
  <c r="D47" i="19"/>
  <c r="E47" i="19"/>
  <c r="X47" i="19" s="1"/>
  <c r="P47" i="19" s="1"/>
  <c r="F47" i="19"/>
  <c r="G47" i="19"/>
  <c r="H47" i="19"/>
  <c r="I47" i="19"/>
  <c r="J47" i="19"/>
  <c r="K47" i="19"/>
  <c r="L47" i="19"/>
  <c r="M47" i="19"/>
  <c r="A48" i="19"/>
  <c r="B48" i="19"/>
  <c r="C48" i="19"/>
  <c r="D48" i="19"/>
  <c r="E48" i="19"/>
  <c r="X48" i="19" s="1"/>
  <c r="P48" i="19" s="1"/>
  <c r="F48" i="19"/>
  <c r="G48" i="19"/>
  <c r="H48" i="19"/>
  <c r="I48" i="19"/>
  <c r="J48" i="19"/>
  <c r="K48" i="19"/>
  <c r="L48" i="19"/>
  <c r="M48" i="19"/>
  <c r="A49" i="19"/>
  <c r="B49" i="19"/>
  <c r="C49" i="19"/>
  <c r="D49" i="19"/>
  <c r="E49" i="19"/>
  <c r="F49" i="19"/>
  <c r="G49" i="19"/>
  <c r="H49" i="19"/>
  <c r="I49" i="19"/>
  <c r="J49" i="19"/>
  <c r="K49" i="19"/>
  <c r="L49" i="19"/>
  <c r="M49" i="19"/>
  <c r="A50" i="19"/>
  <c r="B50" i="19"/>
  <c r="C50" i="19"/>
  <c r="D50" i="19"/>
  <c r="E50" i="19"/>
  <c r="W50" i="19" s="1"/>
  <c r="O50" i="19" s="1"/>
  <c r="F50" i="19"/>
  <c r="G50" i="19"/>
  <c r="H50" i="19"/>
  <c r="I50" i="19"/>
  <c r="J50" i="19"/>
  <c r="K50" i="19"/>
  <c r="L50" i="19"/>
  <c r="M50" i="19"/>
  <c r="A52" i="19"/>
  <c r="B52" i="19"/>
  <c r="C52" i="19"/>
  <c r="D52" i="19"/>
  <c r="E52" i="19"/>
  <c r="W52" i="19" s="1"/>
  <c r="O52" i="19" s="1"/>
  <c r="F52" i="19"/>
  <c r="G52" i="19"/>
  <c r="H52" i="19"/>
  <c r="I52" i="19"/>
  <c r="J52" i="19"/>
  <c r="K52" i="19"/>
  <c r="L52" i="19"/>
  <c r="M52" i="19"/>
  <c r="A53" i="19"/>
  <c r="B53" i="19"/>
  <c r="C53" i="19"/>
  <c r="D53" i="19"/>
  <c r="E53" i="19"/>
  <c r="V53" i="19" s="1"/>
  <c r="Z53" i="19" s="1"/>
  <c r="F53" i="19"/>
  <c r="G53" i="19"/>
  <c r="H53" i="19"/>
  <c r="I53" i="19"/>
  <c r="J53" i="19"/>
  <c r="K53" i="19"/>
  <c r="L53" i="19"/>
  <c r="M53" i="19"/>
  <c r="A54" i="19"/>
  <c r="B54" i="19"/>
  <c r="C54" i="19"/>
  <c r="D54" i="19"/>
  <c r="E54" i="19"/>
  <c r="V54" i="19" s="1"/>
  <c r="Z54" i="19" s="1"/>
  <c r="F54" i="19"/>
  <c r="G54" i="19"/>
  <c r="H54" i="19"/>
  <c r="I54" i="19"/>
  <c r="J54" i="19"/>
  <c r="K54" i="19"/>
  <c r="L54" i="19"/>
  <c r="M54" i="19"/>
  <c r="A55" i="19"/>
  <c r="B55" i="19"/>
  <c r="C55" i="19"/>
  <c r="D55" i="19"/>
  <c r="E55" i="19"/>
  <c r="V55" i="19" s="1"/>
  <c r="Z55" i="19" s="1"/>
  <c r="F55" i="19"/>
  <c r="G55" i="19"/>
  <c r="H55" i="19"/>
  <c r="I55" i="19"/>
  <c r="J55" i="19"/>
  <c r="K55" i="19"/>
  <c r="L55" i="19"/>
  <c r="M55" i="19"/>
  <c r="A56" i="19"/>
  <c r="B56" i="19"/>
  <c r="C56" i="19"/>
  <c r="D56" i="19"/>
  <c r="E56" i="19"/>
  <c r="Y56" i="19" s="1"/>
  <c r="F56" i="19"/>
  <c r="G56" i="19"/>
  <c r="H56" i="19"/>
  <c r="I56" i="19"/>
  <c r="J56" i="19"/>
  <c r="K56" i="19"/>
  <c r="L56" i="19"/>
  <c r="M56" i="19"/>
  <c r="A57" i="19"/>
  <c r="B57" i="19"/>
  <c r="C57" i="19"/>
  <c r="D57" i="19"/>
  <c r="E57" i="19"/>
  <c r="V57" i="19" s="1"/>
  <c r="Z57" i="19" s="1"/>
  <c r="F57" i="19"/>
  <c r="G57" i="19"/>
  <c r="H57" i="19"/>
  <c r="I57" i="19"/>
  <c r="J57" i="19"/>
  <c r="K57" i="19"/>
  <c r="L57" i="19"/>
  <c r="M57" i="19"/>
  <c r="A58" i="19"/>
  <c r="B58" i="19"/>
  <c r="C58" i="19"/>
  <c r="D58" i="19"/>
  <c r="E58" i="19"/>
  <c r="V58" i="19" s="1"/>
  <c r="Z58" i="19" s="1"/>
  <c r="F58" i="19"/>
  <c r="G58" i="19"/>
  <c r="H58" i="19"/>
  <c r="I58" i="19"/>
  <c r="J58" i="19"/>
  <c r="K58" i="19"/>
  <c r="L58" i="19"/>
  <c r="M58" i="19"/>
  <c r="A59" i="19"/>
  <c r="B59" i="19"/>
  <c r="C59" i="19"/>
  <c r="D59" i="19"/>
  <c r="E59" i="19"/>
  <c r="X59" i="19" s="1"/>
  <c r="P59" i="19" s="1"/>
  <c r="F59" i="19"/>
  <c r="G59" i="19"/>
  <c r="H59" i="19"/>
  <c r="I59" i="19"/>
  <c r="J59" i="19"/>
  <c r="K59" i="19"/>
  <c r="L59" i="19"/>
  <c r="M59" i="19"/>
  <c r="A60" i="19"/>
  <c r="B60" i="19"/>
  <c r="C60" i="19"/>
  <c r="D60" i="19"/>
  <c r="E60" i="19"/>
  <c r="X60" i="19" s="1"/>
  <c r="P60" i="19" s="1"/>
  <c r="F60" i="19"/>
  <c r="G60" i="19"/>
  <c r="H60" i="19"/>
  <c r="I60" i="19"/>
  <c r="J60" i="19"/>
  <c r="K60" i="19"/>
  <c r="L60" i="19"/>
  <c r="M60" i="19"/>
  <c r="A61" i="19"/>
  <c r="B61" i="19"/>
  <c r="C61" i="19"/>
  <c r="D61" i="19"/>
  <c r="E61" i="19"/>
  <c r="X61" i="19" s="1"/>
  <c r="P61" i="19" s="1"/>
  <c r="F61" i="19"/>
  <c r="G61" i="19"/>
  <c r="H61" i="19"/>
  <c r="I61" i="19"/>
  <c r="J61" i="19"/>
  <c r="K61" i="19"/>
  <c r="L61" i="19"/>
  <c r="M61" i="19"/>
  <c r="A63" i="19"/>
  <c r="B63" i="19"/>
  <c r="C63" i="19"/>
  <c r="D63" i="19"/>
  <c r="E63" i="19"/>
  <c r="X63" i="19" s="1"/>
  <c r="P63" i="19" s="1"/>
  <c r="F63" i="19"/>
  <c r="G63" i="19"/>
  <c r="H63" i="19"/>
  <c r="I63" i="19"/>
  <c r="J63" i="19"/>
  <c r="K63" i="19"/>
  <c r="L63" i="19"/>
  <c r="M63" i="19"/>
  <c r="A64" i="19"/>
  <c r="B64" i="19"/>
  <c r="C64" i="19"/>
  <c r="D64" i="19"/>
  <c r="E64" i="19"/>
  <c r="V64" i="19" s="1"/>
  <c r="Z64" i="19" s="1"/>
  <c r="F64" i="19"/>
  <c r="G64" i="19"/>
  <c r="H64" i="19"/>
  <c r="I64" i="19"/>
  <c r="J64" i="19"/>
  <c r="K64" i="19"/>
  <c r="L64" i="19"/>
  <c r="M64" i="19"/>
  <c r="A65" i="19"/>
  <c r="B65" i="19"/>
  <c r="C65" i="19"/>
  <c r="D65" i="19"/>
  <c r="E65" i="19"/>
  <c r="X65" i="19" s="1"/>
  <c r="P65" i="19" s="1"/>
  <c r="F65" i="19"/>
  <c r="G65" i="19"/>
  <c r="H65" i="19"/>
  <c r="I65" i="19"/>
  <c r="J65" i="19"/>
  <c r="K65" i="19"/>
  <c r="L65" i="19"/>
  <c r="M65" i="19"/>
  <c r="A66" i="19"/>
  <c r="B66" i="19"/>
  <c r="C66" i="19"/>
  <c r="D66" i="19"/>
  <c r="E66" i="19"/>
  <c r="V66" i="19" s="1"/>
  <c r="Z66" i="19" s="1"/>
  <c r="F66" i="19"/>
  <c r="G66" i="19"/>
  <c r="H66" i="19"/>
  <c r="I66" i="19"/>
  <c r="J66" i="19"/>
  <c r="K66" i="19"/>
  <c r="L66" i="19"/>
  <c r="M66" i="19"/>
  <c r="A67" i="19"/>
  <c r="B67" i="19"/>
  <c r="C67" i="19"/>
  <c r="D67" i="19"/>
  <c r="E67" i="19"/>
  <c r="V67" i="19" s="1"/>
  <c r="Z67" i="19" s="1"/>
  <c r="F67" i="19"/>
  <c r="G67" i="19"/>
  <c r="H67" i="19"/>
  <c r="I67" i="19"/>
  <c r="J67" i="19"/>
  <c r="K67" i="19"/>
  <c r="L67" i="19"/>
  <c r="M67" i="19"/>
  <c r="A68" i="19"/>
  <c r="B68" i="19"/>
  <c r="C68" i="19"/>
  <c r="D68" i="19"/>
  <c r="E68" i="19"/>
  <c r="V68" i="19" s="1"/>
  <c r="Z68" i="19" s="1"/>
  <c r="F68" i="19"/>
  <c r="G68" i="19"/>
  <c r="H68" i="19"/>
  <c r="I68" i="19"/>
  <c r="J68" i="19"/>
  <c r="K68" i="19"/>
  <c r="L68" i="19"/>
  <c r="M68" i="19"/>
  <c r="A69" i="19"/>
  <c r="B69" i="19"/>
  <c r="C69" i="19"/>
  <c r="D69" i="19"/>
  <c r="E69" i="19"/>
  <c r="V69" i="19" s="1"/>
  <c r="Z69" i="19" s="1"/>
  <c r="F69" i="19"/>
  <c r="G69" i="19"/>
  <c r="H69" i="19"/>
  <c r="I69" i="19"/>
  <c r="J69" i="19"/>
  <c r="K69" i="19"/>
  <c r="L69" i="19"/>
  <c r="M69" i="19"/>
  <c r="A70" i="19"/>
  <c r="B70" i="19"/>
  <c r="C70" i="19"/>
  <c r="D70" i="19"/>
  <c r="E70" i="19"/>
  <c r="F70" i="19"/>
  <c r="G70" i="19"/>
  <c r="H70" i="19"/>
  <c r="I70" i="19"/>
  <c r="J70" i="19"/>
  <c r="K70" i="19"/>
  <c r="L70" i="19"/>
  <c r="M70" i="19"/>
  <c r="A71" i="19"/>
  <c r="B71" i="19"/>
  <c r="C71" i="19"/>
  <c r="D71" i="19"/>
  <c r="E71" i="19"/>
  <c r="V71" i="19" s="1"/>
  <c r="Z71" i="19" s="1"/>
  <c r="F71" i="19"/>
  <c r="G71" i="19"/>
  <c r="H71" i="19"/>
  <c r="I71" i="19"/>
  <c r="J71" i="19"/>
  <c r="K71" i="19"/>
  <c r="L71" i="19"/>
  <c r="M71" i="19"/>
  <c r="A72" i="19"/>
  <c r="B72" i="19"/>
  <c r="C72" i="19"/>
  <c r="D72" i="19"/>
  <c r="E72" i="19"/>
  <c r="V72" i="19" s="1"/>
  <c r="Z72" i="19" s="1"/>
  <c r="F72" i="19"/>
  <c r="G72" i="19"/>
  <c r="H72" i="19"/>
  <c r="I72" i="19"/>
  <c r="J72" i="19"/>
  <c r="K72" i="19"/>
  <c r="L72" i="19"/>
  <c r="M72" i="19"/>
  <c r="A26" i="19"/>
  <c r="B26" i="19"/>
  <c r="C26" i="19"/>
  <c r="D26" i="19"/>
  <c r="E26" i="19"/>
  <c r="F26" i="19"/>
  <c r="G26" i="19"/>
  <c r="H26" i="19"/>
  <c r="I26" i="19"/>
  <c r="J26" i="19"/>
  <c r="K26" i="19"/>
  <c r="L26" i="19"/>
  <c r="M26" i="19"/>
  <c r="A27" i="19"/>
  <c r="B27" i="19"/>
  <c r="C27" i="19"/>
  <c r="D27" i="19"/>
  <c r="E27" i="19"/>
  <c r="F27" i="19"/>
  <c r="G27" i="19"/>
  <c r="H27" i="19"/>
  <c r="I27" i="19"/>
  <c r="J27" i="19"/>
  <c r="K27" i="19"/>
  <c r="L27" i="19"/>
  <c r="M27" i="19"/>
  <c r="A28" i="19"/>
  <c r="B28" i="19"/>
  <c r="C28" i="19"/>
  <c r="D28" i="19"/>
  <c r="E28" i="19"/>
  <c r="F28" i="19"/>
  <c r="G28" i="19"/>
  <c r="H28" i="19"/>
  <c r="I28" i="19"/>
  <c r="J28" i="19"/>
  <c r="K28" i="19"/>
  <c r="L28" i="19"/>
  <c r="M28" i="19"/>
  <c r="A29" i="19"/>
  <c r="B29" i="19"/>
  <c r="C29" i="19"/>
  <c r="D29" i="19"/>
  <c r="E29" i="19"/>
  <c r="F29" i="19"/>
  <c r="G29" i="19"/>
  <c r="H29" i="19"/>
  <c r="I29" i="19"/>
  <c r="J29" i="19"/>
  <c r="K29" i="19"/>
  <c r="L29" i="19"/>
  <c r="M29" i="19"/>
  <c r="A30" i="19"/>
  <c r="B30" i="19"/>
  <c r="C30" i="19"/>
  <c r="D30" i="19"/>
  <c r="E30" i="19"/>
  <c r="F30" i="19"/>
  <c r="G30" i="19"/>
  <c r="H30" i="19"/>
  <c r="I30" i="19"/>
  <c r="J30" i="19"/>
  <c r="K30" i="19"/>
  <c r="L30" i="19"/>
  <c r="M30" i="19"/>
  <c r="A31" i="19"/>
  <c r="B31" i="19"/>
  <c r="C31" i="19"/>
  <c r="D31" i="19"/>
  <c r="E31" i="19"/>
  <c r="F31" i="19"/>
  <c r="G31" i="19"/>
  <c r="H31" i="19"/>
  <c r="I31" i="19"/>
  <c r="J31" i="19"/>
  <c r="K31" i="19"/>
  <c r="L31" i="19"/>
  <c r="M31" i="19"/>
  <c r="A32" i="19"/>
  <c r="B32" i="19"/>
  <c r="C32" i="19"/>
  <c r="D32" i="19"/>
  <c r="E32" i="19"/>
  <c r="F32" i="19"/>
  <c r="G32" i="19"/>
  <c r="H32" i="19"/>
  <c r="I32" i="19"/>
  <c r="J32" i="19"/>
  <c r="K32" i="19"/>
  <c r="L32" i="19"/>
  <c r="M32" i="19"/>
  <c r="A33" i="19"/>
  <c r="B33" i="19"/>
  <c r="C33" i="19"/>
  <c r="D33" i="19"/>
  <c r="E33" i="19"/>
  <c r="F33" i="19"/>
  <c r="G33" i="19"/>
  <c r="H33" i="19"/>
  <c r="I33" i="19"/>
  <c r="J33" i="19"/>
  <c r="K33" i="19"/>
  <c r="L33" i="19"/>
  <c r="M33" i="19"/>
  <c r="A34" i="19"/>
  <c r="B34" i="19"/>
  <c r="C34" i="19"/>
  <c r="D34" i="19"/>
  <c r="E34" i="19"/>
  <c r="F34" i="19"/>
  <c r="G34" i="19"/>
  <c r="H34" i="19"/>
  <c r="I34" i="19"/>
  <c r="J34" i="19"/>
  <c r="K34" i="19"/>
  <c r="L34" i="19"/>
  <c r="M34" i="19"/>
  <c r="A35" i="19"/>
  <c r="B35" i="19"/>
  <c r="C35" i="19"/>
  <c r="D35" i="19"/>
  <c r="E35" i="19"/>
  <c r="F35" i="19"/>
  <c r="G35" i="19"/>
  <c r="H35" i="19"/>
  <c r="I35" i="19"/>
  <c r="J35" i="19"/>
  <c r="K35" i="19"/>
  <c r="L35" i="19"/>
  <c r="M35" i="19"/>
  <c r="A36" i="19"/>
  <c r="B36" i="19"/>
  <c r="C36" i="19"/>
  <c r="D36" i="19"/>
  <c r="E36" i="19"/>
  <c r="F36" i="19"/>
  <c r="G36" i="19"/>
  <c r="H36" i="19"/>
  <c r="I36" i="19"/>
  <c r="J36" i="19"/>
  <c r="K36" i="19"/>
  <c r="L36" i="19"/>
  <c r="M36" i="19"/>
  <c r="A37" i="19"/>
  <c r="B37" i="19"/>
  <c r="C37" i="19"/>
  <c r="D37" i="19"/>
  <c r="E37" i="19"/>
  <c r="F37" i="19"/>
  <c r="G37" i="19"/>
  <c r="H37" i="19"/>
  <c r="I37" i="19"/>
  <c r="J37" i="19"/>
  <c r="K37" i="19"/>
  <c r="L37" i="19"/>
  <c r="M37" i="19"/>
  <c r="A38" i="19"/>
  <c r="B38" i="19"/>
  <c r="C38" i="19"/>
  <c r="D38" i="19"/>
  <c r="E38" i="19"/>
  <c r="F38" i="19"/>
  <c r="G38" i="19"/>
  <c r="H38" i="19"/>
  <c r="I38" i="19"/>
  <c r="J38" i="19"/>
  <c r="K38" i="19"/>
  <c r="L38" i="19"/>
  <c r="M38" i="19"/>
  <c r="A39" i="19"/>
  <c r="B39" i="19"/>
  <c r="C39" i="19"/>
  <c r="D39" i="19"/>
  <c r="E39" i="19"/>
  <c r="F39" i="19"/>
  <c r="G39" i="19"/>
  <c r="H39" i="19"/>
  <c r="I39" i="19"/>
  <c r="J39" i="19"/>
  <c r="K39" i="19"/>
  <c r="L39" i="19"/>
  <c r="M39" i="19"/>
  <c r="A40" i="19"/>
  <c r="B40" i="19"/>
  <c r="C40" i="19"/>
  <c r="D40" i="19"/>
  <c r="E40" i="19"/>
  <c r="F40" i="19"/>
  <c r="G40" i="19"/>
  <c r="H40" i="19"/>
  <c r="I40" i="19"/>
  <c r="J40" i="19"/>
  <c r="K40" i="19"/>
  <c r="L40" i="19"/>
  <c r="M40" i="19"/>
  <c r="A41" i="19"/>
  <c r="B41" i="19"/>
  <c r="C41" i="19"/>
  <c r="D41" i="19"/>
  <c r="E41" i="19"/>
  <c r="F41" i="19"/>
  <c r="G41" i="19"/>
  <c r="H41" i="19"/>
  <c r="I41" i="19"/>
  <c r="J41" i="19"/>
  <c r="K41" i="19"/>
  <c r="L41" i="19"/>
  <c r="M41" i="19"/>
  <c r="A42" i="19"/>
  <c r="B42" i="19"/>
  <c r="C42" i="19"/>
  <c r="D42" i="19"/>
  <c r="E42" i="19"/>
  <c r="F42" i="19"/>
  <c r="G42" i="19"/>
  <c r="H42" i="19"/>
  <c r="I42" i="19"/>
  <c r="J42" i="19"/>
  <c r="K42" i="19"/>
  <c r="L42" i="19"/>
  <c r="M42" i="19"/>
  <c r="A43" i="19"/>
  <c r="B43" i="19"/>
  <c r="C43" i="19"/>
  <c r="D43" i="19"/>
  <c r="E43" i="19"/>
  <c r="F43" i="19"/>
  <c r="G43" i="19"/>
  <c r="H43" i="19"/>
  <c r="I43" i="19"/>
  <c r="J43" i="19"/>
  <c r="K43" i="19"/>
  <c r="L43" i="19"/>
  <c r="M43" i="19"/>
  <c r="A44" i="19"/>
  <c r="B44" i="19"/>
  <c r="C44" i="19"/>
  <c r="D44" i="19"/>
  <c r="E44" i="19"/>
  <c r="F44" i="19"/>
  <c r="G44" i="19"/>
  <c r="H44" i="19"/>
  <c r="I44" i="19"/>
  <c r="J44" i="19"/>
  <c r="K44" i="19"/>
  <c r="L44" i="19"/>
  <c r="M44" i="19"/>
  <c r="A45" i="19"/>
  <c r="B45" i="19"/>
  <c r="C45" i="19"/>
  <c r="D45" i="19"/>
  <c r="E45" i="19"/>
  <c r="F45" i="19"/>
  <c r="G45" i="19"/>
  <c r="H45" i="19"/>
  <c r="I45" i="19"/>
  <c r="J45" i="19"/>
  <c r="K45" i="19"/>
  <c r="L45" i="19"/>
  <c r="M45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A8" i="19"/>
  <c r="B8" i="19"/>
  <c r="C8" i="19"/>
  <c r="D8" i="19"/>
  <c r="E8" i="19"/>
  <c r="X8" i="19" s="1"/>
  <c r="P8" i="19" s="1"/>
  <c r="F8" i="19"/>
  <c r="G8" i="19"/>
  <c r="H8" i="19"/>
  <c r="I8" i="19"/>
  <c r="J8" i="19"/>
  <c r="K8" i="19"/>
  <c r="L8" i="19"/>
  <c r="M8" i="19"/>
  <c r="A9" i="19"/>
  <c r="B9" i="19"/>
  <c r="C9" i="19"/>
  <c r="D9" i="19"/>
  <c r="E9" i="19"/>
  <c r="V9" i="19" s="1"/>
  <c r="Z9" i="19" s="1"/>
  <c r="F9" i="19"/>
  <c r="G9" i="19"/>
  <c r="H9" i="19"/>
  <c r="I9" i="19"/>
  <c r="J9" i="19"/>
  <c r="K9" i="19"/>
  <c r="L9" i="19"/>
  <c r="M9" i="19"/>
  <c r="A10" i="19"/>
  <c r="B10" i="19"/>
  <c r="C10" i="19"/>
  <c r="D10" i="19"/>
  <c r="E10" i="19"/>
  <c r="W10" i="19" s="1"/>
  <c r="O10" i="19" s="1"/>
  <c r="F10" i="19"/>
  <c r="G10" i="19"/>
  <c r="H10" i="19"/>
  <c r="I10" i="19"/>
  <c r="J10" i="19"/>
  <c r="K10" i="19"/>
  <c r="L10" i="19"/>
  <c r="M10" i="19"/>
  <c r="A11" i="19"/>
  <c r="B11" i="19"/>
  <c r="C11" i="19"/>
  <c r="D11" i="19"/>
  <c r="E11" i="19"/>
  <c r="W11" i="19" s="1"/>
  <c r="O11" i="19" s="1"/>
  <c r="F11" i="19"/>
  <c r="G11" i="19"/>
  <c r="H11" i="19"/>
  <c r="I11" i="19"/>
  <c r="J11" i="19"/>
  <c r="K11" i="19"/>
  <c r="L11" i="19"/>
  <c r="M11" i="19"/>
  <c r="A12" i="19"/>
  <c r="B12" i="19"/>
  <c r="C12" i="19"/>
  <c r="D12" i="19"/>
  <c r="E12" i="19"/>
  <c r="X12" i="19" s="1"/>
  <c r="P12" i="19" s="1"/>
  <c r="F12" i="19"/>
  <c r="G12" i="19"/>
  <c r="H12" i="19"/>
  <c r="I12" i="19"/>
  <c r="J12" i="19"/>
  <c r="K12" i="19"/>
  <c r="L12" i="19"/>
  <c r="M12" i="19"/>
  <c r="A13" i="19"/>
  <c r="B13" i="19"/>
  <c r="C13" i="19"/>
  <c r="D13" i="19"/>
  <c r="E13" i="19"/>
  <c r="V13" i="19" s="1"/>
  <c r="Z13" i="19" s="1"/>
  <c r="F13" i="19"/>
  <c r="G13" i="19"/>
  <c r="H13" i="19"/>
  <c r="I13" i="19"/>
  <c r="J13" i="19"/>
  <c r="K13" i="19"/>
  <c r="L13" i="19"/>
  <c r="M13" i="19"/>
  <c r="A14" i="19"/>
  <c r="B14" i="19"/>
  <c r="C14" i="19"/>
  <c r="D14" i="19"/>
  <c r="E14" i="19"/>
  <c r="W14" i="19" s="1"/>
  <c r="O14" i="19" s="1"/>
  <c r="F14" i="19"/>
  <c r="G14" i="19"/>
  <c r="H14" i="19"/>
  <c r="I14" i="19"/>
  <c r="J14" i="19"/>
  <c r="K14" i="19"/>
  <c r="L14" i="19"/>
  <c r="M14" i="19"/>
  <c r="A15" i="19"/>
  <c r="B15" i="19"/>
  <c r="C15" i="19"/>
  <c r="D15" i="19"/>
  <c r="E15" i="19"/>
  <c r="F15" i="19"/>
  <c r="G15" i="19"/>
  <c r="H15" i="19"/>
  <c r="I15" i="19"/>
  <c r="J15" i="19"/>
  <c r="K15" i="19"/>
  <c r="L15" i="19"/>
  <c r="M15" i="19"/>
  <c r="A16" i="19"/>
  <c r="B16" i="19"/>
  <c r="C16" i="19"/>
  <c r="D16" i="19"/>
  <c r="E16" i="19"/>
  <c r="F16" i="19"/>
  <c r="G16" i="19"/>
  <c r="H16" i="19"/>
  <c r="I16" i="19"/>
  <c r="J16" i="19"/>
  <c r="K16" i="19"/>
  <c r="L16" i="19"/>
  <c r="M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A18" i="19"/>
  <c r="B18" i="19"/>
  <c r="C18" i="19"/>
  <c r="D18" i="19"/>
  <c r="E18" i="19"/>
  <c r="F18" i="19"/>
  <c r="G18" i="19"/>
  <c r="H18" i="19"/>
  <c r="I18" i="19"/>
  <c r="J18" i="19"/>
  <c r="K18" i="19"/>
  <c r="L18" i="19"/>
  <c r="M18" i="19"/>
  <c r="A19" i="19"/>
  <c r="B19" i="19"/>
  <c r="C19" i="19"/>
  <c r="D19" i="19"/>
  <c r="E19" i="19"/>
  <c r="F19" i="19"/>
  <c r="G19" i="19"/>
  <c r="H19" i="19"/>
  <c r="I19" i="19"/>
  <c r="J19" i="19"/>
  <c r="K19" i="19"/>
  <c r="L19" i="19"/>
  <c r="M19" i="19"/>
  <c r="A20" i="19"/>
  <c r="B20" i="19"/>
  <c r="C20" i="19"/>
  <c r="D20" i="19"/>
  <c r="E20" i="19"/>
  <c r="F20" i="19"/>
  <c r="G20" i="19"/>
  <c r="H20" i="19"/>
  <c r="I20" i="19"/>
  <c r="J20" i="19"/>
  <c r="K20" i="19"/>
  <c r="L20" i="19"/>
  <c r="M20" i="19"/>
  <c r="A21" i="19"/>
  <c r="B21" i="19"/>
  <c r="C21" i="19"/>
  <c r="D21" i="19"/>
  <c r="E21" i="19"/>
  <c r="F21" i="19"/>
  <c r="G21" i="19"/>
  <c r="H21" i="19"/>
  <c r="I21" i="19"/>
  <c r="J21" i="19"/>
  <c r="K21" i="19"/>
  <c r="L21" i="19"/>
  <c r="M21" i="19"/>
  <c r="A22" i="19"/>
  <c r="B22" i="19"/>
  <c r="C22" i="19"/>
  <c r="D22" i="19"/>
  <c r="E22" i="19"/>
  <c r="F22" i="19"/>
  <c r="G22" i="19"/>
  <c r="H22" i="19"/>
  <c r="I22" i="19"/>
  <c r="J22" i="19"/>
  <c r="K22" i="19"/>
  <c r="L22" i="19"/>
  <c r="M22" i="19"/>
  <c r="A23" i="19"/>
  <c r="B23" i="19"/>
  <c r="C23" i="19"/>
  <c r="D23" i="19"/>
  <c r="E23" i="19"/>
  <c r="F23" i="19"/>
  <c r="G23" i="19"/>
  <c r="H23" i="19"/>
  <c r="I23" i="19"/>
  <c r="J23" i="19"/>
  <c r="K23" i="19"/>
  <c r="L23" i="19"/>
  <c r="M23" i="19"/>
  <c r="A24" i="19"/>
  <c r="B24" i="19"/>
  <c r="C24" i="19"/>
  <c r="D24" i="19"/>
  <c r="E24" i="19"/>
  <c r="F24" i="19"/>
  <c r="G24" i="19"/>
  <c r="H24" i="19"/>
  <c r="I24" i="19"/>
  <c r="J24" i="19"/>
  <c r="K24" i="19"/>
  <c r="L24" i="19"/>
  <c r="M24" i="19"/>
  <c r="A25" i="19"/>
  <c r="B25" i="19"/>
  <c r="C25" i="19"/>
  <c r="D25" i="19"/>
  <c r="E25" i="19"/>
  <c r="F25" i="19"/>
  <c r="G25" i="19"/>
  <c r="H25" i="19"/>
  <c r="I25" i="19"/>
  <c r="J25" i="19"/>
  <c r="K25" i="19"/>
  <c r="L25" i="19"/>
  <c r="M25" i="19"/>
  <c r="G306" i="24"/>
  <c r="K306" i="24" s="1"/>
  <c r="J15" i="24"/>
  <c r="N15" i="24" s="1"/>
  <c r="J16" i="24"/>
  <c r="N16" i="24" s="1"/>
  <c r="J17" i="24"/>
  <c r="N17" i="24" s="1"/>
  <c r="J191" i="24"/>
  <c r="N191" i="24" s="1"/>
  <c r="J193" i="24"/>
  <c r="N193" i="24" s="1"/>
  <c r="J195" i="24"/>
  <c r="N195" i="24" s="1"/>
  <c r="J197" i="24"/>
  <c r="N197" i="24" s="1"/>
  <c r="J212" i="24"/>
  <c r="N212" i="24" s="1"/>
  <c r="J213" i="24"/>
  <c r="N213" i="24" s="1"/>
  <c r="J234" i="24"/>
  <c r="N234" i="24" s="1"/>
  <c r="J235" i="24"/>
  <c r="N235" i="24" s="1"/>
  <c r="J238" i="24"/>
  <c r="N238" i="24" s="1"/>
  <c r="J239" i="24"/>
  <c r="N239" i="24" s="1"/>
  <c r="J241" i="24"/>
  <c r="N241" i="24" s="1"/>
  <c r="J243" i="24"/>
  <c r="N243" i="24" s="1"/>
  <c r="J260" i="24"/>
  <c r="N260" i="24" s="1"/>
  <c r="J261" i="24"/>
  <c r="N261" i="24" s="1"/>
  <c r="J262" i="24"/>
  <c r="N262" i="24" s="1"/>
  <c r="J266" i="24"/>
  <c r="N266" i="24" s="1"/>
  <c r="J267" i="24"/>
  <c r="N267" i="24" s="1"/>
  <c r="J268" i="24"/>
  <c r="N268" i="24" s="1"/>
  <c r="J269" i="24"/>
  <c r="N269" i="24" s="1"/>
  <c r="J270" i="24"/>
  <c r="N270" i="24" s="1"/>
  <c r="J271" i="24"/>
  <c r="N271" i="24" s="1"/>
  <c r="J273" i="24"/>
  <c r="N273" i="24" s="1"/>
  <c r="J274" i="24"/>
  <c r="N274" i="24" s="1"/>
  <c r="J275" i="24"/>
  <c r="N275" i="24" s="1"/>
  <c r="J276" i="24"/>
  <c r="N276" i="24" s="1"/>
  <c r="J277" i="24"/>
  <c r="N277" i="24" s="1"/>
  <c r="J278" i="24"/>
  <c r="N278" i="24" s="1"/>
  <c r="J282" i="24"/>
  <c r="N282" i="24" s="1"/>
  <c r="J283" i="24"/>
  <c r="N283" i="24" s="1"/>
  <c r="J284" i="24"/>
  <c r="N284" i="24" s="1"/>
  <c r="J286" i="24"/>
  <c r="N286" i="24" s="1"/>
  <c r="J287" i="24"/>
  <c r="N287" i="24" s="1"/>
  <c r="J288" i="24"/>
  <c r="N288" i="24" s="1"/>
  <c r="J289" i="24"/>
  <c r="N289" i="24" s="1"/>
  <c r="J291" i="24"/>
  <c r="N291" i="24" s="1"/>
  <c r="J292" i="24"/>
  <c r="N292" i="24" s="1"/>
  <c r="J293" i="24"/>
  <c r="N293" i="24" s="1"/>
  <c r="J294" i="24"/>
  <c r="N294" i="24" s="1"/>
  <c r="J298" i="24"/>
  <c r="N298" i="24" s="1"/>
  <c r="J299" i="24"/>
  <c r="N299" i="24" s="1"/>
  <c r="J302" i="24"/>
  <c r="N302" i="24" s="1"/>
  <c r="J303" i="24"/>
  <c r="N303" i="24" s="1"/>
  <c r="J304" i="24"/>
  <c r="N304" i="24" s="1"/>
  <c r="J305" i="24"/>
  <c r="N305" i="24" s="1"/>
  <c r="G16" i="24"/>
  <c r="K16" i="24" s="1"/>
  <c r="G17" i="24"/>
  <c r="K17" i="24" s="1"/>
  <c r="G193" i="24"/>
  <c r="K193" i="24" s="1"/>
  <c r="G195" i="24"/>
  <c r="K195" i="24" s="1"/>
  <c r="G200" i="24"/>
  <c r="K200" i="24" s="1"/>
  <c r="G201" i="24"/>
  <c r="K201" i="24" s="1"/>
  <c r="G233" i="24"/>
  <c r="K233" i="24" s="1"/>
  <c r="G234" i="24"/>
  <c r="K234" i="24" s="1"/>
  <c r="G235" i="24"/>
  <c r="K235" i="24" s="1"/>
  <c r="G236" i="24"/>
  <c r="K236" i="24" s="1"/>
  <c r="G238" i="24"/>
  <c r="K238" i="24" s="1"/>
  <c r="G240" i="24"/>
  <c r="K240" i="24" s="1"/>
  <c r="G241" i="24"/>
  <c r="K241" i="24" s="1"/>
  <c r="G242" i="24"/>
  <c r="K242" i="24" s="1"/>
  <c r="G243" i="24"/>
  <c r="K243" i="24" s="1"/>
  <c r="G260" i="24"/>
  <c r="K260" i="24" s="1"/>
  <c r="G264" i="24"/>
  <c r="K264" i="24" s="1"/>
  <c r="G265" i="24"/>
  <c r="K265" i="24" s="1"/>
  <c r="G266" i="24"/>
  <c r="K266" i="24" s="1"/>
  <c r="G267" i="24"/>
  <c r="K267" i="24" s="1"/>
  <c r="G268" i="24"/>
  <c r="K268" i="24" s="1"/>
  <c r="G269" i="24"/>
  <c r="K269" i="24" s="1"/>
  <c r="G270" i="24"/>
  <c r="K270" i="24" s="1"/>
  <c r="G271" i="24"/>
  <c r="K271" i="24" s="1"/>
  <c r="G272" i="24"/>
  <c r="K272" i="24" s="1"/>
  <c r="G273" i="24"/>
  <c r="K273" i="24" s="1"/>
  <c r="G274" i="24"/>
  <c r="K274" i="24" s="1"/>
  <c r="G275" i="24"/>
  <c r="K275" i="24" s="1"/>
  <c r="G276" i="24"/>
  <c r="K276" i="24" s="1"/>
  <c r="G277" i="24"/>
  <c r="K277" i="24" s="1"/>
  <c r="G278" i="24"/>
  <c r="K278" i="24" s="1"/>
  <c r="G280" i="24"/>
  <c r="K280" i="24" s="1"/>
  <c r="G281" i="24"/>
  <c r="K281" i="24" s="1"/>
  <c r="G282" i="24"/>
  <c r="K282" i="24" s="1"/>
  <c r="G283" i="24"/>
  <c r="K283" i="24" s="1"/>
  <c r="G284" i="24"/>
  <c r="K284" i="24" s="1"/>
  <c r="G286" i="24"/>
  <c r="K286" i="24" s="1"/>
  <c r="G288" i="24"/>
  <c r="K288" i="24" s="1"/>
  <c r="G289" i="24"/>
  <c r="K289" i="24" s="1"/>
  <c r="G290" i="24"/>
  <c r="K290" i="24" s="1"/>
  <c r="G291" i="24"/>
  <c r="K291" i="24" s="1"/>
  <c r="G296" i="24"/>
  <c r="K296" i="24" s="1"/>
  <c r="G297" i="24"/>
  <c r="K297" i="24" s="1"/>
  <c r="G298" i="24"/>
  <c r="K298" i="24" s="1"/>
  <c r="G299" i="24"/>
  <c r="K299" i="24" s="1"/>
  <c r="G300" i="24"/>
  <c r="K300" i="24" s="1"/>
  <c r="G302" i="24"/>
  <c r="K302" i="24" s="1"/>
  <c r="G303" i="24"/>
  <c r="K303" i="24" s="1"/>
  <c r="G304" i="24"/>
  <c r="K304" i="24" s="1"/>
  <c r="G305" i="24"/>
  <c r="K305" i="24" s="1"/>
  <c r="F232" i="29" l="1"/>
  <c r="G216" i="29"/>
  <c r="G230" i="29"/>
  <c r="G223" i="29"/>
  <c r="G205" i="29"/>
  <c r="G221" i="29"/>
  <c r="G225" i="29"/>
  <c r="F231" i="29"/>
  <c r="G241" i="29"/>
  <c r="S202" i="29"/>
  <c r="J232" i="29"/>
  <c r="R6" i="29"/>
  <c r="L262" i="28"/>
  <c r="O231" i="29"/>
  <c r="J262" i="28"/>
  <c r="O230" i="29"/>
  <c r="O213" i="29"/>
  <c r="F11" i="29"/>
  <c r="J211" i="29"/>
  <c r="N12" i="29"/>
  <c r="S16" i="29"/>
  <c r="N6" i="29"/>
  <c r="J19" i="29"/>
  <c r="G57" i="29"/>
  <c r="J15" i="28"/>
  <c r="K301" i="29"/>
  <c r="F207" i="29"/>
  <c r="K285" i="29"/>
  <c r="R315" i="29"/>
  <c r="K197" i="29"/>
  <c r="K219" i="29"/>
  <c r="F199" i="29"/>
  <c r="J6" i="29"/>
  <c r="F197" i="29"/>
  <c r="N229" i="29"/>
  <c r="J200" i="29"/>
  <c r="G202" i="29"/>
  <c r="P262" i="28"/>
  <c r="F200" i="29"/>
  <c r="J197" i="29"/>
  <c r="F6" i="29"/>
  <c r="R199" i="29"/>
  <c r="G18" i="29"/>
  <c r="F213" i="29"/>
  <c r="N262" i="28"/>
  <c r="M11" i="28"/>
  <c r="G303" i="29"/>
  <c r="F223" i="29"/>
  <c r="F178" i="29"/>
  <c r="G238" i="29"/>
  <c r="K232" i="29"/>
  <c r="G320" i="29"/>
  <c r="F186" i="29"/>
  <c r="G307" i="29"/>
  <c r="M165" i="29"/>
  <c r="N165" i="29" s="1"/>
  <c r="I162" i="24"/>
  <c r="M162" i="24" s="1"/>
  <c r="H245" i="28"/>
  <c r="I174" i="29"/>
  <c r="J174" i="29" s="1"/>
  <c r="G41" i="28"/>
  <c r="H171" i="24"/>
  <c r="L171" i="24" s="1"/>
  <c r="K6" i="29"/>
  <c r="J18" i="29"/>
  <c r="O322" i="29"/>
  <c r="N63" i="29"/>
  <c r="F322" i="29"/>
  <c r="F228" i="29"/>
  <c r="F104" i="29"/>
  <c r="G6" i="29"/>
  <c r="F18" i="29"/>
  <c r="F321" i="29"/>
  <c r="G208" i="29"/>
  <c r="F216" i="29"/>
  <c r="F234" i="29"/>
  <c r="S5" i="29"/>
  <c r="O234" i="29"/>
  <c r="O62" i="29"/>
  <c r="W63" i="19"/>
  <c r="O63" i="19" s="1"/>
  <c r="S63" i="19" s="1"/>
  <c r="Q80" i="19"/>
  <c r="U80" i="19" s="1"/>
  <c r="Y52" i="19"/>
  <c r="Q52" i="19" s="1"/>
  <c r="U52" i="19" s="1"/>
  <c r="S84" i="19"/>
  <c r="V23" i="19"/>
  <c r="Z23" i="19" s="1"/>
  <c r="T61" i="19"/>
  <c r="X52" i="19"/>
  <c r="P52" i="19" s="1"/>
  <c r="T52" i="19" s="1"/>
  <c r="T8" i="19"/>
  <c r="V85" i="19"/>
  <c r="Z85" i="19" s="1"/>
  <c r="S52" i="19"/>
  <c r="V10" i="19"/>
  <c r="Z10" i="19" s="1"/>
  <c r="T77" i="19"/>
  <c r="Y58" i="19"/>
  <c r="Q58" i="19" s="1"/>
  <c r="U58" i="19" s="1"/>
  <c r="V59" i="19"/>
  <c r="Z59" i="19" s="1"/>
  <c r="V63" i="19"/>
  <c r="Z63" i="19" s="1"/>
  <c r="W59" i="19"/>
  <c r="O59" i="19" s="1"/>
  <c r="S59" i="19" s="1"/>
  <c r="W64" i="19"/>
  <c r="O64" i="19" s="1"/>
  <c r="S64" i="19" s="1"/>
  <c r="T88" i="19"/>
  <c r="T48" i="19"/>
  <c r="Q71" i="19"/>
  <c r="U71" i="19" s="1"/>
  <c r="W54" i="19"/>
  <c r="O54" i="19" s="1"/>
  <c r="S54" i="19" s="1"/>
  <c r="V65" i="19"/>
  <c r="Z65" i="19" s="1"/>
  <c r="Q87" i="19"/>
  <c r="U87" i="19" s="1"/>
  <c r="T12" i="19"/>
  <c r="W12" i="19"/>
  <c r="O12" i="19" s="1"/>
  <c r="S12" i="19" s="1"/>
  <c r="W70" i="19"/>
  <c r="O70" i="19" s="1"/>
  <c r="S70" i="19" s="1"/>
  <c r="W29" i="19"/>
  <c r="O29" i="19" s="1"/>
  <c r="S29" i="19" s="1"/>
  <c r="T94" i="19"/>
  <c r="T91" i="19"/>
  <c r="Q88" i="19"/>
  <c r="U88" i="19" s="1"/>
  <c r="T74" i="19"/>
  <c r="T97" i="19"/>
  <c r="S14" i="19"/>
  <c r="S50" i="19"/>
  <c r="S10" i="19"/>
  <c r="V84" i="19"/>
  <c r="Z84" i="19" s="1"/>
  <c r="T63" i="19"/>
  <c r="S80" i="19"/>
  <c r="W78" i="19"/>
  <c r="O78" i="19" s="1"/>
  <c r="S78" i="19" s="1"/>
  <c r="V78" i="19"/>
  <c r="Z78" i="19" s="1"/>
  <c r="Q79" i="19"/>
  <c r="U79" i="19" s="1"/>
  <c r="T60" i="19"/>
  <c r="V8" i="19"/>
  <c r="Z8" i="19" s="1"/>
  <c r="X69" i="19"/>
  <c r="P69" i="19" s="1"/>
  <c r="T69" i="19" s="1"/>
  <c r="W86" i="19"/>
  <c r="O86" i="19" s="1"/>
  <c r="S86" i="19" s="1"/>
  <c r="V47" i="19"/>
  <c r="Z47" i="19" s="1"/>
  <c r="Y53" i="19"/>
  <c r="Q53" i="19" s="1"/>
  <c r="U53" i="19" s="1"/>
  <c r="T65" i="19"/>
  <c r="T47" i="19"/>
  <c r="X76" i="19"/>
  <c r="P76" i="19" s="1"/>
  <c r="T76" i="19" s="1"/>
  <c r="W58" i="19"/>
  <c r="O58" i="19" s="1"/>
  <c r="S58" i="19" s="1"/>
  <c r="V11" i="19"/>
  <c r="Z11" i="19" s="1"/>
  <c r="Q47" i="19"/>
  <c r="U47" i="19" s="1"/>
  <c r="X85" i="19"/>
  <c r="P85" i="19" s="1"/>
  <c r="T85" i="19" s="1"/>
  <c r="W71" i="19"/>
  <c r="O71" i="19" s="1"/>
  <c r="S71" i="19" s="1"/>
  <c r="X70" i="19"/>
  <c r="P70" i="19" s="1"/>
  <c r="T70" i="19" s="1"/>
  <c r="S11" i="19"/>
  <c r="T59" i="19"/>
  <c r="X58" i="19"/>
  <c r="P58" i="19" s="1"/>
  <c r="T58" i="19" s="1"/>
  <c r="W76" i="19"/>
  <c r="O76" i="19" s="1"/>
  <c r="S76" i="19" s="1"/>
  <c r="V76" i="19"/>
  <c r="Z76" i="19" s="1"/>
  <c r="W82" i="19"/>
  <c r="O82" i="19" s="1"/>
  <c r="S82" i="19" s="1"/>
  <c r="Y8" i="19"/>
  <c r="Q8" i="19" s="1"/>
  <c r="U8" i="19" s="1"/>
  <c r="X86" i="19"/>
  <c r="P86" i="19" s="1"/>
  <c r="T86" i="19" s="1"/>
  <c r="V70" i="19"/>
  <c r="Z70" i="19" s="1"/>
  <c r="X82" i="19"/>
  <c r="P82" i="19" s="1"/>
  <c r="T82" i="19" s="1"/>
  <c r="X20" i="19"/>
  <c r="P20" i="19" s="1"/>
  <c r="T20" i="19" s="1"/>
  <c r="Y54" i="19"/>
  <c r="Q54" i="19" s="1"/>
  <c r="U54" i="19" s="1"/>
  <c r="X49" i="19"/>
  <c r="P49" i="19" s="1"/>
  <c r="T49" i="19" s="1"/>
  <c r="W60" i="19"/>
  <c r="O60" i="19" s="1"/>
  <c r="S60" i="19" s="1"/>
  <c r="Y59" i="19"/>
  <c r="Q59" i="19" s="1"/>
  <c r="U59" i="19" s="1"/>
  <c r="X78" i="19"/>
  <c r="P78" i="19" s="1"/>
  <c r="T78" i="19" s="1"/>
  <c r="W75" i="19"/>
  <c r="O75" i="19" s="1"/>
  <c r="S75" i="19" s="1"/>
  <c r="T92" i="19"/>
  <c r="X19" i="19"/>
  <c r="P19" i="19" s="1"/>
  <c r="T19" i="19" s="1"/>
  <c r="Q75" i="19"/>
  <c r="U75" i="19" s="1"/>
  <c r="Y68" i="19"/>
  <c r="Q68" i="19" s="1"/>
  <c r="U68" i="19" s="1"/>
  <c r="W41" i="19"/>
  <c r="O41" i="19" s="1"/>
  <c r="S41" i="19" s="1"/>
  <c r="X80" i="19"/>
  <c r="P80" i="19" s="1"/>
  <c r="T80" i="19" s="1"/>
  <c r="V14" i="19"/>
  <c r="Z14" i="19" s="1"/>
  <c r="X56" i="19"/>
  <c r="P56" i="19" s="1"/>
  <c r="T56" i="19" s="1"/>
  <c r="X72" i="19"/>
  <c r="P72" i="19" s="1"/>
  <c r="T72" i="19" s="1"/>
  <c r="Y13" i="19"/>
  <c r="Q13" i="19" s="1"/>
  <c r="U13" i="19" s="1"/>
  <c r="W66" i="19"/>
  <c r="O66" i="19" s="1"/>
  <c r="S66" i="19" s="1"/>
  <c r="W88" i="19"/>
  <c r="O88" i="19" s="1"/>
  <c r="S88" i="19" s="1"/>
  <c r="X11" i="19"/>
  <c r="P11" i="19" s="1"/>
  <c r="T11" i="19" s="1"/>
  <c r="Q83" i="19"/>
  <c r="U83" i="19" s="1"/>
  <c r="V49" i="19"/>
  <c r="Z49" i="19" s="1"/>
  <c r="V80" i="19"/>
  <c r="Z80" i="19" s="1"/>
  <c r="Y63" i="19"/>
  <c r="Q63" i="19" s="1"/>
  <c r="U63" i="19" s="1"/>
  <c r="X14" i="19"/>
  <c r="P14" i="19" s="1"/>
  <c r="T14" i="19" s="1"/>
  <c r="W48" i="19"/>
  <c r="O48" i="19" s="1"/>
  <c r="S48" i="19" s="1"/>
  <c r="Q74" i="19"/>
  <c r="U74" i="19" s="1"/>
  <c r="W67" i="19"/>
  <c r="O67" i="19" s="1"/>
  <c r="S67" i="19" s="1"/>
  <c r="W74" i="19"/>
  <c r="O74" i="19" s="1"/>
  <c r="S74" i="19" s="1"/>
  <c r="Y57" i="19"/>
  <c r="Q57" i="19" s="1"/>
  <c r="U57" i="19" s="1"/>
  <c r="V60" i="19"/>
  <c r="Z60" i="19" s="1"/>
  <c r="V88" i="19"/>
  <c r="Z88" i="19" s="1"/>
  <c r="W81" i="19"/>
  <c r="O81" i="19" s="1"/>
  <c r="S81" i="19" s="1"/>
  <c r="W20" i="19"/>
  <c r="O20" i="19" s="1"/>
  <c r="S20" i="19" s="1"/>
  <c r="Y42" i="19"/>
  <c r="Q42" i="19" s="1"/>
  <c r="U42" i="19" s="1"/>
  <c r="X66" i="19"/>
  <c r="P66" i="19" s="1"/>
  <c r="T66" i="19" s="1"/>
  <c r="Y12" i="19"/>
  <c r="Q12" i="19" s="1"/>
  <c r="U12" i="19" s="1"/>
  <c r="Y66" i="19"/>
  <c r="Q66" i="19" s="1"/>
  <c r="U66" i="19" s="1"/>
  <c r="W13" i="19"/>
  <c r="O13" i="19" s="1"/>
  <c r="S13" i="19" s="1"/>
  <c r="W72" i="19"/>
  <c r="O72" i="19" s="1"/>
  <c r="S72" i="19" s="1"/>
  <c r="Q72" i="19"/>
  <c r="U72" i="19" s="1"/>
  <c r="V74" i="19"/>
  <c r="Z74" i="19" s="1"/>
  <c r="V12" i="19"/>
  <c r="Z12" i="19" s="1"/>
  <c r="X53" i="19"/>
  <c r="P53" i="19" s="1"/>
  <c r="T53" i="19" s="1"/>
  <c r="W55" i="19"/>
  <c r="O55" i="19" s="1"/>
  <c r="S55" i="19" s="1"/>
  <c r="V61" i="19"/>
  <c r="Z61" i="19" s="1"/>
  <c r="Q50" i="19"/>
  <c r="U50" i="19" s="1"/>
  <c r="V15" i="19"/>
  <c r="Z15" i="19" s="1"/>
  <c r="X15" i="19"/>
  <c r="P15" i="19" s="1"/>
  <c r="T15" i="19" s="1"/>
  <c r="X9" i="19"/>
  <c r="P9" i="19" s="1"/>
  <c r="T9" i="19" s="1"/>
  <c r="Q89" i="19"/>
  <c r="U89" i="19" s="1"/>
  <c r="Y9" i="19"/>
  <c r="Q9" i="19" s="1"/>
  <c r="U9" i="19" s="1"/>
  <c r="W49" i="19"/>
  <c r="O49" i="19" s="1"/>
  <c r="S49" i="19" s="1"/>
  <c r="W83" i="19"/>
  <c r="O83" i="19" s="1"/>
  <c r="S83" i="19" s="1"/>
  <c r="V86" i="19"/>
  <c r="Z86" i="19" s="1"/>
  <c r="V52" i="19"/>
  <c r="Z52" i="19" s="1"/>
  <c r="W69" i="19"/>
  <c r="O69" i="19" s="1"/>
  <c r="S69" i="19" s="1"/>
  <c r="X64" i="19"/>
  <c r="P64" i="19" s="1"/>
  <c r="T64" i="19" s="1"/>
  <c r="X84" i="19"/>
  <c r="P84" i="19" s="1"/>
  <c r="T84" i="19" s="1"/>
  <c r="W19" i="19"/>
  <c r="O19" i="19" s="1"/>
  <c r="S19" i="19" s="1"/>
  <c r="V179" i="19"/>
  <c r="X179" i="19"/>
  <c r="P179" i="19" s="1"/>
  <c r="T179" i="19" s="1"/>
  <c r="W179" i="19"/>
  <c r="O179" i="19" s="1"/>
  <c r="S179" i="19" s="1"/>
  <c r="Y179" i="19"/>
  <c r="Q179" i="19" s="1"/>
  <c r="U179" i="19" s="1"/>
  <c r="Y20" i="19"/>
  <c r="Q20" i="19" s="1"/>
  <c r="U20" i="19" s="1"/>
  <c r="X57" i="19"/>
  <c r="P57" i="19" s="1"/>
  <c r="T57" i="19" s="1"/>
  <c r="Y14" i="19"/>
  <c r="Q14" i="19" s="1"/>
  <c r="U14" i="19" s="1"/>
  <c r="W56" i="19"/>
  <c r="O56" i="19" s="1"/>
  <c r="S56" i="19" s="1"/>
  <c r="W9" i="19"/>
  <c r="O9" i="19" s="1"/>
  <c r="S9" i="19" s="1"/>
  <c r="Y11" i="19"/>
  <c r="Q11" i="19" s="1"/>
  <c r="U11" i="19" s="1"/>
  <c r="V50" i="19"/>
  <c r="Z50" i="19" s="1"/>
  <c r="X81" i="19"/>
  <c r="P81" i="19" s="1"/>
  <c r="T81" i="19" s="1"/>
  <c r="W85" i="19"/>
  <c r="O85" i="19" s="1"/>
  <c r="S85" i="19" s="1"/>
  <c r="X89" i="19"/>
  <c r="P89" i="19" s="1"/>
  <c r="T89" i="19" s="1"/>
  <c r="X55" i="19"/>
  <c r="P55" i="19" s="1"/>
  <c r="T55" i="19" s="1"/>
  <c r="W68" i="19"/>
  <c r="O68" i="19" s="1"/>
  <c r="S68" i="19" s="1"/>
  <c r="W89" i="19"/>
  <c r="O89" i="19" s="1"/>
  <c r="S89" i="19" s="1"/>
  <c r="X13" i="19"/>
  <c r="P13" i="19" s="1"/>
  <c r="T13" i="19" s="1"/>
  <c r="X79" i="19"/>
  <c r="P79" i="19" s="1"/>
  <c r="T79" i="19" s="1"/>
  <c r="T93" i="19"/>
  <c r="V21" i="19"/>
  <c r="Z21" i="19" s="1"/>
  <c r="X10" i="19"/>
  <c r="P10" i="19" s="1"/>
  <c r="T10" i="19" s="1"/>
  <c r="Q48" i="19"/>
  <c r="U48" i="19" s="1"/>
  <c r="W87" i="19"/>
  <c r="O87" i="19" s="1"/>
  <c r="S87" i="19" s="1"/>
  <c r="Q82" i="19"/>
  <c r="U82" i="19" s="1"/>
  <c r="V77" i="19"/>
  <c r="Z77" i="19" s="1"/>
  <c r="X50" i="19"/>
  <c r="P50" i="19" s="1"/>
  <c r="T50" i="19" s="1"/>
  <c r="W53" i="19"/>
  <c r="O53" i="19" s="1"/>
  <c r="S53" i="19" s="1"/>
  <c r="W47" i="19"/>
  <c r="O47" i="19" s="1"/>
  <c r="S47" i="19" s="1"/>
  <c r="T96" i="19"/>
  <c r="X68" i="19"/>
  <c r="P68" i="19" s="1"/>
  <c r="T68" i="19" s="1"/>
  <c r="Y28" i="19"/>
  <c r="Q28" i="19" s="1"/>
  <c r="U28" i="19" s="1"/>
  <c r="Y19" i="19"/>
  <c r="Q19" i="19" s="1"/>
  <c r="U19" i="19" s="1"/>
  <c r="AH91" i="19"/>
  <c r="X54" i="19"/>
  <c r="P54" i="19" s="1"/>
  <c r="T54" i="19" s="1"/>
  <c r="Y65" i="19"/>
  <c r="Q65" i="19" s="1"/>
  <c r="U65" i="19" s="1"/>
  <c r="W8" i="19"/>
  <c r="O8" i="19" s="1"/>
  <c r="S8" i="19" s="1"/>
  <c r="W65" i="19"/>
  <c r="O65" i="19" s="1"/>
  <c r="S65" i="19" s="1"/>
  <c r="Y15" i="19"/>
  <c r="Q15" i="19" s="1"/>
  <c r="U15" i="19" s="1"/>
  <c r="V48" i="19"/>
  <c r="Z48" i="19" s="1"/>
  <c r="W77" i="19"/>
  <c r="O77" i="19" s="1"/>
  <c r="S77" i="19" s="1"/>
  <c r="X87" i="19"/>
  <c r="P87" i="19" s="1"/>
  <c r="T87" i="19" s="1"/>
  <c r="V28" i="19"/>
  <c r="Z28" i="19" s="1"/>
  <c r="W33" i="19"/>
  <c r="O33" i="19" s="1"/>
  <c r="S33" i="19" s="1"/>
  <c r="X67" i="19"/>
  <c r="P67" i="19" s="1"/>
  <c r="T67" i="19" s="1"/>
  <c r="Q81" i="19"/>
  <c r="U81" i="19" s="1"/>
  <c r="W15" i="19"/>
  <c r="O15" i="19" s="1"/>
  <c r="S15" i="19" s="1"/>
  <c r="W79" i="19"/>
  <c r="O79" i="19" s="1"/>
  <c r="S79" i="19" s="1"/>
  <c r="Y64" i="19"/>
  <c r="Q64" i="19" s="1"/>
  <c r="U64" i="19" s="1"/>
  <c r="Q61" i="19"/>
  <c r="U61" i="19" s="1"/>
  <c r="X83" i="19"/>
  <c r="P83" i="19" s="1"/>
  <c r="T83" i="19" s="1"/>
  <c r="X26" i="19"/>
  <c r="P26" i="19" s="1"/>
  <c r="T26" i="19" s="1"/>
  <c r="S92" i="19"/>
  <c r="X29" i="19"/>
  <c r="P29" i="19" s="1"/>
  <c r="T29" i="19" s="1"/>
  <c r="V40" i="19"/>
  <c r="Z40" i="19" s="1"/>
  <c r="X71" i="19"/>
  <c r="P71" i="19" s="1"/>
  <c r="T71" i="19" s="1"/>
  <c r="Y10" i="19"/>
  <c r="Q10" i="19" s="1"/>
  <c r="U10" i="19" s="1"/>
  <c r="Y67" i="19"/>
  <c r="Q67" i="19" s="1"/>
  <c r="U67" i="19" s="1"/>
  <c r="Y55" i="19"/>
  <c r="Q55" i="19" s="1"/>
  <c r="U55" i="19" s="1"/>
  <c r="W61" i="19"/>
  <c r="O61" i="19" s="1"/>
  <c r="S61" i="19" s="1"/>
  <c r="W16" i="19"/>
  <c r="O16" i="19" s="1"/>
  <c r="S16" i="19" s="1"/>
  <c r="Y43" i="19"/>
  <c r="Q43" i="19" s="1"/>
  <c r="U43" i="19" s="1"/>
  <c r="W28" i="19"/>
  <c r="O28" i="19" s="1"/>
  <c r="S28" i="19" s="1"/>
  <c r="W57" i="19"/>
  <c r="O57" i="19" s="1"/>
  <c r="S57" i="19" s="1"/>
  <c r="X75" i="19"/>
  <c r="P75" i="19" s="1"/>
  <c r="T75" i="19" s="1"/>
  <c r="Q84" i="19"/>
  <c r="U84" i="19" s="1"/>
  <c r="V56" i="19"/>
  <c r="Z56" i="19" s="1"/>
  <c r="Y69" i="19"/>
  <c r="Q69" i="19" s="1"/>
  <c r="U69" i="19" s="1"/>
  <c r="E26" i="29"/>
  <c r="F26" i="29" s="1"/>
  <c r="V20" i="19"/>
  <c r="Z20" i="19" s="1"/>
  <c r="E80" i="29"/>
  <c r="F80" i="29" s="1"/>
  <c r="V27" i="19"/>
  <c r="Z27" i="19" s="1"/>
  <c r="E31" i="29"/>
  <c r="F31" i="29" s="1"/>
  <c r="V24" i="19"/>
  <c r="Z24" i="19" s="1"/>
  <c r="E93" i="29"/>
  <c r="G93" i="29" s="1"/>
  <c r="V44" i="19"/>
  <c r="Z44" i="19" s="1"/>
  <c r="E83" i="29"/>
  <c r="F83" i="29" s="1"/>
  <c r="V42" i="19"/>
  <c r="Z42" i="19" s="1"/>
  <c r="E29" i="29"/>
  <c r="F29" i="29" s="1"/>
  <c r="V22" i="19"/>
  <c r="Z22" i="19" s="1"/>
  <c r="E32" i="29"/>
  <c r="F32" i="29" s="1"/>
  <c r="V25" i="19"/>
  <c r="Z25" i="19" s="1"/>
  <c r="V93" i="19"/>
  <c r="F139" i="28"/>
  <c r="V92" i="19"/>
  <c r="E98" i="29"/>
  <c r="G98" i="29" s="1"/>
  <c r="V45" i="19"/>
  <c r="Z45" i="19" s="1"/>
  <c r="E76" i="29"/>
  <c r="G76" i="29" s="1"/>
  <c r="V31" i="19"/>
  <c r="Z31" i="19" s="1"/>
  <c r="E78" i="29"/>
  <c r="F78" i="29" s="1"/>
  <c r="V41" i="19"/>
  <c r="Z41" i="19" s="1"/>
  <c r="E22" i="29"/>
  <c r="F22" i="29" s="1"/>
  <c r="V16" i="19"/>
  <c r="Z16" i="19" s="1"/>
  <c r="E87" i="29"/>
  <c r="G87" i="29" s="1"/>
  <c r="V38" i="19"/>
  <c r="Z38" i="19" s="1"/>
  <c r="E247" i="29"/>
  <c r="G247" i="29" s="1"/>
  <c r="V90" i="19"/>
  <c r="V95" i="19"/>
  <c r="Z95" i="19" s="1"/>
  <c r="E88" i="29"/>
  <c r="G88" i="29" s="1"/>
  <c r="V43" i="19"/>
  <c r="Z43" i="19" s="1"/>
  <c r="E95" i="29"/>
  <c r="G95" i="29" s="1"/>
  <c r="V30" i="19"/>
  <c r="Z30" i="19" s="1"/>
  <c r="E23" i="29"/>
  <c r="F23" i="29" s="1"/>
  <c r="V17" i="19"/>
  <c r="Z17" i="19" s="1"/>
  <c r="E25" i="29"/>
  <c r="G25" i="29" s="1"/>
  <c r="V19" i="19"/>
  <c r="Z19" i="19" s="1"/>
  <c r="E77" i="29"/>
  <c r="G77" i="29" s="1"/>
  <c r="V36" i="19"/>
  <c r="Z36" i="19" s="1"/>
  <c r="E86" i="29"/>
  <c r="G86" i="29" s="1"/>
  <c r="V33" i="19"/>
  <c r="Z33" i="19" s="1"/>
  <c r="E82" i="29"/>
  <c r="F82" i="29" s="1"/>
  <c r="V37" i="19"/>
  <c r="Z37" i="19" s="1"/>
  <c r="E24" i="29"/>
  <c r="G24" i="29" s="1"/>
  <c r="V18" i="19"/>
  <c r="Z18" i="19" s="1"/>
  <c r="G259" i="24"/>
  <c r="K259" i="24" s="1"/>
  <c r="V97" i="19"/>
  <c r="E81" i="29"/>
  <c r="F81" i="29" s="1"/>
  <c r="V32" i="19"/>
  <c r="Z32" i="19" s="1"/>
  <c r="E92" i="29"/>
  <c r="G92" i="29" s="1"/>
  <c r="V39" i="19"/>
  <c r="Z39" i="19" s="1"/>
  <c r="E91" i="29"/>
  <c r="F91" i="29" s="1"/>
  <c r="V34" i="19"/>
  <c r="Z34" i="19" s="1"/>
  <c r="E259" i="29"/>
  <c r="F259" i="29" s="1"/>
  <c r="V96" i="19"/>
  <c r="Z96" i="19" s="1"/>
  <c r="E75" i="29"/>
  <c r="G75" i="29" s="1"/>
  <c r="V26" i="19"/>
  <c r="Z26" i="19" s="1"/>
  <c r="E90" i="29"/>
  <c r="G90" i="29" s="1"/>
  <c r="V29" i="19"/>
  <c r="Z29" i="19" s="1"/>
  <c r="E96" i="29"/>
  <c r="F96" i="29" s="1"/>
  <c r="V35" i="19"/>
  <c r="Z35" i="19" s="1"/>
  <c r="R40" i="29"/>
  <c r="S264" i="29"/>
  <c r="S224" i="29"/>
  <c r="K125" i="29"/>
  <c r="K224" i="29"/>
  <c r="J311" i="29"/>
  <c r="J306" i="29"/>
  <c r="J325" i="29"/>
  <c r="J151" i="29"/>
  <c r="K124" i="29"/>
  <c r="J143" i="29"/>
  <c r="K122" i="29"/>
  <c r="J205" i="29"/>
  <c r="J216" i="29"/>
  <c r="J101" i="29"/>
  <c r="I81" i="29"/>
  <c r="J81" i="29" s="1"/>
  <c r="W32" i="19"/>
  <c r="O32" i="19" s="1"/>
  <c r="S32" i="19" s="1"/>
  <c r="I87" i="29"/>
  <c r="K87" i="29" s="1"/>
  <c r="W38" i="19"/>
  <c r="O38" i="19" s="1"/>
  <c r="S38" i="19" s="1"/>
  <c r="I249" i="29"/>
  <c r="J249" i="29" s="1"/>
  <c r="W91" i="19"/>
  <c r="O91" i="19" s="1"/>
  <c r="S91" i="19" s="1"/>
  <c r="J196" i="29"/>
  <c r="I253" i="29"/>
  <c r="J253" i="29" s="1"/>
  <c r="W93" i="19"/>
  <c r="O93" i="19" s="1"/>
  <c r="S93" i="19" s="1"/>
  <c r="I29" i="29"/>
  <c r="K29" i="29" s="1"/>
  <c r="W22" i="19"/>
  <c r="O22" i="19" s="1"/>
  <c r="S22" i="19" s="1"/>
  <c r="J338" i="29"/>
  <c r="I32" i="29"/>
  <c r="J32" i="29" s="1"/>
  <c r="W25" i="19"/>
  <c r="O25" i="19" s="1"/>
  <c r="S25" i="19" s="1"/>
  <c r="I75" i="29"/>
  <c r="K75" i="29" s="1"/>
  <c r="W26" i="19"/>
  <c r="O26" i="19" s="1"/>
  <c r="S26" i="19" s="1"/>
  <c r="K109" i="29"/>
  <c r="I95" i="29"/>
  <c r="K95" i="29" s="1"/>
  <c r="W30" i="19"/>
  <c r="O30" i="19" s="1"/>
  <c r="S30" i="19" s="1"/>
  <c r="K296" i="29"/>
  <c r="I257" i="29"/>
  <c r="J257" i="29" s="1"/>
  <c r="W95" i="19"/>
  <c r="O95" i="19" s="1"/>
  <c r="S95" i="19" s="1"/>
  <c r="I31" i="29"/>
  <c r="J31" i="29" s="1"/>
  <c r="W24" i="19"/>
  <c r="O24" i="19" s="1"/>
  <c r="S24" i="19" s="1"/>
  <c r="I80" i="29"/>
  <c r="J80" i="29" s="1"/>
  <c r="W27" i="19"/>
  <c r="O27" i="19" s="1"/>
  <c r="S27" i="19" s="1"/>
  <c r="I23" i="29"/>
  <c r="K23" i="29" s="1"/>
  <c r="W17" i="19"/>
  <c r="O17" i="19" s="1"/>
  <c r="S17" i="19" s="1"/>
  <c r="I30" i="29"/>
  <c r="J30" i="29" s="1"/>
  <c r="W23" i="19"/>
  <c r="O23" i="19" s="1"/>
  <c r="S23" i="19" s="1"/>
  <c r="I82" i="29"/>
  <c r="K82" i="29" s="1"/>
  <c r="W37" i="19"/>
  <c r="O37" i="19" s="1"/>
  <c r="S37" i="19" s="1"/>
  <c r="I98" i="29"/>
  <c r="K98" i="29" s="1"/>
  <c r="W45" i="19"/>
  <c r="O45" i="19" s="1"/>
  <c r="S45" i="19" s="1"/>
  <c r="I28" i="29"/>
  <c r="J28" i="29" s="1"/>
  <c r="W21" i="19"/>
  <c r="O21" i="19" s="1"/>
  <c r="S21" i="19" s="1"/>
  <c r="J150" i="29"/>
  <c r="I24" i="29"/>
  <c r="K24" i="29" s="1"/>
  <c r="W18" i="19"/>
  <c r="O18" i="19" s="1"/>
  <c r="S18" i="19" s="1"/>
  <c r="I93" i="29"/>
  <c r="J93" i="29" s="1"/>
  <c r="W44" i="19"/>
  <c r="O44" i="19" s="1"/>
  <c r="S44" i="19" s="1"/>
  <c r="I255" i="29"/>
  <c r="J255" i="29" s="1"/>
  <c r="W94" i="19"/>
  <c r="O94" i="19" s="1"/>
  <c r="S94" i="19" s="1"/>
  <c r="I97" i="29"/>
  <c r="J97" i="29" s="1"/>
  <c r="W40" i="19"/>
  <c r="O40" i="19" s="1"/>
  <c r="S40" i="19" s="1"/>
  <c r="I77" i="29"/>
  <c r="K77" i="29" s="1"/>
  <c r="W36" i="19"/>
  <c r="O36" i="19" s="1"/>
  <c r="S36" i="19" s="1"/>
  <c r="I259" i="29"/>
  <c r="K259" i="29" s="1"/>
  <c r="W96" i="19"/>
  <c r="O96" i="19" s="1"/>
  <c r="S96" i="19" s="1"/>
  <c r="I92" i="29"/>
  <c r="J92" i="29" s="1"/>
  <c r="W39" i="19"/>
  <c r="O39" i="19" s="1"/>
  <c r="S39" i="19" s="1"/>
  <c r="I261" i="29"/>
  <c r="J261" i="29" s="1"/>
  <c r="W97" i="19"/>
  <c r="O97" i="19" s="1"/>
  <c r="S97" i="19" s="1"/>
  <c r="I76" i="29"/>
  <c r="J76" i="29" s="1"/>
  <c r="W31" i="19"/>
  <c r="O31" i="19" s="1"/>
  <c r="S31" i="19" s="1"/>
  <c r="I83" i="29"/>
  <c r="K83" i="29" s="1"/>
  <c r="W42" i="19"/>
  <c r="O42" i="19" s="1"/>
  <c r="S42" i="19" s="1"/>
  <c r="I91" i="29"/>
  <c r="J91" i="29" s="1"/>
  <c r="W34" i="19"/>
  <c r="O34" i="19" s="1"/>
  <c r="S34" i="19" s="1"/>
  <c r="I96" i="29"/>
  <c r="K96" i="29" s="1"/>
  <c r="W35" i="19"/>
  <c r="O35" i="19" s="1"/>
  <c r="S35" i="19" s="1"/>
  <c r="I247" i="29"/>
  <c r="K247" i="29" s="1"/>
  <c r="W90" i="19"/>
  <c r="O90" i="19" s="1"/>
  <c r="S90" i="19" s="1"/>
  <c r="I88" i="29"/>
  <c r="K88" i="29" s="1"/>
  <c r="W43" i="19"/>
  <c r="O43" i="19" s="1"/>
  <c r="S43" i="19" s="1"/>
  <c r="K286" i="29"/>
  <c r="Q257" i="29"/>
  <c r="R257" i="29" s="1"/>
  <c r="Q95" i="19"/>
  <c r="U95" i="19" s="1"/>
  <c r="Q30" i="29"/>
  <c r="R30" i="29" s="1"/>
  <c r="Y23" i="19"/>
  <c r="Q23" i="19" s="1"/>
  <c r="U23" i="19" s="1"/>
  <c r="Q93" i="29"/>
  <c r="R93" i="29" s="1"/>
  <c r="Y44" i="19"/>
  <c r="Q44" i="19" s="1"/>
  <c r="U44" i="19" s="1"/>
  <c r="Q28" i="29"/>
  <c r="S28" i="29" s="1"/>
  <c r="Y21" i="19"/>
  <c r="Q21" i="19" s="1"/>
  <c r="U21" i="19" s="1"/>
  <c r="Q32" i="29"/>
  <c r="S32" i="29" s="1"/>
  <c r="Y25" i="19"/>
  <c r="Q25" i="19" s="1"/>
  <c r="U25" i="19" s="1"/>
  <c r="Q251" i="29"/>
  <c r="S251" i="29" s="1"/>
  <c r="Q92" i="19"/>
  <c r="U92" i="19" s="1"/>
  <c r="Q81" i="29"/>
  <c r="S81" i="29" s="1"/>
  <c r="Y32" i="19"/>
  <c r="Q32" i="19" s="1"/>
  <c r="U32" i="19" s="1"/>
  <c r="Q92" i="29"/>
  <c r="R92" i="29" s="1"/>
  <c r="Y39" i="19"/>
  <c r="Q39" i="19" s="1"/>
  <c r="U39" i="19" s="1"/>
  <c r="Q31" i="29"/>
  <c r="S31" i="29" s="1"/>
  <c r="Y24" i="19"/>
  <c r="Q24" i="19" s="1"/>
  <c r="U24" i="19" s="1"/>
  <c r="Q261" i="29"/>
  <c r="S261" i="29" s="1"/>
  <c r="Q97" i="19"/>
  <c r="U97" i="19" s="1"/>
  <c r="Q77" i="29"/>
  <c r="S77" i="29" s="1"/>
  <c r="Y36" i="19"/>
  <c r="Q36" i="19" s="1"/>
  <c r="U36" i="19" s="1"/>
  <c r="Q29" i="29"/>
  <c r="S29" i="29" s="1"/>
  <c r="Y22" i="19"/>
  <c r="Q22" i="19" s="1"/>
  <c r="U22" i="19" s="1"/>
  <c r="Q82" i="29"/>
  <c r="S82" i="29" s="1"/>
  <c r="Y37" i="19"/>
  <c r="Q37" i="19" s="1"/>
  <c r="U37" i="19" s="1"/>
  <c r="Y35" i="19"/>
  <c r="Q35" i="19" s="1"/>
  <c r="U35" i="19" s="1"/>
  <c r="Q253" i="29"/>
  <c r="S253" i="29" s="1"/>
  <c r="Q93" i="19"/>
  <c r="U93" i="19" s="1"/>
  <c r="S234" i="29"/>
  <c r="Q78" i="29"/>
  <c r="R78" i="29" s="1"/>
  <c r="Y41" i="19"/>
  <c r="Q41" i="19" s="1"/>
  <c r="U41" i="19" s="1"/>
  <c r="Q76" i="29"/>
  <c r="R76" i="29" s="1"/>
  <c r="Y31" i="19"/>
  <c r="Q31" i="19" s="1"/>
  <c r="U31" i="19" s="1"/>
  <c r="Q247" i="29"/>
  <c r="S247" i="29" s="1"/>
  <c r="Q90" i="19"/>
  <c r="U90" i="19" s="1"/>
  <c r="Q86" i="29"/>
  <c r="S86" i="29" s="1"/>
  <c r="Y33" i="19"/>
  <c r="Q33" i="19" s="1"/>
  <c r="U33" i="19" s="1"/>
  <c r="Q91" i="29"/>
  <c r="R91" i="29" s="1"/>
  <c r="Y34" i="19"/>
  <c r="Q34" i="19" s="1"/>
  <c r="U34" i="19" s="1"/>
  <c r="Q23" i="29"/>
  <c r="S23" i="29" s="1"/>
  <c r="Y17" i="19"/>
  <c r="Q17" i="19" s="1"/>
  <c r="U17" i="19" s="1"/>
  <c r="Q87" i="29"/>
  <c r="S87" i="29" s="1"/>
  <c r="Y38" i="19"/>
  <c r="Q38" i="19" s="1"/>
  <c r="U38" i="19" s="1"/>
  <c r="Q24" i="29"/>
  <c r="S24" i="29" s="1"/>
  <c r="Y18" i="19"/>
  <c r="Q18" i="19" s="1"/>
  <c r="U18" i="19" s="1"/>
  <c r="S38" i="29"/>
  <c r="Q255" i="29"/>
  <c r="S255" i="29" s="1"/>
  <c r="Q94" i="19"/>
  <c r="U94" i="19" s="1"/>
  <c r="Q22" i="29"/>
  <c r="R22" i="29" s="1"/>
  <c r="Y16" i="19"/>
  <c r="Q16" i="19" s="1"/>
  <c r="U16" i="19" s="1"/>
  <c r="Q75" i="29"/>
  <c r="R75" i="29" s="1"/>
  <c r="Y26" i="19"/>
  <c r="Q26" i="19" s="1"/>
  <c r="U26" i="19" s="1"/>
  <c r="Q96" i="19"/>
  <c r="U96" i="19" s="1"/>
  <c r="Q90" i="29"/>
  <c r="R90" i="29" s="1"/>
  <c r="Y29" i="19"/>
  <c r="Q98" i="29"/>
  <c r="S98" i="29" s="1"/>
  <c r="Y45" i="19"/>
  <c r="Q45" i="19" s="1"/>
  <c r="U45" i="19" s="1"/>
  <c r="I96" i="28"/>
  <c r="Y27" i="19"/>
  <c r="Q27" i="19" s="1"/>
  <c r="U27" i="19" s="1"/>
  <c r="Q97" i="29"/>
  <c r="S97" i="29" s="1"/>
  <c r="Y40" i="19"/>
  <c r="Q40" i="19" s="1"/>
  <c r="U40" i="19" s="1"/>
  <c r="Q95" i="29"/>
  <c r="S95" i="29" s="1"/>
  <c r="Y30" i="19"/>
  <c r="Q30" i="19" s="1"/>
  <c r="U30" i="19" s="1"/>
  <c r="N72" i="29"/>
  <c r="N172" i="29"/>
  <c r="I29" i="24"/>
  <c r="M29" i="24" s="1"/>
  <c r="X25" i="19"/>
  <c r="P25" i="19" s="1"/>
  <c r="T25" i="19" s="1"/>
  <c r="M96" i="29"/>
  <c r="N96" i="29" s="1"/>
  <c r="X35" i="19"/>
  <c r="P35" i="19" s="1"/>
  <c r="T35" i="19" s="1"/>
  <c r="M28" i="29"/>
  <c r="N28" i="29" s="1"/>
  <c r="X21" i="19"/>
  <c r="P21" i="19" s="1"/>
  <c r="T21" i="19" s="1"/>
  <c r="M30" i="29"/>
  <c r="O30" i="29" s="1"/>
  <c r="X23" i="19"/>
  <c r="P23" i="19" s="1"/>
  <c r="T23" i="19" s="1"/>
  <c r="M80" i="29"/>
  <c r="N80" i="29" s="1"/>
  <c r="X27" i="19"/>
  <c r="P27" i="19" s="1"/>
  <c r="T27" i="19" s="1"/>
  <c r="M29" i="29"/>
  <c r="N29" i="29" s="1"/>
  <c r="X22" i="19"/>
  <c r="P22" i="19" s="1"/>
  <c r="T22" i="19" s="1"/>
  <c r="O243" i="29"/>
  <c r="M78" i="29"/>
  <c r="O78" i="29" s="1"/>
  <c r="X41" i="19"/>
  <c r="P41" i="19" s="1"/>
  <c r="T41" i="19" s="1"/>
  <c r="M93" i="29"/>
  <c r="O93" i="29" s="1"/>
  <c r="X44" i="19"/>
  <c r="P44" i="19" s="1"/>
  <c r="T44" i="19" s="1"/>
  <c r="M77" i="29"/>
  <c r="O77" i="29" s="1"/>
  <c r="X36" i="19"/>
  <c r="P36" i="19" s="1"/>
  <c r="T36" i="19" s="1"/>
  <c r="M81" i="29"/>
  <c r="N81" i="29" s="1"/>
  <c r="X32" i="19"/>
  <c r="P32" i="19" s="1"/>
  <c r="T32" i="19" s="1"/>
  <c r="N122" i="29"/>
  <c r="M76" i="29"/>
  <c r="N76" i="29" s="1"/>
  <c r="X31" i="19"/>
  <c r="P31" i="19" s="1"/>
  <c r="T31" i="19" s="1"/>
  <c r="M247" i="29"/>
  <c r="O247" i="29" s="1"/>
  <c r="X90" i="19"/>
  <c r="P90" i="19" s="1"/>
  <c r="T90" i="19" s="1"/>
  <c r="M98" i="29"/>
  <c r="N98" i="29" s="1"/>
  <c r="X45" i="19"/>
  <c r="P45" i="19" s="1"/>
  <c r="T45" i="19" s="1"/>
  <c r="M82" i="29"/>
  <c r="O82" i="29" s="1"/>
  <c r="X37" i="19"/>
  <c r="P37" i="19" s="1"/>
  <c r="T37" i="19" s="1"/>
  <c r="M83" i="29"/>
  <c r="O83" i="29" s="1"/>
  <c r="X42" i="19"/>
  <c r="P42" i="19" s="1"/>
  <c r="T42" i="19" s="1"/>
  <c r="N284" i="29"/>
  <c r="M92" i="29"/>
  <c r="O92" i="29" s="1"/>
  <c r="X39" i="19"/>
  <c r="P39" i="19" s="1"/>
  <c r="T39" i="19" s="1"/>
  <c r="M88" i="29"/>
  <c r="O88" i="29" s="1"/>
  <c r="X43" i="19"/>
  <c r="P43" i="19" s="1"/>
  <c r="T43" i="19" s="1"/>
  <c r="H111" i="28"/>
  <c r="X30" i="19"/>
  <c r="P30" i="19" s="1"/>
  <c r="T30" i="19" s="1"/>
  <c r="X38" i="19"/>
  <c r="P38" i="19" s="1"/>
  <c r="T38" i="19" s="1"/>
  <c r="M91" i="29"/>
  <c r="N91" i="29" s="1"/>
  <c r="X34" i="19"/>
  <c r="P34" i="19" s="1"/>
  <c r="T34" i="19" s="1"/>
  <c r="N324" i="29"/>
  <c r="H102" i="28"/>
  <c r="X33" i="19"/>
  <c r="P33" i="19" s="1"/>
  <c r="T33" i="19" s="1"/>
  <c r="H160" i="28"/>
  <c r="X24" i="19"/>
  <c r="P24" i="19" s="1"/>
  <c r="T24" i="19" s="1"/>
  <c r="O312" i="29"/>
  <c r="N13" i="29"/>
  <c r="M24" i="29"/>
  <c r="O24" i="29" s="1"/>
  <c r="X18" i="19"/>
  <c r="P18" i="19" s="1"/>
  <c r="T18" i="19" s="1"/>
  <c r="M257" i="29"/>
  <c r="N257" i="29" s="1"/>
  <c r="X95" i="19"/>
  <c r="P95" i="19" s="1"/>
  <c r="T95" i="19" s="1"/>
  <c r="M23" i="29"/>
  <c r="O23" i="29" s="1"/>
  <c r="X17" i="19"/>
  <c r="P17" i="19" s="1"/>
  <c r="T17" i="19" s="1"/>
  <c r="M97" i="29"/>
  <c r="O97" i="29" s="1"/>
  <c r="X40" i="19"/>
  <c r="P40" i="19" s="1"/>
  <c r="T40" i="19" s="1"/>
  <c r="X28" i="19"/>
  <c r="P28" i="19" s="1"/>
  <c r="T28" i="19" s="1"/>
  <c r="M22" i="29"/>
  <c r="O22" i="29" s="1"/>
  <c r="X16" i="19"/>
  <c r="P16" i="19" s="1"/>
  <c r="T16" i="19" s="1"/>
  <c r="N173" i="29"/>
  <c r="N212" i="29"/>
  <c r="N200" i="29"/>
  <c r="G207" i="29"/>
  <c r="F44" i="29"/>
  <c r="H113" i="28"/>
  <c r="O163" i="29"/>
  <c r="O237" i="29"/>
  <c r="F280" i="29"/>
  <c r="J314" i="29"/>
  <c r="S286" i="29"/>
  <c r="O325" i="29"/>
  <c r="O268" i="29"/>
  <c r="F339" i="29"/>
  <c r="G200" i="29"/>
  <c r="F292" i="29"/>
  <c r="K106" i="29"/>
  <c r="N125" i="29"/>
  <c r="J303" i="29"/>
  <c r="K178" i="29"/>
  <c r="F54" i="29"/>
  <c r="K280" i="29"/>
  <c r="O12" i="29"/>
  <c r="K339" i="29"/>
  <c r="R133" i="29"/>
  <c r="K234" i="29"/>
  <c r="K11" i="29"/>
  <c r="N228" i="29"/>
  <c r="G268" i="29"/>
  <c r="K200" i="29"/>
  <c r="G312" i="29"/>
  <c r="F9" i="29"/>
  <c r="F43" i="29"/>
  <c r="G275" i="29"/>
  <c r="G47" i="29"/>
  <c r="L124" i="28"/>
  <c r="F271" i="29"/>
  <c r="G313" i="29"/>
  <c r="F165" i="28"/>
  <c r="F205" i="29"/>
  <c r="G278" i="29"/>
  <c r="F221" i="29"/>
  <c r="F187" i="29"/>
  <c r="F202" i="29"/>
  <c r="G276" i="29"/>
  <c r="G215" i="29"/>
  <c r="G211" i="29"/>
  <c r="F154" i="29"/>
  <c r="G302" i="29"/>
  <c r="F306" i="29"/>
  <c r="F225" i="29"/>
  <c r="G151" i="29"/>
  <c r="I92" i="24"/>
  <c r="M92" i="24" s="1"/>
  <c r="H247" i="28"/>
  <c r="R314" i="29"/>
  <c r="H104" i="24"/>
  <c r="L104" i="24" s="1"/>
  <c r="G206" i="28"/>
  <c r="F64" i="29"/>
  <c r="F27" i="29"/>
  <c r="G197" i="29"/>
  <c r="N307" i="29"/>
  <c r="J292" i="29"/>
  <c r="G336" i="29"/>
  <c r="G199" i="29"/>
  <c r="G46" i="29"/>
  <c r="J295" i="29"/>
  <c r="G218" i="29"/>
  <c r="J9" i="29"/>
  <c r="O227" i="29"/>
  <c r="F53" i="29"/>
  <c r="F139" i="29"/>
  <c r="R306" i="29"/>
  <c r="G262" i="29"/>
  <c r="F323" i="29"/>
  <c r="G245" i="29"/>
  <c r="F19" i="29"/>
  <c r="S17" i="29"/>
  <c r="R221" i="29"/>
  <c r="F17" i="29"/>
  <c r="F176" i="29"/>
  <c r="J118" i="29"/>
  <c r="F295" i="29"/>
  <c r="G5" i="29"/>
  <c r="G33" i="24"/>
  <c r="K33" i="24" s="1"/>
  <c r="G264" i="29"/>
  <c r="G334" i="29"/>
  <c r="J172" i="29"/>
  <c r="F214" i="29"/>
  <c r="S11" i="29"/>
  <c r="G187" i="24"/>
  <c r="K187" i="24" s="1"/>
  <c r="O323" i="29"/>
  <c r="G232" i="29"/>
  <c r="J176" i="29"/>
  <c r="G287" i="29"/>
  <c r="F161" i="28"/>
  <c r="F68" i="29"/>
  <c r="G70" i="29"/>
  <c r="K313" i="29"/>
  <c r="F285" i="29"/>
  <c r="F237" i="29"/>
  <c r="O10" i="29"/>
  <c r="R337" i="29"/>
  <c r="J102" i="29"/>
  <c r="F126" i="29"/>
  <c r="K148" i="29"/>
  <c r="J231" i="29"/>
  <c r="K312" i="29"/>
  <c r="F242" i="29"/>
  <c r="K213" i="29"/>
  <c r="F241" i="29"/>
  <c r="AK91" i="19"/>
  <c r="K284" i="29"/>
  <c r="O293" i="29"/>
  <c r="H36" i="28"/>
  <c r="G128" i="29"/>
  <c r="G148" i="28"/>
  <c r="L30" i="28"/>
  <c r="F66" i="29"/>
  <c r="K211" i="29"/>
  <c r="G44" i="24"/>
  <c r="K44" i="24" s="1"/>
  <c r="F56" i="29"/>
  <c r="F314" i="29"/>
  <c r="G300" i="29"/>
  <c r="G231" i="29"/>
  <c r="H210" i="28"/>
  <c r="I166" i="24"/>
  <c r="M166" i="24" s="1"/>
  <c r="N70" i="29"/>
  <c r="R277" i="29"/>
  <c r="K218" i="29"/>
  <c r="G129" i="24"/>
  <c r="K129" i="24" s="1"/>
  <c r="N15" i="28"/>
  <c r="S9" i="29"/>
  <c r="R187" i="29"/>
  <c r="R35" i="29"/>
  <c r="N110" i="19"/>
  <c r="R110" i="19" s="1"/>
  <c r="M95" i="29"/>
  <c r="O95" i="29" s="1"/>
  <c r="F163" i="28"/>
  <c r="K205" i="29"/>
  <c r="H186" i="28"/>
  <c r="G189" i="28"/>
  <c r="M67" i="28"/>
  <c r="H190" i="24"/>
  <c r="L190" i="24" s="1"/>
  <c r="G84" i="28"/>
  <c r="F193" i="28"/>
  <c r="G137" i="24"/>
  <c r="K137" i="24" s="1"/>
  <c r="O221" i="29"/>
  <c r="AL110" i="19"/>
  <c r="F164" i="28"/>
  <c r="J124" i="28"/>
  <c r="H33" i="28"/>
  <c r="I108" i="24"/>
  <c r="M108" i="24" s="1"/>
  <c r="G40" i="28"/>
  <c r="G50" i="28"/>
  <c r="I169" i="24"/>
  <c r="M169" i="24" s="1"/>
  <c r="F176" i="28"/>
  <c r="L253" i="28"/>
  <c r="N240" i="29"/>
  <c r="G172" i="24"/>
  <c r="K172" i="24" s="1"/>
  <c r="N67" i="28"/>
  <c r="O239" i="29"/>
  <c r="O11" i="29"/>
  <c r="I109" i="24"/>
  <c r="M109" i="24" s="1"/>
  <c r="J254" i="28"/>
  <c r="N331" i="29"/>
  <c r="G176" i="29"/>
  <c r="S330" i="29"/>
  <c r="R303" i="29"/>
  <c r="K292" i="29"/>
  <c r="S302" i="29"/>
  <c r="G192" i="28"/>
  <c r="R331" i="29"/>
  <c r="G218" i="28"/>
  <c r="H136" i="24"/>
  <c r="L136" i="24" s="1"/>
  <c r="H103" i="24"/>
  <c r="L103" i="24" s="1"/>
  <c r="R231" i="29"/>
  <c r="AI110" i="19"/>
  <c r="O59" i="29"/>
  <c r="J171" i="24"/>
  <c r="N171" i="24" s="1"/>
  <c r="S292" i="29"/>
  <c r="I54" i="24"/>
  <c r="M54" i="24" s="1"/>
  <c r="F188" i="28"/>
  <c r="N337" i="29"/>
  <c r="N287" i="29"/>
  <c r="I156" i="24"/>
  <c r="M156" i="24" s="1"/>
  <c r="O295" i="29"/>
  <c r="O19" i="29"/>
  <c r="S6" i="29"/>
  <c r="S199" i="29"/>
  <c r="G32" i="24"/>
  <c r="K32" i="24" s="1"/>
  <c r="G153" i="28"/>
  <c r="G179" i="28"/>
  <c r="N57" i="29"/>
  <c r="AI109" i="19"/>
  <c r="J170" i="24"/>
  <c r="N170" i="24" s="1"/>
  <c r="F56" i="28"/>
  <c r="K214" i="29"/>
  <c r="G188" i="28"/>
  <c r="I75" i="28"/>
  <c r="N265" i="29"/>
  <c r="O8" i="29"/>
  <c r="G186" i="29"/>
  <c r="S68" i="29"/>
  <c r="G213" i="28"/>
  <c r="G198" i="28"/>
  <c r="H56" i="24"/>
  <c r="L56" i="24" s="1"/>
  <c r="I76" i="24"/>
  <c r="M76" i="24" s="1"/>
  <c r="G153" i="24"/>
  <c r="K153" i="24" s="1"/>
  <c r="N202" i="29"/>
  <c r="S312" i="29"/>
  <c r="S18" i="29"/>
  <c r="G9" i="29"/>
  <c r="N276" i="29"/>
  <c r="O228" i="29"/>
  <c r="H129" i="24"/>
  <c r="L129" i="24" s="1"/>
  <c r="K130" i="28"/>
  <c r="K122" i="28"/>
  <c r="R94" i="29"/>
  <c r="N264" i="29"/>
  <c r="H95" i="28"/>
  <c r="O95" i="28" s="1"/>
  <c r="G195" i="28"/>
  <c r="I39" i="28"/>
  <c r="G161" i="28"/>
  <c r="R287" i="29"/>
  <c r="S218" i="29"/>
  <c r="K281" i="29"/>
  <c r="R16" i="29"/>
  <c r="G67" i="24"/>
  <c r="K67" i="24" s="1"/>
  <c r="J202" i="29"/>
  <c r="J263" i="29"/>
  <c r="N51" i="29"/>
  <c r="H50" i="24"/>
  <c r="L50" i="24" s="1"/>
  <c r="G66" i="24"/>
  <c r="K66" i="24" s="1"/>
  <c r="H212" i="28"/>
  <c r="G214" i="29"/>
  <c r="K221" i="29"/>
  <c r="J214" i="29"/>
  <c r="J106" i="29"/>
  <c r="J279" i="29"/>
  <c r="J37" i="29"/>
  <c r="R46" i="29"/>
  <c r="O199" i="29"/>
  <c r="K329" i="29"/>
  <c r="F47" i="29"/>
  <c r="E249" i="29"/>
  <c r="F249" i="29" s="1"/>
  <c r="I85" i="28"/>
  <c r="O85" i="28" s="1"/>
  <c r="O28" i="28"/>
  <c r="F226" i="28"/>
  <c r="S128" i="29"/>
  <c r="K336" i="29"/>
  <c r="J15" i="29"/>
  <c r="N60" i="29"/>
  <c r="G160" i="24"/>
  <c r="K160" i="24" s="1"/>
  <c r="S45" i="29"/>
  <c r="K330" i="29"/>
  <c r="K19" i="29"/>
  <c r="S325" i="29"/>
  <c r="H170" i="24"/>
  <c r="L170" i="24" s="1"/>
  <c r="H235" i="28"/>
  <c r="H246" i="28"/>
  <c r="F160" i="28"/>
  <c r="O205" i="29"/>
  <c r="R295" i="29"/>
  <c r="S43" i="29"/>
  <c r="J323" i="29"/>
  <c r="J293" i="29"/>
  <c r="J14" i="29"/>
  <c r="N231" i="29"/>
  <c r="R328" i="29"/>
  <c r="I144" i="24"/>
  <c r="M144" i="24" s="1"/>
  <c r="G106" i="24"/>
  <c r="K106" i="24" s="1"/>
  <c r="L123" i="28"/>
  <c r="G168" i="28"/>
  <c r="K215" i="29"/>
  <c r="G249" i="24"/>
  <c r="K249" i="24" s="1"/>
  <c r="N14" i="29"/>
  <c r="R139" i="29"/>
  <c r="I238" i="28"/>
  <c r="Q110" i="19"/>
  <c r="U110" i="19" s="1"/>
  <c r="S237" i="29"/>
  <c r="I108" i="28"/>
  <c r="I204" i="28"/>
  <c r="R205" i="29"/>
  <c r="I92" i="28"/>
  <c r="I232" i="28"/>
  <c r="S328" i="29"/>
  <c r="R322" i="29"/>
  <c r="S10" i="29"/>
  <c r="I194" i="28"/>
  <c r="S336" i="29"/>
  <c r="R326" i="29"/>
  <c r="I241" i="28"/>
  <c r="R130" i="29"/>
  <c r="R263" i="29"/>
  <c r="R309" i="29"/>
  <c r="J250" i="24"/>
  <c r="N250" i="24" s="1"/>
  <c r="S223" i="29"/>
  <c r="J62" i="24"/>
  <c r="N62" i="24" s="1"/>
  <c r="R202" i="29"/>
  <c r="N59" i="28"/>
  <c r="Q249" i="29"/>
  <c r="S249" i="29" s="1"/>
  <c r="I195" i="28"/>
  <c r="O209" i="29"/>
  <c r="M249" i="29"/>
  <c r="N249" i="29" s="1"/>
  <c r="O318" i="29"/>
  <c r="O102" i="29"/>
  <c r="O51" i="29"/>
  <c r="H52" i="28"/>
  <c r="M52" i="28" s="1"/>
  <c r="H161" i="28"/>
  <c r="O336" i="29"/>
  <c r="N216" i="29"/>
  <c r="N338" i="29"/>
  <c r="K66" i="28"/>
  <c r="O18" i="29"/>
  <c r="N142" i="29"/>
  <c r="M253" i="29"/>
  <c r="N253" i="29" s="1"/>
  <c r="I81" i="24"/>
  <c r="M81" i="24" s="1"/>
  <c r="O164" i="29"/>
  <c r="N313" i="29"/>
  <c r="M147" i="29"/>
  <c r="N147" i="29" s="1"/>
  <c r="N11" i="29"/>
  <c r="H39" i="28"/>
  <c r="N328" i="29"/>
  <c r="O241" i="29"/>
  <c r="O6" i="29"/>
  <c r="H81" i="28"/>
  <c r="M81" i="28" s="1"/>
  <c r="I30" i="24"/>
  <c r="M30" i="24" s="1"/>
  <c r="I125" i="24"/>
  <c r="M125" i="24" s="1"/>
  <c r="I126" i="24"/>
  <c r="M126" i="24" s="1"/>
  <c r="N312" i="29"/>
  <c r="O280" i="29"/>
  <c r="N41" i="29"/>
  <c r="O212" i="29"/>
  <c r="N333" i="29"/>
  <c r="N325" i="29"/>
  <c r="O167" i="29"/>
  <c r="I163" i="24"/>
  <c r="M163" i="24" s="1"/>
  <c r="M251" i="29"/>
  <c r="N251" i="29" s="1"/>
  <c r="I110" i="24"/>
  <c r="M110" i="24" s="1"/>
  <c r="O5" i="29"/>
  <c r="N227" i="29"/>
  <c r="O150" i="29"/>
  <c r="O15" i="29"/>
  <c r="AJ54" i="19"/>
  <c r="AD54" i="19"/>
  <c r="AG54" i="19"/>
  <c r="AE54" i="19"/>
  <c r="AF54" i="19"/>
  <c r="AG88" i="19"/>
  <c r="AE88" i="19"/>
  <c r="AF88" i="19"/>
  <c r="AJ88" i="19"/>
  <c r="AD88" i="19"/>
  <c r="AG83" i="19"/>
  <c r="AJ83" i="19"/>
  <c r="AE83" i="19"/>
  <c r="AD83" i="19"/>
  <c r="AF83" i="19"/>
  <c r="AJ55" i="19"/>
  <c r="AD55" i="19"/>
  <c r="AE55" i="19"/>
  <c r="AG55" i="19"/>
  <c r="AF55" i="19"/>
  <c r="AJ89" i="19"/>
  <c r="AG89" i="19"/>
  <c r="AE89" i="19"/>
  <c r="AF89" i="19"/>
  <c r="AD89" i="19"/>
  <c r="AJ13" i="19"/>
  <c r="AD13" i="19"/>
  <c r="AG13" i="19"/>
  <c r="AF13" i="19"/>
  <c r="AE13" i="19"/>
  <c r="AG36" i="19"/>
  <c r="AD36" i="19"/>
  <c r="AJ36" i="19"/>
  <c r="AE36" i="19"/>
  <c r="AF36" i="19"/>
  <c r="AG49" i="19"/>
  <c r="AF49" i="19"/>
  <c r="AE49" i="19"/>
  <c r="AD49" i="19"/>
  <c r="Q49" i="19"/>
  <c r="U49" i="19" s="1"/>
  <c r="AJ49" i="19"/>
  <c r="AJ8" i="19"/>
  <c r="AG8" i="19"/>
  <c r="AF8" i="19"/>
  <c r="AD8" i="19"/>
  <c r="AE8" i="19"/>
  <c r="N94" i="19"/>
  <c r="R94" i="19" s="1"/>
  <c r="AH93" i="19"/>
  <c r="AL94" i="19"/>
  <c r="AK94" i="19"/>
  <c r="AG19" i="19"/>
  <c r="AF19" i="19"/>
  <c r="AE19" i="19"/>
  <c r="AD19" i="19"/>
  <c r="AJ19" i="19"/>
  <c r="AJ42" i="19"/>
  <c r="AG42" i="19"/>
  <c r="AE42" i="19"/>
  <c r="AF42" i="19"/>
  <c r="AD42" i="19"/>
  <c r="AG26" i="19"/>
  <c r="AF26" i="19"/>
  <c r="AD26" i="19"/>
  <c r="AJ26" i="19"/>
  <c r="AE26" i="19"/>
  <c r="AJ56" i="19"/>
  <c r="AD56" i="19"/>
  <c r="AE56" i="19"/>
  <c r="AF56" i="19"/>
  <c r="Q56" i="19"/>
  <c r="U56" i="19" s="1"/>
  <c r="AG56" i="19"/>
  <c r="AJ74" i="19"/>
  <c r="AF74" i="19"/>
  <c r="AD74" i="19"/>
  <c r="AG74" i="19"/>
  <c r="AE74" i="19"/>
  <c r="AJ14" i="19"/>
  <c r="AG14" i="19"/>
  <c r="AF14" i="19"/>
  <c r="AD14" i="19"/>
  <c r="AE14" i="19"/>
  <c r="AG37" i="19"/>
  <c r="AJ37" i="19"/>
  <c r="AE37" i="19"/>
  <c r="AF37" i="19"/>
  <c r="AD37" i="19"/>
  <c r="AG68" i="19"/>
  <c r="AE68" i="19"/>
  <c r="AD68" i="19"/>
  <c r="AF68" i="19"/>
  <c r="AJ68" i="19"/>
  <c r="AG50" i="19"/>
  <c r="AF50" i="19"/>
  <c r="AE50" i="19"/>
  <c r="AD50" i="19"/>
  <c r="AJ50" i="19"/>
  <c r="AJ85" i="19"/>
  <c r="AE85" i="19"/>
  <c r="AD85" i="19"/>
  <c r="AF85" i="19"/>
  <c r="AG85" i="19"/>
  <c r="Q85" i="19"/>
  <c r="U85" i="19" s="1"/>
  <c r="AK96" i="19"/>
  <c r="AF35" i="19"/>
  <c r="AE35" i="19"/>
  <c r="AG35" i="19"/>
  <c r="AD35" i="19"/>
  <c r="AJ35" i="19"/>
  <c r="AJ23" i="19"/>
  <c r="AE23" i="19"/>
  <c r="AF23" i="19"/>
  <c r="AG23" i="19"/>
  <c r="AD23" i="19"/>
  <c r="AJ32" i="19"/>
  <c r="AG32" i="19"/>
  <c r="AD32" i="19"/>
  <c r="AF32" i="19"/>
  <c r="AE32" i="19"/>
  <c r="AJ63" i="19"/>
  <c r="AF63" i="19"/>
  <c r="AD63" i="19"/>
  <c r="AG63" i="19"/>
  <c r="AE63" i="19"/>
  <c r="AJ80" i="19"/>
  <c r="AE80" i="19"/>
  <c r="AG80" i="19"/>
  <c r="AF80" i="19"/>
  <c r="AD80" i="19"/>
  <c r="AH94" i="19"/>
  <c r="AF20" i="19"/>
  <c r="AE20" i="19"/>
  <c r="AJ20" i="19"/>
  <c r="AD20" i="19"/>
  <c r="AG20" i="19"/>
  <c r="AJ43" i="19"/>
  <c r="AF43" i="19"/>
  <c r="AG43" i="19"/>
  <c r="AE43" i="19"/>
  <c r="AD43" i="19"/>
  <c r="AG27" i="19"/>
  <c r="AF27" i="19"/>
  <c r="AE27" i="19"/>
  <c r="AD27" i="19"/>
  <c r="AJ27" i="19"/>
  <c r="AJ57" i="19"/>
  <c r="AG57" i="19"/>
  <c r="AE57" i="19"/>
  <c r="AF57" i="19"/>
  <c r="AD57" i="19"/>
  <c r="AJ75" i="19"/>
  <c r="AF75" i="19"/>
  <c r="AD75" i="19"/>
  <c r="AE75" i="19"/>
  <c r="AG75" i="19"/>
  <c r="AH90" i="19"/>
  <c r="AK92" i="19"/>
  <c r="AJ40" i="19"/>
  <c r="AE40" i="19"/>
  <c r="AD40" i="19"/>
  <c r="AF40" i="19"/>
  <c r="AG40" i="19"/>
  <c r="AG66" i="19"/>
  <c r="AF66" i="19"/>
  <c r="AJ66" i="19"/>
  <c r="AD66" i="19"/>
  <c r="AE66" i="19"/>
  <c r="AG7" i="19"/>
  <c r="AF7" i="19"/>
  <c r="W7" i="19"/>
  <c r="O7" i="19" s="1"/>
  <c r="S7" i="19" s="1"/>
  <c r="AD7" i="19"/>
  <c r="AJ7" i="19"/>
  <c r="X7" i="19"/>
  <c r="P7" i="19" s="1"/>
  <c r="Y7" i="19"/>
  <c r="Q7" i="19" s="1"/>
  <c r="U7" i="19" s="1"/>
  <c r="AE7" i="19"/>
  <c r="AG67" i="19"/>
  <c r="AE67" i="19"/>
  <c r="AD67" i="19"/>
  <c r="AF67" i="19"/>
  <c r="AJ67" i="19"/>
  <c r="AH96" i="19"/>
  <c r="AJ61" i="19"/>
  <c r="AG61" i="19"/>
  <c r="AE61" i="19"/>
  <c r="AD61" i="19"/>
  <c r="AF61" i="19"/>
  <c r="AJ79" i="19"/>
  <c r="AE79" i="19"/>
  <c r="AD79" i="19"/>
  <c r="AG79" i="19"/>
  <c r="AF79" i="19"/>
  <c r="AJ25" i="19"/>
  <c r="AF25" i="19"/>
  <c r="AG25" i="19"/>
  <c r="AD25" i="19"/>
  <c r="AE25" i="19"/>
  <c r="AJ9" i="19"/>
  <c r="AG9" i="19"/>
  <c r="AD9" i="19"/>
  <c r="AE9" i="19"/>
  <c r="AF9" i="19"/>
  <c r="AD15" i="19"/>
  <c r="AF15" i="19"/>
  <c r="AG15" i="19"/>
  <c r="AJ15" i="19"/>
  <c r="AE15" i="19"/>
  <c r="AJ38" i="19"/>
  <c r="AD38" i="19"/>
  <c r="AE38" i="19"/>
  <c r="AG38" i="19"/>
  <c r="AF38" i="19"/>
  <c r="AE69" i="19"/>
  <c r="AD69" i="19"/>
  <c r="AF69" i="19"/>
  <c r="AG69" i="19"/>
  <c r="AJ69" i="19"/>
  <c r="AG52" i="19"/>
  <c r="AF52" i="19"/>
  <c r="AE52" i="19"/>
  <c r="AD52" i="19"/>
  <c r="AJ52" i="19"/>
  <c r="AF86" i="19"/>
  <c r="AG86" i="19"/>
  <c r="Q86" i="19"/>
  <c r="U86" i="19" s="1"/>
  <c r="AD86" i="19"/>
  <c r="AE86" i="19"/>
  <c r="AJ86" i="19"/>
  <c r="AG10" i="19"/>
  <c r="AJ10" i="19"/>
  <c r="AD10" i="19"/>
  <c r="AF10" i="19"/>
  <c r="AE10" i="19"/>
  <c r="AG33" i="19"/>
  <c r="AJ33" i="19"/>
  <c r="AF33" i="19"/>
  <c r="AE33" i="19"/>
  <c r="AD33" i="19"/>
  <c r="AJ64" i="19"/>
  <c r="AD64" i="19"/>
  <c r="AF64" i="19"/>
  <c r="AE64" i="19"/>
  <c r="AG64" i="19"/>
  <c r="AG81" i="19"/>
  <c r="AF81" i="19"/>
  <c r="AJ81" i="19"/>
  <c r="AE81" i="19"/>
  <c r="AD81" i="19"/>
  <c r="AJ179" i="19"/>
  <c r="AF179" i="19"/>
  <c r="AE179" i="19"/>
  <c r="AD179" i="19"/>
  <c r="AG179" i="19"/>
  <c r="AH97" i="19"/>
  <c r="AG71" i="19"/>
  <c r="AJ71" i="19"/>
  <c r="AF71" i="19"/>
  <c r="AD71" i="19"/>
  <c r="AE71" i="19"/>
  <c r="AG48" i="19"/>
  <c r="AF48" i="19"/>
  <c r="AD48" i="19"/>
  <c r="AE48" i="19"/>
  <c r="AJ48" i="19"/>
  <c r="AJ60" i="19"/>
  <c r="Q60" i="19"/>
  <c r="U60" i="19" s="1"/>
  <c r="AG60" i="19"/>
  <c r="AE60" i="19"/>
  <c r="AD60" i="19"/>
  <c r="AF60" i="19"/>
  <c r="AJ78" i="19"/>
  <c r="AD78" i="19"/>
  <c r="AE78" i="19"/>
  <c r="Q78" i="19"/>
  <c r="U78" i="19" s="1"/>
  <c r="AF78" i="19"/>
  <c r="AG78" i="19"/>
  <c r="AG72" i="19"/>
  <c r="AJ72" i="19"/>
  <c r="AF72" i="19"/>
  <c r="AD72" i="19"/>
  <c r="AE72" i="19"/>
  <c r="AG84" i="19"/>
  <c r="AJ84" i="19"/>
  <c r="AE84" i="19"/>
  <c r="AD84" i="19"/>
  <c r="AF84" i="19"/>
  <c r="AG44" i="19"/>
  <c r="AJ44" i="19"/>
  <c r="AF44" i="19"/>
  <c r="AE44" i="19"/>
  <c r="AD44" i="19"/>
  <c r="AG16" i="19"/>
  <c r="AF16" i="19"/>
  <c r="AD16" i="19"/>
  <c r="AE16" i="19"/>
  <c r="AJ16" i="19"/>
  <c r="AJ39" i="19"/>
  <c r="AE39" i="19"/>
  <c r="AD39" i="19"/>
  <c r="AG39" i="19"/>
  <c r="AF39" i="19"/>
  <c r="AF70" i="19"/>
  <c r="AG70" i="19"/>
  <c r="AJ70" i="19"/>
  <c r="Q70" i="19"/>
  <c r="U70" i="19" s="1"/>
  <c r="AE70" i="19"/>
  <c r="AD70" i="19"/>
  <c r="AJ53" i="19"/>
  <c r="AF53" i="19"/>
  <c r="AG53" i="19"/>
  <c r="AE53" i="19"/>
  <c r="AD53" i="19"/>
  <c r="AF87" i="19"/>
  <c r="AG87" i="19"/>
  <c r="AE87" i="19"/>
  <c r="AJ87" i="19"/>
  <c r="AD87" i="19"/>
  <c r="AK90" i="19"/>
  <c r="AG18" i="19"/>
  <c r="AF18" i="19"/>
  <c r="AE18" i="19"/>
  <c r="AD18" i="19"/>
  <c r="AJ18" i="19"/>
  <c r="AG11" i="19"/>
  <c r="AJ11" i="19"/>
  <c r="AF11" i="19"/>
  <c r="AD11" i="19"/>
  <c r="AE11" i="19"/>
  <c r="AG34" i="19"/>
  <c r="AJ34" i="19"/>
  <c r="AF34" i="19"/>
  <c r="AE34" i="19"/>
  <c r="AD34" i="19"/>
  <c r="AG65" i="19"/>
  <c r="AF65" i="19"/>
  <c r="AD65" i="19"/>
  <c r="AE65" i="19"/>
  <c r="AJ65" i="19"/>
  <c r="AG47" i="19"/>
  <c r="AF47" i="19"/>
  <c r="AE47" i="19"/>
  <c r="AJ47" i="19"/>
  <c r="AD47" i="19"/>
  <c r="AJ82" i="19"/>
  <c r="AG82" i="19"/>
  <c r="AE82" i="19"/>
  <c r="AD82" i="19"/>
  <c r="AF82" i="19"/>
  <c r="AK97" i="19"/>
  <c r="AD17" i="19"/>
  <c r="AE17" i="19"/>
  <c r="AJ17" i="19"/>
  <c r="AF17" i="19"/>
  <c r="AG17" i="19"/>
  <c r="AJ12" i="19"/>
  <c r="AG12" i="19"/>
  <c r="AD12" i="19"/>
  <c r="AF12" i="19"/>
  <c r="AE12" i="19"/>
  <c r="AK95" i="19"/>
  <c r="AJ30" i="19"/>
  <c r="AG30" i="19"/>
  <c r="AF30" i="19"/>
  <c r="AE30" i="19"/>
  <c r="AD30" i="19"/>
  <c r="AJ41" i="19"/>
  <c r="AE41" i="19"/>
  <c r="AD41" i="19"/>
  <c r="AF41" i="19"/>
  <c r="AG41" i="19"/>
  <c r="AJ24" i="19"/>
  <c r="AF24" i="19"/>
  <c r="AE24" i="19"/>
  <c r="AD24" i="19"/>
  <c r="AG24" i="19"/>
  <c r="AG31" i="19"/>
  <c r="AJ31" i="19"/>
  <c r="AF31" i="19"/>
  <c r="AE31" i="19"/>
  <c r="AD31" i="19"/>
  <c r="AJ21" i="19"/>
  <c r="AD21" i="19"/>
  <c r="AE21" i="19"/>
  <c r="AG21" i="19"/>
  <c r="AF21" i="19"/>
  <c r="AG28" i="19"/>
  <c r="AF28" i="19"/>
  <c r="AE28" i="19"/>
  <c r="AJ28" i="19"/>
  <c r="AD28" i="19"/>
  <c r="AJ58" i="19"/>
  <c r="AD58" i="19"/>
  <c r="AG58" i="19"/>
  <c r="AE58" i="19"/>
  <c r="AF58" i="19"/>
  <c r="Q76" i="19"/>
  <c r="U76" i="19" s="1"/>
  <c r="AF76" i="19"/>
  <c r="AD76" i="19"/>
  <c r="AE76" i="19"/>
  <c r="AG76" i="19"/>
  <c r="AJ76" i="19"/>
  <c r="AJ22" i="19"/>
  <c r="AE22" i="19"/>
  <c r="AG22" i="19"/>
  <c r="AD22" i="19"/>
  <c r="AF22" i="19"/>
  <c r="AG45" i="19"/>
  <c r="AJ45" i="19"/>
  <c r="AF45" i="19"/>
  <c r="AD45" i="19"/>
  <c r="AE45" i="19"/>
  <c r="AG29" i="19"/>
  <c r="AD29" i="19"/>
  <c r="AF29" i="19"/>
  <c r="AE29" i="19"/>
  <c r="AJ29" i="19"/>
  <c r="AJ59" i="19"/>
  <c r="AG59" i="19"/>
  <c r="AE59" i="19"/>
  <c r="AD59" i="19"/>
  <c r="AF59" i="19"/>
  <c r="AJ77" i="19"/>
  <c r="Q77" i="19"/>
  <c r="U77" i="19" s="1"/>
  <c r="AE77" i="19"/>
  <c r="AG77" i="19"/>
  <c r="AF77" i="19"/>
  <c r="AD77" i="19"/>
  <c r="AH95" i="19"/>
  <c r="K179" i="19"/>
  <c r="K328" i="29"/>
  <c r="I95" i="24"/>
  <c r="M95" i="24" s="1"/>
  <c r="J154" i="24"/>
  <c r="N154" i="24" s="1"/>
  <c r="H21" i="24"/>
  <c r="L21" i="24" s="1"/>
  <c r="F297" i="29"/>
  <c r="J265" i="29"/>
  <c r="S326" i="29"/>
  <c r="O60" i="29"/>
  <c r="O41" i="29"/>
  <c r="O271" i="29"/>
  <c r="J324" i="29"/>
  <c r="F270" i="29"/>
  <c r="J122" i="29"/>
  <c r="K132" i="28"/>
  <c r="N167" i="29"/>
  <c r="M84" i="29"/>
  <c r="O84" i="29" s="1"/>
  <c r="I41" i="28"/>
  <c r="H101" i="28"/>
  <c r="L122" i="28"/>
  <c r="H253" i="24"/>
  <c r="L253" i="24" s="1"/>
  <c r="F320" i="29"/>
  <c r="J280" i="29"/>
  <c r="N15" i="29"/>
  <c r="F279" i="29"/>
  <c r="S229" i="29"/>
  <c r="O329" i="29"/>
  <c r="O229" i="29"/>
  <c r="J115" i="29"/>
  <c r="H34" i="28"/>
  <c r="H230" i="28"/>
  <c r="M131" i="29"/>
  <c r="O131" i="29" s="1"/>
  <c r="H89" i="28"/>
  <c r="G171" i="28"/>
  <c r="G315" i="29"/>
  <c r="F218" i="29"/>
  <c r="S139" i="29"/>
  <c r="H20" i="24"/>
  <c r="L20" i="24" s="1"/>
  <c r="H256" i="24"/>
  <c r="L256" i="24" s="1"/>
  <c r="I40" i="28"/>
  <c r="G301" i="29"/>
  <c r="K269" i="29"/>
  <c r="J331" i="29"/>
  <c r="I28" i="24"/>
  <c r="M28" i="24" s="1"/>
  <c r="F192" i="28"/>
  <c r="I174" i="24"/>
  <c r="M174" i="24" s="1"/>
  <c r="G135" i="28"/>
  <c r="F211" i="28"/>
  <c r="K211" i="28" s="1"/>
  <c r="G105" i="24"/>
  <c r="K105" i="24" s="1"/>
  <c r="J260" i="28"/>
  <c r="G76" i="28"/>
  <c r="I178" i="24"/>
  <c r="M178" i="24" s="1"/>
  <c r="N330" i="29"/>
  <c r="R217" i="29"/>
  <c r="H226" i="28"/>
  <c r="J31" i="24"/>
  <c r="N31" i="24" s="1"/>
  <c r="L260" i="28"/>
  <c r="H44" i="28"/>
  <c r="H245" i="24"/>
  <c r="L245" i="24" s="1"/>
  <c r="G97" i="24"/>
  <c r="K97" i="24" s="1"/>
  <c r="H186" i="24"/>
  <c r="L186" i="24" s="1"/>
  <c r="G169" i="24"/>
  <c r="K169" i="24" s="1"/>
  <c r="I172" i="24"/>
  <c r="M172" i="24" s="1"/>
  <c r="O303" i="29"/>
  <c r="G277" i="29"/>
  <c r="J235" i="29"/>
  <c r="H185" i="28"/>
  <c r="F198" i="28"/>
  <c r="G176" i="24"/>
  <c r="K176" i="24" s="1"/>
  <c r="J310" i="29"/>
  <c r="O307" i="29"/>
  <c r="N230" i="29"/>
  <c r="F230" i="29"/>
  <c r="G234" i="29"/>
  <c r="K151" i="29"/>
  <c r="G146" i="28"/>
  <c r="H154" i="24"/>
  <c r="L154" i="24" s="1"/>
  <c r="H36" i="24"/>
  <c r="L36" i="24" s="1"/>
  <c r="H178" i="28"/>
  <c r="G131" i="24"/>
  <c r="K131" i="24" s="1"/>
  <c r="G115" i="24"/>
  <c r="K115" i="24" s="1"/>
  <c r="I50" i="28"/>
  <c r="J219" i="29"/>
  <c r="R338" i="29"/>
  <c r="I53" i="24"/>
  <c r="M53" i="24" s="1"/>
  <c r="K123" i="28"/>
  <c r="J23" i="28"/>
  <c r="G54" i="29"/>
  <c r="G64" i="29"/>
  <c r="N50" i="29"/>
  <c r="R313" i="29"/>
  <c r="N323" i="29"/>
  <c r="N243" i="29"/>
  <c r="F70" i="29"/>
  <c r="S133" i="29"/>
  <c r="G104" i="29"/>
  <c r="O127" i="28"/>
  <c r="H118" i="24"/>
  <c r="L118" i="24" s="1"/>
  <c r="G286" i="29"/>
  <c r="K8" i="29"/>
  <c r="H213" i="28"/>
  <c r="F99" i="28"/>
  <c r="H51" i="28"/>
  <c r="H42" i="28"/>
  <c r="G156" i="28"/>
  <c r="J259" i="24"/>
  <c r="N259" i="24" s="1"/>
  <c r="R307" i="29"/>
  <c r="O270" i="29"/>
  <c r="K37" i="29"/>
  <c r="N306" i="29"/>
  <c r="J268" i="29"/>
  <c r="I244" i="24"/>
  <c r="M244" i="24" s="1"/>
  <c r="H100" i="24"/>
  <c r="L100" i="24" s="1"/>
  <c r="O115" i="28"/>
  <c r="I184" i="28"/>
  <c r="J270" i="29"/>
  <c r="G330" i="29"/>
  <c r="S295" i="29"/>
  <c r="R230" i="29"/>
  <c r="K176" i="29"/>
  <c r="R68" i="29"/>
  <c r="G213" i="29"/>
  <c r="F57" i="29"/>
  <c r="I80" i="24"/>
  <c r="M80" i="24" s="1"/>
  <c r="H215" i="28"/>
  <c r="I44" i="24"/>
  <c r="M44" i="24" s="1"/>
  <c r="N297" i="29"/>
  <c r="H86" i="28"/>
  <c r="F52" i="28"/>
  <c r="G147" i="24"/>
  <c r="K147" i="24" s="1"/>
  <c r="K115" i="28"/>
  <c r="G96" i="28"/>
  <c r="I185" i="28"/>
  <c r="I105" i="28"/>
  <c r="J59" i="28"/>
  <c r="L251" i="28"/>
  <c r="J287" i="29"/>
  <c r="N218" i="29"/>
  <c r="O63" i="29"/>
  <c r="R128" i="29"/>
  <c r="J129" i="24"/>
  <c r="N129" i="24" s="1"/>
  <c r="F186" i="28"/>
  <c r="I180" i="28"/>
  <c r="J131" i="28"/>
  <c r="F154" i="28"/>
  <c r="G202" i="28"/>
  <c r="I153" i="24"/>
  <c r="M153" i="24" s="1"/>
  <c r="I155" i="24"/>
  <c r="M155" i="24" s="1"/>
  <c r="G107" i="28"/>
  <c r="I136" i="24"/>
  <c r="M136" i="24" s="1"/>
  <c r="J66" i="28"/>
  <c r="J322" i="29"/>
  <c r="R339" i="29"/>
  <c r="J307" i="29"/>
  <c r="F263" i="29"/>
  <c r="G338" i="29"/>
  <c r="F284" i="29"/>
  <c r="J277" i="29"/>
  <c r="R279" i="29"/>
  <c r="O125" i="29"/>
  <c r="O130" i="28"/>
  <c r="J148" i="29"/>
  <c r="N102" i="29"/>
  <c r="S35" i="29"/>
  <c r="H63" i="24"/>
  <c r="L63" i="24" s="1"/>
  <c r="G19" i="29"/>
  <c r="H134" i="28"/>
  <c r="K127" i="28"/>
  <c r="F156" i="28"/>
  <c r="G154" i="29"/>
  <c r="O57" i="29"/>
  <c r="I35" i="28"/>
  <c r="O251" i="28"/>
  <c r="L23" i="28"/>
  <c r="H62" i="24"/>
  <c r="L62" i="24" s="1"/>
  <c r="L19" i="28"/>
  <c r="R38" i="29"/>
  <c r="O269" i="29"/>
  <c r="G296" i="29"/>
  <c r="S296" i="29"/>
  <c r="F8" i="29"/>
  <c r="G56" i="29"/>
  <c r="G329" i="29"/>
  <c r="G156" i="24"/>
  <c r="K156" i="24" s="1"/>
  <c r="N280" i="29"/>
  <c r="O156" i="29"/>
  <c r="H99" i="28"/>
  <c r="F151" i="29"/>
  <c r="O70" i="29"/>
  <c r="H46" i="24"/>
  <c r="L46" i="24" s="1"/>
  <c r="G223" i="28"/>
  <c r="G154" i="24"/>
  <c r="K154" i="24" s="1"/>
  <c r="H247" i="24"/>
  <c r="L247" i="24" s="1"/>
  <c r="R323" i="29"/>
  <c r="N314" i="29"/>
  <c r="K216" i="29"/>
  <c r="F245" i="29"/>
  <c r="G178" i="29"/>
  <c r="O122" i="29"/>
  <c r="S46" i="29"/>
  <c r="O172" i="29"/>
  <c r="G80" i="28"/>
  <c r="J257" i="28"/>
  <c r="I231" i="28"/>
  <c r="J165" i="24"/>
  <c r="N165" i="24" s="1"/>
  <c r="G178" i="28"/>
  <c r="I46" i="24"/>
  <c r="M46" i="24" s="1"/>
  <c r="G155" i="24"/>
  <c r="K155" i="24" s="1"/>
  <c r="G126" i="29"/>
  <c r="I163" i="29"/>
  <c r="K163" i="29" s="1"/>
  <c r="I257" i="24"/>
  <c r="M257" i="24" s="1"/>
  <c r="M259" i="29"/>
  <c r="N259" i="29" s="1"/>
  <c r="G243" i="29"/>
  <c r="F243" i="29"/>
  <c r="F298" i="29"/>
  <c r="G298" i="29"/>
  <c r="G39" i="29"/>
  <c r="F39" i="29"/>
  <c r="N65" i="29"/>
  <c r="O65" i="29"/>
  <c r="G151" i="28"/>
  <c r="I22" i="29"/>
  <c r="K22" i="29" s="1"/>
  <c r="I154" i="28"/>
  <c r="Q25" i="29"/>
  <c r="S25" i="29" s="1"/>
  <c r="I184" i="29"/>
  <c r="J184" i="29" s="1"/>
  <c r="S260" i="29"/>
  <c r="R260" i="29"/>
  <c r="J298" i="29"/>
  <c r="K298" i="29"/>
  <c r="J233" i="29"/>
  <c r="K233" i="29"/>
  <c r="G49" i="24"/>
  <c r="K49" i="24" s="1"/>
  <c r="S210" i="29"/>
  <c r="R210" i="29"/>
  <c r="O290" i="29"/>
  <c r="N290" i="29"/>
  <c r="S39" i="29"/>
  <c r="R39" i="29"/>
  <c r="S14" i="29"/>
  <c r="R14" i="29"/>
  <c r="F132" i="29"/>
  <c r="G132" i="29"/>
  <c r="H189" i="24"/>
  <c r="L189" i="24" s="1"/>
  <c r="I192" i="29"/>
  <c r="J192" i="29" s="1"/>
  <c r="H214" i="28"/>
  <c r="M115" i="29"/>
  <c r="O115" i="29" s="1"/>
  <c r="I77" i="28"/>
  <c r="Q186" i="29"/>
  <c r="R186" i="29" s="1"/>
  <c r="J319" i="29"/>
  <c r="K319" i="29"/>
  <c r="O334" i="29"/>
  <c r="N334" i="29"/>
  <c r="J17" i="28"/>
  <c r="K17" i="28"/>
  <c r="H252" i="24"/>
  <c r="L252" i="24" s="1"/>
  <c r="F101" i="28"/>
  <c r="E85" i="29"/>
  <c r="F85" i="29" s="1"/>
  <c r="I54" i="29"/>
  <c r="K54" i="29" s="1"/>
  <c r="H150" i="24"/>
  <c r="L150" i="24" s="1"/>
  <c r="I153" i="29"/>
  <c r="J153" i="29" s="1"/>
  <c r="I171" i="28"/>
  <c r="Q42" i="29"/>
  <c r="R42" i="29" s="1"/>
  <c r="I90" i="29"/>
  <c r="J90" i="29" s="1"/>
  <c r="I253" i="24"/>
  <c r="M253" i="24" s="1"/>
  <c r="M255" i="29"/>
  <c r="N255" i="29" s="1"/>
  <c r="H149" i="28"/>
  <c r="M261" i="29"/>
  <c r="O261" i="29" s="1"/>
  <c r="F194" i="28"/>
  <c r="E65" i="29"/>
  <c r="K315" i="29"/>
  <c r="J315" i="29"/>
  <c r="N321" i="29"/>
  <c r="O321" i="29"/>
  <c r="F281" i="29"/>
  <c r="G281" i="29"/>
  <c r="O277" i="29"/>
  <c r="N277" i="29"/>
  <c r="N327" i="29"/>
  <c r="O327" i="29"/>
  <c r="G293" i="29"/>
  <c r="F293" i="29"/>
  <c r="R237" i="29"/>
  <c r="S256" i="29"/>
  <c r="R256" i="29"/>
  <c r="N194" i="29"/>
  <c r="O194" i="29"/>
  <c r="G227" i="29"/>
  <c r="F227" i="29"/>
  <c r="S278" i="29"/>
  <c r="R278" i="29"/>
  <c r="K245" i="29"/>
  <c r="J245" i="29"/>
  <c r="J299" i="29"/>
  <c r="K299" i="29"/>
  <c r="K240" i="29"/>
  <c r="J240" i="29"/>
  <c r="O180" i="29"/>
  <c r="N180" i="29"/>
  <c r="O289" i="29"/>
  <c r="N289" i="29"/>
  <c r="F240" i="29"/>
  <c r="G240" i="29"/>
  <c r="J274" i="29"/>
  <c r="K274" i="29"/>
  <c r="R225" i="29"/>
  <c r="S225" i="29"/>
  <c r="R325" i="29"/>
  <c r="G244" i="29"/>
  <c r="F244" i="29"/>
  <c r="N298" i="29"/>
  <c r="O298" i="29"/>
  <c r="R219" i="29"/>
  <c r="S219" i="29"/>
  <c r="R223" i="29"/>
  <c r="G144" i="29"/>
  <c r="F144" i="29"/>
  <c r="N134" i="29"/>
  <c r="O134" i="29"/>
  <c r="K50" i="29"/>
  <c r="J50" i="29"/>
  <c r="K217" i="29"/>
  <c r="J217" i="29"/>
  <c r="F20" i="29"/>
  <c r="G20" i="29"/>
  <c r="F329" i="29"/>
  <c r="G236" i="29"/>
  <c r="F236" i="29"/>
  <c r="N38" i="29"/>
  <c r="O38" i="29"/>
  <c r="O238" i="29"/>
  <c r="N238" i="29"/>
  <c r="N153" i="29"/>
  <c r="O153" i="29"/>
  <c r="J109" i="29"/>
  <c r="K165" i="29"/>
  <c r="J165" i="29"/>
  <c r="R12" i="29"/>
  <c r="S12" i="29"/>
  <c r="G68" i="29"/>
  <c r="G107" i="29"/>
  <c r="F107" i="29"/>
  <c r="J132" i="29"/>
  <c r="K132" i="29"/>
  <c r="G27" i="29"/>
  <c r="R49" i="29"/>
  <c r="S49" i="29"/>
  <c r="O121" i="29"/>
  <c r="N121" i="29"/>
  <c r="O111" i="29"/>
  <c r="N111" i="29"/>
  <c r="R61" i="29"/>
  <c r="S61" i="29"/>
  <c r="S130" i="29"/>
  <c r="F89" i="29"/>
  <c r="G89" i="29"/>
  <c r="N156" i="29"/>
  <c r="S119" i="29"/>
  <c r="R119" i="29"/>
  <c r="R43" i="29"/>
  <c r="O133" i="29"/>
  <c r="N133" i="29"/>
  <c r="R59" i="29"/>
  <c r="N66" i="29"/>
  <c r="O66" i="29"/>
  <c r="I248" i="24"/>
  <c r="M248" i="24" s="1"/>
  <c r="M250" i="29"/>
  <c r="N250" i="29" s="1"/>
  <c r="M46" i="29"/>
  <c r="H83" i="28"/>
  <c r="M192" i="29"/>
  <c r="O192" i="29" s="1"/>
  <c r="S252" i="29"/>
  <c r="R252" i="29"/>
  <c r="F191" i="29"/>
  <c r="G191" i="29"/>
  <c r="N107" i="29"/>
  <c r="O107" i="29"/>
  <c r="J44" i="29"/>
  <c r="K44" i="29"/>
  <c r="H155" i="24"/>
  <c r="L155" i="24" s="1"/>
  <c r="Q88" i="29"/>
  <c r="M90" i="29"/>
  <c r="I188" i="24"/>
  <c r="M188" i="24" s="1"/>
  <c r="M191" i="29"/>
  <c r="O191" i="29" s="1"/>
  <c r="O272" i="29"/>
  <c r="N272" i="29"/>
  <c r="G127" i="29"/>
  <c r="F127" i="29"/>
  <c r="R158" i="29"/>
  <c r="S158" i="29"/>
  <c r="F129" i="29"/>
  <c r="G129" i="29"/>
  <c r="N319" i="29"/>
  <c r="O319" i="29"/>
  <c r="G174" i="29"/>
  <c r="F174" i="29"/>
  <c r="O129" i="29"/>
  <c r="N129" i="29"/>
  <c r="G180" i="29"/>
  <c r="F180" i="29"/>
  <c r="R116" i="29"/>
  <c r="S116" i="29"/>
  <c r="G44" i="29"/>
  <c r="H107" i="24"/>
  <c r="L107" i="24" s="1"/>
  <c r="I221" i="28"/>
  <c r="Q122" i="29"/>
  <c r="R122" i="29" s="1"/>
  <c r="R297" i="29"/>
  <c r="S297" i="29"/>
  <c r="H114" i="28"/>
  <c r="H228" i="28"/>
  <c r="I97" i="24"/>
  <c r="M97" i="24" s="1"/>
  <c r="L9" i="28"/>
  <c r="F97" i="28"/>
  <c r="I134" i="24"/>
  <c r="M134" i="24" s="1"/>
  <c r="F240" i="28"/>
  <c r="E141" i="29"/>
  <c r="G141" i="29" s="1"/>
  <c r="Q149" i="29"/>
  <c r="M21" i="29"/>
  <c r="O21" i="29" s="1"/>
  <c r="I155" i="28"/>
  <c r="Q26" i="29"/>
  <c r="S26" i="29" s="1"/>
  <c r="Q108" i="29"/>
  <c r="R108" i="29" s="1"/>
  <c r="G99" i="24"/>
  <c r="K99" i="24" s="1"/>
  <c r="E102" i="29"/>
  <c r="G90" i="28"/>
  <c r="I74" i="29"/>
  <c r="J74" i="29" s="1"/>
  <c r="H148" i="28"/>
  <c r="M260" i="29"/>
  <c r="O260" i="29" s="1"/>
  <c r="M43" i="29"/>
  <c r="G193" i="28"/>
  <c r="I64" i="29"/>
  <c r="J64" i="29" s="1"/>
  <c r="G180" i="28"/>
  <c r="I51" i="29"/>
  <c r="K51" i="29" s="1"/>
  <c r="R321" i="29"/>
  <c r="S321" i="29"/>
  <c r="N281" i="29"/>
  <c r="O281" i="29"/>
  <c r="O252" i="29"/>
  <c r="N252" i="29"/>
  <c r="J199" i="29"/>
  <c r="K199" i="29"/>
  <c r="G272" i="29"/>
  <c r="F272" i="29"/>
  <c r="J329" i="29"/>
  <c r="J275" i="29"/>
  <c r="K275" i="29"/>
  <c r="S194" i="29"/>
  <c r="R194" i="29"/>
  <c r="R243" i="29"/>
  <c r="S243" i="29"/>
  <c r="K278" i="29"/>
  <c r="J278" i="29"/>
  <c r="S245" i="29"/>
  <c r="R245" i="29"/>
  <c r="R289" i="29"/>
  <c r="S289" i="29"/>
  <c r="R240" i="29"/>
  <c r="S240" i="29"/>
  <c r="N274" i="29"/>
  <c r="O274" i="29"/>
  <c r="K244" i="29"/>
  <c r="J244" i="29"/>
  <c r="R298" i="29"/>
  <c r="S298" i="29"/>
  <c r="G235" i="29"/>
  <c r="F235" i="29"/>
  <c r="S166" i="29"/>
  <c r="R166" i="29"/>
  <c r="J158" i="29"/>
  <c r="K158" i="29"/>
  <c r="J110" i="29"/>
  <c r="K110" i="29"/>
  <c r="S127" i="29"/>
  <c r="R127" i="29"/>
  <c r="G160" i="29"/>
  <c r="F160" i="29"/>
  <c r="J157" i="29"/>
  <c r="K157" i="29"/>
  <c r="O177" i="29"/>
  <c r="N177" i="29"/>
  <c r="K308" i="29"/>
  <c r="J308" i="29"/>
  <c r="S150" i="29"/>
  <c r="R150" i="29"/>
  <c r="R50" i="29"/>
  <c r="S50" i="29"/>
  <c r="N217" i="29"/>
  <c r="O217" i="29"/>
  <c r="G35" i="29"/>
  <c r="F35" i="29"/>
  <c r="K20" i="29"/>
  <c r="J20" i="29"/>
  <c r="K254" i="29"/>
  <c r="J254" i="29"/>
  <c r="S236" i="29"/>
  <c r="R236" i="29"/>
  <c r="S184" i="29"/>
  <c r="R184" i="29"/>
  <c r="R54" i="29"/>
  <c r="S54" i="29"/>
  <c r="S181" i="29"/>
  <c r="R181" i="29"/>
  <c r="G40" i="29"/>
  <c r="F40" i="29"/>
  <c r="S238" i="29"/>
  <c r="R238" i="29"/>
  <c r="F153" i="29"/>
  <c r="G153" i="29"/>
  <c r="S113" i="29"/>
  <c r="R113" i="29"/>
  <c r="F125" i="29"/>
  <c r="G125" i="29"/>
  <c r="S329" i="29"/>
  <c r="R329" i="29"/>
  <c r="J107" i="29"/>
  <c r="K107" i="29"/>
  <c r="K133" i="29"/>
  <c r="J133" i="29"/>
  <c r="G49" i="29"/>
  <c r="F49" i="29"/>
  <c r="N62" i="29"/>
  <c r="S165" i="29"/>
  <c r="R165" i="29"/>
  <c r="J84" i="29"/>
  <c r="K84" i="29"/>
  <c r="O33" i="29"/>
  <c r="N33" i="29"/>
  <c r="J63" i="29"/>
  <c r="K63" i="29"/>
  <c r="J167" i="29"/>
  <c r="K167" i="29"/>
  <c r="S114" i="29"/>
  <c r="R114" i="29"/>
  <c r="N254" i="29"/>
  <c r="O254" i="29"/>
  <c r="G241" i="28"/>
  <c r="I142" i="29"/>
  <c r="J142" i="29" s="1"/>
  <c r="H209" i="28"/>
  <c r="M110" i="29"/>
  <c r="N110" i="29" s="1"/>
  <c r="I170" i="28"/>
  <c r="Q41" i="29"/>
  <c r="S41" i="29" s="1"/>
  <c r="N275" i="29"/>
  <c r="O275" i="29"/>
  <c r="N235" i="29"/>
  <c r="O235" i="29"/>
  <c r="O20" i="29"/>
  <c r="N20" i="29"/>
  <c r="F169" i="29"/>
  <c r="G169" i="29"/>
  <c r="K166" i="29"/>
  <c r="J166" i="29"/>
  <c r="I76" i="28"/>
  <c r="Q185" i="29"/>
  <c r="R185" i="29" s="1"/>
  <c r="Q60" i="29"/>
  <c r="S60" i="29" s="1"/>
  <c r="J243" i="29"/>
  <c r="K243" i="29"/>
  <c r="F143" i="29"/>
  <c r="G143" i="29"/>
  <c r="S182" i="29"/>
  <c r="R182" i="29"/>
  <c r="J188" i="29"/>
  <c r="K188" i="29"/>
  <c r="R183" i="29"/>
  <c r="S183" i="29"/>
  <c r="R153" i="29"/>
  <c r="S153" i="29"/>
  <c r="G138" i="29"/>
  <c r="F138" i="29"/>
  <c r="J170" i="29"/>
  <c r="K170" i="29"/>
  <c r="O173" i="29"/>
  <c r="R107" i="29"/>
  <c r="S107" i="29"/>
  <c r="S118" i="29"/>
  <c r="R118" i="29"/>
  <c r="K59" i="29"/>
  <c r="J59" i="29"/>
  <c r="N44" i="29"/>
  <c r="O44" i="29"/>
  <c r="G165" i="29"/>
  <c r="F165" i="29"/>
  <c r="N114" i="29"/>
  <c r="O114" i="29"/>
  <c r="J244" i="24"/>
  <c r="N244" i="24" s="1"/>
  <c r="G152" i="28"/>
  <c r="G170" i="24"/>
  <c r="K170" i="24" s="1"/>
  <c r="H35" i="24"/>
  <c r="L35" i="24" s="1"/>
  <c r="I38" i="29"/>
  <c r="I56" i="29"/>
  <c r="J56" i="29" s="1"/>
  <c r="J54" i="24"/>
  <c r="N54" i="24" s="1"/>
  <c r="Q57" i="29"/>
  <c r="R57" i="29" s="1"/>
  <c r="G191" i="28"/>
  <c r="I62" i="29"/>
  <c r="G248" i="28"/>
  <c r="I149" i="29"/>
  <c r="K149" i="29" s="1"/>
  <c r="F134" i="28"/>
  <c r="E246" i="29"/>
  <c r="G246" i="29" s="1"/>
  <c r="H124" i="24"/>
  <c r="L124" i="24" s="1"/>
  <c r="I127" i="29"/>
  <c r="K127" i="29" s="1"/>
  <c r="Q190" i="29"/>
  <c r="S190" i="29" s="1"/>
  <c r="F79" i="28"/>
  <c r="E188" i="29"/>
  <c r="Q148" i="29"/>
  <c r="N320" i="29"/>
  <c r="O320" i="29"/>
  <c r="S215" i="29"/>
  <c r="R215" i="29"/>
  <c r="S272" i="29"/>
  <c r="R272" i="29"/>
  <c r="G319" i="29"/>
  <c r="F319" i="29"/>
  <c r="J318" i="29"/>
  <c r="K318" i="29"/>
  <c r="F291" i="29"/>
  <c r="G291" i="29"/>
  <c r="N210" i="29"/>
  <c r="O210" i="29"/>
  <c r="N234" i="29"/>
  <c r="K294" i="29"/>
  <c r="J294" i="29"/>
  <c r="R135" i="29"/>
  <c r="S135" i="29"/>
  <c r="O305" i="29"/>
  <c r="N305" i="29"/>
  <c r="J290" i="29"/>
  <c r="K290" i="29"/>
  <c r="N179" i="29"/>
  <c r="O179" i="29"/>
  <c r="J147" i="29"/>
  <c r="K147" i="29"/>
  <c r="R173" i="29"/>
  <c r="S173" i="29"/>
  <c r="O158" i="29"/>
  <c r="N158" i="29"/>
  <c r="O39" i="29"/>
  <c r="N39" i="29"/>
  <c r="R110" i="29"/>
  <c r="S110" i="29"/>
  <c r="S160" i="29"/>
  <c r="R160" i="29"/>
  <c r="J129" i="29"/>
  <c r="K129" i="29"/>
  <c r="O316" i="29"/>
  <c r="N316" i="29"/>
  <c r="R19" i="29"/>
  <c r="S19" i="29"/>
  <c r="G233" i="29"/>
  <c r="F233" i="29"/>
  <c r="J35" i="29"/>
  <c r="K35" i="29"/>
  <c r="G36" i="29"/>
  <c r="F36" i="29"/>
  <c r="O188" i="29"/>
  <c r="N188" i="29"/>
  <c r="K136" i="29"/>
  <c r="J136" i="29"/>
  <c r="G222" i="29"/>
  <c r="F222" i="29"/>
  <c r="N169" i="29"/>
  <c r="O169" i="29"/>
  <c r="K48" i="29"/>
  <c r="J48" i="29"/>
  <c r="G133" i="29"/>
  <c r="F133" i="29"/>
  <c r="F123" i="29"/>
  <c r="G123" i="29"/>
  <c r="S117" i="29"/>
  <c r="R117" i="29"/>
  <c r="O118" i="29"/>
  <c r="N118" i="29"/>
  <c r="S254" i="29"/>
  <c r="R254" i="29"/>
  <c r="S48" i="29"/>
  <c r="R48" i="29"/>
  <c r="K189" i="29"/>
  <c r="J189" i="29"/>
  <c r="R44" i="29"/>
  <c r="S44" i="29"/>
  <c r="O142" i="29"/>
  <c r="J114" i="29"/>
  <c r="K114" i="29"/>
  <c r="G216" i="28"/>
  <c r="I117" i="29"/>
  <c r="H123" i="24"/>
  <c r="L123" i="24" s="1"/>
  <c r="I126" i="29"/>
  <c r="K126" i="29" s="1"/>
  <c r="K276" i="29"/>
  <c r="J276" i="29"/>
  <c r="G294" i="29"/>
  <c r="F294" i="29"/>
  <c r="N138" i="29"/>
  <c r="O138" i="29"/>
  <c r="N166" i="29"/>
  <c r="O166" i="29"/>
  <c r="F114" i="29"/>
  <c r="G114" i="29"/>
  <c r="M109" i="29"/>
  <c r="O109" i="29" s="1"/>
  <c r="J188" i="24"/>
  <c r="N188" i="24" s="1"/>
  <c r="Q191" i="29"/>
  <c r="S191" i="29" s="1"/>
  <c r="I73" i="29"/>
  <c r="K73" i="29" s="1"/>
  <c r="G318" i="29"/>
  <c r="F318" i="29"/>
  <c r="F290" i="29"/>
  <c r="G290" i="29"/>
  <c r="R20" i="29"/>
  <c r="S20" i="29"/>
  <c r="I260" i="29"/>
  <c r="J260" i="29" s="1"/>
  <c r="Q152" i="29"/>
  <c r="R152" i="29" s="1"/>
  <c r="S300" i="29"/>
  <c r="R300" i="29"/>
  <c r="R250" i="29"/>
  <c r="S250" i="29"/>
  <c r="F248" i="29"/>
  <c r="G248" i="29"/>
  <c r="J123" i="29"/>
  <c r="K123" i="29"/>
  <c r="S143" i="29"/>
  <c r="R143" i="29"/>
  <c r="K103" i="29"/>
  <c r="J103" i="29"/>
  <c r="G94" i="29"/>
  <c r="F94" i="29"/>
  <c r="G109" i="29"/>
  <c r="F109" i="29"/>
  <c r="J69" i="24"/>
  <c r="N69" i="24" s="1"/>
  <c r="Q72" i="29"/>
  <c r="R72" i="29" s="1"/>
  <c r="I47" i="28"/>
  <c r="Q154" i="29"/>
  <c r="R154" i="29" s="1"/>
  <c r="F210" i="29"/>
  <c r="G210" i="29"/>
  <c r="S274" i="29"/>
  <c r="R274" i="29"/>
  <c r="O160" i="29"/>
  <c r="N160" i="29"/>
  <c r="N67" i="29"/>
  <c r="O67" i="29"/>
  <c r="I251" i="29"/>
  <c r="J251" i="29" s="1"/>
  <c r="I160" i="29"/>
  <c r="K160" i="29" s="1"/>
  <c r="S271" i="29"/>
  <c r="R271" i="29"/>
  <c r="K210" i="29"/>
  <c r="J210" i="29"/>
  <c r="K305" i="29"/>
  <c r="J305" i="29"/>
  <c r="K39" i="29"/>
  <c r="J39" i="29"/>
  <c r="O136" i="29"/>
  <c r="N136" i="29"/>
  <c r="R320" i="29"/>
  <c r="S320" i="29"/>
  <c r="J288" i="29"/>
  <c r="K288" i="29"/>
  <c r="K207" i="29"/>
  <c r="J207" i="29"/>
  <c r="N140" i="29"/>
  <c r="O140" i="29"/>
  <c r="O35" i="29"/>
  <c r="N35" i="29"/>
  <c r="G51" i="28"/>
  <c r="G107" i="24"/>
  <c r="K107" i="24" s="1"/>
  <c r="E110" i="29"/>
  <c r="J297" i="29"/>
  <c r="K297" i="29"/>
  <c r="O291" i="29"/>
  <c r="N291" i="29"/>
  <c r="S179" i="29"/>
  <c r="R179" i="29"/>
  <c r="R174" i="29"/>
  <c r="S174" i="29"/>
  <c r="N182" i="29"/>
  <c r="O182" i="29"/>
  <c r="F204" i="29"/>
  <c r="G204" i="29"/>
  <c r="R163" i="29"/>
  <c r="S163" i="29"/>
  <c r="S164" i="29"/>
  <c r="R164" i="29"/>
  <c r="G10" i="29"/>
  <c r="F10" i="29"/>
  <c r="H188" i="24"/>
  <c r="L188" i="24" s="1"/>
  <c r="I191" i="29"/>
  <c r="K191" i="29" s="1"/>
  <c r="G72" i="29"/>
  <c r="F72" i="29"/>
  <c r="J47" i="29"/>
  <c r="K47" i="29"/>
  <c r="S167" i="29"/>
  <c r="R167" i="29"/>
  <c r="G174" i="24"/>
  <c r="K174" i="24" s="1"/>
  <c r="G138" i="24"/>
  <c r="K138" i="24" s="1"/>
  <c r="I163" i="28"/>
  <c r="G203" i="28"/>
  <c r="I164" i="24"/>
  <c r="M164" i="24" s="1"/>
  <c r="I111" i="24"/>
  <c r="M111" i="24" s="1"/>
  <c r="G55" i="28"/>
  <c r="I67" i="24"/>
  <c r="M67" i="24" s="1"/>
  <c r="H162" i="28"/>
  <c r="I113" i="28"/>
  <c r="H49" i="28"/>
  <c r="G136" i="24"/>
  <c r="K136" i="24" s="1"/>
  <c r="G18" i="24"/>
  <c r="K18" i="24" s="1"/>
  <c r="L257" i="28"/>
  <c r="I139" i="24"/>
  <c r="M139" i="24" s="1"/>
  <c r="I164" i="28"/>
  <c r="I75" i="24"/>
  <c r="M75" i="24" s="1"/>
  <c r="O132" i="28"/>
  <c r="I224" i="28"/>
  <c r="Q125" i="29"/>
  <c r="M26" i="29"/>
  <c r="O26" i="29" s="1"/>
  <c r="Q106" i="29"/>
  <c r="F145" i="28"/>
  <c r="E257" i="29"/>
  <c r="F257" i="29" s="1"/>
  <c r="I100" i="29"/>
  <c r="Q100" i="29"/>
  <c r="S100" i="29" s="1"/>
  <c r="I168" i="24"/>
  <c r="M168" i="24" s="1"/>
  <c r="M171" i="29"/>
  <c r="G110" i="24"/>
  <c r="K110" i="24" s="1"/>
  <c r="E113" i="29"/>
  <c r="F113" i="29" s="1"/>
  <c r="F179" i="28"/>
  <c r="E50" i="29"/>
  <c r="F50" i="29" s="1"/>
  <c r="R281" i="29"/>
  <c r="O317" i="29"/>
  <c r="N317" i="29"/>
  <c r="R288" i="29"/>
  <c r="S288" i="29"/>
  <c r="R319" i="29"/>
  <c r="S319" i="29"/>
  <c r="K334" i="29"/>
  <c r="J334" i="29"/>
  <c r="S291" i="29"/>
  <c r="R291" i="29"/>
  <c r="K226" i="29"/>
  <c r="J226" i="29"/>
  <c r="G237" i="29"/>
  <c r="F267" i="29"/>
  <c r="G267" i="29"/>
  <c r="R207" i="29"/>
  <c r="S207" i="29"/>
  <c r="K241" i="29"/>
  <c r="J241" i="29"/>
  <c r="J213" i="29"/>
  <c r="F157" i="29"/>
  <c r="G157" i="29"/>
  <c r="F155" i="29"/>
  <c r="G155" i="29"/>
  <c r="R156" i="29"/>
  <c r="S156" i="29"/>
  <c r="F146" i="29"/>
  <c r="G146" i="29"/>
  <c r="S131" i="29"/>
  <c r="R131" i="29"/>
  <c r="K55" i="29"/>
  <c r="J55" i="29"/>
  <c r="F14" i="29"/>
  <c r="G14" i="29"/>
  <c r="O79" i="29"/>
  <c r="N79" i="29"/>
  <c r="G332" i="29"/>
  <c r="F332" i="29"/>
  <c r="K143" i="29"/>
  <c r="S36" i="29"/>
  <c r="R36" i="29"/>
  <c r="G38" i="29"/>
  <c r="F38" i="29"/>
  <c r="G181" i="29"/>
  <c r="F181" i="29"/>
  <c r="R204" i="29"/>
  <c r="S204" i="29"/>
  <c r="O152" i="29"/>
  <c r="N152" i="29"/>
  <c r="K190" i="29"/>
  <c r="J190" i="29"/>
  <c r="F185" i="29"/>
  <c r="G185" i="29"/>
  <c r="G74" i="29"/>
  <c r="F74" i="29"/>
  <c r="F223" i="28"/>
  <c r="E124" i="29"/>
  <c r="G124" i="29" s="1"/>
  <c r="R123" i="29"/>
  <c r="S123" i="29"/>
  <c r="O27" i="29"/>
  <c r="N27" i="29"/>
  <c r="G117" i="29"/>
  <c r="F117" i="29"/>
  <c r="K40" i="29"/>
  <c r="J40" i="29"/>
  <c r="J60" i="29"/>
  <c r="K60" i="29"/>
  <c r="K10" i="29"/>
  <c r="J10" i="29"/>
  <c r="K193" i="29"/>
  <c r="J193" i="29"/>
  <c r="G69" i="29"/>
  <c r="F69" i="29"/>
  <c r="N164" i="29"/>
  <c r="K71" i="29"/>
  <c r="J71" i="29"/>
  <c r="G53" i="29"/>
  <c r="Q170" i="29"/>
  <c r="S170" i="29" s="1"/>
  <c r="F33" i="29"/>
  <c r="G33" i="29"/>
  <c r="K239" i="29"/>
  <c r="J239" i="29"/>
  <c r="F273" i="29"/>
  <c r="G273" i="29"/>
  <c r="F192" i="29"/>
  <c r="G192" i="29"/>
  <c r="O196" i="29"/>
  <c r="N196" i="29"/>
  <c r="F211" i="29"/>
  <c r="O240" i="29"/>
  <c r="K146" i="29"/>
  <c r="J146" i="29"/>
  <c r="F266" i="29"/>
  <c r="G266" i="29"/>
  <c r="G203" i="29"/>
  <c r="F203" i="29"/>
  <c r="G159" i="29"/>
  <c r="F159" i="29"/>
  <c r="O175" i="29"/>
  <c r="N175" i="29"/>
  <c r="F7" i="29"/>
  <c r="G7" i="29"/>
  <c r="S145" i="29"/>
  <c r="R145" i="29"/>
  <c r="S332" i="29"/>
  <c r="R332" i="29"/>
  <c r="N113" i="29"/>
  <c r="O113" i="29"/>
  <c r="F252" i="29"/>
  <c r="G252" i="29"/>
  <c r="N37" i="29"/>
  <c r="O37" i="29"/>
  <c r="O265" i="29"/>
  <c r="R220" i="29"/>
  <c r="S220" i="29"/>
  <c r="S168" i="29"/>
  <c r="R168" i="29"/>
  <c r="J206" i="29"/>
  <c r="K206" i="29"/>
  <c r="N148" i="29"/>
  <c r="O148" i="29"/>
  <c r="K101" i="29"/>
  <c r="K150" i="29"/>
  <c r="S70" i="29"/>
  <c r="R70" i="29"/>
  <c r="K13" i="29"/>
  <c r="J13" i="29"/>
  <c r="N248" i="29"/>
  <c r="O248" i="29"/>
  <c r="O17" i="29"/>
  <c r="N17" i="29"/>
  <c r="J139" i="29"/>
  <c r="K139" i="29"/>
  <c r="S111" i="29"/>
  <c r="R111" i="29"/>
  <c r="J45" i="29"/>
  <c r="K45" i="29"/>
  <c r="R73" i="29"/>
  <c r="S73" i="29"/>
  <c r="S162" i="29"/>
  <c r="R162" i="29"/>
  <c r="F108" i="29"/>
  <c r="G108" i="29"/>
  <c r="O108" i="29"/>
  <c r="N108" i="29"/>
  <c r="G173" i="29"/>
  <c r="F173" i="29"/>
  <c r="O89" i="29"/>
  <c r="N89" i="29"/>
  <c r="G140" i="29"/>
  <c r="F140" i="29"/>
  <c r="F42" i="29"/>
  <c r="G42" i="29"/>
  <c r="F99" i="29"/>
  <c r="G99" i="29"/>
  <c r="G66" i="29"/>
  <c r="O71" i="29"/>
  <c r="N71" i="29"/>
  <c r="I108" i="29"/>
  <c r="I176" i="28"/>
  <c r="Q47" i="29"/>
  <c r="N244" i="29"/>
  <c r="O244" i="29"/>
  <c r="F63" i="29"/>
  <c r="G63" i="29"/>
  <c r="F328" i="29"/>
  <c r="G328" i="29"/>
  <c r="S294" i="29"/>
  <c r="R294" i="29"/>
  <c r="G316" i="29"/>
  <c r="F316" i="29"/>
  <c r="N215" i="29"/>
  <c r="O215" i="29"/>
  <c r="O294" i="29"/>
  <c r="N294" i="29"/>
  <c r="K156" i="29"/>
  <c r="J156" i="29"/>
  <c r="K182" i="29"/>
  <c r="J182" i="29"/>
  <c r="R188" i="29"/>
  <c r="S188" i="29"/>
  <c r="Q89" i="29"/>
  <c r="M42" i="29"/>
  <c r="O279" i="29"/>
  <c r="N279" i="29"/>
  <c r="G322" i="29"/>
  <c r="F156" i="29"/>
  <c r="G156" i="29"/>
  <c r="G55" i="29"/>
  <c r="F55" i="29"/>
  <c r="F190" i="29"/>
  <c r="G190" i="29"/>
  <c r="R74" i="29"/>
  <c r="S74" i="29"/>
  <c r="R109" i="29"/>
  <c r="S109" i="29"/>
  <c r="G237" i="28"/>
  <c r="G179" i="24"/>
  <c r="K179" i="24" s="1"/>
  <c r="E182" i="29"/>
  <c r="F182" i="29" s="1"/>
  <c r="I214" i="28"/>
  <c r="Q115" i="29"/>
  <c r="S115" i="29" s="1"/>
  <c r="Q80" i="29"/>
  <c r="S80" i="29" s="1"/>
  <c r="G113" i="24"/>
  <c r="K113" i="24" s="1"/>
  <c r="E116" i="29"/>
  <c r="F116" i="29" s="1"/>
  <c r="O226" i="29"/>
  <c r="N226" i="29"/>
  <c r="R172" i="29"/>
  <c r="S172" i="29"/>
  <c r="O124" i="29"/>
  <c r="N124" i="29"/>
  <c r="N55" i="29"/>
  <c r="O55" i="29"/>
  <c r="F52" i="29"/>
  <c r="G52" i="29"/>
  <c r="J152" i="29"/>
  <c r="K152" i="29"/>
  <c r="N74" i="29"/>
  <c r="O74" i="29"/>
  <c r="K69" i="29"/>
  <c r="J69" i="29"/>
  <c r="F130" i="29"/>
  <c r="G130" i="29"/>
  <c r="G175" i="29"/>
  <c r="F175" i="29"/>
  <c r="G91" i="24"/>
  <c r="K91" i="24" s="1"/>
  <c r="H206" i="28"/>
  <c r="I49" i="24"/>
  <c r="M49" i="24" s="1"/>
  <c r="M52" i="29"/>
  <c r="O52" i="29" s="1"/>
  <c r="M87" i="29"/>
  <c r="O87" i="29" s="1"/>
  <c r="H154" i="28"/>
  <c r="M25" i="29"/>
  <c r="O25" i="29" s="1"/>
  <c r="S279" i="29"/>
  <c r="J195" i="29"/>
  <c r="K195" i="29"/>
  <c r="G196" i="29"/>
  <c r="F196" i="29"/>
  <c r="N187" i="29"/>
  <c r="O187" i="29"/>
  <c r="S55" i="29"/>
  <c r="R55" i="29"/>
  <c r="F45" i="29"/>
  <c r="G45" i="29"/>
  <c r="J17" i="29"/>
  <c r="K17" i="29"/>
  <c r="G17" i="29"/>
  <c r="G35" i="24"/>
  <c r="K35" i="24" s="1"/>
  <c r="H135" i="24"/>
  <c r="L135" i="24" s="1"/>
  <c r="I189" i="24"/>
  <c r="M189" i="24" s="1"/>
  <c r="J150" i="24"/>
  <c r="N150" i="24" s="1"/>
  <c r="J156" i="24"/>
  <c r="N156" i="24" s="1"/>
  <c r="Q159" i="29"/>
  <c r="S159" i="29" s="1"/>
  <c r="H102" i="24"/>
  <c r="L102" i="24" s="1"/>
  <c r="I105" i="29"/>
  <c r="J105" i="29" s="1"/>
  <c r="I235" i="28"/>
  <c r="Q136" i="29"/>
  <c r="S136" i="29" s="1"/>
  <c r="O310" i="29"/>
  <c r="N310" i="29"/>
  <c r="K246" i="29"/>
  <c r="J246" i="29"/>
  <c r="H163" i="28"/>
  <c r="N28" i="28"/>
  <c r="H147" i="28"/>
  <c r="H38" i="24"/>
  <c r="L38" i="24" s="1"/>
  <c r="I41" i="29"/>
  <c r="K41" i="29" s="1"/>
  <c r="I83" i="24"/>
  <c r="M83" i="24" s="1"/>
  <c r="M86" i="29"/>
  <c r="G324" i="29"/>
  <c r="F324" i="29"/>
  <c r="F311" i="29"/>
  <c r="G311" i="29"/>
  <c r="O242" i="29"/>
  <c r="N242" i="29"/>
  <c r="S197" i="29"/>
  <c r="R197" i="29"/>
  <c r="F239" i="29"/>
  <c r="G239" i="29"/>
  <c r="O208" i="29"/>
  <c r="N208" i="29"/>
  <c r="S193" i="29"/>
  <c r="R193" i="29"/>
  <c r="R138" i="29"/>
  <c r="S138" i="29"/>
  <c r="R120" i="29"/>
  <c r="S120" i="29"/>
  <c r="K162" i="29"/>
  <c r="J162" i="29"/>
  <c r="R266" i="29"/>
  <c r="S266" i="29"/>
  <c r="R203" i="29"/>
  <c r="S203" i="29"/>
  <c r="G179" i="29"/>
  <c r="F179" i="29"/>
  <c r="G148" i="29"/>
  <c r="F148" i="29"/>
  <c r="J7" i="29"/>
  <c r="K7" i="29"/>
  <c r="H176" i="28"/>
  <c r="M47" i="29"/>
  <c r="K164" i="29"/>
  <c r="J164" i="29"/>
  <c r="S15" i="29"/>
  <c r="R15" i="29"/>
  <c r="F161" i="29"/>
  <c r="G161" i="29"/>
  <c r="O202" i="29"/>
  <c r="N18" i="29"/>
  <c r="R52" i="29"/>
  <c r="S52" i="29"/>
  <c r="G220" i="29"/>
  <c r="F220" i="29"/>
  <c r="F168" i="29"/>
  <c r="G168" i="29"/>
  <c r="S112" i="29"/>
  <c r="R112" i="29"/>
  <c r="O181" i="29"/>
  <c r="N181" i="29"/>
  <c r="R206" i="29"/>
  <c r="S206" i="29"/>
  <c r="R137" i="29"/>
  <c r="S137" i="29"/>
  <c r="F106" i="29"/>
  <c r="G106" i="29"/>
  <c r="G13" i="29"/>
  <c r="F13" i="29"/>
  <c r="J130" i="29"/>
  <c r="K130" i="29"/>
  <c r="R101" i="29"/>
  <c r="S101" i="29"/>
  <c r="N45" i="29"/>
  <c r="O45" i="29"/>
  <c r="G73" i="29"/>
  <c r="F73" i="29"/>
  <c r="K102" i="29"/>
  <c r="S94" i="29"/>
  <c r="K15" i="29"/>
  <c r="K89" i="29"/>
  <c r="J89" i="29"/>
  <c r="N132" i="29"/>
  <c r="O132" i="29"/>
  <c r="N163" i="29"/>
  <c r="K228" i="29"/>
  <c r="J228" i="29"/>
  <c r="F46" i="29"/>
  <c r="S71" i="29"/>
  <c r="R71" i="29"/>
  <c r="F166" i="28"/>
  <c r="E37" i="29"/>
  <c r="G37" i="29" s="1"/>
  <c r="I171" i="29"/>
  <c r="K171" i="29" s="1"/>
  <c r="N245" i="29"/>
  <c r="O245" i="29"/>
  <c r="F158" i="29"/>
  <c r="G158" i="29"/>
  <c r="G217" i="29"/>
  <c r="F217" i="29"/>
  <c r="J320" i="29"/>
  <c r="K320" i="29"/>
  <c r="S275" i="29"/>
  <c r="R275" i="29"/>
  <c r="J169" i="29"/>
  <c r="K169" i="29"/>
  <c r="I80" i="28"/>
  <c r="L80" i="28" s="1"/>
  <c r="Q189" i="29"/>
  <c r="S189" i="29" s="1"/>
  <c r="S318" i="29"/>
  <c r="R318" i="29"/>
  <c r="S305" i="29"/>
  <c r="R305" i="29"/>
  <c r="K316" i="29"/>
  <c r="J316" i="29"/>
  <c r="O117" i="29"/>
  <c r="N117" i="29"/>
  <c r="I70" i="24"/>
  <c r="M70" i="24" s="1"/>
  <c r="M73" i="29"/>
  <c r="O73" i="29" s="1"/>
  <c r="O288" i="29"/>
  <c r="N288" i="29"/>
  <c r="S290" i="29"/>
  <c r="R290" i="29"/>
  <c r="O176" i="29"/>
  <c r="N176" i="29"/>
  <c r="N233" i="29"/>
  <c r="O233" i="29"/>
  <c r="R62" i="29"/>
  <c r="S62" i="29"/>
  <c r="F136" i="29"/>
  <c r="G136" i="29"/>
  <c r="N123" i="29"/>
  <c r="O123" i="29"/>
  <c r="G229" i="28"/>
  <c r="I38" i="28"/>
  <c r="G140" i="28"/>
  <c r="I252" i="29"/>
  <c r="J252" i="29" s="1"/>
  <c r="Q121" i="29"/>
  <c r="S121" i="29" s="1"/>
  <c r="I86" i="29"/>
  <c r="J86" i="29" s="1"/>
  <c r="G195" i="29"/>
  <c r="F195" i="29"/>
  <c r="S69" i="29"/>
  <c r="R69" i="29"/>
  <c r="K187" i="29"/>
  <c r="J187" i="29"/>
  <c r="K111" i="29"/>
  <c r="J111" i="29"/>
  <c r="G152" i="29"/>
  <c r="N154" i="29"/>
  <c r="O154" i="29"/>
  <c r="K43" i="29"/>
  <c r="J43" i="29"/>
  <c r="S175" i="29"/>
  <c r="R175" i="29"/>
  <c r="I121" i="29"/>
  <c r="K121" i="29" s="1"/>
  <c r="I134" i="29"/>
  <c r="K134" i="29" s="1"/>
  <c r="K317" i="29"/>
  <c r="J317" i="29"/>
  <c r="J218" i="29"/>
  <c r="R146" i="29"/>
  <c r="S146" i="29"/>
  <c r="R224" i="29"/>
  <c r="F100" i="29"/>
  <c r="G100" i="29"/>
  <c r="K332" i="29"/>
  <c r="J332" i="29"/>
  <c r="N159" i="29"/>
  <c r="O159" i="29"/>
  <c r="N193" i="29"/>
  <c r="O193" i="29"/>
  <c r="K140" i="29"/>
  <c r="J140" i="29"/>
  <c r="H222" i="28"/>
  <c r="I166" i="28"/>
  <c r="Q37" i="29"/>
  <c r="N304" i="29"/>
  <c r="O304" i="29"/>
  <c r="O195" i="29"/>
  <c r="N195" i="29"/>
  <c r="K293" i="29"/>
  <c r="G124" i="24"/>
  <c r="K124" i="24" s="1"/>
  <c r="G43" i="28"/>
  <c r="J326" i="29"/>
  <c r="K326" i="29"/>
  <c r="G333" i="29"/>
  <c r="F333" i="29"/>
  <c r="O246" i="29"/>
  <c r="N246" i="29"/>
  <c r="J234" i="29"/>
  <c r="R196" i="29"/>
  <c r="S196" i="29"/>
  <c r="J118" i="24"/>
  <c r="N118" i="24" s="1"/>
  <c r="I97" i="28"/>
  <c r="G82" i="28"/>
  <c r="I118" i="24"/>
  <c r="M118" i="24" s="1"/>
  <c r="K23" i="28"/>
  <c r="I43" i="28"/>
  <c r="Q176" i="29"/>
  <c r="S176" i="29" s="1"/>
  <c r="G139" i="24"/>
  <c r="K139" i="24" s="1"/>
  <c r="E142" i="29"/>
  <c r="F142" i="29" s="1"/>
  <c r="H75" i="28"/>
  <c r="M184" i="29"/>
  <c r="N184" i="29" s="1"/>
  <c r="F190" i="28"/>
  <c r="E61" i="29"/>
  <c r="F61" i="29" s="1"/>
  <c r="G128" i="24"/>
  <c r="K128" i="24" s="1"/>
  <c r="E131" i="29"/>
  <c r="G131" i="29" s="1"/>
  <c r="G42" i="28"/>
  <c r="I175" i="29"/>
  <c r="F189" i="28"/>
  <c r="E60" i="29"/>
  <c r="F309" i="29"/>
  <c r="G309" i="29"/>
  <c r="G326" i="29"/>
  <c r="F326" i="29"/>
  <c r="O311" i="29"/>
  <c r="N311" i="29"/>
  <c r="K333" i="29"/>
  <c r="J333" i="29"/>
  <c r="O308" i="29"/>
  <c r="N308" i="29"/>
  <c r="O302" i="29"/>
  <c r="S216" i="29"/>
  <c r="R216" i="29"/>
  <c r="K230" i="29"/>
  <c r="J230" i="29"/>
  <c r="R242" i="29"/>
  <c r="S242" i="29"/>
  <c r="O211" i="29"/>
  <c r="N211" i="29"/>
  <c r="S246" i="29"/>
  <c r="R246" i="29"/>
  <c r="S198" i="29"/>
  <c r="R198" i="29"/>
  <c r="F283" i="29"/>
  <c r="G283" i="29"/>
  <c r="S239" i="29"/>
  <c r="R239" i="29"/>
  <c r="N273" i="29"/>
  <c r="O273" i="29"/>
  <c r="R208" i="29"/>
  <c r="S208" i="29"/>
  <c r="K258" i="29"/>
  <c r="J258" i="29"/>
  <c r="F209" i="29"/>
  <c r="G209" i="29"/>
  <c r="G212" i="29"/>
  <c r="F212" i="29"/>
  <c r="G162" i="29"/>
  <c r="F162" i="29"/>
  <c r="J282" i="29"/>
  <c r="K282" i="29"/>
  <c r="N203" i="29"/>
  <c r="O203" i="29"/>
  <c r="N7" i="29"/>
  <c r="O7" i="29"/>
  <c r="G150" i="29"/>
  <c r="F150" i="29"/>
  <c r="K161" i="29"/>
  <c r="J161" i="29"/>
  <c r="G166" i="29"/>
  <c r="F166" i="29"/>
  <c r="S34" i="29"/>
  <c r="R34" i="29"/>
  <c r="J201" i="29"/>
  <c r="K201" i="29"/>
  <c r="O144" i="29"/>
  <c r="N144" i="29"/>
  <c r="E251" i="29"/>
  <c r="R53" i="29"/>
  <c r="S53" i="29"/>
  <c r="N150" i="29"/>
  <c r="O220" i="29"/>
  <c r="N220" i="29"/>
  <c r="K168" i="29"/>
  <c r="J168" i="29"/>
  <c r="O189" i="29"/>
  <c r="N189" i="29"/>
  <c r="O206" i="29"/>
  <c r="N206" i="29"/>
  <c r="F137" i="29"/>
  <c r="G137" i="29"/>
  <c r="G187" i="29"/>
  <c r="O106" i="29"/>
  <c r="N106" i="29"/>
  <c r="S40" i="29"/>
  <c r="S13" i="29"/>
  <c r="R13" i="29"/>
  <c r="K72" i="29"/>
  <c r="J72" i="29"/>
  <c r="F101" i="29"/>
  <c r="G101" i="29"/>
  <c r="G118" i="29"/>
  <c r="F118" i="29"/>
  <c r="N104" i="29"/>
  <c r="O104" i="29"/>
  <c r="S187" i="29"/>
  <c r="G48" i="29"/>
  <c r="F48" i="29"/>
  <c r="K68" i="29"/>
  <c r="J68" i="29"/>
  <c r="K172" i="29"/>
  <c r="F103" i="29"/>
  <c r="G103" i="29"/>
  <c r="R45" i="29"/>
  <c r="G171" i="24"/>
  <c r="K171" i="24" s="1"/>
  <c r="G207" i="28"/>
  <c r="G317" i="29"/>
  <c r="F317" i="29"/>
  <c r="F335" i="29"/>
  <c r="G335" i="29"/>
  <c r="O146" i="29"/>
  <c r="N146" i="29"/>
  <c r="K104" i="29"/>
  <c r="J104" i="29"/>
  <c r="N204" i="29"/>
  <c r="O204" i="29"/>
  <c r="J185" i="29"/>
  <c r="K185" i="29"/>
  <c r="M32" i="29"/>
  <c r="G79" i="29"/>
  <c r="F79" i="29"/>
  <c r="R33" i="29"/>
  <c r="S33" i="29"/>
  <c r="G231" i="28"/>
  <c r="N5" i="29"/>
  <c r="R226" i="29"/>
  <c r="S226" i="29"/>
  <c r="J223" i="29"/>
  <c r="K223" i="29"/>
  <c r="J266" i="29"/>
  <c r="K266" i="29"/>
  <c r="N54" i="29"/>
  <c r="O54" i="29"/>
  <c r="O130" i="29"/>
  <c r="N130" i="29"/>
  <c r="G24" i="24"/>
  <c r="K24" i="24" s="1"/>
  <c r="M127" i="29"/>
  <c r="O127" i="29" s="1"/>
  <c r="I67" i="29"/>
  <c r="J67" i="29" s="1"/>
  <c r="S317" i="29"/>
  <c r="R317" i="29"/>
  <c r="R267" i="29"/>
  <c r="S267" i="29"/>
  <c r="I112" i="24"/>
  <c r="M112" i="24" s="1"/>
  <c r="G103" i="28"/>
  <c r="H60" i="24"/>
  <c r="L60" i="24" s="1"/>
  <c r="I138" i="24"/>
  <c r="M138" i="24" s="1"/>
  <c r="M141" i="29"/>
  <c r="O141" i="29" s="1"/>
  <c r="G108" i="24"/>
  <c r="K108" i="24" s="1"/>
  <c r="E111" i="29"/>
  <c r="F111" i="29" s="1"/>
  <c r="N296" i="29"/>
  <c r="O296" i="29"/>
  <c r="S304" i="29"/>
  <c r="R304" i="29"/>
  <c r="K198" i="29"/>
  <c r="J198" i="29"/>
  <c r="R195" i="29"/>
  <c r="S195" i="29"/>
  <c r="J283" i="29"/>
  <c r="K283" i="29"/>
  <c r="J273" i="29"/>
  <c r="K273" i="29"/>
  <c r="G258" i="29"/>
  <c r="F258" i="29"/>
  <c r="J59" i="24"/>
  <c r="N59" i="24" s="1"/>
  <c r="G141" i="28"/>
  <c r="I134" i="28"/>
  <c r="H173" i="24"/>
  <c r="L173" i="24" s="1"/>
  <c r="H72" i="24"/>
  <c r="L72" i="24" s="1"/>
  <c r="L22" i="28"/>
  <c r="L252" i="28"/>
  <c r="I26" i="29"/>
  <c r="J26" i="29" s="1"/>
  <c r="G248" i="24"/>
  <c r="K248" i="24" s="1"/>
  <c r="E250" i="29"/>
  <c r="F250" i="29" s="1"/>
  <c r="I177" i="29"/>
  <c r="K177" i="29" s="1"/>
  <c r="F196" i="28"/>
  <c r="E67" i="29"/>
  <c r="F149" i="28"/>
  <c r="E261" i="29"/>
  <c r="G261" i="29" s="1"/>
  <c r="J45" i="24"/>
  <c r="N45" i="24" s="1"/>
  <c r="I90" i="24"/>
  <c r="M90" i="24" s="1"/>
  <c r="I49" i="28"/>
  <c r="H94" i="28"/>
  <c r="G44" i="28"/>
  <c r="M116" i="28"/>
  <c r="G210" i="28"/>
  <c r="H152" i="24"/>
  <c r="L152" i="24" s="1"/>
  <c r="M59" i="28"/>
  <c r="G138" i="28"/>
  <c r="I42" i="29"/>
  <c r="K42" i="29" s="1"/>
  <c r="H116" i="24"/>
  <c r="L116" i="24" s="1"/>
  <c r="I119" i="29"/>
  <c r="K119" i="29" s="1"/>
  <c r="M85" i="29"/>
  <c r="N85" i="29" s="1"/>
  <c r="F148" i="28"/>
  <c r="E260" i="29"/>
  <c r="G260" i="29" s="1"/>
  <c r="Q144" i="29"/>
  <c r="S144" i="29" s="1"/>
  <c r="G94" i="28"/>
  <c r="I78" i="29"/>
  <c r="K78" i="29" s="1"/>
  <c r="I198" i="28"/>
  <c r="Q99" i="29"/>
  <c r="R99" i="29" s="1"/>
  <c r="M64" i="29"/>
  <c r="Q79" i="29"/>
  <c r="R79" i="29" s="1"/>
  <c r="H24" i="24"/>
  <c r="L24" i="24" s="1"/>
  <c r="I27" i="29"/>
  <c r="K27" i="29" s="1"/>
  <c r="I193" i="28"/>
  <c r="Q64" i="29"/>
  <c r="R64" i="29" s="1"/>
  <c r="G325" i="29"/>
  <c r="F325" i="29"/>
  <c r="F315" i="29"/>
  <c r="N326" i="29"/>
  <c r="O326" i="29"/>
  <c r="J327" i="29"/>
  <c r="K327" i="29"/>
  <c r="R284" i="29"/>
  <c r="S284" i="29"/>
  <c r="S333" i="29"/>
  <c r="R333" i="29"/>
  <c r="O324" i="29"/>
  <c r="J186" i="29"/>
  <c r="K186" i="29"/>
  <c r="O264" i="29"/>
  <c r="S262" i="29"/>
  <c r="R262" i="29"/>
  <c r="S211" i="29"/>
  <c r="R211" i="29"/>
  <c r="N293" i="29"/>
  <c r="K262" i="29"/>
  <c r="J262" i="29"/>
  <c r="O198" i="29"/>
  <c r="N198" i="29"/>
  <c r="N283" i="29"/>
  <c r="O283" i="29"/>
  <c r="S132" i="29"/>
  <c r="R132" i="29"/>
  <c r="S273" i="29"/>
  <c r="R273" i="29"/>
  <c r="K208" i="29"/>
  <c r="J208" i="29"/>
  <c r="N258" i="29"/>
  <c r="O258" i="29"/>
  <c r="S209" i="29"/>
  <c r="R209" i="29"/>
  <c r="K212" i="29"/>
  <c r="J212" i="29"/>
  <c r="K141" i="29"/>
  <c r="J141" i="29"/>
  <c r="O162" i="29"/>
  <c r="N162" i="29"/>
  <c r="R282" i="29"/>
  <c r="S282" i="29"/>
  <c r="K203" i="29"/>
  <c r="J203" i="29"/>
  <c r="R126" i="29"/>
  <c r="S126" i="29"/>
  <c r="S7" i="29"/>
  <c r="R7" i="29"/>
  <c r="J155" i="29"/>
  <c r="K155" i="29"/>
  <c r="F15" i="29"/>
  <c r="G15" i="29"/>
  <c r="N161" i="29"/>
  <c r="O161" i="29"/>
  <c r="F134" i="29"/>
  <c r="G134" i="29"/>
  <c r="J34" i="29"/>
  <c r="K34" i="29"/>
  <c r="N201" i="29"/>
  <c r="O201" i="29"/>
  <c r="R56" i="29"/>
  <c r="S56" i="29"/>
  <c r="O149" i="29"/>
  <c r="N149" i="29"/>
  <c r="G59" i="29"/>
  <c r="F59" i="29"/>
  <c r="O53" i="29"/>
  <c r="N53" i="29"/>
  <c r="K220" i="29"/>
  <c r="J220" i="29"/>
  <c r="N183" i="29"/>
  <c r="O183" i="29"/>
  <c r="N222" i="29"/>
  <c r="O222" i="29"/>
  <c r="N137" i="29"/>
  <c r="O137" i="29"/>
  <c r="G122" i="29"/>
  <c r="F122" i="29"/>
  <c r="K138" i="29"/>
  <c r="J138" i="29"/>
  <c r="J124" i="29"/>
  <c r="O218" i="29"/>
  <c r="G120" i="29"/>
  <c r="F120" i="29"/>
  <c r="M112" i="29"/>
  <c r="O112" i="29" s="1"/>
  <c r="K118" i="29"/>
  <c r="J125" i="29"/>
  <c r="O119" i="29"/>
  <c r="N119" i="29"/>
  <c r="G105" i="29"/>
  <c r="F105" i="29"/>
  <c r="O58" i="29"/>
  <c r="N58" i="29"/>
  <c r="G256" i="29"/>
  <c r="F256" i="29"/>
  <c r="N59" i="29"/>
  <c r="G182" i="28"/>
  <c r="I53" i="29"/>
  <c r="J53" i="29" s="1"/>
  <c r="J16" i="29"/>
  <c r="K16" i="29"/>
  <c r="S103" i="29"/>
  <c r="R103" i="29"/>
  <c r="M100" i="29"/>
  <c r="O100" i="29" s="1"/>
  <c r="G142" i="24"/>
  <c r="K142" i="24" s="1"/>
  <c r="E145" i="29"/>
  <c r="G145" i="29" s="1"/>
  <c r="M190" i="29"/>
  <c r="N190" i="29" s="1"/>
  <c r="Q67" i="29"/>
  <c r="R67" i="29" s="1"/>
  <c r="J300" i="29"/>
  <c r="K300" i="29"/>
  <c r="O207" i="29"/>
  <c r="N207" i="29"/>
  <c r="O139" i="29"/>
  <c r="N139" i="29"/>
  <c r="R129" i="29"/>
  <c r="S129" i="29"/>
  <c r="F183" i="29"/>
  <c r="G183" i="29"/>
  <c r="F135" i="29"/>
  <c r="G135" i="29"/>
  <c r="S151" i="29"/>
  <c r="R151" i="29"/>
  <c r="J164" i="24"/>
  <c r="N164" i="24" s="1"/>
  <c r="Q84" i="29"/>
  <c r="S84" i="29" s="1"/>
  <c r="F304" i="29"/>
  <c r="G304" i="29"/>
  <c r="S334" i="29"/>
  <c r="R334" i="29"/>
  <c r="N223" i="29"/>
  <c r="O223" i="29"/>
  <c r="N266" i="29"/>
  <c r="O266" i="29"/>
  <c r="F189" i="29"/>
  <c r="G189" i="29"/>
  <c r="O178" i="29"/>
  <c r="N178" i="29"/>
  <c r="S104" i="29"/>
  <c r="R104" i="29"/>
  <c r="N116" i="29"/>
  <c r="O116" i="29"/>
  <c r="G71" i="29"/>
  <c r="F71" i="29"/>
  <c r="S65" i="29"/>
  <c r="R65" i="29"/>
  <c r="K21" i="29"/>
  <c r="J21" i="29"/>
  <c r="I191" i="28"/>
  <c r="G168" i="24"/>
  <c r="K168" i="24" s="1"/>
  <c r="E171" i="29"/>
  <c r="G171" i="29" s="1"/>
  <c r="Q105" i="29"/>
  <c r="R105" i="29" s="1"/>
  <c r="I246" i="28"/>
  <c r="Q147" i="29"/>
  <c r="S147" i="29" s="1"/>
  <c r="I65" i="24"/>
  <c r="M65" i="24" s="1"/>
  <c r="M68" i="29"/>
  <c r="I154" i="24"/>
  <c r="M154" i="24" s="1"/>
  <c r="M157" i="29"/>
  <c r="N157" i="29" s="1"/>
  <c r="K304" i="29"/>
  <c r="J304" i="29"/>
  <c r="K335" i="29"/>
  <c r="J335" i="29"/>
  <c r="N267" i="29"/>
  <c r="O267" i="29"/>
  <c r="F163" i="29"/>
  <c r="G163" i="29"/>
  <c r="O145" i="29"/>
  <c r="N145" i="29"/>
  <c r="J204" i="29"/>
  <c r="K204" i="29"/>
  <c r="N185" i="29"/>
  <c r="O185" i="29"/>
  <c r="S102" i="29"/>
  <c r="R102" i="29"/>
  <c r="K57" i="29"/>
  <c r="J57" i="29"/>
  <c r="H169" i="24"/>
  <c r="L169" i="24" s="1"/>
  <c r="F181" i="28"/>
  <c r="G101" i="28"/>
  <c r="I85" i="29"/>
  <c r="J85" i="29" s="1"/>
  <c r="Q83" i="29"/>
  <c r="R83" i="29" s="1"/>
  <c r="M75" i="29"/>
  <c r="N75" i="29" s="1"/>
  <c r="S311" i="29"/>
  <c r="R311" i="29"/>
  <c r="O335" i="29"/>
  <c r="N335" i="29"/>
  <c r="S335" i="29"/>
  <c r="R335" i="29"/>
  <c r="O197" i="29"/>
  <c r="N197" i="29"/>
  <c r="G39" i="28"/>
  <c r="F235" i="28"/>
  <c r="G233" i="28"/>
  <c r="F164" i="29"/>
  <c r="G164" i="29"/>
  <c r="M61" i="29"/>
  <c r="E255" i="29"/>
  <c r="G255" i="29" s="1"/>
  <c r="H156" i="24"/>
  <c r="L156" i="24" s="1"/>
  <c r="I159" i="29"/>
  <c r="J159" i="29" s="1"/>
  <c r="F191" i="28"/>
  <c r="E62" i="29"/>
  <c r="F62" i="29" s="1"/>
  <c r="M128" i="29"/>
  <c r="N128" i="29" s="1"/>
  <c r="J44" i="24"/>
  <c r="N44" i="24" s="1"/>
  <c r="G130" i="24"/>
  <c r="K130" i="24" s="1"/>
  <c r="G60" i="24"/>
  <c r="K60" i="24" s="1"/>
  <c r="I51" i="28"/>
  <c r="H49" i="24"/>
  <c r="L49" i="24" s="1"/>
  <c r="I247" i="28"/>
  <c r="I34" i="28"/>
  <c r="O66" i="28"/>
  <c r="G54" i="28"/>
  <c r="H153" i="24"/>
  <c r="L153" i="24" s="1"/>
  <c r="H306" i="24"/>
  <c r="L306" i="24" s="1"/>
  <c r="H140" i="24"/>
  <c r="L140" i="24" s="1"/>
  <c r="H176" i="24"/>
  <c r="L176" i="24" s="1"/>
  <c r="I179" i="29"/>
  <c r="K179" i="29" s="1"/>
  <c r="M56" i="29"/>
  <c r="O56" i="29" s="1"/>
  <c r="I66" i="24"/>
  <c r="M66" i="24" s="1"/>
  <c r="M69" i="29"/>
  <c r="N69" i="29" s="1"/>
  <c r="I98" i="24"/>
  <c r="M98" i="24" s="1"/>
  <c r="M101" i="29"/>
  <c r="O101" i="29" s="1"/>
  <c r="M31" i="29"/>
  <c r="N31" i="29" s="1"/>
  <c r="J5" i="29"/>
  <c r="G211" i="28"/>
  <c r="M211" i="28" s="1"/>
  <c r="I112" i="29"/>
  <c r="J112" i="29" s="1"/>
  <c r="I136" i="28"/>
  <c r="Q248" i="29"/>
  <c r="R248" i="29" s="1"/>
  <c r="F157" i="28"/>
  <c r="E28" i="29"/>
  <c r="F28" i="29" s="1"/>
  <c r="I112" i="28"/>
  <c r="Q96" i="29"/>
  <c r="R96" i="29" s="1"/>
  <c r="S308" i="29"/>
  <c r="R308" i="29"/>
  <c r="F265" i="29"/>
  <c r="G265" i="29"/>
  <c r="R327" i="29"/>
  <c r="S327" i="29"/>
  <c r="G288" i="29"/>
  <c r="F288" i="29"/>
  <c r="R232" i="29"/>
  <c r="S232" i="29"/>
  <c r="K256" i="29"/>
  <c r="J256" i="29"/>
  <c r="N186" i="29"/>
  <c r="O186" i="29"/>
  <c r="F194" i="29"/>
  <c r="G194" i="29"/>
  <c r="S227" i="29"/>
  <c r="R227" i="29"/>
  <c r="O262" i="29"/>
  <c r="N262" i="29"/>
  <c r="G229" i="29"/>
  <c r="F229" i="29"/>
  <c r="O214" i="29"/>
  <c r="N214" i="29"/>
  <c r="F299" i="29"/>
  <c r="G299" i="29"/>
  <c r="K180" i="29"/>
  <c r="J180" i="29"/>
  <c r="F289" i="29"/>
  <c r="G289" i="29"/>
  <c r="G224" i="29"/>
  <c r="F224" i="29"/>
  <c r="R258" i="29"/>
  <c r="S258" i="29"/>
  <c r="J225" i="29"/>
  <c r="K225" i="29"/>
  <c r="S212" i="29"/>
  <c r="R212" i="29"/>
  <c r="G170" i="29"/>
  <c r="F170" i="29"/>
  <c r="J286" i="29"/>
  <c r="S141" i="29"/>
  <c r="R141" i="29"/>
  <c r="S178" i="29"/>
  <c r="R178" i="29"/>
  <c r="F282" i="29"/>
  <c r="G282" i="29"/>
  <c r="O219" i="29"/>
  <c r="N219" i="29"/>
  <c r="S142" i="29"/>
  <c r="R142" i="29"/>
  <c r="J302" i="29"/>
  <c r="K302" i="29"/>
  <c r="G149" i="29"/>
  <c r="F149" i="29"/>
  <c r="J128" i="29"/>
  <c r="K128" i="29"/>
  <c r="S161" i="29"/>
  <c r="R161" i="29"/>
  <c r="K181" i="29"/>
  <c r="J181" i="29"/>
  <c r="O34" i="29"/>
  <c r="N34" i="29"/>
  <c r="R201" i="29"/>
  <c r="S201" i="29"/>
  <c r="O143" i="29"/>
  <c r="N143" i="29"/>
  <c r="J236" i="29"/>
  <c r="K236" i="29"/>
  <c r="F184" i="29"/>
  <c r="G184" i="29"/>
  <c r="F112" i="29"/>
  <c r="G112" i="29"/>
  <c r="J222" i="29"/>
  <c r="K222" i="29"/>
  <c r="J137" i="29"/>
  <c r="K137" i="29"/>
  <c r="J12" i="29"/>
  <c r="K12" i="29"/>
  <c r="J178" i="29"/>
  <c r="K49" i="29"/>
  <c r="J49" i="29"/>
  <c r="J131" i="29"/>
  <c r="K131" i="29"/>
  <c r="O72" i="29"/>
  <c r="G121" i="29"/>
  <c r="F121" i="29"/>
  <c r="S217" i="29"/>
  <c r="G139" i="29"/>
  <c r="K94" i="29"/>
  <c r="J94" i="29"/>
  <c r="R58" i="29"/>
  <c r="S58" i="29"/>
  <c r="F254" i="29"/>
  <c r="G254" i="29"/>
  <c r="J65" i="29"/>
  <c r="K65" i="29"/>
  <c r="O105" i="29"/>
  <c r="N105" i="29"/>
  <c r="S66" i="29"/>
  <c r="R66" i="29"/>
  <c r="O16" i="29"/>
  <c r="N16" i="29"/>
  <c r="O103" i="29"/>
  <c r="N103" i="29"/>
  <c r="F128" i="29"/>
  <c r="F113" i="28"/>
  <c r="E97" i="29"/>
  <c r="G97" i="29" s="1"/>
  <c r="J272" i="29"/>
  <c r="K272" i="29"/>
  <c r="F305" i="29"/>
  <c r="G305" i="29"/>
  <c r="K238" i="29"/>
  <c r="J238" i="29"/>
  <c r="G167" i="29"/>
  <c r="F167" i="29"/>
  <c r="M48" i="29"/>
  <c r="O48" i="29" s="1"/>
  <c r="H41" i="28"/>
  <c r="M174" i="29"/>
  <c r="N174" i="29" s="1"/>
  <c r="S276" i="29"/>
  <c r="R276" i="29"/>
  <c r="S235" i="29"/>
  <c r="R235" i="29"/>
  <c r="K116" i="29"/>
  <c r="J116" i="29"/>
  <c r="J113" i="29"/>
  <c r="K113" i="29"/>
  <c r="G95" i="28"/>
  <c r="N95" i="28" s="1"/>
  <c r="I79" i="29"/>
  <c r="K79" i="29" s="1"/>
  <c r="J271" i="29"/>
  <c r="K271" i="29"/>
  <c r="J291" i="29"/>
  <c r="K291" i="29"/>
  <c r="N151" i="29"/>
  <c r="O151" i="29"/>
  <c r="R140" i="29"/>
  <c r="S140" i="29"/>
  <c r="R233" i="29"/>
  <c r="S233" i="29"/>
  <c r="K36" i="29"/>
  <c r="J36" i="29"/>
  <c r="R169" i="29"/>
  <c r="S169" i="29"/>
  <c r="G226" i="29"/>
  <c r="F226" i="29"/>
  <c r="J250" i="29"/>
  <c r="K250" i="29"/>
  <c r="S316" i="29"/>
  <c r="R316" i="29"/>
  <c r="F51" i="29"/>
  <c r="G51" i="29"/>
  <c r="H48" i="28"/>
  <c r="O48" i="28" s="1"/>
  <c r="M155" i="29"/>
  <c r="O155" i="29" s="1"/>
  <c r="J70" i="24"/>
  <c r="N70" i="24" s="1"/>
  <c r="F231" i="28"/>
  <c r="Q259" i="29"/>
  <c r="S259" i="29" s="1"/>
  <c r="G175" i="28"/>
  <c r="I46" i="29"/>
  <c r="J46" i="29" s="1"/>
  <c r="G112" i="24"/>
  <c r="K112" i="24" s="1"/>
  <c r="E115" i="29"/>
  <c r="F115" i="29" s="1"/>
  <c r="I117" i="24"/>
  <c r="M117" i="24" s="1"/>
  <c r="M120" i="29"/>
  <c r="J267" i="29"/>
  <c r="K267" i="29"/>
  <c r="S155" i="29"/>
  <c r="R155" i="29"/>
  <c r="K145" i="29"/>
  <c r="J145" i="29"/>
  <c r="O332" i="29"/>
  <c r="N332" i="29"/>
  <c r="S51" i="29"/>
  <c r="R51" i="29"/>
  <c r="F21" i="29"/>
  <c r="G21" i="29"/>
  <c r="J155" i="24"/>
  <c r="N155" i="24" s="1"/>
  <c r="G83" i="28"/>
  <c r="F140" i="28"/>
  <c r="I58" i="29"/>
  <c r="J58" i="29" s="1"/>
  <c r="F159" i="28"/>
  <c r="E30" i="29"/>
  <c r="G144" i="24"/>
  <c r="K144" i="24" s="1"/>
  <c r="E147" i="29"/>
  <c r="F147" i="29" s="1"/>
  <c r="I70" i="29"/>
  <c r="K70" i="29" s="1"/>
  <c r="F310" i="29"/>
  <c r="G310" i="29"/>
  <c r="G198" i="29"/>
  <c r="F198" i="29"/>
  <c r="R171" i="29"/>
  <c r="S171" i="29"/>
  <c r="S124" i="29"/>
  <c r="R124" i="29"/>
  <c r="G34" i="29"/>
  <c r="F34" i="29"/>
  <c r="J52" i="29"/>
  <c r="K52" i="29"/>
  <c r="G206" i="29"/>
  <c r="F206" i="29"/>
  <c r="J183" i="29"/>
  <c r="K183" i="29"/>
  <c r="K33" i="29"/>
  <c r="J33" i="29"/>
  <c r="I189" i="28"/>
  <c r="I32" i="28"/>
  <c r="O32" i="28" s="1"/>
  <c r="I25" i="29"/>
  <c r="J25" i="29" s="1"/>
  <c r="I96" i="24"/>
  <c r="M96" i="24" s="1"/>
  <c r="M99" i="29"/>
  <c r="N99" i="29" s="1"/>
  <c r="I37" i="24"/>
  <c r="M37" i="24" s="1"/>
  <c r="M40" i="29"/>
  <c r="O40" i="29" s="1"/>
  <c r="F308" i="29"/>
  <c r="G308" i="29"/>
  <c r="J242" i="29"/>
  <c r="K242" i="29"/>
  <c r="H251" i="24"/>
  <c r="L251" i="24" s="1"/>
  <c r="H35" i="28"/>
  <c r="M168" i="29"/>
  <c r="N168" i="29" s="1"/>
  <c r="H117" i="24"/>
  <c r="L117" i="24" s="1"/>
  <c r="I120" i="29"/>
  <c r="J120" i="29" s="1"/>
  <c r="Q21" i="29"/>
  <c r="S21" i="29" s="1"/>
  <c r="M170" i="29"/>
  <c r="O170" i="29" s="1"/>
  <c r="G184" i="24"/>
  <c r="K184" i="24" s="1"/>
  <c r="G56" i="24"/>
  <c r="K56" i="24" s="1"/>
  <c r="H109" i="28"/>
  <c r="H47" i="24"/>
  <c r="L47" i="24" s="1"/>
  <c r="H57" i="24"/>
  <c r="L57" i="24" s="1"/>
  <c r="G49" i="28"/>
  <c r="I45" i="24"/>
  <c r="M45" i="24" s="1"/>
  <c r="I111" i="28"/>
  <c r="I89" i="28"/>
  <c r="M21" i="28"/>
  <c r="J175" i="24"/>
  <c r="N175" i="24" s="1"/>
  <c r="F55" i="28"/>
  <c r="K22" i="28"/>
  <c r="I141" i="28"/>
  <c r="I101" i="28"/>
  <c r="Q85" i="29"/>
  <c r="R85" i="29" s="1"/>
  <c r="J174" i="24"/>
  <c r="N174" i="24" s="1"/>
  <c r="Q177" i="29"/>
  <c r="S177" i="29" s="1"/>
  <c r="H246" i="24"/>
  <c r="L246" i="24" s="1"/>
  <c r="I248" i="29"/>
  <c r="K248" i="29" s="1"/>
  <c r="H58" i="24"/>
  <c r="L58" i="24" s="1"/>
  <c r="I61" i="29"/>
  <c r="J61" i="29" s="1"/>
  <c r="H225" i="28"/>
  <c r="M126" i="29"/>
  <c r="O126" i="29" s="1"/>
  <c r="G190" i="24"/>
  <c r="K190" i="24" s="1"/>
  <c r="E193" i="29"/>
  <c r="G193" i="29" s="1"/>
  <c r="G251" i="24"/>
  <c r="K251" i="24" s="1"/>
  <c r="E253" i="29"/>
  <c r="F253" i="29" s="1"/>
  <c r="H110" i="28"/>
  <c r="M94" i="29"/>
  <c r="N94" i="29" s="1"/>
  <c r="I154" i="29"/>
  <c r="J154" i="29" s="1"/>
  <c r="M36" i="29"/>
  <c r="N36" i="29" s="1"/>
  <c r="H96" i="24"/>
  <c r="L96" i="24" s="1"/>
  <c r="I99" i="29"/>
  <c r="J99" i="29" s="1"/>
  <c r="I192" i="28"/>
  <c r="Q63" i="29"/>
  <c r="R63" i="29" s="1"/>
  <c r="S324" i="29"/>
  <c r="R324" i="29"/>
  <c r="J321" i="29"/>
  <c r="K321" i="29"/>
  <c r="R265" i="29"/>
  <c r="S265" i="29"/>
  <c r="G327" i="29"/>
  <c r="F327" i="29"/>
  <c r="J281" i="29"/>
  <c r="N232" i="29"/>
  <c r="O232" i="29"/>
  <c r="O256" i="29"/>
  <c r="N256" i="29"/>
  <c r="J194" i="29"/>
  <c r="K194" i="29"/>
  <c r="J227" i="29"/>
  <c r="K227" i="29"/>
  <c r="O278" i="29"/>
  <c r="N278" i="29"/>
  <c r="K229" i="29"/>
  <c r="J229" i="29"/>
  <c r="S214" i="29"/>
  <c r="R214" i="29"/>
  <c r="R299" i="29"/>
  <c r="S299" i="29"/>
  <c r="J209" i="29"/>
  <c r="K209" i="29"/>
  <c r="R180" i="29"/>
  <c r="S180" i="29"/>
  <c r="J289" i="29"/>
  <c r="K289" i="29"/>
  <c r="O224" i="29"/>
  <c r="N224" i="29"/>
  <c r="F274" i="29"/>
  <c r="G274" i="29"/>
  <c r="O225" i="29"/>
  <c r="N225" i="29"/>
  <c r="R244" i="29"/>
  <c r="S244" i="29"/>
  <c r="R157" i="29"/>
  <c r="S157" i="29"/>
  <c r="N282" i="29"/>
  <c r="O282" i="29"/>
  <c r="G219" i="29"/>
  <c r="F219" i="29"/>
  <c r="K144" i="29"/>
  <c r="J144" i="29"/>
  <c r="F177" i="29"/>
  <c r="G177" i="29"/>
  <c r="F84" i="29"/>
  <c r="G84" i="29"/>
  <c r="S134" i="29"/>
  <c r="R134" i="29"/>
  <c r="F201" i="29"/>
  <c r="G201" i="29"/>
  <c r="O236" i="29"/>
  <c r="N236" i="29"/>
  <c r="R27" i="29"/>
  <c r="S27" i="29"/>
  <c r="S192" i="29"/>
  <c r="R192" i="29"/>
  <c r="F41" i="29"/>
  <c r="G41" i="29"/>
  <c r="S222" i="29"/>
  <c r="R222" i="29"/>
  <c r="J173" i="29"/>
  <c r="K173" i="29"/>
  <c r="F12" i="29"/>
  <c r="G12" i="29"/>
  <c r="O50" i="29"/>
  <c r="K135" i="29"/>
  <c r="J135" i="29"/>
  <c r="N49" i="29"/>
  <c r="O49" i="29"/>
  <c r="G119" i="29"/>
  <c r="F119" i="29"/>
  <c r="F58" i="29"/>
  <c r="G58" i="29"/>
  <c r="N135" i="29"/>
  <c r="O135" i="29"/>
  <c r="G172" i="29"/>
  <c r="F172" i="29"/>
  <c r="O301" i="29"/>
  <c r="N301" i="29"/>
  <c r="J66" i="29"/>
  <c r="K66" i="29"/>
  <c r="G256" i="24"/>
  <c r="K256" i="24" s="1"/>
  <c r="I123" i="24"/>
  <c r="M123" i="24" s="1"/>
  <c r="G252" i="24"/>
  <c r="K252" i="24" s="1"/>
  <c r="G34" i="24"/>
  <c r="K34" i="24" s="1"/>
  <c r="G47" i="28"/>
  <c r="H50" i="28"/>
  <c r="H158" i="24"/>
  <c r="L158" i="24" s="1"/>
  <c r="I91" i="28"/>
  <c r="I158" i="24"/>
  <c r="M158" i="24" s="1"/>
  <c r="I45" i="28"/>
  <c r="J46" i="24"/>
  <c r="N46" i="24" s="1"/>
  <c r="H54" i="28"/>
  <c r="F143" i="28"/>
  <c r="H162" i="24"/>
  <c r="L162" i="24" s="1"/>
  <c r="G199" i="28"/>
  <c r="M199" i="28" s="1"/>
  <c r="G32" i="28"/>
  <c r="M32" i="28" s="1"/>
  <c r="G139" i="28"/>
  <c r="J149" i="24"/>
  <c r="N149" i="24" s="1"/>
  <c r="G178" i="24"/>
  <c r="K178" i="24" s="1"/>
  <c r="G219" i="28"/>
  <c r="H127" i="24"/>
  <c r="L127" i="24" s="1"/>
  <c r="H121" i="24"/>
  <c r="L121" i="24" s="1"/>
  <c r="H53" i="28"/>
  <c r="I91" i="24"/>
  <c r="M91" i="24" s="1"/>
  <c r="I171" i="24"/>
  <c r="M171" i="24" s="1"/>
  <c r="H23" i="24"/>
  <c r="L23" i="24" s="1"/>
  <c r="J148" i="24"/>
  <c r="N148" i="24" s="1"/>
  <c r="G204" i="28"/>
  <c r="H240" i="28"/>
  <c r="F142" i="28"/>
  <c r="G190" i="28"/>
  <c r="I234" i="28"/>
  <c r="H174" i="24"/>
  <c r="L174" i="24" s="1"/>
  <c r="I178" i="28"/>
  <c r="H165" i="24"/>
  <c r="L165" i="24" s="1"/>
  <c r="G196" i="28"/>
  <c r="I250" i="28"/>
  <c r="I206" i="28"/>
  <c r="H38" i="28"/>
  <c r="H151" i="24"/>
  <c r="L151" i="24" s="1"/>
  <c r="G183" i="28"/>
  <c r="H97" i="24"/>
  <c r="L97" i="24" s="1"/>
  <c r="I170" i="24"/>
  <c r="M170" i="24" s="1"/>
  <c r="I94" i="28"/>
  <c r="H229" i="28"/>
  <c r="J139" i="24"/>
  <c r="N139" i="24" s="1"/>
  <c r="G194" i="28"/>
  <c r="H105" i="24"/>
  <c r="L105" i="24" s="1"/>
  <c r="J132" i="24"/>
  <c r="N132" i="24" s="1"/>
  <c r="G57" i="24"/>
  <c r="K57" i="24" s="1"/>
  <c r="G99" i="28"/>
  <c r="I78" i="24"/>
  <c r="M78" i="24" s="1"/>
  <c r="H40" i="28"/>
  <c r="H51" i="24"/>
  <c r="L51" i="24" s="1"/>
  <c r="I245" i="28"/>
  <c r="F230" i="28"/>
  <c r="G35" i="28"/>
  <c r="H65" i="24"/>
  <c r="L65" i="24" s="1"/>
  <c r="I127" i="24"/>
  <c r="M127" i="24" s="1"/>
  <c r="I107" i="28"/>
  <c r="I51" i="24"/>
  <c r="M51" i="24" s="1"/>
  <c r="F146" i="28"/>
  <c r="G238" i="28"/>
  <c r="J143" i="24"/>
  <c r="N143" i="24" s="1"/>
  <c r="H64" i="24"/>
  <c r="L64" i="24" s="1"/>
  <c r="H80" i="24"/>
  <c r="L80" i="24" s="1"/>
  <c r="G155" i="28"/>
  <c r="G197" i="28"/>
  <c r="M197" i="28" s="1"/>
  <c r="H184" i="28"/>
  <c r="I146" i="28"/>
  <c r="G64" i="24"/>
  <c r="K64" i="24" s="1"/>
  <c r="I177" i="28"/>
  <c r="O177" i="28" s="1"/>
  <c r="J63" i="24"/>
  <c r="N63" i="24" s="1"/>
  <c r="G62" i="24"/>
  <c r="K62" i="24" s="1"/>
  <c r="H101" i="24"/>
  <c r="L101" i="24" s="1"/>
  <c r="I98" i="28"/>
  <c r="I52" i="24"/>
  <c r="M52" i="24" s="1"/>
  <c r="H183" i="28"/>
  <c r="H97" i="28"/>
  <c r="I133" i="24"/>
  <c r="M133" i="24" s="1"/>
  <c r="I82" i="24"/>
  <c r="M82" i="24" s="1"/>
  <c r="F5" i="29"/>
  <c r="H133" i="24"/>
  <c r="L133" i="24" s="1"/>
  <c r="H82" i="28"/>
  <c r="H119" i="24"/>
  <c r="L119" i="24" s="1"/>
  <c r="I69" i="24"/>
  <c r="M69" i="24" s="1"/>
  <c r="G170" i="28"/>
  <c r="G36" i="28"/>
  <c r="G167" i="28"/>
  <c r="H120" i="24"/>
  <c r="L120" i="24" s="1"/>
  <c r="I205" i="28"/>
  <c r="G69" i="28"/>
  <c r="J134" i="24"/>
  <c r="N134" i="24" s="1"/>
  <c r="G37" i="28"/>
  <c r="N37" i="28" s="1"/>
  <c r="G100" i="28"/>
  <c r="M100" i="28" s="1"/>
  <c r="H104" i="28"/>
  <c r="H93" i="28"/>
  <c r="H87" i="28"/>
  <c r="G53" i="28"/>
  <c r="F78" i="28"/>
  <c r="G220" i="28"/>
  <c r="N220" i="28" s="1"/>
  <c r="H88" i="28"/>
  <c r="I107" i="24"/>
  <c r="M107" i="24" s="1"/>
  <c r="H167" i="24"/>
  <c r="L167" i="24" s="1"/>
  <c r="I110" i="28"/>
  <c r="H166" i="24"/>
  <c r="L166" i="24" s="1"/>
  <c r="G222" i="28"/>
  <c r="J133" i="24"/>
  <c r="N133" i="24" s="1"/>
  <c r="J256" i="24"/>
  <c r="N256" i="24" s="1"/>
  <c r="G221" i="28"/>
  <c r="H81" i="24"/>
  <c r="L81" i="24" s="1"/>
  <c r="H224" i="28"/>
  <c r="I68" i="24"/>
  <c r="M68" i="24" s="1"/>
  <c r="H157" i="24"/>
  <c r="L157" i="24" s="1"/>
  <c r="I31" i="24"/>
  <c r="M31" i="24" s="1"/>
  <c r="G257" i="24"/>
  <c r="K257" i="24" s="1"/>
  <c r="G235" i="28"/>
  <c r="H175" i="24"/>
  <c r="L175" i="24" s="1"/>
  <c r="H159" i="24"/>
  <c r="L159" i="24" s="1"/>
  <c r="I190" i="24"/>
  <c r="M190" i="24" s="1"/>
  <c r="F232" i="28"/>
  <c r="H236" i="28"/>
  <c r="H43" i="28"/>
  <c r="I81" i="28"/>
  <c r="N81" i="28" s="1"/>
  <c r="G234" i="28"/>
  <c r="H84" i="28"/>
  <c r="H139" i="24"/>
  <c r="L139" i="24" s="1"/>
  <c r="G154" i="28"/>
  <c r="H131" i="24"/>
  <c r="L131" i="24" s="1"/>
  <c r="G185" i="24"/>
  <c r="K185" i="24" s="1"/>
  <c r="H132" i="24"/>
  <c r="L132" i="24" s="1"/>
  <c r="J187" i="24"/>
  <c r="N187" i="24" s="1"/>
  <c r="J91" i="24"/>
  <c r="N91" i="24" s="1"/>
  <c r="G58" i="24"/>
  <c r="K58" i="24" s="1"/>
  <c r="I74" i="24"/>
  <c r="M74" i="24" s="1"/>
  <c r="I122" i="24"/>
  <c r="M122" i="24" s="1"/>
  <c r="H22" i="24"/>
  <c r="L22" i="24" s="1"/>
  <c r="G236" i="28"/>
  <c r="I237" i="28"/>
  <c r="G169" i="28"/>
  <c r="G230" i="28"/>
  <c r="I236" i="28"/>
  <c r="F147" i="28"/>
  <c r="G205" i="28"/>
  <c r="F195" i="28"/>
  <c r="H19" i="24"/>
  <c r="L19" i="24" s="1"/>
  <c r="H128" i="24"/>
  <c r="L128" i="24" s="1"/>
  <c r="H103" i="28"/>
  <c r="H250" i="24"/>
  <c r="L250" i="24" s="1"/>
  <c r="H134" i="24"/>
  <c r="L134" i="24" s="1"/>
  <c r="I85" i="24"/>
  <c r="M85" i="24" s="1"/>
  <c r="H37" i="24"/>
  <c r="L37" i="24" s="1"/>
  <c r="G59" i="24"/>
  <c r="K59" i="24" s="1"/>
  <c r="I84" i="24"/>
  <c r="M84" i="24" s="1"/>
  <c r="I157" i="24"/>
  <c r="M157" i="24" s="1"/>
  <c r="I248" i="28"/>
  <c r="I173" i="24"/>
  <c r="M173" i="24" s="1"/>
  <c r="J121" i="28"/>
  <c r="K108" i="19"/>
  <c r="J61" i="28"/>
  <c r="L13" i="28"/>
  <c r="L24" i="28"/>
  <c r="L132" i="28"/>
  <c r="J62" i="28"/>
  <c r="L25" i="28"/>
  <c r="L62" i="28"/>
  <c r="N132" i="28"/>
  <c r="L26" i="28"/>
  <c r="K252" i="28"/>
  <c r="L6" i="28"/>
  <c r="J252" i="28"/>
  <c r="K26" i="28"/>
  <c r="J255" i="28"/>
  <c r="L10" i="28"/>
  <c r="L68" i="28"/>
  <c r="L254" i="28"/>
  <c r="J6" i="28"/>
  <c r="K254" i="28"/>
  <c r="I148" i="28"/>
  <c r="I147" i="28"/>
  <c r="I245" i="24"/>
  <c r="M245" i="24" s="1"/>
  <c r="J257" i="24"/>
  <c r="N257" i="24" s="1"/>
  <c r="H34" i="24"/>
  <c r="L34" i="24" s="1"/>
  <c r="I145" i="28"/>
  <c r="L31" i="28"/>
  <c r="G166" i="28"/>
  <c r="G85" i="28"/>
  <c r="M85" i="28" s="1"/>
  <c r="H66" i="24"/>
  <c r="L66" i="24" s="1"/>
  <c r="G254" i="24"/>
  <c r="K254" i="24" s="1"/>
  <c r="I254" i="24"/>
  <c r="M254" i="24" s="1"/>
  <c r="H144" i="28"/>
  <c r="J254" i="24"/>
  <c r="N254" i="24" s="1"/>
  <c r="G250" i="24"/>
  <c r="K250" i="24" s="1"/>
  <c r="G149" i="28"/>
  <c r="G146" i="24"/>
  <c r="K146" i="24" s="1"/>
  <c r="G158" i="28"/>
  <c r="J251" i="24"/>
  <c r="N251" i="24" s="1"/>
  <c r="G48" i="24"/>
  <c r="K48" i="24" s="1"/>
  <c r="L59" i="28"/>
  <c r="N252" i="28"/>
  <c r="H26" i="24"/>
  <c r="L26" i="24" s="1"/>
  <c r="L255" i="28"/>
  <c r="F144" i="28"/>
  <c r="H259" i="24"/>
  <c r="L259" i="24" s="1"/>
  <c r="I250" i="24"/>
  <c r="M250" i="24" s="1"/>
  <c r="I140" i="28"/>
  <c r="H140" i="28"/>
  <c r="I255" i="24"/>
  <c r="M255" i="24" s="1"/>
  <c r="I144" i="28"/>
  <c r="I251" i="24"/>
  <c r="M251" i="24" s="1"/>
  <c r="I138" i="28"/>
  <c r="I142" i="28"/>
  <c r="I143" i="28"/>
  <c r="G142" i="28"/>
  <c r="J245" i="24"/>
  <c r="N245" i="24" s="1"/>
  <c r="H255" i="24"/>
  <c r="L255" i="24" s="1"/>
  <c r="H145" i="28"/>
  <c r="G147" i="28"/>
  <c r="I249" i="24"/>
  <c r="M249" i="24" s="1"/>
  <c r="I135" i="28"/>
  <c r="G173" i="28"/>
  <c r="H138" i="28"/>
  <c r="H141" i="28"/>
  <c r="I139" i="28"/>
  <c r="I247" i="24"/>
  <c r="M247" i="24" s="1"/>
  <c r="H137" i="28"/>
  <c r="J255" i="24"/>
  <c r="N255" i="24" s="1"/>
  <c r="H146" i="28"/>
  <c r="H254" i="24"/>
  <c r="L254" i="24" s="1"/>
  <c r="H257" i="24"/>
  <c r="L257" i="24" s="1"/>
  <c r="G144" i="28"/>
  <c r="G145" i="28"/>
  <c r="I137" i="28"/>
  <c r="I256" i="24"/>
  <c r="M256" i="24" s="1"/>
  <c r="J252" i="24"/>
  <c r="N252" i="24" s="1"/>
  <c r="H143" i="28"/>
  <c r="H142" i="28"/>
  <c r="G143" i="28"/>
  <c r="P59" i="28"/>
  <c r="I252" i="24"/>
  <c r="M252" i="24" s="1"/>
  <c r="I258" i="24"/>
  <c r="M258" i="24" s="1"/>
  <c r="L128" i="28"/>
  <c r="I149" i="28"/>
  <c r="I246" i="24"/>
  <c r="M246" i="24" s="1"/>
  <c r="H139" i="28"/>
  <c r="N120" i="28"/>
  <c r="H135" i="28"/>
  <c r="H136" i="28"/>
  <c r="L120" i="28"/>
  <c r="I259" i="24"/>
  <c r="M259" i="24" s="1"/>
  <c r="G136" i="28"/>
  <c r="G137" i="28"/>
  <c r="H249" i="24"/>
  <c r="L249" i="24" s="1"/>
  <c r="H248" i="24"/>
  <c r="L248" i="24" s="1"/>
  <c r="G134" i="28"/>
  <c r="H244" i="24"/>
  <c r="L244" i="24" s="1"/>
  <c r="F141" i="28"/>
  <c r="F135" i="28"/>
  <c r="F136" i="28"/>
  <c r="F137" i="28"/>
  <c r="J253" i="28"/>
  <c r="F138" i="28"/>
  <c r="J133" i="28"/>
  <c r="M23" i="28"/>
  <c r="M133" i="28"/>
  <c r="H82" i="24"/>
  <c r="L82" i="24" s="1"/>
  <c r="J115" i="28"/>
  <c r="G56" i="28"/>
  <c r="K125" i="28"/>
  <c r="H110" i="24"/>
  <c r="L110" i="24" s="1"/>
  <c r="I159" i="24"/>
  <c r="M159" i="24" s="1"/>
  <c r="J126" i="24"/>
  <c r="N126" i="24" s="1"/>
  <c r="G91" i="28"/>
  <c r="H25" i="24"/>
  <c r="L25" i="24" s="1"/>
  <c r="L125" i="28"/>
  <c r="J256" i="28"/>
  <c r="L256" i="28"/>
  <c r="H122" i="24"/>
  <c r="L122" i="24" s="1"/>
  <c r="H105" i="28"/>
  <c r="G224" i="28"/>
  <c r="L126" i="28"/>
  <c r="G209" i="28"/>
  <c r="H161" i="24"/>
  <c r="L161" i="24" s="1"/>
  <c r="I150" i="24"/>
  <c r="M150" i="24" s="1"/>
  <c r="G157" i="28"/>
  <c r="H78" i="24"/>
  <c r="L78" i="24" s="1"/>
  <c r="H114" i="24"/>
  <c r="L114" i="24" s="1"/>
  <c r="G70" i="28"/>
  <c r="O122" i="28"/>
  <c r="J129" i="28"/>
  <c r="H106" i="24"/>
  <c r="L106" i="24" s="1"/>
  <c r="H74" i="24"/>
  <c r="L74" i="24" s="1"/>
  <c r="H93" i="24"/>
  <c r="L93" i="24" s="1"/>
  <c r="G208" i="28"/>
  <c r="G71" i="28"/>
  <c r="H177" i="24"/>
  <c r="L177" i="24" s="1"/>
  <c r="H138" i="24"/>
  <c r="L138" i="24" s="1"/>
  <c r="G200" i="28"/>
  <c r="M200" i="28" s="1"/>
  <c r="F248" i="28"/>
  <c r="G93" i="28"/>
  <c r="G240" i="28"/>
  <c r="J12" i="28"/>
  <c r="H98" i="24"/>
  <c r="L98" i="24" s="1"/>
  <c r="G57" i="28"/>
  <c r="I57" i="28"/>
  <c r="P252" i="28"/>
  <c r="N22" i="28"/>
  <c r="O22" i="28"/>
  <c r="P22" i="28"/>
  <c r="M66" i="28"/>
  <c r="J27" i="28"/>
  <c r="P67" i="28"/>
  <c r="I222" i="28"/>
  <c r="G162" i="28"/>
  <c r="H30" i="24"/>
  <c r="L30" i="24" s="1"/>
  <c r="J132" i="28"/>
  <c r="M252" i="28"/>
  <c r="M132" i="28"/>
  <c r="M253" i="28"/>
  <c r="M22" i="28"/>
  <c r="G30" i="24"/>
  <c r="K30" i="24" s="1"/>
  <c r="J22" i="28"/>
  <c r="F110" i="28"/>
  <c r="F243" i="28"/>
  <c r="K59" i="28"/>
  <c r="H74" i="28"/>
  <c r="G212" i="28"/>
  <c r="F180" i="28"/>
  <c r="I64" i="24"/>
  <c r="M64" i="24" s="1"/>
  <c r="H71" i="28"/>
  <c r="H111" i="24"/>
  <c r="L111" i="24" s="1"/>
  <c r="G174" i="28"/>
  <c r="H196" i="28"/>
  <c r="H42" i="24"/>
  <c r="L42" i="24" s="1"/>
  <c r="G250" i="28"/>
  <c r="F85" i="28"/>
  <c r="H148" i="24"/>
  <c r="L148" i="24" s="1"/>
  <c r="L131" i="28"/>
  <c r="O67" i="28"/>
  <c r="L12" i="28"/>
  <c r="H160" i="24"/>
  <c r="L160" i="24" s="1"/>
  <c r="L58" i="28"/>
  <c r="G181" i="28"/>
  <c r="J28" i="28"/>
  <c r="I60" i="24"/>
  <c r="M60" i="24" s="1"/>
  <c r="O59" i="28"/>
  <c r="P132" i="28"/>
  <c r="H41" i="24"/>
  <c r="L41" i="24" s="1"/>
  <c r="K261" i="28"/>
  <c r="K100" i="19"/>
  <c r="K129" i="28"/>
  <c r="H193" i="28"/>
  <c r="H88" i="24"/>
  <c r="L88" i="24" s="1"/>
  <c r="H192" i="28"/>
  <c r="I58" i="24"/>
  <c r="M58" i="24" s="1"/>
  <c r="I22" i="24"/>
  <c r="M22" i="24" s="1"/>
  <c r="I115" i="24"/>
  <c r="M115" i="24" s="1"/>
  <c r="I93" i="24"/>
  <c r="M93" i="24" s="1"/>
  <c r="I77" i="24"/>
  <c r="M77" i="24" s="1"/>
  <c r="I105" i="24"/>
  <c r="M105" i="24" s="1"/>
  <c r="I93" i="28"/>
  <c r="M254" i="28"/>
  <c r="J38" i="24"/>
  <c r="N38" i="24" s="1"/>
  <c r="I131" i="24"/>
  <c r="M131" i="24" s="1"/>
  <c r="H179" i="28"/>
  <c r="H173" i="28"/>
  <c r="O252" i="28"/>
  <c r="H203" i="28"/>
  <c r="H217" i="28"/>
  <c r="I129" i="24"/>
  <c r="M129" i="24" s="1"/>
  <c r="I180" i="24"/>
  <c r="M180" i="24" s="1"/>
  <c r="I41" i="24"/>
  <c r="M41" i="24" s="1"/>
  <c r="H248" i="28"/>
  <c r="I203" i="28"/>
  <c r="N253" i="28"/>
  <c r="G97" i="28"/>
  <c r="J101" i="24"/>
  <c r="N101" i="24" s="1"/>
  <c r="I168" i="28"/>
  <c r="I135" i="24"/>
  <c r="M135" i="24" s="1"/>
  <c r="K133" i="28"/>
  <c r="H52" i="24"/>
  <c r="L52" i="24" s="1"/>
  <c r="G239" i="28"/>
  <c r="I161" i="24"/>
  <c r="M161" i="24" s="1"/>
  <c r="J182" i="24"/>
  <c r="N182" i="24" s="1"/>
  <c r="G184" i="28"/>
  <c r="P133" i="28"/>
  <c r="G110" i="28"/>
  <c r="I228" i="28"/>
  <c r="I21" i="24"/>
  <c r="M21" i="24" s="1"/>
  <c r="J48" i="24"/>
  <c r="N48" i="24" s="1"/>
  <c r="J36" i="24"/>
  <c r="N36" i="24" s="1"/>
  <c r="J259" i="28"/>
  <c r="I25" i="24"/>
  <c r="M25" i="24" s="1"/>
  <c r="H201" i="28"/>
  <c r="I217" i="28"/>
  <c r="H202" i="28"/>
  <c r="H233" i="28"/>
  <c r="H157" i="28"/>
  <c r="H231" i="28"/>
  <c r="I99" i="24"/>
  <c r="M99" i="24" s="1"/>
  <c r="I100" i="24"/>
  <c r="M100" i="24" s="1"/>
  <c r="H69" i="28"/>
  <c r="H153" i="28"/>
  <c r="I88" i="24"/>
  <c r="M88" i="24" s="1"/>
  <c r="H107" i="28"/>
  <c r="I88" i="28"/>
  <c r="H181" i="28"/>
  <c r="H73" i="28"/>
  <c r="I145" i="24"/>
  <c r="M145" i="24" s="1"/>
  <c r="I179" i="24"/>
  <c r="M179" i="24" s="1"/>
  <c r="H96" i="28"/>
  <c r="N65" i="28"/>
  <c r="H91" i="28"/>
  <c r="H190" i="28"/>
  <c r="G225" i="28"/>
  <c r="H112" i="28"/>
  <c r="L15" i="28"/>
  <c r="J63" i="28"/>
  <c r="K67" i="28"/>
  <c r="F98" i="28"/>
  <c r="F227" i="28"/>
  <c r="K227" i="28" s="1"/>
  <c r="C271" i="28"/>
  <c r="H171" i="28"/>
  <c r="H195" i="28"/>
  <c r="I39" i="24"/>
  <c r="M39" i="24" s="1"/>
  <c r="G114" i="28"/>
  <c r="L121" i="28"/>
  <c r="H95" i="24"/>
  <c r="L95" i="24" s="1"/>
  <c r="H69" i="24"/>
  <c r="L69" i="24" s="1"/>
  <c r="J60" i="28"/>
  <c r="K131" i="28"/>
  <c r="G88" i="28"/>
  <c r="L63" i="28"/>
  <c r="P31" i="28"/>
  <c r="J35" i="24"/>
  <c r="N35" i="24" s="1"/>
  <c r="I36" i="28"/>
  <c r="J110" i="24"/>
  <c r="N110" i="24" s="1"/>
  <c r="J32" i="24"/>
  <c r="N32" i="24" s="1"/>
  <c r="J33" i="24"/>
  <c r="N33" i="24" s="1"/>
  <c r="J116" i="24"/>
  <c r="N116" i="24" s="1"/>
  <c r="J166" i="24"/>
  <c r="N166" i="24" s="1"/>
  <c r="I181" i="28"/>
  <c r="I73" i="28"/>
  <c r="J163" i="24"/>
  <c r="N163" i="24" s="1"/>
  <c r="I240" i="28"/>
  <c r="I63" i="24"/>
  <c r="M63" i="24" s="1"/>
  <c r="I152" i="28"/>
  <c r="J117" i="28"/>
  <c r="I223" i="28"/>
  <c r="I20" i="24"/>
  <c r="M20" i="24" s="1"/>
  <c r="J66" i="24"/>
  <c r="N66" i="24" s="1"/>
  <c r="M5" i="28"/>
  <c r="J138" i="24"/>
  <c r="N138" i="24" s="1"/>
  <c r="J51" i="24"/>
  <c r="N51" i="24" s="1"/>
  <c r="I36" i="24"/>
  <c r="M36" i="24" s="1"/>
  <c r="O15" i="28"/>
  <c r="O31" i="28"/>
  <c r="M115" i="28"/>
  <c r="G177" i="24"/>
  <c r="K177" i="24" s="1"/>
  <c r="K31" i="28"/>
  <c r="H180" i="24"/>
  <c r="L180" i="24" s="1"/>
  <c r="H28" i="24"/>
  <c r="L28" i="24" s="1"/>
  <c r="K5" i="28"/>
  <c r="K121" i="28"/>
  <c r="M31" i="28"/>
  <c r="H92" i="24"/>
  <c r="L92" i="24" s="1"/>
  <c r="G98" i="24"/>
  <c r="K98" i="24" s="1"/>
  <c r="J120" i="28"/>
  <c r="F72" i="28"/>
  <c r="G74" i="28"/>
  <c r="G160" i="28"/>
  <c r="L65" i="28"/>
  <c r="K60" i="28"/>
  <c r="G96" i="24"/>
  <c r="K96" i="24" s="1"/>
  <c r="H249" i="28"/>
  <c r="F177" i="28"/>
  <c r="L119" i="28"/>
  <c r="F200" i="28"/>
  <c r="H77" i="28"/>
  <c r="N61" i="28"/>
  <c r="K65" i="28"/>
  <c r="K12" i="28"/>
  <c r="H32" i="24"/>
  <c r="L32" i="24" s="1"/>
  <c r="G45" i="28"/>
  <c r="H164" i="24"/>
  <c r="L164" i="24" s="1"/>
  <c r="J123" i="24"/>
  <c r="N123" i="24" s="1"/>
  <c r="J65" i="28"/>
  <c r="G34" i="28"/>
  <c r="J122" i="24"/>
  <c r="N122" i="24" s="1"/>
  <c r="G50" i="24"/>
  <c r="K50" i="24" s="1"/>
  <c r="C274" i="28"/>
  <c r="O121" i="28"/>
  <c r="G164" i="28"/>
  <c r="I34" i="24"/>
  <c r="M34" i="24" s="1"/>
  <c r="J107" i="24"/>
  <c r="N107" i="24" s="1"/>
  <c r="I174" i="28"/>
  <c r="J106" i="24"/>
  <c r="N106" i="24" s="1"/>
  <c r="I84" i="28"/>
  <c r="I158" i="28"/>
  <c r="I239" i="28"/>
  <c r="J68" i="24"/>
  <c r="N68" i="24" s="1"/>
  <c r="I47" i="24"/>
  <c r="M47" i="24" s="1"/>
  <c r="I79" i="24"/>
  <c r="M79" i="24" s="1"/>
  <c r="I86" i="28"/>
  <c r="I167" i="24"/>
  <c r="M167" i="24" s="1"/>
  <c r="J158" i="24"/>
  <c r="N158" i="24" s="1"/>
  <c r="I54" i="28"/>
  <c r="H37" i="28"/>
  <c r="O37" i="28" s="1"/>
  <c r="L115" i="28"/>
  <c r="I188" i="28"/>
  <c r="I153" i="28"/>
  <c r="O5" i="28"/>
  <c r="K21" i="28"/>
  <c r="J67" i="24"/>
  <c r="N67" i="24" s="1"/>
  <c r="H169" i="28"/>
  <c r="H219" i="28"/>
  <c r="I209" i="28"/>
  <c r="H98" i="28"/>
  <c r="H237" i="28"/>
  <c r="J65" i="24"/>
  <c r="N65" i="24" s="1"/>
  <c r="I229" i="28"/>
  <c r="O125" i="28"/>
  <c r="I157" i="28"/>
  <c r="I183" i="24"/>
  <c r="M183" i="24" s="1"/>
  <c r="I242" i="28"/>
  <c r="I197" i="28"/>
  <c r="I227" i="28"/>
  <c r="O227" i="28" s="1"/>
  <c r="M121" i="28"/>
  <c r="H238" i="28"/>
  <c r="J159" i="24"/>
  <c r="N159" i="24" s="1"/>
  <c r="J181" i="24"/>
  <c r="N181" i="24" s="1"/>
  <c r="O124" i="28"/>
  <c r="I87" i="28"/>
  <c r="I121" i="24"/>
  <c r="M121" i="24" s="1"/>
  <c r="L127" i="28"/>
  <c r="H223" i="28"/>
  <c r="J124" i="24"/>
  <c r="N124" i="24" s="1"/>
  <c r="I55" i="28"/>
  <c r="J113" i="24"/>
  <c r="N113" i="24" s="1"/>
  <c r="J127" i="24"/>
  <c r="N127" i="24" s="1"/>
  <c r="H76" i="28"/>
  <c r="H168" i="28"/>
  <c r="I215" i="28"/>
  <c r="I100" i="28"/>
  <c r="O100" i="28" s="1"/>
  <c r="K262" i="28"/>
  <c r="I218" i="28"/>
  <c r="I33" i="28"/>
  <c r="I199" i="28"/>
  <c r="I46" i="28"/>
  <c r="N46" i="28" s="1"/>
  <c r="I181" i="24"/>
  <c r="M181" i="24" s="1"/>
  <c r="I202" i="28"/>
  <c r="I175" i="28"/>
  <c r="O262" i="28"/>
  <c r="I99" i="28"/>
  <c r="H53" i="24"/>
  <c r="L53" i="24" s="1"/>
  <c r="J161" i="24"/>
  <c r="N161" i="24" s="1"/>
  <c r="I249" i="28"/>
  <c r="I150" i="28"/>
  <c r="G98" i="28"/>
  <c r="H79" i="24"/>
  <c r="L79" i="24" s="1"/>
  <c r="I212" i="28"/>
  <c r="J64" i="24"/>
  <c r="N64" i="24" s="1"/>
  <c r="I59" i="24"/>
  <c r="M59" i="24" s="1"/>
  <c r="N115" i="28"/>
  <c r="H182" i="24"/>
  <c r="L182" i="24" s="1"/>
  <c r="J96" i="24"/>
  <c r="N96" i="24" s="1"/>
  <c r="J49" i="24"/>
  <c r="N49" i="24" s="1"/>
  <c r="I79" i="28"/>
  <c r="G150" i="28"/>
  <c r="I196" i="28"/>
  <c r="H191" i="28"/>
  <c r="I71" i="28"/>
  <c r="I103" i="24"/>
  <c r="M103" i="24" s="1"/>
  <c r="H242" i="28"/>
  <c r="J147" i="24"/>
  <c r="N147" i="24" s="1"/>
  <c r="J97" i="24"/>
  <c r="N97" i="24" s="1"/>
  <c r="J186" i="24"/>
  <c r="N186" i="24" s="1"/>
  <c r="J81" i="24"/>
  <c r="N81" i="24" s="1"/>
  <c r="M262" i="28"/>
  <c r="I102" i="28"/>
  <c r="I182" i="28"/>
  <c r="I165" i="24"/>
  <c r="M165" i="24" s="1"/>
  <c r="I119" i="24"/>
  <c r="M119" i="24" s="1"/>
  <c r="I161" i="28"/>
  <c r="G87" i="28"/>
  <c r="I101" i="24"/>
  <c r="M101" i="24" s="1"/>
  <c r="J30" i="24"/>
  <c r="N30" i="24" s="1"/>
  <c r="J100" i="24"/>
  <c r="N100" i="24" s="1"/>
  <c r="J177" i="24"/>
  <c r="N177" i="24" s="1"/>
  <c r="H145" i="24"/>
  <c r="L145" i="24" s="1"/>
  <c r="I167" i="28"/>
  <c r="H68" i="24"/>
  <c r="L68" i="24" s="1"/>
  <c r="I165" i="28"/>
  <c r="J43" i="24"/>
  <c r="N43" i="24" s="1"/>
  <c r="J179" i="24"/>
  <c r="N179" i="24" s="1"/>
  <c r="H55" i="28"/>
  <c r="I162" i="28"/>
  <c r="I151" i="28"/>
  <c r="H75" i="24"/>
  <c r="L75" i="24" s="1"/>
  <c r="G145" i="24"/>
  <c r="K145" i="24" s="1"/>
  <c r="G242" i="28"/>
  <c r="L29" i="28"/>
  <c r="I57" i="24"/>
  <c r="M57" i="24" s="1"/>
  <c r="H43" i="24"/>
  <c r="L43" i="24" s="1"/>
  <c r="H184" i="24"/>
  <c r="L184" i="24" s="1"/>
  <c r="G232" i="28"/>
  <c r="I104" i="28"/>
  <c r="I173" i="28"/>
  <c r="H218" i="28"/>
  <c r="I148" i="24"/>
  <c r="M148" i="24" s="1"/>
  <c r="H150" i="28"/>
  <c r="F96" i="28"/>
  <c r="P120" i="28"/>
  <c r="N5" i="28"/>
  <c r="P5" i="28"/>
  <c r="I116" i="24"/>
  <c r="M116" i="24" s="1"/>
  <c r="I183" i="28"/>
  <c r="G247" i="28"/>
  <c r="I210" i="28"/>
  <c r="G78" i="28"/>
  <c r="F71" i="28"/>
  <c r="H250" i="28"/>
  <c r="H189" i="28"/>
  <c r="G106" i="28"/>
  <c r="I225" i="28"/>
  <c r="L5" i="28"/>
  <c r="H146" i="24"/>
  <c r="L146" i="24" s="1"/>
  <c r="N27" i="28"/>
  <c r="I211" i="28"/>
  <c r="G113" i="28"/>
  <c r="F182" i="28"/>
  <c r="H166" i="28"/>
  <c r="I83" i="28"/>
  <c r="H125" i="24"/>
  <c r="L125" i="24" s="1"/>
  <c r="P254" i="28"/>
  <c r="J58" i="24"/>
  <c r="N58" i="24" s="1"/>
  <c r="M131" i="28"/>
  <c r="H234" i="28"/>
  <c r="I132" i="24"/>
  <c r="M132" i="24" s="1"/>
  <c r="M117" i="28"/>
  <c r="H109" i="24"/>
  <c r="L109" i="24" s="1"/>
  <c r="I243" i="28"/>
  <c r="G165" i="28"/>
  <c r="I103" i="28"/>
  <c r="H84" i="24"/>
  <c r="L84" i="24" s="1"/>
  <c r="H182" i="28"/>
  <c r="F216" i="28"/>
  <c r="L258" i="28"/>
  <c r="G114" i="24"/>
  <c r="K114" i="24" s="1"/>
  <c r="I78" i="28"/>
  <c r="H18" i="24"/>
  <c r="L18" i="24" s="1"/>
  <c r="F114" i="28"/>
  <c r="I208" i="28"/>
  <c r="H59" i="24"/>
  <c r="L59" i="24" s="1"/>
  <c r="I226" i="28"/>
  <c r="H33" i="24"/>
  <c r="L33" i="24" s="1"/>
  <c r="I50" i="24"/>
  <c r="M50" i="24" s="1"/>
  <c r="I140" i="24"/>
  <c r="M140" i="24" s="1"/>
  <c r="L8" i="28"/>
  <c r="N64" i="28"/>
  <c r="J258" i="28"/>
  <c r="M259" i="28"/>
  <c r="I216" i="28"/>
  <c r="I160" i="28"/>
  <c r="I90" i="28"/>
  <c r="J99" i="24"/>
  <c r="N99" i="24" s="1"/>
  <c r="I114" i="28"/>
  <c r="I201" i="28"/>
  <c r="I233" i="28"/>
  <c r="I53" i="28"/>
  <c r="I106" i="28"/>
  <c r="I159" i="28"/>
  <c r="I244" i="28"/>
  <c r="I230" i="28"/>
  <c r="P61" i="28"/>
  <c r="I82" i="28"/>
  <c r="J52" i="24"/>
  <c r="N52" i="24" s="1"/>
  <c r="I179" i="28"/>
  <c r="O61" i="28"/>
  <c r="O258" i="28"/>
  <c r="I207" i="28"/>
  <c r="I72" i="28"/>
  <c r="I56" i="28"/>
  <c r="I187" i="28"/>
  <c r="I44" i="28"/>
  <c r="J160" i="24"/>
  <c r="N160" i="24" s="1"/>
  <c r="J180" i="24"/>
  <c r="N180" i="24" s="1"/>
  <c r="N254" i="28"/>
  <c r="I186" i="28"/>
  <c r="J117" i="24"/>
  <c r="N117" i="24" s="1"/>
  <c r="I213" i="28"/>
  <c r="I156" i="28"/>
  <c r="I172" i="28"/>
  <c r="J131" i="24"/>
  <c r="N131" i="24" s="1"/>
  <c r="J53" i="24"/>
  <c r="N53" i="24" s="1"/>
  <c r="I74" i="28"/>
  <c r="I169" i="28"/>
  <c r="J190" i="24"/>
  <c r="N190" i="24" s="1"/>
  <c r="J115" i="24"/>
  <c r="N115" i="24" s="1"/>
  <c r="J47" i="24"/>
  <c r="N47" i="24" s="1"/>
  <c r="I190" i="28"/>
  <c r="I109" i="28"/>
  <c r="J142" i="24"/>
  <c r="N142" i="24" s="1"/>
  <c r="I70" i="28"/>
  <c r="I42" i="28"/>
  <c r="J37" i="24"/>
  <c r="N37" i="24" s="1"/>
  <c r="O254" i="28"/>
  <c r="O10" i="28"/>
  <c r="I52" i="28"/>
  <c r="N52" i="28" s="1"/>
  <c r="J111" i="24"/>
  <c r="N111" i="24" s="1"/>
  <c r="I200" i="28"/>
  <c r="O200" i="28" s="1"/>
  <c r="I69" i="28"/>
  <c r="I219" i="28"/>
  <c r="I141" i="24"/>
  <c r="M141" i="24" s="1"/>
  <c r="O120" i="28"/>
  <c r="I120" i="24"/>
  <c r="M120" i="24" s="1"/>
  <c r="I160" i="24"/>
  <c r="M160" i="24" s="1"/>
  <c r="H56" i="28"/>
  <c r="I151" i="24"/>
  <c r="M151" i="24" s="1"/>
  <c r="I89" i="24"/>
  <c r="M89" i="24" s="1"/>
  <c r="I186" i="24"/>
  <c r="M186" i="24" s="1"/>
  <c r="O261" i="28"/>
  <c r="K120" i="28"/>
  <c r="I175" i="24"/>
  <c r="M175" i="24" s="1"/>
  <c r="M120" i="28"/>
  <c r="I72" i="24"/>
  <c r="M72" i="24" s="1"/>
  <c r="I176" i="24"/>
  <c r="M176" i="24" s="1"/>
  <c r="H70" i="28"/>
  <c r="I182" i="24"/>
  <c r="M182" i="24" s="1"/>
  <c r="O126" i="28"/>
  <c r="I130" i="24"/>
  <c r="M130" i="24" s="1"/>
  <c r="H232" i="28"/>
  <c r="I149" i="24"/>
  <c r="M149" i="24" s="1"/>
  <c r="H152" i="28"/>
  <c r="I73" i="24"/>
  <c r="M73" i="24" s="1"/>
  <c r="H198" i="28"/>
  <c r="H205" i="28"/>
  <c r="I146" i="24"/>
  <c r="M146" i="24" s="1"/>
  <c r="H243" i="28"/>
  <c r="H180" i="28"/>
  <c r="L61" i="28"/>
  <c r="H108" i="28"/>
  <c r="I114" i="24"/>
  <c r="M114" i="24" s="1"/>
  <c r="H216" i="28"/>
  <c r="O259" i="28"/>
  <c r="H151" i="28"/>
  <c r="H244" i="28"/>
  <c r="I62" i="24"/>
  <c r="M62" i="24" s="1"/>
  <c r="I18" i="24"/>
  <c r="M18" i="24" s="1"/>
  <c r="I38" i="24"/>
  <c r="M38" i="24" s="1"/>
  <c r="I184" i="24"/>
  <c r="M184" i="24" s="1"/>
  <c r="I56" i="24"/>
  <c r="M56" i="24" s="1"/>
  <c r="H57" i="28"/>
  <c r="H221" i="28"/>
  <c r="H175" i="28"/>
  <c r="I43" i="24"/>
  <c r="M43" i="24" s="1"/>
  <c r="H170" i="28"/>
  <c r="I142" i="24"/>
  <c r="M142" i="24" s="1"/>
  <c r="I137" i="24"/>
  <c r="M137" i="24" s="1"/>
  <c r="I113" i="24"/>
  <c r="M113" i="24" s="1"/>
  <c r="I102" i="24"/>
  <c r="M102" i="24" s="1"/>
  <c r="I86" i="24"/>
  <c r="M86" i="24" s="1"/>
  <c r="H165" i="28"/>
  <c r="I33" i="24"/>
  <c r="M33" i="24" s="1"/>
  <c r="I177" i="24"/>
  <c r="M177" i="24" s="1"/>
  <c r="H208" i="28"/>
  <c r="I106" i="24"/>
  <c r="M106" i="24" s="1"/>
  <c r="I24" i="24"/>
  <c r="M24" i="24" s="1"/>
  <c r="H156" i="28"/>
  <c r="I26" i="24"/>
  <c r="M26" i="24" s="1"/>
  <c r="H158" i="28"/>
  <c r="H204" i="28"/>
  <c r="H92" i="28"/>
  <c r="M60" i="28"/>
  <c r="H239" i="28"/>
  <c r="I185" i="24"/>
  <c r="M185" i="24" s="1"/>
  <c r="H194" i="28"/>
  <c r="I48" i="24"/>
  <c r="M48" i="24" s="1"/>
  <c r="H72" i="28"/>
  <c r="H78" i="28"/>
  <c r="H188" i="28"/>
  <c r="P64" i="28"/>
  <c r="I23" i="24"/>
  <c r="M23" i="24" s="1"/>
  <c r="H187" i="28"/>
  <c r="I55" i="24"/>
  <c r="M55" i="24" s="1"/>
  <c r="I61" i="24"/>
  <c r="M61" i="24" s="1"/>
  <c r="H172" i="28"/>
  <c r="I40" i="24"/>
  <c r="M40" i="24" s="1"/>
  <c r="H159" i="28"/>
  <c r="I27" i="24"/>
  <c r="M27" i="24" s="1"/>
  <c r="H80" i="28"/>
  <c r="H79" i="28"/>
  <c r="N126" i="28"/>
  <c r="H90" i="28"/>
  <c r="I71" i="24"/>
  <c r="M71" i="24" s="1"/>
  <c r="H241" i="28"/>
  <c r="I19" i="24"/>
  <c r="M19" i="24" s="1"/>
  <c r="H207" i="28"/>
  <c r="P115" i="28"/>
  <c r="H174" i="28"/>
  <c r="I147" i="24"/>
  <c r="M147" i="24" s="1"/>
  <c r="H167" i="28"/>
  <c r="H46" i="28"/>
  <c r="H155" i="28"/>
  <c r="I104" i="24"/>
  <c r="M104" i="24" s="1"/>
  <c r="H106" i="28"/>
  <c r="I87" i="24"/>
  <c r="M87" i="24" s="1"/>
  <c r="H220" i="28"/>
  <c r="O220" i="28" s="1"/>
  <c r="I35" i="24"/>
  <c r="M35" i="24" s="1"/>
  <c r="I42" i="24"/>
  <c r="M42" i="24" s="1"/>
  <c r="H47" i="28"/>
  <c r="H45" i="28"/>
  <c r="H164" i="28"/>
  <c r="I32" i="24"/>
  <c r="M32" i="24" s="1"/>
  <c r="N257" i="28"/>
  <c r="H183" i="24"/>
  <c r="L183" i="24" s="1"/>
  <c r="G73" i="28"/>
  <c r="H179" i="24"/>
  <c r="L179" i="24" s="1"/>
  <c r="G163" i="28"/>
  <c r="H31" i="24"/>
  <c r="L31" i="24" s="1"/>
  <c r="K117" i="28"/>
  <c r="G227" i="28"/>
  <c r="H108" i="24"/>
  <c r="L108" i="24" s="1"/>
  <c r="G185" i="28"/>
  <c r="H45" i="24"/>
  <c r="L45" i="24" s="1"/>
  <c r="G177" i="28"/>
  <c r="G89" i="28"/>
  <c r="H70" i="24"/>
  <c r="L70" i="24" s="1"/>
  <c r="H40" i="24"/>
  <c r="L40" i="24" s="1"/>
  <c r="G172" i="28"/>
  <c r="H76" i="24"/>
  <c r="L76" i="24" s="1"/>
  <c r="H90" i="24"/>
  <c r="L90" i="24" s="1"/>
  <c r="M258" i="28"/>
  <c r="G187" i="28"/>
  <c r="H113" i="24"/>
  <c r="L113" i="24" s="1"/>
  <c r="G228" i="28"/>
  <c r="M28" i="28"/>
  <c r="H149" i="24"/>
  <c r="L149" i="24" s="1"/>
  <c r="H99" i="24"/>
  <c r="L99" i="24" s="1"/>
  <c r="G201" i="28"/>
  <c r="H137" i="24"/>
  <c r="L137" i="24" s="1"/>
  <c r="N258" i="28"/>
  <c r="P257" i="28"/>
  <c r="O60" i="28"/>
  <c r="G104" i="28"/>
  <c r="H126" i="24"/>
  <c r="L126" i="24" s="1"/>
  <c r="M61" i="28"/>
  <c r="H141" i="24"/>
  <c r="L141" i="24" s="1"/>
  <c r="G176" i="28"/>
  <c r="H44" i="24"/>
  <c r="L44" i="24" s="1"/>
  <c r="G217" i="28"/>
  <c r="H115" i="24"/>
  <c r="L115" i="24" s="1"/>
  <c r="O117" i="28"/>
  <c r="H54" i="24"/>
  <c r="L54" i="24" s="1"/>
  <c r="G186" i="28"/>
  <c r="N121" i="28"/>
  <c r="G215" i="28"/>
  <c r="K10" i="28"/>
  <c r="H91" i="24"/>
  <c r="L91" i="24" s="1"/>
  <c r="H185" i="24"/>
  <c r="L185" i="24" s="1"/>
  <c r="H94" i="24"/>
  <c r="L94" i="24" s="1"/>
  <c r="G102" i="28"/>
  <c r="H83" i="24"/>
  <c r="L83" i="24" s="1"/>
  <c r="G109" i="28"/>
  <c r="G245" i="28"/>
  <c r="H85" i="24"/>
  <c r="L85" i="24" s="1"/>
  <c r="G48" i="28"/>
  <c r="H112" i="24"/>
  <c r="L112" i="24" s="1"/>
  <c r="G214" i="28"/>
  <c r="H87" i="24"/>
  <c r="L87" i="24" s="1"/>
  <c r="H67" i="24"/>
  <c r="L67" i="24" s="1"/>
  <c r="G86" i="28"/>
  <c r="G33" i="28"/>
  <c r="H163" i="24"/>
  <c r="L163" i="24" s="1"/>
  <c r="H73" i="24"/>
  <c r="L73" i="24" s="1"/>
  <c r="J126" i="28"/>
  <c r="H71" i="24"/>
  <c r="L71" i="24" s="1"/>
  <c r="G112" i="28"/>
  <c r="H27" i="24"/>
  <c r="L27" i="24" s="1"/>
  <c r="G75" i="28"/>
  <c r="H143" i="24"/>
  <c r="L143" i="24" s="1"/>
  <c r="G79" i="28"/>
  <c r="G108" i="28"/>
  <c r="K61" i="28"/>
  <c r="H29" i="24"/>
  <c r="L29" i="24" s="1"/>
  <c r="H130" i="24"/>
  <c r="L130" i="24" s="1"/>
  <c r="G243" i="28"/>
  <c r="N259" i="28"/>
  <c r="H55" i="24"/>
  <c r="L55" i="24" s="1"/>
  <c r="G111" i="28"/>
  <c r="H77" i="24"/>
  <c r="L77" i="24" s="1"/>
  <c r="G77" i="28"/>
  <c r="N117" i="28"/>
  <c r="H142" i="24"/>
  <c r="L142" i="24" s="1"/>
  <c r="G92" i="28"/>
  <c r="H89" i="24"/>
  <c r="L89" i="24" s="1"/>
  <c r="J118" i="28"/>
  <c r="G226" i="28"/>
  <c r="G38" i="28"/>
  <c r="H181" i="24"/>
  <c r="L181" i="24" s="1"/>
  <c r="H147" i="24"/>
  <c r="L147" i="24" s="1"/>
  <c r="G249" i="28"/>
  <c r="G244" i="28"/>
  <c r="G159" i="28"/>
  <c r="P117" i="28"/>
  <c r="H168" i="24"/>
  <c r="L168" i="24" s="1"/>
  <c r="G72" i="28"/>
  <c r="H178" i="24"/>
  <c r="L178" i="24" s="1"/>
  <c r="H144" i="24"/>
  <c r="L144" i="24" s="1"/>
  <c r="G246" i="28"/>
  <c r="G105" i="28"/>
  <c r="H86" i="24"/>
  <c r="L86" i="24" s="1"/>
  <c r="K16" i="28"/>
  <c r="F102" i="28"/>
  <c r="M127" i="28"/>
  <c r="J127" i="28"/>
  <c r="P127" i="28"/>
  <c r="F95" i="28"/>
  <c r="G76" i="24"/>
  <c r="K76" i="24" s="1"/>
  <c r="F86" i="28"/>
  <c r="F228" i="28"/>
  <c r="G126" i="24"/>
  <c r="K126" i="24" s="1"/>
  <c r="F94" i="28"/>
  <c r="J9" i="28"/>
  <c r="N9" i="28"/>
  <c r="F46" i="28"/>
  <c r="N130" i="28"/>
  <c r="M130" i="28"/>
  <c r="F112" i="28"/>
  <c r="F229" i="28"/>
  <c r="F222" i="28"/>
  <c r="F88" i="28"/>
  <c r="F173" i="28"/>
  <c r="G41" i="24"/>
  <c r="K41" i="24" s="1"/>
  <c r="F152" i="28"/>
  <c r="F249" i="28"/>
  <c r="F51" i="28"/>
  <c r="F57" i="28"/>
  <c r="G161" i="24"/>
  <c r="K161" i="24" s="1"/>
  <c r="F242" i="28"/>
  <c r="F92" i="28"/>
  <c r="F151" i="28"/>
  <c r="F111" i="28"/>
  <c r="G140" i="24"/>
  <c r="K140" i="24" s="1"/>
  <c r="O16" i="28"/>
  <c r="J64" i="28"/>
  <c r="K64" i="28"/>
  <c r="L64" i="28"/>
  <c r="F245" i="28"/>
  <c r="F109" i="28"/>
  <c r="F172" i="28"/>
  <c r="K258" i="28"/>
  <c r="P258" i="28"/>
  <c r="F37" i="28"/>
  <c r="G40" i="24"/>
  <c r="K40" i="24" s="1"/>
  <c r="L21" i="28"/>
  <c r="P130" i="28"/>
  <c r="F178" i="28"/>
  <c r="G46" i="24"/>
  <c r="K46" i="24" s="1"/>
  <c r="J116" i="28"/>
  <c r="K116" i="28"/>
  <c r="F209" i="28"/>
  <c r="F204" i="28"/>
  <c r="F82" i="28"/>
  <c r="G188" i="24"/>
  <c r="K188" i="24" s="1"/>
  <c r="F153" i="28"/>
  <c r="F244" i="28"/>
  <c r="F89" i="28"/>
  <c r="J130" i="28"/>
  <c r="F45" i="28"/>
  <c r="G120" i="24"/>
  <c r="K120" i="24" s="1"/>
  <c r="F54" i="28"/>
  <c r="G158" i="24"/>
  <c r="K158" i="24" s="1"/>
  <c r="F207" i="28"/>
  <c r="F218" i="28"/>
  <c r="F77" i="28"/>
  <c r="F150" i="28"/>
  <c r="F250" i="28"/>
  <c r="K259" i="28"/>
  <c r="P259" i="28"/>
  <c r="C282" i="28"/>
  <c r="L259" i="28"/>
  <c r="F206" i="28"/>
  <c r="F167" i="28"/>
  <c r="F225" i="28"/>
  <c r="G123" i="24"/>
  <c r="K123" i="24" s="1"/>
  <c r="G104" i="24"/>
  <c r="K104" i="24" s="1"/>
  <c r="N127" i="28"/>
  <c r="J21" i="28"/>
  <c r="G65" i="24"/>
  <c r="K65" i="24" s="1"/>
  <c r="F197" i="28"/>
  <c r="F48" i="28"/>
  <c r="G152" i="24"/>
  <c r="K152" i="24" s="1"/>
  <c r="F215" i="28"/>
  <c r="F202" i="28"/>
  <c r="F73" i="28"/>
  <c r="F175" i="28"/>
  <c r="G43" i="24"/>
  <c r="K43" i="24" s="1"/>
  <c r="F34" i="28"/>
  <c r="F183" i="28"/>
  <c r="K28" i="28"/>
  <c r="L28" i="28"/>
  <c r="P28" i="28"/>
  <c r="G81" i="24"/>
  <c r="K81" i="24" s="1"/>
  <c r="F100" i="28"/>
  <c r="K100" i="28" s="1"/>
  <c r="F221" i="28"/>
  <c r="F170" i="28"/>
  <c r="O64" i="28"/>
  <c r="M64" i="28"/>
  <c r="G51" i="24"/>
  <c r="K51" i="24" s="1"/>
  <c r="J11" i="28"/>
  <c r="K11" i="28"/>
  <c r="L117" i="28"/>
  <c r="F199" i="28"/>
  <c r="F217" i="28"/>
  <c r="F70" i="28"/>
  <c r="F174" i="28"/>
  <c r="G42" i="24"/>
  <c r="K42" i="24" s="1"/>
  <c r="F33" i="28"/>
  <c r="G163" i="24"/>
  <c r="K163" i="24" s="1"/>
  <c r="F32" i="28"/>
  <c r="G162" i="24"/>
  <c r="K162" i="24" s="1"/>
  <c r="F187" i="28"/>
  <c r="F49" i="28"/>
  <c r="F205" i="28"/>
  <c r="F83" i="28"/>
  <c r="F169" i="28"/>
  <c r="F241" i="28"/>
  <c r="F93" i="28"/>
  <c r="F38" i="28"/>
  <c r="F184" i="28"/>
  <c r="F50" i="28"/>
  <c r="F47" i="28"/>
  <c r="F210" i="28"/>
  <c r="F220" i="28"/>
  <c r="F81" i="28"/>
  <c r="F91" i="28"/>
  <c r="F224" i="28"/>
  <c r="F237" i="28"/>
  <c r="F84" i="28"/>
  <c r="F108" i="28"/>
  <c r="F44" i="28"/>
  <c r="F69" i="28"/>
  <c r="P121" i="28"/>
  <c r="L130" i="28"/>
  <c r="F236" i="28"/>
  <c r="F219" i="28"/>
  <c r="F214" i="28"/>
  <c r="F76" i="28"/>
  <c r="F105" i="28"/>
  <c r="F42" i="28"/>
  <c r="F53" i="28"/>
  <c r="F247" i="28"/>
  <c r="F234" i="28"/>
  <c r="F41" i="28"/>
  <c r="F75" i="28"/>
  <c r="F158" i="28"/>
  <c r="F104" i="28"/>
  <c r="F106" i="28"/>
  <c r="F40" i="28"/>
  <c r="F107" i="28"/>
  <c r="G122" i="24"/>
  <c r="K122" i="24" s="1"/>
  <c r="F238" i="28"/>
  <c r="F233" i="28"/>
  <c r="F212" i="28"/>
  <c r="F74" i="28"/>
  <c r="F171" i="28"/>
  <c r="F90" i="28"/>
  <c r="F39" i="28"/>
  <c r="F201" i="28"/>
  <c r="L67" i="28"/>
  <c r="J67" i="28"/>
  <c r="L116" i="28"/>
  <c r="F162" i="28"/>
  <c r="F185" i="28"/>
  <c r="F239" i="28"/>
  <c r="F208" i="28"/>
  <c r="F155" i="28"/>
  <c r="F103" i="28"/>
  <c r="F36" i="28"/>
  <c r="F213" i="28"/>
  <c r="K107" i="19"/>
  <c r="M62" i="28"/>
  <c r="F203" i="28"/>
  <c r="F168" i="28"/>
  <c r="F246" i="28"/>
  <c r="F43" i="28"/>
  <c r="F87" i="28"/>
  <c r="F35" i="28"/>
  <c r="L27" i="28"/>
  <c r="K27" i="28"/>
  <c r="C268" i="28"/>
  <c r="L20" i="28"/>
  <c r="N260" i="28"/>
  <c r="P118" i="28"/>
  <c r="N16" i="28"/>
  <c r="P66" i="28"/>
  <c r="O19" i="28"/>
  <c r="K19" i="28"/>
  <c r="M16" i="28"/>
  <c r="N131" i="28"/>
  <c r="P260" i="28"/>
  <c r="M29" i="28"/>
  <c r="M257" i="28"/>
  <c r="M13" i="28"/>
  <c r="L16" i="28"/>
  <c r="O12" i="28"/>
  <c r="O255" i="28"/>
  <c r="F282" i="28"/>
  <c r="P62" i="28"/>
  <c r="P19" i="28"/>
  <c r="M65" i="28"/>
  <c r="M17" i="28"/>
  <c r="N19" i="28"/>
  <c r="M19" i="28"/>
  <c r="J19" i="28"/>
  <c r="D268" i="28"/>
  <c r="P16" i="28"/>
  <c r="C267" i="28"/>
  <c r="J16" i="28"/>
  <c r="N20" i="28"/>
  <c r="P131" i="28"/>
  <c r="P21" i="28"/>
  <c r="P60" i="28"/>
  <c r="O131" i="28"/>
  <c r="F274" i="28"/>
  <c r="P68" i="28"/>
  <c r="O68" i="28"/>
  <c r="N60" i="28"/>
  <c r="O26" i="28"/>
  <c r="L60" i="28"/>
  <c r="P18" i="28"/>
  <c r="N14" i="28"/>
  <c r="K124" i="28"/>
  <c r="K126" i="28"/>
  <c r="P251" i="28"/>
  <c r="P123" i="28"/>
  <c r="M126" i="28"/>
  <c r="P126" i="28"/>
  <c r="K15" i="28"/>
  <c r="P30" i="28"/>
  <c r="M30" i="28"/>
  <c r="P129" i="28"/>
  <c r="N17" i="28"/>
  <c r="J123" i="28"/>
  <c r="N255" i="28"/>
  <c r="N256" i="28"/>
  <c r="M129" i="28"/>
  <c r="N129" i="28"/>
  <c r="D267" i="28"/>
  <c r="K255" i="28"/>
  <c r="O11" i="28"/>
  <c r="N11" i="28"/>
  <c r="D274" i="28"/>
  <c r="O13" i="28"/>
  <c r="K13" i="28"/>
  <c r="O260" i="28"/>
  <c r="M251" i="28"/>
  <c r="N251" i="28"/>
  <c r="M20" i="28"/>
  <c r="F267" i="28"/>
  <c r="K68" i="28"/>
  <c r="P15" i="28"/>
  <c r="K58" i="28"/>
  <c r="O58" i="28"/>
  <c r="K118" i="28"/>
  <c r="O118" i="28"/>
  <c r="M118" i="28"/>
  <c r="J251" i="28"/>
  <c r="P20" i="28"/>
  <c r="M15" i="28"/>
  <c r="N18" i="28"/>
  <c r="O65" i="28"/>
  <c r="N26" i="28"/>
  <c r="J26" i="28"/>
  <c r="M26" i="28"/>
  <c r="P26" i="28"/>
  <c r="O253" i="28"/>
  <c r="P253" i="28"/>
  <c r="K253" i="28"/>
  <c r="K9" i="28"/>
  <c r="O9" i="28"/>
  <c r="P9" i="28"/>
  <c r="M9" i="28"/>
  <c r="O14" i="28"/>
  <c r="P12" i="28"/>
  <c r="M12" i="28"/>
  <c r="N12" i="28"/>
  <c r="M24" i="28"/>
  <c r="P24" i="28"/>
  <c r="J24" i="28"/>
  <c r="N24" i="28"/>
  <c r="J18" i="28"/>
  <c r="M261" i="28"/>
  <c r="N261" i="28"/>
  <c r="J261" i="28"/>
  <c r="K7" i="28"/>
  <c r="O7" i="28"/>
  <c r="K251" i="28"/>
  <c r="M18" i="28"/>
  <c r="D282" i="28"/>
  <c r="P17" i="28"/>
  <c r="N23" i="28"/>
  <c r="J119" i="28"/>
  <c r="P119" i="28"/>
  <c r="N119" i="28"/>
  <c r="M119" i="28"/>
  <c r="J13" i="28"/>
  <c r="P13" i="28"/>
  <c r="N13" i="28"/>
  <c r="N8" i="28"/>
  <c r="M8" i="28"/>
  <c r="J8" i="28"/>
  <c r="P8" i="28"/>
  <c r="O129" i="28"/>
  <c r="L129" i="28"/>
  <c r="O24" i="28"/>
  <c r="K24" i="28"/>
  <c r="L11" i="28"/>
  <c r="O63" i="28"/>
  <c r="M125" i="28"/>
  <c r="P125" i="28"/>
  <c r="J125" i="28"/>
  <c r="N125" i="28"/>
  <c r="N133" i="28"/>
  <c r="N118" i="28"/>
  <c r="L118" i="28"/>
  <c r="N62" i="28"/>
  <c r="M255" i="28"/>
  <c r="N63" i="28"/>
  <c r="O116" i="28"/>
  <c r="E268" i="28"/>
  <c r="F271" i="28"/>
  <c r="N6" i="28"/>
  <c r="O128" i="28"/>
  <c r="K128" i="28"/>
  <c r="O8" i="28"/>
  <c r="K8" i="28"/>
  <c r="O18" i="28"/>
  <c r="L18" i="28"/>
  <c r="P29" i="28"/>
  <c r="N29" i="28"/>
  <c r="J29" i="28"/>
  <c r="P128" i="28"/>
  <c r="J128" i="28"/>
  <c r="M58" i="28"/>
  <c r="P58" i="28"/>
  <c r="N58" i="28"/>
  <c r="J58" i="28"/>
  <c r="O27" i="28"/>
  <c r="M27" i="28"/>
  <c r="P27" i="28"/>
  <c r="J20" i="28"/>
  <c r="P14" i="28"/>
  <c r="N128" i="28"/>
  <c r="M25" i="28"/>
  <c r="P25" i="28"/>
  <c r="J25" i="28"/>
  <c r="N25" i="28"/>
  <c r="M260" i="28"/>
  <c r="K256" i="28"/>
  <c r="O256" i="28"/>
  <c r="L133" i="28"/>
  <c r="O133" i="28"/>
  <c r="K6" i="28"/>
  <c r="O6" i="28"/>
  <c r="M6" i="28"/>
  <c r="K260" i="28"/>
  <c r="P65" i="28"/>
  <c r="M63" i="28"/>
  <c r="N68" i="28"/>
  <c r="O21" i="28"/>
  <c r="M256" i="28"/>
  <c r="L66" i="28"/>
  <c r="J10" i="28"/>
  <c r="N10" i="28"/>
  <c r="M10" i="28"/>
  <c r="P10" i="28"/>
  <c r="N123" i="28"/>
  <c r="M123" i="28"/>
  <c r="N7" i="28"/>
  <c r="M7" i="28"/>
  <c r="P7" i="28"/>
  <c r="J7" i="28"/>
  <c r="J68" i="28"/>
  <c r="P116" i="28"/>
  <c r="M68" i="28"/>
  <c r="P255" i="28"/>
  <c r="D271" i="28"/>
  <c r="P256" i="28"/>
  <c r="E274" i="28"/>
  <c r="N116" i="28"/>
  <c r="O23" i="28"/>
  <c r="N21" i="28"/>
  <c r="P261" i="28"/>
  <c r="L261" i="28"/>
  <c r="O119" i="28"/>
  <c r="K119" i="28"/>
  <c r="O123" i="28"/>
  <c r="M14" i="28"/>
  <c r="P124" i="28"/>
  <c r="M124" i="28"/>
  <c r="N124" i="28"/>
  <c r="F268" i="28"/>
  <c r="P11" i="28"/>
  <c r="M128" i="28"/>
  <c r="O29" i="28"/>
  <c r="K29" i="28"/>
  <c r="E267" i="28"/>
  <c r="E282" i="28"/>
  <c r="N30" i="28"/>
  <c r="J30" i="28"/>
  <c r="K63" i="28"/>
  <c r="O17" i="28"/>
  <c r="L17" i="28"/>
  <c r="E271" i="28"/>
  <c r="K257" i="28"/>
  <c r="O257" i="28"/>
  <c r="J14" i="28"/>
  <c r="P6" i="28"/>
  <c r="P63" i="28"/>
  <c r="N66" i="28"/>
  <c r="P122" i="28"/>
  <c r="J122" i="28"/>
  <c r="N122" i="28"/>
  <c r="M122" i="28"/>
  <c r="K25" i="28"/>
  <c r="O25" i="28"/>
  <c r="P23" i="28"/>
  <c r="K30" i="28"/>
  <c r="O30" i="28"/>
  <c r="K62" i="28"/>
  <c r="O62" i="28"/>
  <c r="K99" i="19"/>
  <c r="E178" i="19"/>
  <c r="E176" i="19"/>
  <c r="D176" i="19"/>
  <c r="D177" i="19"/>
  <c r="C180" i="19"/>
  <c r="L180" i="19" s="1"/>
  <c r="D178" i="19"/>
  <c r="B180" i="19"/>
  <c r="C176" i="19"/>
  <c r="C177" i="19"/>
  <c r="B176" i="19"/>
  <c r="B177" i="19"/>
  <c r="C178" i="19"/>
  <c r="B178" i="19"/>
  <c r="D175" i="19"/>
  <c r="C179" i="19"/>
  <c r="L179" i="19" s="1"/>
  <c r="D179" i="19"/>
  <c r="C175" i="19"/>
  <c r="B179" i="19"/>
  <c r="B175" i="19"/>
  <c r="E180" i="19"/>
  <c r="E177" i="19"/>
  <c r="E175" i="19"/>
  <c r="G222" i="24"/>
  <c r="K222" i="24" s="1"/>
  <c r="G94" i="24"/>
  <c r="K94" i="24" s="1"/>
  <c r="J222" i="24"/>
  <c r="N222" i="24" s="1"/>
  <c r="J206" i="24"/>
  <c r="N206" i="24" s="1"/>
  <c r="J94" i="24"/>
  <c r="N94" i="24" s="1"/>
  <c r="J78" i="24"/>
  <c r="N78" i="24" s="1"/>
  <c r="G205" i="24"/>
  <c r="K205" i="24" s="1"/>
  <c r="G157" i="24"/>
  <c r="K157" i="24" s="1"/>
  <c r="G109" i="24"/>
  <c r="K109" i="24" s="1"/>
  <c r="G77" i="24"/>
  <c r="K77" i="24" s="1"/>
  <c r="J301" i="24"/>
  <c r="N301" i="24" s="1"/>
  <c r="J253" i="24"/>
  <c r="N253" i="24" s="1"/>
  <c r="J237" i="24"/>
  <c r="N237" i="24" s="1"/>
  <c r="J189" i="24"/>
  <c r="N189" i="24" s="1"/>
  <c r="J125" i="24"/>
  <c r="N125" i="24" s="1"/>
  <c r="G92" i="24"/>
  <c r="K92" i="24" s="1"/>
  <c r="G28" i="24"/>
  <c r="K28" i="24" s="1"/>
  <c r="G12" i="24"/>
  <c r="K12" i="24" s="1"/>
  <c r="J300" i="24"/>
  <c r="N300" i="24" s="1"/>
  <c r="J236" i="24"/>
  <c r="N236" i="24" s="1"/>
  <c r="J204" i="24"/>
  <c r="N204" i="24" s="1"/>
  <c r="J172" i="24"/>
  <c r="N172" i="24" s="1"/>
  <c r="J140" i="24"/>
  <c r="N140" i="24" s="1"/>
  <c r="J108" i="24"/>
  <c r="N108" i="24" s="1"/>
  <c r="J28" i="24"/>
  <c r="N28" i="24" s="1"/>
  <c r="J12" i="24"/>
  <c r="N12" i="24" s="1"/>
  <c r="G27" i="24"/>
  <c r="K27" i="24" s="1"/>
  <c r="G11" i="24"/>
  <c r="K11" i="24" s="1"/>
  <c r="J203" i="24"/>
  <c r="N203" i="24" s="1"/>
  <c r="J10" i="24"/>
  <c r="N10" i="24" s="1"/>
  <c r="G73" i="24"/>
  <c r="K73" i="24" s="1"/>
  <c r="J249" i="24"/>
  <c r="N249" i="24" s="1"/>
  <c r="J233" i="24"/>
  <c r="N233" i="24" s="1"/>
  <c r="J201" i="24"/>
  <c r="N201" i="24" s="1"/>
  <c r="J185" i="24"/>
  <c r="N185" i="24" s="1"/>
  <c r="J137" i="24"/>
  <c r="N137" i="24" s="1"/>
  <c r="J89" i="24"/>
  <c r="N89" i="24" s="1"/>
  <c r="J73" i="24"/>
  <c r="N73" i="24" s="1"/>
  <c r="J41" i="24"/>
  <c r="N41" i="24" s="1"/>
  <c r="J9" i="24"/>
  <c r="N9" i="24" s="1"/>
  <c r="G232" i="24"/>
  <c r="K232" i="24" s="1"/>
  <c r="G88" i="24"/>
  <c r="K88" i="24" s="1"/>
  <c r="J296" i="24"/>
  <c r="N296" i="24" s="1"/>
  <c r="J232" i="24"/>
  <c r="N232" i="24" s="1"/>
  <c r="J184" i="24"/>
  <c r="N184" i="24" s="1"/>
  <c r="J120" i="24"/>
  <c r="N120" i="24" s="1"/>
  <c r="J24" i="24"/>
  <c r="N24" i="24" s="1"/>
  <c r="G295" i="24"/>
  <c r="K295" i="24" s="1"/>
  <c r="G263" i="24"/>
  <c r="K263" i="24" s="1"/>
  <c r="G231" i="24"/>
  <c r="K231" i="24" s="1"/>
  <c r="G183" i="24"/>
  <c r="K183" i="24" s="1"/>
  <c r="G135" i="24"/>
  <c r="K135" i="24" s="1"/>
  <c r="G87" i="24"/>
  <c r="K87" i="24" s="1"/>
  <c r="G39" i="24"/>
  <c r="K39" i="24" s="1"/>
  <c r="J279" i="24"/>
  <c r="N279" i="24" s="1"/>
  <c r="J263" i="24"/>
  <c r="N263" i="24" s="1"/>
  <c r="J215" i="24"/>
  <c r="N215" i="24" s="1"/>
  <c r="J167" i="24"/>
  <c r="N167" i="24" s="1"/>
  <c r="J119" i="24"/>
  <c r="N119" i="24" s="1"/>
  <c r="J87" i="24"/>
  <c r="N87" i="24" s="1"/>
  <c r="J55" i="24"/>
  <c r="N55" i="24" s="1"/>
  <c r="J39" i="24"/>
  <c r="N39" i="24" s="1"/>
  <c r="J7" i="24"/>
  <c r="N7" i="24" s="1"/>
  <c r="G262" i="24"/>
  <c r="K262" i="24" s="1"/>
  <c r="G214" i="24"/>
  <c r="K214" i="24" s="1"/>
  <c r="G166" i="24"/>
  <c r="K166" i="24" s="1"/>
  <c r="G118" i="24"/>
  <c r="K118" i="24" s="1"/>
  <c r="G86" i="24"/>
  <c r="K86" i="24" s="1"/>
  <c r="G54" i="24"/>
  <c r="K54" i="24" s="1"/>
  <c r="G22" i="24"/>
  <c r="K22" i="24" s="1"/>
  <c r="G245" i="24"/>
  <c r="K245" i="24" s="1"/>
  <c r="G213" i="24"/>
  <c r="K213" i="24" s="1"/>
  <c r="G181" i="24"/>
  <c r="K181" i="24" s="1"/>
  <c r="G133" i="24"/>
  <c r="K133" i="24" s="1"/>
  <c r="G101" i="24"/>
  <c r="K101" i="24" s="1"/>
  <c r="G85" i="24"/>
  <c r="K85" i="24" s="1"/>
  <c r="G53" i="24"/>
  <c r="K53" i="24" s="1"/>
  <c r="G21" i="24"/>
  <c r="K21" i="24" s="1"/>
  <c r="J21" i="24"/>
  <c r="N21" i="24" s="1"/>
  <c r="G212" i="24"/>
  <c r="K212" i="24" s="1"/>
  <c r="G164" i="24"/>
  <c r="K164" i="24" s="1"/>
  <c r="G116" i="24"/>
  <c r="K116" i="24" s="1"/>
  <c r="G84" i="24"/>
  <c r="K84" i="24" s="1"/>
  <c r="G52" i="24"/>
  <c r="K52" i="24" s="1"/>
  <c r="J228" i="24"/>
  <c r="N228" i="24" s="1"/>
  <c r="J196" i="24"/>
  <c r="N196" i="24" s="1"/>
  <c r="J84" i="24"/>
  <c r="N84" i="24" s="1"/>
  <c r="J20" i="24"/>
  <c r="N20" i="24" s="1"/>
  <c r="J4" i="24"/>
  <c r="N4" i="24" s="1"/>
  <c r="G206" i="24"/>
  <c r="K206" i="24" s="1"/>
  <c r="G78" i="24"/>
  <c r="K78" i="24" s="1"/>
  <c r="G14" i="24"/>
  <c r="K14" i="24" s="1"/>
  <c r="J92" i="24"/>
  <c r="N92" i="24" s="1"/>
  <c r="J76" i="24"/>
  <c r="N76" i="24" s="1"/>
  <c r="G203" i="24"/>
  <c r="K203" i="24" s="1"/>
  <c r="G75" i="24"/>
  <c r="K75" i="24" s="1"/>
  <c r="J219" i="24"/>
  <c r="N219" i="24" s="1"/>
  <c r="J75" i="24"/>
  <c r="N75" i="24" s="1"/>
  <c r="J27" i="24"/>
  <c r="N27" i="24" s="1"/>
  <c r="J11" i="24"/>
  <c r="N11" i="24" s="1"/>
  <c r="G218" i="24"/>
  <c r="K218" i="24" s="1"/>
  <c r="G90" i="24"/>
  <c r="K90" i="24" s="1"/>
  <c r="G26" i="24"/>
  <c r="K26" i="24" s="1"/>
  <c r="G10" i="24"/>
  <c r="K10" i="24" s="1"/>
  <c r="J218" i="24"/>
  <c r="N218" i="24" s="1"/>
  <c r="J90" i="24"/>
  <c r="N90" i="24" s="1"/>
  <c r="J74" i="24"/>
  <c r="N74" i="24" s="1"/>
  <c r="J26" i="24"/>
  <c r="N26" i="24" s="1"/>
  <c r="G217" i="24"/>
  <c r="K217" i="24" s="1"/>
  <c r="J297" i="24"/>
  <c r="N297" i="24" s="1"/>
  <c r="J281" i="24"/>
  <c r="N281" i="24" s="1"/>
  <c r="J265" i="24"/>
  <c r="N265" i="24" s="1"/>
  <c r="J217" i="24"/>
  <c r="N217" i="24" s="1"/>
  <c r="J169" i="24"/>
  <c r="N169" i="24" s="1"/>
  <c r="J121" i="24"/>
  <c r="N121" i="24" s="1"/>
  <c r="J57" i="24"/>
  <c r="N57" i="24" s="1"/>
  <c r="G216" i="24"/>
  <c r="K216" i="24" s="1"/>
  <c r="G72" i="24"/>
  <c r="K72" i="24" s="1"/>
  <c r="J248" i="24"/>
  <c r="N248" i="24" s="1"/>
  <c r="J200" i="24"/>
  <c r="N200" i="24" s="1"/>
  <c r="J152" i="24"/>
  <c r="N152" i="24" s="1"/>
  <c r="J104" i="24"/>
  <c r="N104" i="24" s="1"/>
  <c r="J72" i="24"/>
  <c r="N72" i="24" s="1"/>
  <c r="J56" i="24"/>
  <c r="N56" i="24" s="1"/>
  <c r="J8" i="24"/>
  <c r="N8" i="24" s="1"/>
  <c r="G247" i="24"/>
  <c r="K247" i="24" s="1"/>
  <c r="G199" i="24"/>
  <c r="K199" i="24" s="1"/>
  <c r="G151" i="24"/>
  <c r="K151" i="24" s="1"/>
  <c r="G103" i="24"/>
  <c r="K103" i="24" s="1"/>
  <c r="G55" i="24"/>
  <c r="K55" i="24" s="1"/>
  <c r="G7" i="24"/>
  <c r="K7" i="24" s="1"/>
  <c r="J295" i="24"/>
  <c r="N295" i="24" s="1"/>
  <c r="J231" i="24"/>
  <c r="N231" i="24" s="1"/>
  <c r="J183" i="24"/>
  <c r="N183" i="24" s="1"/>
  <c r="J135" i="24"/>
  <c r="N135" i="24" s="1"/>
  <c r="J71" i="24"/>
  <c r="N71" i="24" s="1"/>
  <c r="G230" i="24"/>
  <c r="K230" i="24" s="1"/>
  <c r="G182" i="24"/>
  <c r="K182" i="24" s="1"/>
  <c r="G134" i="24"/>
  <c r="K134" i="24" s="1"/>
  <c r="J214" i="24"/>
  <c r="N214" i="24" s="1"/>
  <c r="J198" i="24"/>
  <c r="N198" i="24" s="1"/>
  <c r="G293" i="24"/>
  <c r="K293" i="24" s="1"/>
  <c r="G229" i="24"/>
  <c r="K229" i="24" s="1"/>
  <c r="G165" i="24"/>
  <c r="K165" i="24" s="1"/>
  <c r="J229" i="24"/>
  <c r="N229" i="24" s="1"/>
  <c r="G228" i="24"/>
  <c r="K228" i="24" s="1"/>
  <c r="G180" i="24"/>
  <c r="K180" i="24" s="1"/>
  <c r="G148" i="24"/>
  <c r="K148" i="24" s="1"/>
  <c r="G100" i="24"/>
  <c r="K100" i="24" s="1"/>
  <c r="G68" i="24"/>
  <c r="K68" i="24" s="1"/>
  <c r="G36" i="24"/>
  <c r="K36" i="24" s="1"/>
  <c r="G20" i="24"/>
  <c r="K20" i="24" s="1"/>
  <c r="G4" i="24"/>
  <c r="K4" i="24" s="1"/>
  <c r="G227" i="24"/>
  <c r="K227" i="24" s="1"/>
  <c r="G211" i="24"/>
  <c r="K211" i="24" s="1"/>
  <c r="G19" i="24"/>
  <c r="K19" i="24" s="1"/>
  <c r="G3" i="24"/>
  <c r="K3" i="24" s="1"/>
  <c r="J227" i="24"/>
  <c r="N227" i="24" s="1"/>
  <c r="J211" i="24"/>
  <c r="N211" i="24" s="1"/>
  <c r="J83" i="24"/>
  <c r="N83" i="24" s="1"/>
  <c r="J19" i="24"/>
  <c r="N19" i="24" s="1"/>
  <c r="J3" i="24"/>
  <c r="N3" i="24" s="1"/>
  <c r="G2" i="24"/>
  <c r="K2" i="24" s="1"/>
  <c r="G226" i="24"/>
  <c r="K226" i="24" s="1"/>
  <c r="G210" i="24"/>
  <c r="K210" i="24" s="1"/>
  <c r="G194" i="24"/>
  <c r="K194" i="24" s="1"/>
  <c r="G82" i="24"/>
  <c r="K82" i="24" s="1"/>
  <c r="J2" i="24"/>
  <c r="N2" i="24" s="1"/>
  <c r="J290" i="24"/>
  <c r="N290" i="24" s="1"/>
  <c r="J258" i="24"/>
  <c r="N258" i="24" s="1"/>
  <c r="J242" i="24"/>
  <c r="N242" i="24" s="1"/>
  <c r="J226" i="24"/>
  <c r="N226" i="24" s="1"/>
  <c r="J210" i="24"/>
  <c r="N210" i="24" s="1"/>
  <c r="J194" i="24"/>
  <c r="N194" i="24" s="1"/>
  <c r="J178" i="24"/>
  <c r="N178" i="24" s="1"/>
  <c r="J162" i="24"/>
  <c r="N162" i="24" s="1"/>
  <c r="J146" i="24"/>
  <c r="N146" i="24" s="1"/>
  <c r="J130" i="24"/>
  <c r="N130" i="24" s="1"/>
  <c r="J114" i="24"/>
  <c r="N114" i="24" s="1"/>
  <c r="J98" i="24"/>
  <c r="N98" i="24" s="1"/>
  <c r="J82" i="24"/>
  <c r="N82" i="24" s="1"/>
  <c r="J50" i="24"/>
  <c r="N50" i="24" s="1"/>
  <c r="J34" i="24"/>
  <c r="N34" i="24" s="1"/>
  <c r="J18" i="24"/>
  <c r="N18" i="24" s="1"/>
  <c r="J306" i="24"/>
  <c r="N306" i="24" s="1"/>
  <c r="G301" i="24"/>
  <c r="K301" i="24" s="1"/>
  <c r="G253" i="24"/>
  <c r="K253" i="24" s="1"/>
  <c r="G221" i="24"/>
  <c r="K221" i="24" s="1"/>
  <c r="G173" i="24"/>
  <c r="K173" i="24" s="1"/>
  <c r="G141" i="24"/>
  <c r="K141" i="24" s="1"/>
  <c r="G93" i="24"/>
  <c r="K93" i="24" s="1"/>
  <c r="G61" i="24"/>
  <c r="K61" i="24" s="1"/>
  <c r="G45" i="24"/>
  <c r="K45" i="24" s="1"/>
  <c r="G29" i="24"/>
  <c r="K29" i="24" s="1"/>
  <c r="G13" i="24"/>
  <c r="K13" i="24" s="1"/>
  <c r="J285" i="24"/>
  <c r="N285" i="24" s="1"/>
  <c r="J221" i="24"/>
  <c r="N221" i="24" s="1"/>
  <c r="J157" i="24"/>
  <c r="N157" i="24" s="1"/>
  <c r="J109" i="24"/>
  <c r="N109" i="24" s="1"/>
  <c r="J77" i="24"/>
  <c r="N77" i="24" s="1"/>
  <c r="G202" i="24"/>
  <c r="K202" i="24" s="1"/>
  <c r="G74" i="24"/>
  <c r="K74" i="24" s="1"/>
  <c r="J202" i="24"/>
  <c r="N202" i="24" s="1"/>
  <c r="J42" i="24"/>
  <c r="N42" i="24" s="1"/>
  <c r="G89" i="24"/>
  <c r="K89" i="24" s="1"/>
  <c r="G25" i="24"/>
  <c r="K25" i="24" s="1"/>
  <c r="G9" i="24"/>
  <c r="K9" i="24" s="1"/>
  <c r="J153" i="24"/>
  <c r="N153" i="24" s="1"/>
  <c r="J105" i="24"/>
  <c r="N105" i="24" s="1"/>
  <c r="J25" i="24"/>
  <c r="N25" i="24" s="1"/>
  <c r="G8" i="24"/>
  <c r="K8" i="24" s="1"/>
  <c r="J280" i="24"/>
  <c r="N280" i="24" s="1"/>
  <c r="J264" i="24"/>
  <c r="N264" i="24" s="1"/>
  <c r="J216" i="24"/>
  <c r="N216" i="24" s="1"/>
  <c r="J168" i="24"/>
  <c r="N168" i="24" s="1"/>
  <c r="J136" i="24"/>
  <c r="N136" i="24" s="1"/>
  <c r="J88" i="24"/>
  <c r="N88" i="24" s="1"/>
  <c r="J40" i="24"/>
  <c r="N40" i="24" s="1"/>
  <c r="G279" i="24"/>
  <c r="K279" i="24" s="1"/>
  <c r="G215" i="24"/>
  <c r="K215" i="24" s="1"/>
  <c r="G167" i="24"/>
  <c r="K167" i="24" s="1"/>
  <c r="G119" i="24"/>
  <c r="K119" i="24" s="1"/>
  <c r="G71" i="24"/>
  <c r="K71" i="24" s="1"/>
  <c r="G23" i="24"/>
  <c r="K23" i="24" s="1"/>
  <c r="J247" i="24"/>
  <c r="N247" i="24" s="1"/>
  <c r="J199" i="24"/>
  <c r="N199" i="24" s="1"/>
  <c r="J151" i="24"/>
  <c r="N151" i="24" s="1"/>
  <c r="J103" i="24"/>
  <c r="N103" i="24" s="1"/>
  <c r="J23" i="24"/>
  <c r="N23" i="24" s="1"/>
  <c r="G294" i="24"/>
  <c r="K294" i="24" s="1"/>
  <c r="G246" i="24"/>
  <c r="K246" i="24" s="1"/>
  <c r="G198" i="24"/>
  <c r="K198" i="24" s="1"/>
  <c r="G150" i="24"/>
  <c r="K150" i="24" s="1"/>
  <c r="G102" i="24"/>
  <c r="K102" i="24" s="1"/>
  <c r="G70" i="24"/>
  <c r="K70" i="24" s="1"/>
  <c r="G38" i="24"/>
  <c r="K38" i="24" s="1"/>
  <c r="G6" i="24"/>
  <c r="K6" i="24" s="1"/>
  <c r="J230" i="24"/>
  <c r="N230" i="24" s="1"/>
  <c r="J22" i="24"/>
  <c r="N22" i="24" s="1"/>
  <c r="J6" i="24"/>
  <c r="N6" i="24" s="1"/>
  <c r="G261" i="24"/>
  <c r="K261" i="24" s="1"/>
  <c r="G197" i="24"/>
  <c r="K197" i="24" s="1"/>
  <c r="G149" i="24"/>
  <c r="K149" i="24" s="1"/>
  <c r="G117" i="24"/>
  <c r="K117" i="24" s="1"/>
  <c r="G69" i="24"/>
  <c r="K69" i="24" s="1"/>
  <c r="G37" i="24"/>
  <c r="K37" i="24" s="1"/>
  <c r="G5" i="24"/>
  <c r="K5" i="24" s="1"/>
  <c r="J85" i="24"/>
  <c r="N85" i="24" s="1"/>
  <c r="J5" i="24"/>
  <c r="N5" i="24" s="1"/>
  <c r="G292" i="24"/>
  <c r="K292" i="24" s="1"/>
  <c r="G244" i="24"/>
  <c r="K244" i="24" s="1"/>
  <c r="G196" i="24"/>
  <c r="K196" i="24" s="1"/>
  <c r="G132" i="24"/>
  <c r="K132" i="24" s="1"/>
  <c r="G83" i="24"/>
  <c r="K83" i="24" s="1"/>
  <c r="G225" i="24"/>
  <c r="K225" i="24" s="1"/>
  <c r="G209" i="24"/>
  <c r="K209" i="24" s="1"/>
  <c r="G224" i="24"/>
  <c r="K224" i="24" s="1"/>
  <c r="G208" i="24"/>
  <c r="K208" i="24" s="1"/>
  <c r="G192" i="24"/>
  <c r="K192" i="24" s="1"/>
  <c r="G80" i="24"/>
  <c r="K80" i="24" s="1"/>
  <c r="J272" i="24"/>
  <c r="N272" i="24" s="1"/>
  <c r="J240" i="24"/>
  <c r="N240" i="24" s="1"/>
  <c r="J224" i="24"/>
  <c r="N224" i="24" s="1"/>
  <c r="J208" i="24"/>
  <c r="N208" i="24" s="1"/>
  <c r="J192" i="24"/>
  <c r="N192" i="24" s="1"/>
  <c r="J176" i="24"/>
  <c r="N176" i="24" s="1"/>
  <c r="J144" i="24"/>
  <c r="N144" i="24" s="1"/>
  <c r="J128" i="24"/>
  <c r="N128" i="24" s="1"/>
  <c r="J112" i="24"/>
  <c r="N112" i="24" s="1"/>
  <c r="J80" i="24"/>
  <c r="N80" i="24" s="1"/>
  <c r="J14" i="24"/>
  <c r="N14" i="24" s="1"/>
  <c r="G285" i="24"/>
  <c r="K285" i="24" s="1"/>
  <c r="G237" i="24"/>
  <c r="K237" i="24" s="1"/>
  <c r="G189" i="24"/>
  <c r="K189" i="24" s="1"/>
  <c r="G125" i="24"/>
  <c r="K125" i="24" s="1"/>
  <c r="J205" i="24"/>
  <c r="N205" i="24" s="1"/>
  <c r="J173" i="24"/>
  <c r="N173" i="24" s="1"/>
  <c r="J141" i="24"/>
  <c r="N141" i="24" s="1"/>
  <c r="J93" i="24"/>
  <c r="N93" i="24" s="1"/>
  <c r="J29" i="24"/>
  <c r="N29" i="24" s="1"/>
  <c r="J13" i="24"/>
  <c r="N13" i="24" s="1"/>
  <c r="G220" i="24"/>
  <c r="K220" i="24" s="1"/>
  <c r="G204" i="24"/>
  <c r="K204" i="24" s="1"/>
  <c r="J220" i="24"/>
  <c r="N220" i="24" s="1"/>
  <c r="G219" i="24"/>
  <c r="K219" i="24" s="1"/>
  <c r="J225" i="24"/>
  <c r="N225" i="24" s="1"/>
  <c r="J209" i="24"/>
  <c r="N209" i="24" s="1"/>
  <c r="G287" i="24"/>
  <c r="K287" i="24" s="1"/>
  <c r="G255" i="24"/>
  <c r="K255" i="24" s="1"/>
  <c r="G239" i="24"/>
  <c r="K239" i="24" s="1"/>
  <c r="G223" i="24"/>
  <c r="K223" i="24" s="1"/>
  <c r="G207" i="24"/>
  <c r="K207" i="24" s="1"/>
  <c r="G191" i="24"/>
  <c r="K191" i="24" s="1"/>
  <c r="G175" i="24"/>
  <c r="K175" i="24" s="1"/>
  <c r="G159" i="24"/>
  <c r="K159" i="24" s="1"/>
  <c r="G143" i="24"/>
  <c r="K143" i="24" s="1"/>
  <c r="G127" i="24"/>
  <c r="K127" i="24" s="1"/>
  <c r="G111" i="24"/>
  <c r="K111" i="24" s="1"/>
  <c r="G95" i="24"/>
  <c r="K95" i="24" s="1"/>
  <c r="G79" i="24"/>
  <c r="K79" i="24" s="1"/>
  <c r="G63" i="24"/>
  <c r="K63" i="24" s="1"/>
  <c r="G47" i="24"/>
  <c r="K47" i="24" s="1"/>
  <c r="G31" i="24"/>
  <c r="K31" i="24" s="1"/>
  <c r="G15" i="24"/>
  <c r="K15" i="24" s="1"/>
  <c r="J223" i="24"/>
  <c r="N223" i="24" s="1"/>
  <c r="J207" i="24"/>
  <c r="N207" i="24" s="1"/>
  <c r="J95" i="24"/>
  <c r="N95" i="24" s="1"/>
  <c r="J79" i="24"/>
  <c r="N79" i="24" s="1"/>
  <c r="E157" i="19"/>
  <c r="D146" i="19" a="1"/>
  <c r="D146" i="19" s="1"/>
  <c r="C146" i="19" a="1"/>
  <c r="C146" i="19" s="1"/>
  <c r="D143" i="19" a="1"/>
  <c r="D143" i="19" s="1"/>
  <c r="C143" i="19" a="1"/>
  <c r="C143" i="19" s="1"/>
  <c r="F157" i="19"/>
  <c r="C145" i="19" a="1"/>
  <c r="C145" i="19" s="1"/>
  <c r="D145" i="19" a="1"/>
  <c r="D145" i="19" s="1"/>
  <c r="D144" i="19" a="1"/>
  <c r="D144" i="19" s="1"/>
  <c r="C144" i="19" a="1"/>
  <c r="C144" i="19" s="1"/>
  <c r="C142" i="19" a="1"/>
  <c r="C142" i="19" s="1"/>
  <c r="D142" i="19" a="1"/>
  <c r="D142" i="19" s="1"/>
  <c r="C147" i="19" a="1"/>
  <c r="C147" i="19" s="1"/>
  <c r="D147" i="19" a="1"/>
  <c r="D147" i="19" s="1"/>
  <c r="E158" i="19"/>
  <c r="F158" i="19"/>
  <c r="N97" i="19" l="1"/>
  <c r="R97" i="19" s="1"/>
  <c r="Z97" i="19"/>
  <c r="N93" i="19"/>
  <c r="R93" i="19" s="1"/>
  <c r="Z93" i="19"/>
  <c r="N90" i="19"/>
  <c r="R90" i="19" s="1"/>
  <c r="Z90" i="19"/>
  <c r="AL92" i="19"/>
  <c r="Z92" i="19"/>
  <c r="O165" i="29"/>
  <c r="K174" i="29"/>
  <c r="O245" i="28"/>
  <c r="Q29" i="19"/>
  <c r="U29" i="19" s="1"/>
  <c r="U6" i="19" s="1"/>
  <c r="N41" i="28"/>
  <c r="G26" i="29"/>
  <c r="F98" i="29"/>
  <c r="F88" i="29"/>
  <c r="R255" i="29"/>
  <c r="J95" i="29"/>
  <c r="S30" i="29"/>
  <c r="F95" i="29"/>
  <c r="K249" i="29"/>
  <c r="R247" i="29"/>
  <c r="R95" i="29"/>
  <c r="R31" i="29"/>
  <c r="O96" i="29"/>
  <c r="N24" i="29"/>
  <c r="R261" i="29"/>
  <c r="G31" i="29"/>
  <c r="G91" i="29"/>
  <c r="R86" i="29"/>
  <c r="F25" i="29"/>
  <c r="G23" i="29"/>
  <c r="J139" i="28"/>
  <c r="S257" i="29"/>
  <c r="N30" i="29"/>
  <c r="N92" i="29"/>
  <c r="S93" i="29"/>
  <c r="S76" i="29"/>
  <c r="G81" i="29"/>
  <c r="K30" i="29"/>
  <c r="K32" i="29"/>
  <c r="F77" i="29"/>
  <c r="F92" i="29"/>
  <c r="G29" i="29"/>
  <c r="F93" i="29"/>
  <c r="R77" i="29"/>
  <c r="F90" i="29"/>
  <c r="M113" i="28"/>
  <c r="J24" i="29"/>
  <c r="R32" i="29"/>
  <c r="G259" i="29"/>
  <c r="O257" i="29"/>
  <c r="G78" i="29"/>
  <c r="K81" i="29"/>
  <c r="O75" i="28"/>
  <c r="S91" i="29"/>
  <c r="O28" i="29"/>
  <c r="K111" i="28"/>
  <c r="O80" i="29"/>
  <c r="S75" i="29"/>
  <c r="G83" i="29"/>
  <c r="G32" i="29"/>
  <c r="G80" i="29"/>
  <c r="F86" i="29"/>
  <c r="F24" i="29"/>
  <c r="J96" i="29"/>
  <c r="F75" i="29"/>
  <c r="N77" i="29"/>
  <c r="F87" i="29"/>
  <c r="F76" i="29"/>
  <c r="K31" i="29"/>
  <c r="K97" i="29"/>
  <c r="T73" i="19"/>
  <c r="S73" i="19"/>
  <c r="U62" i="19"/>
  <c r="T62" i="19"/>
  <c r="S62" i="19"/>
  <c r="T46" i="19"/>
  <c r="U51" i="19"/>
  <c r="T51" i="19"/>
  <c r="S51" i="19"/>
  <c r="S46" i="19"/>
  <c r="S6" i="19"/>
  <c r="Y158" i="19"/>
  <c r="Q158" i="19" s="1"/>
  <c r="U158" i="19" s="1"/>
  <c r="V158" i="19"/>
  <c r="X158" i="19"/>
  <c r="P158" i="19" s="1"/>
  <c r="T158" i="19" s="1"/>
  <c r="W158" i="19"/>
  <c r="O158" i="19" s="1"/>
  <c r="S158" i="19" s="1"/>
  <c r="V175" i="19"/>
  <c r="X175" i="19"/>
  <c r="P175" i="19" s="1"/>
  <c r="W175" i="19"/>
  <c r="O175" i="19" s="1"/>
  <c r="Y175" i="19"/>
  <c r="Q175" i="19" s="1"/>
  <c r="V177" i="19"/>
  <c r="W177" i="19"/>
  <c r="O177" i="19" s="1"/>
  <c r="X177" i="19"/>
  <c r="P177" i="19" s="1"/>
  <c r="Y177" i="19"/>
  <c r="Q177" i="19" s="1"/>
  <c r="X180" i="19"/>
  <c r="P180" i="19" s="1"/>
  <c r="T180" i="19" s="1"/>
  <c r="Y180" i="19"/>
  <c r="Q180" i="19" s="1"/>
  <c r="U180" i="19" s="1"/>
  <c r="W180" i="19"/>
  <c r="O180" i="19" s="1"/>
  <c r="S180" i="19" s="1"/>
  <c r="V180" i="19"/>
  <c r="X176" i="19"/>
  <c r="P176" i="19" s="1"/>
  <c r="Y176" i="19"/>
  <c r="Q176" i="19" s="1"/>
  <c r="W176" i="19"/>
  <c r="O176" i="19" s="1"/>
  <c r="V176" i="19"/>
  <c r="V178" i="19"/>
  <c r="X178" i="19"/>
  <c r="P178" i="19" s="1"/>
  <c r="Y178" i="19"/>
  <c r="Q178" i="19" s="1"/>
  <c r="W178" i="19"/>
  <c r="O178" i="19" s="1"/>
  <c r="V157" i="19"/>
  <c r="W157" i="19"/>
  <c r="O157" i="19" s="1"/>
  <c r="S157" i="19" s="1"/>
  <c r="X157" i="19"/>
  <c r="P157" i="19" s="1"/>
  <c r="T157" i="19" s="1"/>
  <c r="Y157" i="19"/>
  <c r="Q157" i="19" s="1"/>
  <c r="U157" i="19" s="1"/>
  <c r="AL95" i="19"/>
  <c r="N95" i="19"/>
  <c r="R95" i="19" s="1"/>
  <c r="AL93" i="19"/>
  <c r="J98" i="29"/>
  <c r="L193" i="28"/>
  <c r="O81" i="29"/>
  <c r="J77" i="29"/>
  <c r="R29" i="29"/>
  <c r="N88" i="29"/>
  <c r="G82" i="29"/>
  <c r="S90" i="29"/>
  <c r="R28" i="29"/>
  <c r="O113" i="28"/>
  <c r="G22" i="29"/>
  <c r="G96" i="29"/>
  <c r="F247" i="29"/>
  <c r="N97" i="29"/>
  <c r="K113" i="28"/>
  <c r="R81" i="29"/>
  <c r="R23" i="29"/>
  <c r="R87" i="29"/>
  <c r="S22" i="29"/>
  <c r="R82" i="29"/>
  <c r="N23" i="29"/>
  <c r="J87" i="29"/>
  <c r="J75" i="29"/>
  <c r="K92" i="29"/>
  <c r="K76" i="29"/>
  <c r="J23" i="29"/>
  <c r="K253" i="29"/>
  <c r="J156" i="28"/>
  <c r="K91" i="29"/>
  <c r="K261" i="29"/>
  <c r="K80" i="29"/>
  <c r="K257" i="29"/>
  <c r="J83" i="29"/>
  <c r="K28" i="29"/>
  <c r="J247" i="29"/>
  <c r="J259" i="29"/>
  <c r="J82" i="29"/>
  <c r="J88" i="29"/>
  <c r="K93" i="29"/>
  <c r="J29" i="29"/>
  <c r="K255" i="29"/>
  <c r="N96" i="28"/>
  <c r="R98" i="29"/>
  <c r="R251" i="29"/>
  <c r="R253" i="29"/>
  <c r="R97" i="29"/>
  <c r="S92" i="29"/>
  <c r="S78" i="29"/>
  <c r="R24" i="29"/>
  <c r="M102" i="28"/>
  <c r="O111" i="28"/>
  <c r="O102" i="28"/>
  <c r="N22" i="29"/>
  <c r="N78" i="29"/>
  <c r="N82" i="29"/>
  <c r="N247" i="29"/>
  <c r="O76" i="29"/>
  <c r="K102" i="28"/>
  <c r="O98" i="29"/>
  <c r="N83" i="29"/>
  <c r="M160" i="28"/>
  <c r="N93" i="29"/>
  <c r="O29" i="29"/>
  <c r="T7" i="19"/>
  <c r="O91" i="29"/>
  <c r="K160" i="28"/>
  <c r="K165" i="28"/>
  <c r="N241" i="28"/>
  <c r="L188" i="28"/>
  <c r="G249" i="29"/>
  <c r="J192" i="28"/>
  <c r="L161" i="28"/>
  <c r="K95" i="28"/>
  <c r="J161" i="28"/>
  <c r="J188" i="28"/>
  <c r="N198" i="28"/>
  <c r="J163" i="28"/>
  <c r="N195" i="28"/>
  <c r="L163" i="28"/>
  <c r="N148" i="28"/>
  <c r="M36" i="28"/>
  <c r="J84" i="28"/>
  <c r="M84" i="28"/>
  <c r="M206" i="28"/>
  <c r="O108" i="28"/>
  <c r="L195" i="28"/>
  <c r="K188" i="28"/>
  <c r="K161" i="28"/>
  <c r="O212" i="28"/>
  <c r="M212" i="28"/>
  <c r="M33" i="28"/>
  <c r="O186" i="28"/>
  <c r="M247" i="28"/>
  <c r="K52" i="28"/>
  <c r="O247" i="28"/>
  <c r="N170" i="29"/>
  <c r="O36" i="28"/>
  <c r="K186" i="28"/>
  <c r="N95" i="29"/>
  <c r="M213" i="28"/>
  <c r="J218" i="28"/>
  <c r="M40" i="28"/>
  <c r="J213" i="28"/>
  <c r="J153" i="28"/>
  <c r="J179" i="28"/>
  <c r="N84" i="28"/>
  <c r="N218" i="28"/>
  <c r="N192" i="28"/>
  <c r="J189" i="28"/>
  <c r="J148" i="28"/>
  <c r="O251" i="29"/>
  <c r="M50" i="28"/>
  <c r="K226" i="28"/>
  <c r="R249" i="29"/>
  <c r="O246" i="28"/>
  <c r="J193" i="28"/>
  <c r="O235" i="28"/>
  <c r="N50" i="28"/>
  <c r="AL97" i="19"/>
  <c r="L226" i="28"/>
  <c r="L164" i="28"/>
  <c r="O253" i="29"/>
  <c r="M210" i="28"/>
  <c r="K176" i="28"/>
  <c r="O92" i="28"/>
  <c r="M153" i="28"/>
  <c r="L176" i="28"/>
  <c r="J231" i="28"/>
  <c r="M34" i="28"/>
  <c r="R115" i="29"/>
  <c r="K190" i="28"/>
  <c r="N222" i="28"/>
  <c r="O43" i="28"/>
  <c r="N216" i="28"/>
  <c r="K179" i="28"/>
  <c r="K49" i="28"/>
  <c r="K147" i="28"/>
  <c r="G257" i="29"/>
  <c r="F141" i="29"/>
  <c r="O101" i="28"/>
  <c r="J55" i="28"/>
  <c r="M216" i="28"/>
  <c r="J99" i="28"/>
  <c r="L99" i="28"/>
  <c r="L55" i="28"/>
  <c r="L145" i="28"/>
  <c r="J230" i="28"/>
  <c r="J216" i="28"/>
  <c r="N42" i="28"/>
  <c r="N44" i="28"/>
  <c r="N90" i="28"/>
  <c r="L198" i="28"/>
  <c r="M152" i="28"/>
  <c r="N43" i="28"/>
  <c r="M180" i="28"/>
  <c r="O213" i="28"/>
  <c r="N171" i="28"/>
  <c r="O178" i="28"/>
  <c r="N25" i="29"/>
  <c r="AI91" i="19"/>
  <c r="M101" i="28"/>
  <c r="O163" i="28"/>
  <c r="N76" i="28"/>
  <c r="O209" i="28"/>
  <c r="R26" i="29"/>
  <c r="O214" i="28"/>
  <c r="O41" i="28"/>
  <c r="J56" i="28"/>
  <c r="M42" i="28"/>
  <c r="N164" i="28"/>
  <c r="O110" i="28"/>
  <c r="O51" i="28"/>
  <c r="L154" i="28"/>
  <c r="O40" i="28"/>
  <c r="N221" i="28"/>
  <c r="M178" i="28"/>
  <c r="K56" i="29"/>
  <c r="N204" i="28"/>
  <c r="K163" i="28"/>
  <c r="N146" i="28"/>
  <c r="M230" i="28"/>
  <c r="K110" i="28"/>
  <c r="N152" i="28"/>
  <c r="N96" i="19"/>
  <c r="R96" i="19" s="1"/>
  <c r="O39" i="28"/>
  <c r="AL96" i="19"/>
  <c r="N138" i="28"/>
  <c r="J42" i="29"/>
  <c r="L56" i="28"/>
  <c r="K181" i="28"/>
  <c r="L232" i="28"/>
  <c r="J194" i="28"/>
  <c r="AI97" i="19"/>
  <c r="M161" i="28"/>
  <c r="AI93" i="19"/>
  <c r="L194" i="28"/>
  <c r="L97" i="28"/>
  <c r="R25" i="29"/>
  <c r="N135" i="28"/>
  <c r="M151" i="28"/>
  <c r="J149" i="29"/>
  <c r="O168" i="29"/>
  <c r="J167" i="28"/>
  <c r="K223" i="28"/>
  <c r="S57" i="29"/>
  <c r="M222" i="28"/>
  <c r="AB179" i="19"/>
  <c r="N111" i="28"/>
  <c r="O97" i="28"/>
  <c r="L189" i="28"/>
  <c r="M39" i="28"/>
  <c r="O110" i="29"/>
  <c r="N40" i="28"/>
  <c r="P40" i="28"/>
  <c r="O198" i="28"/>
  <c r="N202" i="28"/>
  <c r="J126" i="29"/>
  <c r="N238" i="28"/>
  <c r="N177" i="28"/>
  <c r="L177" i="28"/>
  <c r="N26" i="29"/>
  <c r="AL90" i="19"/>
  <c r="J198" i="28"/>
  <c r="N168" i="28"/>
  <c r="M99" i="28"/>
  <c r="AI90" i="19"/>
  <c r="M209" i="28"/>
  <c r="N178" i="28"/>
  <c r="M54" i="28"/>
  <c r="K61" i="29"/>
  <c r="K260" i="29"/>
  <c r="O249" i="29"/>
  <c r="AI95" i="19"/>
  <c r="L224" i="28"/>
  <c r="J211" i="28"/>
  <c r="K195" i="28"/>
  <c r="K105" i="29"/>
  <c r="N21" i="29"/>
  <c r="L39" i="28"/>
  <c r="O183" i="28"/>
  <c r="O86" i="28"/>
  <c r="M171" i="28"/>
  <c r="N203" i="28"/>
  <c r="M135" i="28"/>
  <c r="M43" i="28"/>
  <c r="J190" i="28"/>
  <c r="K134" i="28"/>
  <c r="AI92" i="19"/>
  <c r="N92" i="19"/>
  <c r="R92" i="19" s="1"/>
  <c r="N91" i="19"/>
  <c r="R91" i="19" s="1"/>
  <c r="AL91" i="19"/>
  <c r="AI96" i="19"/>
  <c r="AI94" i="19"/>
  <c r="O184" i="28"/>
  <c r="S122" i="29"/>
  <c r="L92" i="28"/>
  <c r="O238" i="28"/>
  <c r="O224" i="28"/>
  <c r="N92" i="28"/>
  <c r="L238" i="28"/>
  <c r="N194" i="28"/>
  <c r="S99" i="29"/>
  <c r="O221" i="28"/>
  <c r="R159" i="29"/>
  <c r="S96" i="29"/>
  <c r="O35" i="28"/>
  <c r="L112" i="28"/>
  <c r="N191" i="28"/>
  <c r="L91" i="28"/>
  <c r="O232" i="28"/>
  <c r="N232" i="28"/>
  <c r="N47" i="28"/>
  <c r="N180" i="28"/>
  <c r="P101" i="28"/>
  <c r="L50" i="28"/>
  <c r="N51" i="28"/>
  <c r="O185" i="28"/>
  <c r="Q91" i="19"/>
  <c r="U91" i="19" s="1"/>
  <c r="N127" i="29"/>
  <c r="K236" i="28"/>
  <c r="M86" i="28"/>
  <c r="N131" i="29"/>
  <c r="M88" i="28"/>
  <c r="O215" i="28"/>
  <c r="O34" i="28"/>
  <c r="M109" i="28"/>
  <c r="K215" i="28"/>
  <c r="O88" i="28"/>
  <c r="N101" i="29"/>
  <c r="N84" i="29"/>
  <c r="N192" i="29"/>
  <c r="N115" i="29"/>
  <c r="O147" i="29"/>
  <c r="M110" i="28"/>
  <c r="K149" i="28"/>
  <c r="O134" i="28"/>
  <c r="O89" i="28"/>
  <c r="M162" i="28"/>
  <c r="M83" i="28"/>
  <c r="AC179" i="19"/>
  <c r="AA179" i="19"/>
  <c r="AL29" i="19"/>
  <c r="AK29" i="19"/>
  <c r="AL19" i="19"/>
  <c r="AK19" i="19"/>
  <c r="AL65" i="19"/>
  <c r="AK65" i="19"/>
  <c r="AI48" i="19"/>
  <c r="N48" i="19"/>
  <c r="R48" i="19" s="1"/>
  <c r="AI8" i="19"/>
  <c r="N8" i="19"/>
  <c r="R8" i="19" s="1"/>
  <c r="AH14" i="19"/>
  <c r="AK74" i="19"/>
  <c r="AL74" i="19"/>
  <c r="AI29" i="19"/>
  <c r="N29" i="19"/>
  <c r="R29" i="19" s="1"/>
  <c r="AH22" i="19"/>
  <c r="AI41" i="19"/>
  <c r="N41" i="19"/>
  <c r="R41" i="19" s="1"/>
  <c r="AI17" i="19"/>
  <c r="N17" i="19"/>
  <c r="R17" i="19" s="1"/>
  <c r="AK82" i="19"/>
  <c r="AL82" i="19"/>
  <c r="AH65" i="19"/>
  <c r="AH11" i="19"/>
  <c r="AH44" i="19"/>
  <c r="AK84" i="19"/>
  <c r="AL84" i="19"/>
  <c r="AI78" i="19"/>
  <c r="N78" i="19"/>
  <c r="R78" i="19" s="1"/>
  <c r="AL64" i="19"/>
  <c r="AK64" i="19"/>
  <c r="AI52" i="19"/>
  <c r="N52" i="19"/>
  <c r="R52" i="19" s="1"/>
  <c r="AH25" i="19"/>
  <c r="AH66" i="19"/>
  <c r="AH23" i="19"/>
  <c r="AK85" i="19"/>
  <c r="AL85" i="19"/>
  <c r="AH68" i="19"/>
  <c r="AI14" i="19"/>
  <c r="N14" i="19"/>
  <c r="R14" i="19" s="1"/>
  <c r="AH19" i="19"/>
  <c r="AH89" i="19"/>
  <c r="AK55" i="19"/>
  <c r="AL55" i="19"/>
  <c r="AI49" i="19"/>
  <c r="N49" i="19"/>
  <c r="R49" i="19" s="1"/>
  <c r="AH83" i="19"/>
  <c r="AH54" i="19"/>
  <c r="AL45" i="19"/>
  <c r="AK45" i="19"/>
  <c r="AK24" i="19"/>
  <c r="AL24" i="19"/>
  <c r="AK88" i="19"/>
  <c r="AL88" i="19"/>
  <c r="AI31" i="19"/>
  <c r="N31" i="19"/>
  <c r="R31" i="19" s="1"/>
  <c r="AK75" i="19"/>
  <c r="AL75" i="19"/>
  <c r="AH32" i="19"/>
  <c r="AH74" i="19"/>
  <c r="AL26" i="19"/>
  <c r="AK26" i="19"/>
  <c r="AL13" i="19"/>
  <c r="AK13" i="19"/>
  <c r="AI82" i="19"/>
  <c r="N82" i="19"/>
  <c r="R82" i="19" s="1"/>
  <c r="AI10" i="19"/>
  <c r="N10" i="19"/>
  <c r="R10" i="19" s="1"/>
  <c r="AI19" i="19"/>
  <c r="N19" i="19"/>
  <c r="R19" i="19" s="1"/>
  <c r="AH55" i="19"/>
  <c r="AK52" i="19"/>
  <c r="AL52" i="19"/>
  <c r="AH67" i="19"/>
  <c r="AK10" i="19"/>
  <c r="AL10" i="19"/>
  <c r="AH43" i="19"/>
  <c r="AI23" i="19"/>
  <c r="N23" i="19"/>
  <c r="R23" i="19" s="1"/>
  <c r="AL77" i="19"/>
  <c r="AK77" i="19"/>
  <c r="AK11" i="19"/>
  <c r="AL11" i="19"/>
  <c r="AI61" i="19"/>
  <c r="N61" i="19"/>
  <c r="R61" i="19" s="1"/>
  <c r="AI43" i="19"/>
  <c r="N43" i="19"/>
  <c r="R43" i="19" s="1"/>
  <c r="AI56" i="19"/>
  <c r="N56" i="19"/>
  <c r="R56" i="19" s="1"/>
  <c r="AI44" i="19"/>
  <c r="N44" i="19"/>
  <c r="R44" i="19" s="1"/>
  <c r="AK25" i="19"/>
  <c r="AL25" i="19"/>
  <c r="AL50" i="19"/>
  <c r="AK50" i="19"/>
  <c r="AH37" i="19"/>
  <c r="AI24" i="19"/>
  <c r="N24" i="19"/>
  <c r="R24" i="19" s="1"/>
  <c r="AK81" i="19"/>
  <c r="AL81" i="19"/>
  <c r="AL61" i="19"/>
  <c r="AK61" i="19"/>
  <c r="AI70" i="19"/>
  <c r="N70" i="19"/>
  <c r="R70" i="19" s="1"/>
  <c r="AI72" i="19"/>
  <c r="N72" i="19"/>
  <c r="R72" i="19" s="1"/>
  <c r="AH59" i="19"/>
  <c r="AH58" i="19"/>
  <c r="AL12" i="19"/>
  <c r="AK12" i="19"/>
  <c r="AL18" i="19"/>
  <c r="AK18" i="19"/>
  <c r="AL44" i="19"/>
  <c r="AK44" i="19"/>
  <c r="AH45" i="19"/>
  <c r="AK76" i="19"/>
  <c r="AL76" i="19"/>
  <c r="AK58" i="19"/>
  <c r="AL58" i="19"/>
  <c r="AH24" i="19"/>
  <c r="AI30" i="19"/>
  <c r="N30" i="19"/>
  <c r="R30" i="19" s="1"/>
  <c r="AI18" i="19"/>
  <c r="N18" i="19"/>
  <c r="R18" i="19" s="1"/>
  <c r="AI16" i="19"/>
  <c r="N16" i="19"/>
  <c r="R16" i="19" s="1"/>
  <c r="AI64" i="19"/>
  <c r="N64" i="19"/>
  <c r="R64" i="19" s="1"/>
  <c r="AK33" i="19"/>
  <c r="AL33" i="19"/>
  <c r="AI86" i="19"/>
  <c r="N86" i="19"/>
  <c r="R86" i="19" s="1"/>
  <c r="AL69" i="19"/>
  <c r="AK69" i="19"/>
  <c r="AK38" i="19"/>
  <c r="AL38" i="19"/>
  <c r="AH9" i="19"/>
  <c r="AH7" i="19"/>
  <c r="AI75" i="19"/>
  <c r="N75" i="19"/>
  <c r="R75" i="19" s="1"/>
  <c r="AH27" i="19"/>
  <c r="AL43" i="19"/>
  <c r="AK43" i="19"/>
  <c r="AK23" i="19"/>
  <c r="AL23" i="19"/>
  <c r="AL37" i="19"/>
  <c r="AK37" i="19"/>
  <c r="AK56" i="19"/>
  <c r="AL56" i="19"/>
  <c r="AH49" i="19"/>
  <c r="AI55" i="19"/>
  <c r="N55" i="19"/>
  <c r="R55" i="19" s="1"/>
  <c r="AK83" i="19"/>
  <c r="AL83" i="19"/>
  <c r="AL60" i="19"/>
  <c r="AK60" i="19"/>
  <c r="AL79" i="19"/>
  <c r="AK79" i="19"/>
  <c r="AH35" i="19"/>
  <c r="AK40" i="19"/>
  <c r="AL40" i="19"/>
  <c r="AL80" i="19"/>
  <c r="AK80" i="19"/>
  <c r="AH84" i="19"/>
  <c r="AI20" i="19"/>
  <c r="N20" i="19"/>
  <c r="R20" i="19" s="1"/>
  <c r="AL17" i="19"/>
  <c r="AK17" i="19"/>
  <c r="AI39" i="19"/>
  <c r="N39" i="19"/>
  <c r="R39" i="19" s="1"/>
  <c r="AI66" i="19"/>
  <c r="N66" i="19"/>
  <c r="R66" i="19" s="1"/>
  <c r="AI89" i="19"/>
  <c r="N89" i="19"/>
  <c r="R89" i="19" s="1"/>
  <c r="AH81" i="19"/>
  <c r="AI38" i="19"/>
  <c r="N38" i="19"/>
  <c r="R38" i="19" s="1"/>
  <c r="AI21" i="19"/>
  <c r="N21" i="19"/>
  <c r="R21" i="19" s="1"/>
  <c r="AH78" i="19"/>
  <c r="AI33" i="19"/>
  <c r="N33" i="19"/>
  <c r="R33" i="19" s="1"/>
  <c r="AL66" i="19"/>
  <c r="AK66" i="19"/>
  <c r="AL36" i="19"/>
  <c r="AK36" i="19"/>
  <c r="AH47" i="19"/>
  <c r="AK53" i="19"/>
  <c r="AL53" i="19"/>
  <c r="AF180" i="19"/>
  <c r="AE180" i="19"/>
  <c r="AG180" i="19"/>
  <c r="AD180" i="19"/>
  <c r="AJ180" i="19"/>
  <c r="AH72" i="19"/>
  <c r="AI42" i="19"/>
  <c r="N42" i="19"/>
  <c r="R42" i="19" s="1"/>
  <c r="AH12" i="19"/>
  <c r="AI34" i="19"/>
  <c r="N34" i="19"/>
  <c r="R34" i="19" s="1"/>
  <c r="AL86" i="19"/>
  <c r="AK86" i="19"/>
  <c r="AL22" i="19"/>
  <c r="AK22" i="19"/>
  <c r="AL16" i="19"/>
  <c r="AK16" i="19"/>
  <c r="AH50" i="19"/>
  <c r="AH34" i="19"/>
  <c r="AI87" i="19"/>
  <c r="N87" i="19"/>
  <c r="R87" i="19" s="1"/>
  <c r="AI79" i="19"/>
  <c r="N79" i="19"/>
  <c r="R79" i="19" s="1"/>
  <c r="AL27" i="19"/>
  <c r="AK27" i="19"/>
  <c r="AI76" i="19"/>
  <c r="N76" i="19"/>
  <c r="R76" i="19" s="1"/>
  <c r="AH28" i="19"/>
  <c r="AH21" i="19"/>
  <c r="AK72" i="19"/>
  <c r="AL72" i="19"/>
  <c r="AI69" i="19"/>
  <c r="N69" i="19"/>
  <c r="R69" i="19" s="1"/>
  <c r="AI27" i="19"/>
  <c r="N27" i="19"/>
  <c r="R27" i="19" s="1"/>
  <c r="AH80" i="19"/>
  <c r="AI37" i="19"/>
  <c r="N37" i="19"/>
  <c r="R37" i="19" s="1"/>
  <c r="AI74" i="19"/>
  <c r="N74" i="19"/>
  <c r="R74" i="19" s="1"/>
  <c r="AI26" i="19"/>
  <c r="N26" i="19"/>
  <c r="R26" i="19" s="1"/>
  <c r="AI13" i="19"/>
  <c r="N13" i="19"/>
  <c r="R13" i="19" s="1"/>
  <c r="AI54" i="19"/>
  <c r="N54" i="19"/>
  <c r="R54" i="19" s="1"/>
  <c r="AH77" i="19"/>
  <c r="AI28" i="19"/>
  <c r="N28" i="19"/>
  <c r="R28" i="19" s="1"/>
  <c r="AL30" i="19"/>
  <c r="AK30" i="19"/>
  <c r="AI11" i="19"/>
  <c r="N11" i="19"/>
  <c r="R11" i="19" s="1"/>
  <c r="AH69" i="19"/>
  <c r="AI25" i="19"/>
  <c r="N25" i="19"/>
  <c r="R25" i="19" s="1"/>
  <c r="AH57" i="19"/>
  <c r="AH85" i="19"/>
  <c r="AH26" i="19"/>
  <c r="AH8" i="19"/>
  <c r="AH29" i="19"/>
  <c r="AH15" i="19"/>
  <c r="AH61" i="19"/>
  <c r="AI57" i="19"/>
  <c r="N57" i="19"/>
  <c r="R57" i="19" s="1"/>
  <c r="AI63" i="19"/>
  <c r="N63" i="19"/>
  <c r="R63" i="19" s="1"/>
  <c r="AJ175" i="19"/>
  <c r="AD175" i="19"/>
  <c r="AG175" i="19"/>
  <c r="AF175" i="19"/>
  <c r="AE175" i="19"/>
  <c r="AK31" i="19"/>
  <c r="AL31" i="19"/>
  <c r="AH17" i="19"/>
  <c r="AH87" i="19"/>
  <c r="AH39" i="19"/>
  <c r="AH48" i="19"/>
  <c r="AI81" i="19"/>
  <c r="N81" i="19"/>
  <c r="R81" i="19" s="1"/>
  <c r="AH63" i="19"/>
  <c r="AH42" i="19"/>
  <c r="AK8" i="19"/>
  <c r="AL8" i="19"/>
  <c r="AL78" i="19"/>
  <c r="AK78" i="19"/>
  <c r="AI83" i="19"/>
  <c r="N83" i="19"/>
  <c r="R83" i="19" s="1"/>
  <c r="AK41" i="19"/>
  <c r="AL41" i="19"/>
  <c r="AL47" i="19"/>
  <c r="AK47" i="19"/>
  <c r="AI80" i="19"/>
  <c r="N80" i="19"/>
  <c r="R80" i="19" s="1"/>
  <c r="AH30" i="19"/>
  <c r="AK7" i="19"/>
  <c r="AL7" i="19"/>
  <c r="AL63" i="19"/>
  <c r="AK63" i="19"/>
  <c r="AI45" i="19"/>
  <c r="N45" i="19"/>
  <c r="R45" i="19" s="1"/>
  <c r="AH60" i="19"/>
  <c r="AH56" i="19"/>
  <c r="AJ158" i="19"/>
  <c r="AG158" i="19"/>
  <c r="AF158" i="19"/>
  <c r="AE158" i="19"/>
  <c r="AD158" i="19"/>
  <c r="AG157" i="19"/>
  <c r="AD157" i="19"/>
  <c r="AF157" i="19"/>
  <c r="AE157" i="19"/>
  <c r="AJ157" i="19"/>
  <c r="AI77" i="19"/>
  <c r="N77" i="19"/>
  <c r="R77" i="19" s="1"/>
  <c r="AL28" i="19"/>
  <c r="AK28" i="19"/>
  <c r="AL21" i="19"/>
  <c r="AK21" i="19"/>
  <c r="AH82" i="19"/>
  <c r="AL34" i="19"/>
  <c r="AK34" i="19"/>
  <c r="AH18" i="19"/>
  <c r="AL70" i="19"/>
  <c r="AK70" i="19"/>
  <c r="AL71" i="19"/>
  <c r="AK71" i="19"/>
  <c r="AI179" i="19"/>
  <c r="N179" i="19"/>
  <c r="AH86" i="19"/>
  <c r="AL15" i="19"/>
  <c r="AK15" i="19"/>
  <c r="AK9" i="19"/>
  <c r="AL9" i="19"/>
  <c r="AH79" i="19"/>
  <c r="AL67" i="19"/>
  <c r="AK67" i="19"/>
  <c r="AI40" i="19"/>
  <c r="N40" i="19"/>
  <c r="R40" i="19" s="1"/>
  <c r="AH75" i="19"/>
  <c r="AH20" i="19"/>
  <c r="AK42" i="19"/>
  <c r="AL42" i="19"/>
  <c r="AH76" i="19"/>
  <c r="AH53" i="19"/>
  <c r="AI32" i="19"/>
  <c r="N32" i="19"/>
  <c r="R32" i="19" s="1"/>
  <c r="AI68" i="19"/>
  <c r="N68" i="19"/>
  <c r="R68" i="19" s="1"/>
  <c r="AH10" i="19"/>
  <c r="AI35" i="19"/>
  <c r="N35" i="19"/>
  <c r="R35" i="19" s="1"/>
  <c r="AI88" i="19"/>
  <c r="N88" i="19"/>
  <c r="R88" i="19" s="1"/>
  <c r="AL48" i="19"/>
  <c r="AK48" i="19"/>
  <c r="AL179" i="19"/>
  <c r="AI15" i="19"/>
  <c r="N15" i="19"/>
  <c r="R15" i="19" s="1"/>
  <c r="AI53" i="19"/>
  <c r="N53" i="19"/>
  <c r="R53" i="19" s="1"/>
  <c r="AH64" i="19"/>
  <c r="AK32" i="19"/>
  <c r="AL32" i="19"/>
  <c r="AI36" i="19"/>
  <c r="N36" i="19"/>
  <c r="R36" i="19" s="1"/>
  <c r="AH41" i="19"/>
  <c r="AI58" i="19"/>
  <c r="N58" i="19"/>
  <c r="R58" i="19" s="1"/>
  <c r="AI12" i="19"/>
  <c r="N12" i="19"/>
  <c r="R12" i="19" s="1"/>
  <c r="AJ177" i="19"/>
  <c r="AG177" i="19"/>
  <c r="AF177" i="19"/>
  <c r="AE177" i="19"/>
  <c r="AD177" i="19"/>
  <c r="AI59" i="19"/>
  <c r="N59" i="19"/>
  <c r="R59" i="19" s="1"/>
  <c r="AH52" i="19"/>
  <c r="AH36" i="19"/>
  <c r="AI22" i="19"/>
  <c r="N22" i="19"/>
  <c r="R22" i="19" s="1"/>
  <c r="AI47" i="19"/>
  <c r="N47" i="19"/>
  <c r="R47" i="19" s="1"/>
  <c r="AL87" i="19"/>
  <c r="AK87" i="19"/>
  <c r="AH70" i="19"/>
  <c r="AI50" i="19"/>
  <c r="N50" i="19"/>
  <c r="R50" i="19" s="1"/>
  <c r="AL14" i="19"/>
  <c r="AK14" i="19"/>
  <c r="AL49" i="19"/>
  <c r="AK49" i="19"/>
  <c r="AK39" i="19"/>
  <c r="AL39" i="19"/>
  <c r="AI60" i="19"/>
  <c r="N60" i="19"/>
  <c r="R60" i="19" s="1"/>
  <c r="AH33" i="19"/>
  <c r="AI9" i="19"/>
  <c r="N9" i="19"/>
  <c r="R9" i="19" s="1"/>
  <c r="AJ176" i="19"/>
  <c r="AG176" i="19"/>
  <c r="AF176" i="19"/>
  <c r="AE176" i="19"/>
  <c r="AD176" i="19"/>
  <c r="AK57" i="19"/>
  <c r="AL57" i="19"/>
  <c r="AJ178" i="19"/>
  <c r="AE178" i="19"/>
  <c r="AD178" i="19"/>
  <c r="AG178" i="19"/>
  <c r="AF178" i="19"/>
  <c r="AH71" i="19"/>
  <c r="AH38" i="19"/>
  <c r="AI7" i="19"/>
  <c r="N7" i="19"/>
  <c r="R7" i="19" s="1"/>
  <c r="AK89" i="19"/>
  <c r="AL89" i="19"/>
  <c r="AL59" i="19"/>
  <c r="AK59" i="19"/>
  <c r="AH31" i="19"/>
  <c r="AI65" i="19"/>
  <c r="N65" i="19"/>
  <c r="R65" i="19" s="1"/>
  <c r="AH16" i="19"/>
  <c r="AI84" i="19"/>
  <c r="N84" i="19"/>
  <c r="R84" i="19" s="1"/>
  <c r="AI71" i="19"/>
  <c r="N71" i="19"/>
  <c r="R71" i="19" s="1"/>
  <c r="AH179" i="19"/>
  <c r="Z179" i="19"/>
  <c r="AI67" i="19"/>
  <c r="N67" i="19"/>
  <c r="R67" i="19" s="1"/>
  <c r="AH40" i="19"/>
  <c r="AL20" i="19"/>
  <c r="AK20" i="19"/>
  <c r="AL35" i="19"/>
  <c r="AK35" i="19"/>
  <c r="AI85" i="19"/>
  <c r="N85" i="19"/>
  <c r="R85" i="19" s="1"/>
  <c r="AK68" i="19"/>
  <c r="AL68" i="19"/>
  <c r="AH13" i="19"/>
  <c r="AH88" i="19"/>
  <c r="AK54" i="19"/>
  <c r="AL54" i="19"/>
  <c r="K180" i="19"/>
  <c r="J96" i="28"/>
  <c r="J52" i="28"/>
  <c r="F97" i="29"/>
  <c r="O190" i="29"/>
  <c r="G113" i="29"/>
  <c r="O69" i="29"/>
  <c r="M44" i="28"/>
  <c r="M49" i="28"/>
  <c r="N155" i="28"/>
  <c r="P148" i="28"/>
  <c r="K35" i="28"/>
  <c r="P192" i="28"/>
  <c r="N224" i="28"/>
  <c r="J140" i="28"/>
  <c r="N56" i="29"/>
  <c r="K154" i="29"/>
  <c r="N141" i="28"/>
  <c r="F131" i="29"/>
  <c r="L245" i="28"/>
  <c r="L148" i="28"/>
  <c r="O128" i="29"/>
  <c r="F171" i="29"/>
  <c r="K82" i="28"/>
  <c r="N237" i="28"/>
  <c r="S152" i="29"/>
  <c r="S63" i="29"/>
  <c r="N261" i="29"/>
  <c r="P41" i="28"/>
  <c r="O166" i="28"/>
  <c r="L192" i="28"/>
  <c r="J223" i="28"/>
  <c r="N231" i="28"/>
  <c r="N107" i="28"/>
  <c r="O225" i="28"/>
  <c r="S64" i="29"/>
  <c r="M35" i="28"/>
  <c r="N49" i="28"/>
  <c r="N126" i="29"/>
  <c r="G253" i="29"/>
  <c r="K120" i="29"/>
  <c r="O236" i="28"/>
  <c r="K25" i="29"/>
  <c r="K252" i="29"/>
  <c r="M225" i="28"/>
  <c r="M193" i="28"/>
  <c r="L146" i="28"/>
  <c r="N40" i="29"/>
  <c r="N80" i="28"/>
  <c r="M51" i="28"/>
  <c r="O184" i="29"/>
  <c r="K99" i="28"/>
  <c r="M148" i="28"/>
  <c r="N154" i="28"/>
  <c r="J119" i="29"/>
  <c r="L235" i="28"/>
  <c r="K58" i="29"/>
  <c r="M107" i="28"/>
  <c r="K145" i="28"/>
  <c r="J80" i="28"/>
  <c r="R170" i="29"/>
  <c r="J191" i="29"/>
  <c r="J22" i="29"/>
  <c r="R41" i="29"/>
  <c r="K142" i="29"/>
  <c r="J101" i="28"/>
  <c r="N82" i="28"/>
  <c r="M82" i="28"/>
  <c r="K74" i="29"/>
  <c r="N219" i="28"/>
  <c r="J248" i="29"/>
  <c r="R259" i="29"/>
  <c r="L231" i="28"/>
  <c r="J233" i="28"/>
  <c r="L47" i="28"/>
  <c r="P176" i="28"/>
  <c r="N156" i="28"/>
  <c r="N182" i="28"/>
  <c r="M202" i="28"/>
  <c r="K196" i="28"/>
  <c r="J138" i="28"/>
  <c r="S105" i="29"/>
  <c r="J51" i="29"/>
  <c r="P231" i="28"/>
  <c r="M48" i="28"/>
  <c r="L101" i="28"/>
  <c r="J151" i="28"/>
  <c r="O228" i="28"/>
  <c r="J181" i="28"/>
  <c r="M139" i="28"/>
  <c r="J145" i="28"/>
  <c r="N139" i="28"/>
  <c r="L191" i="28"/>
  <c r="S72" i="29"/>
  <c r="R60" i="29"/>
  <c r="S108" i="29"/>
  <c r="R189" i="29"/>
  <c r="G85" i="29"/>
  <c r="N155" i="29"/>
  <c r="M41" i="28"/>
  <c r="P194" i="28"/>
  <c r="M191" i="28"/>
  <c r="J73" i="29"/>
  <c r="K26" i="29"/>
  <c r="N112" i="29"/>
  <c r="M94" i="28"/>
  <c r="R190" i="29"/>
  <c r="S79" i="29"/>
  <c r="S248" i="29"/>
  <c r="K67" i="29"/>
  <c r="O49" i="28"/>
  <c r="N229" i="28"/>
  <c r="N136" i="28"/>
  <c r="O94" i="28"/>
  <c r="N73" i="29"/>
  <c r="M241" i="28"/>
  <c r="L196" i="28"/>
  <c r="L223" i="28"/>
  <c r="J149" i="28"/>
  <c r="J196" i="28"/>
  <c r="J121" i="29"/>
  <c r="J127" i="29"/>
  <c r="K64" i="29"/>
  <c r="J70" i="29"/>
  <c r="J163" i="29"/>
  <c r="J160" i="29"/>
  <c r="J90" i="28"/>
  <c r="K156" i="28"/>
  <c r="L179" i="28"/>
  <c r="M203" i="28"/>
  <c r="O105" i="28"/>
  <c r="M53" i="28"/>
  <c r="S85" i="29"/>
  <c r="G111" i="29"/>
  <c r="J54" i="29"/>
  <c r="F255" i="29"/>
  <c r="F124" i="29"/>
  <c r="J78" i="29"/>
  <c r="R176" i="29"/>
  <c r="K85" i="29"/>
  <c r="O255" i="29"/>
  <c r="R191" i="29"/>
  <c r="F261" i="29"/>
  <c r="L184" i="28"/>
  <c r="N207" i="28"/>
  <c r="J142" i="28"/>
  <c r="S186" i="29"/>
  <c r="N39" i="28"/>
  <c r="N105" i="28"/>
  <c r="M90" i="28"/>
  <c r="N211" i="28"/>
  <c r="K189" i="28"/>
  <c r="J180" i="28"/>
  <c r="K153" i="29"/>
  <c r="G50" i="29"/>
  <c r="S185" i="29"/>
  <c r="N191" i="29"/>
  <c r="J27" i="29"/>
  <c r="N141" i="29"/>
  <c r="G147" i="29"/>
  <c r="O38" i="28"/>
  <c r="N190" i="28"/>
  <c r="O154" i="28"/>
  <c r="N235" i="28"/>
  <c r="M183" i="28"/>
  <c r="L113" i="28"/>
  <c r="N48" i="29"/>
  <c r="R136" i="29"/>
  <c r="K159" i="29"/>
  <c r="N171" i="29"/>
  <c r="O171" i="29"/>
  <c r="K230" i="28"/>
  <c r="M95" i="28"/>
  <c r="M38" i="28"/>
  <c r="L230" i="28"/>
  <c r="M182" i="28"/>
  <c r="O77" i="28"/>
  <c r="R177" i="29"/>
  <c r="N68" i="29"/>
  <c r="O68" i="29"/>
  <c r="J41" i="29"/>
  <c r="G62" i="29"/>
  <c r="J79" i="29"/>
  <c r="K117" i="29"/>
  <c r="J117" i="29"/>
  <c r="K46" i="29"/>
  <c r="R100" i="29"/>
  <c r="G30" i="29"/>
  <c r="F30" i="29"/>
  <c r="M75" i="28"/>
  <c r="K75" i="28"/>
  <c r="J240" i="28"/>
  <c r="S47" i="29"/>
  <c r="R47" i="29"/>
  <c r="N94" i="28"/>
  <c r="F37" i="29"/>
  <c r="O120" i="29"/>
  <c r="N120" i="29"/>
  <c r="J108" i="29"/>
  <c r="K108" i="29"/>
  <c r="J100" i="29"/>
  <c r="K100" i="29"/>
  <c r="R144" i="29"/>
  <c r="S42" i="29"/>
  <c r="F102" i="29"/>
  <c r="G102" i="29"/>
  <c r="P51" i="28"/>
  <c r="O155" i="28"/>
  <c r="K159" i="28"/>
  <c r="K114" i="28"/>
  <c r="K101" i="28"/>
  <c r="O112" i="28"/>
  <c r="M103" i="28"/>
  <c r="N260" i="29"/>
  <c r="K112" i="29"/>
  <c r="F60" i="29"/>
  <c r="G60" i="29"/>
  <c r="J159" i="28"/>
  <c r="L159" i="28"/>
  <c r="N210" i="28"/>
  <c r="L79" i="28"/>
  <c r="N103" i="28"/>
  <c r="L134" i="28"/>
  <c r="O81" i="28"/>
  <c r="K235" i="28"/>
  <c r="L77" i="28"/>
  <c r="N101" i="28"/>
  <c r="L143" i="28"/>
  <c r="N234" i="28"/>
  <c r="O36" i="29"/>
  <c r="J134" i="29"/>
  <c r="J171" i="29"/>
  <c r="R80" i="29"/>
  <c r="R106" i="29"/>
  <c r="S106" i="29"/>
  <c r="N189" i="28"/>
  <c r="J94" i="28"/>
  <c r="K148" i="28"/>
  <c r="K146" i="28"/>
  <c r="L142" i="28"/>
  <c r="K140" i="28"/>
  <c r="K240" i="28"/>
  <c r="G67" i="29"/>
  <c r="F67" i="29"/>
  <c r="J175" i="29"/>
  <c r="K175" i="29"/>
  <c r="G110" i="29"/>
  <c r="F110" i="29"/>
  <c r="J62" i="29"/>
  <c r="K62" i="29"/>
  <c r="J179" i="29"/>
  <c r="L214" i="28"/>
  <c r="O164" i="28"/>
  <c r="O83" i="28"/>
  <c r="O104" i="28"/>
  <c r="N140" i="28"/>
  <c r="O147" i="28"/>
  <c r="G142" i="29"/>
  <c r="N87" i="29"/>
  <c r="G115" i="29"/>
  <c r="J191" i="28"/>
  <c r="O174" i="29"/>
  <c r="G65" i="29"/>
  <c r="F65" i="29"/>
  <c r="J219" i="28"/>
  <c r="K228" i="28"/>
  <c r="O45" i="28"/>
  <c r="N233" i="28"/>
  <c r="K154" i="28"/>
  <c r="M114" i="28"/>
  <c r="K157" i="28"/>
  <c r="L141" i="28"/>
  <c r="N248" i="28"/>
  <c r="N64" i="29"/>
  <c r="O64" i="29"/>
  <c r="O31" i="29"/>
  <c r="R37" i="29"/>
  <c r="S37" i="29"/>
  <c r="G250" i="29"/>
  <c r="R84" i="29"/>
  <c r="G251" i="29"/>
  <c r="F251" i="29"/>
  <c r="N35" i="28"/>
  <c r="L98" i="28"/>
  <c r="N46" i="29"/>
  <c r="O46" i="29"/>
  <c r="L38" i="28"/>
  <c r="J54" i="28"/>
  <c r="P154" i="28"/>
  <c r="J182" i="28"/>
  <c r="J146" i="28"/>
  <c r="N45" i="28"/>
  <c r="O206" i="28"/>
  <c r="K192" i="29"/>
  <c r="R147" i="29"/>
  <c r="O99" i="29"/>
  <c r="L166" i="28"/>
  <c r="K99" i="29"/>
  <c r="N109" i="29"/>
  <c r="S125" i="29"/>
  <c r="R125" i="29"/>
  <c r="G182" i="29"/>
  <c r="S67" i="29"/>
  <c r="N170" i="28"/>
  <c r="K97" i="28"/>
  <c r="M229" i="28"/>
  <c r="R121" i="29"/>
  <c r="G116" i="29"/>
  <c r="N42" i="29"/>
  <c r="O42" i="29"/>
  <c r="N52" i="29"/>
  <c r="F193" i="29"/>
  <c r="F145" i="29"/>
  <c r="G28" i="29"/>
  <c r="K251" i="29"/>
  <c r="S148" i="29"/>
  <c r="R148" i="29"/>
  <c r="R149" i="29"/>
  <c r="S149" i="29"/>
  <c r="O90" i="29"/>
  <c r="N90" i="29"/>
  <c r="J177" i="29"/>
  <c r="J195" i="28"/>
  <c r="N199" i="28"/>
  <c r="O76" i="28"/>
  <c r="L240" i="28"/>
  <c r="M233" i="28"/>
  <c r="J157" i="28"/>
  <c r="J134" i="28"/>
  <c r="K184" i="29"/>
  <c r="O259" i="29"/>
  <c r="R21" i="29"/>
  <c r="O85" i="29"/>
  <c r="F260" i="29"/>
  <c r="S154" i="29"/>
  <c r="O94" i="29"/>
  <c r="K53" i="29"/>
  <c r="O47" i="29"/>
  <c r="N47" i="29"/>
  <c r="O86" i="29"/>
  <c r="N86" i="29"/>
  <c r="K90" i="29"/>
  <c r="N100" i="29"/>
  <c r="O75" i="29"/>
  <c r="G61" i="29"/>
  <c r="K86" i="29"/>
  <c r="O250" i="29"/>
  <c r="S83" i="29"/>
  <c r="N193" i="28"/>
  <c r="F246" i="29"/>
  <c r="O157" i="29"/>
  <c r="K162" i="28"/>
  <c r="J37" i="28"/>
  <c r="J79" i="28"/>
  <c r="K79" i="28"/>
  <c r="N167" i="28"/>
  <c r="L157" i="28"/>
  <c r="J166" i="28"/>
  <c r="N205" i="28"/>
  <c r="O61" i="29"/>
  <c r="N61" i="29"/>
  <c r="O32" i="29"/>
  <c r="N32" i="29"/>
  <c r="O176" i="28"/>
  <c r="S89" i="29"/>
  <c r="R89" i="29"/>
  <c r="F188" i="29"/>
  <c r="G188" i="29"/>
  <c r="K38" i="29"/>
  <c r="J38" i="29"/>
  <c r="N43" i="29"/>
  <c r="O43" i="29"/>
  <c r="S88" i="29"/>
  <c r="R88" i="29"/>
  <c r="P81" i="28"/>
  <c r="N206" i="28"/>
  <c r="K229" i="28"/>
  <c r="N98" i="28"/>
  <c r="O54" i="28"/>
  <c r="N32" i="28"/>
  <c r="N245" i="28"/>
  <c r="O234" i="28"/>
  <c r="J183" i="28"/>
  <c r="P178" i="28"/>
  <c r="O205" i="28"/>
  <c r="M184" i="28"/>
  <c r="N91" i="28"/>
  <c r="M236" i="28"/>
  <c r="M97" i="28"/>
  <c r="L248" i="28"/>
  <c r="N236" i="28"/>
  <c r="M204" i="28"/>
  <c r="L78" i="28"/>
  <c r="J221" i="28"/>
  <c r="K78" i="28"/>
  <c r="J78" i="28"/>
  <c r="N197" i="28"/>
  <c r="M69" i="28"/>
  <c r="C276" i="28"/>
  <c r="O50" i="28"/>
  <c r="N53" i="28"/>
  <c r="N250" i="28"/>
  <c r="L234" i="28"/>
  <c r="O248" i="28"/>
  <c r="O87" i="28"/>
  <c r="M169" i="28"/>
  <c r="J235" i="28"/>
  <c r="K87" i="28"/>
  <c r="J154" i="28"/>
  <c r="J205" i="28"/>
  <c r="M154" i="28"/>
  <c r="M93" i="28"/>
  <c r="P235" i="28"/>
  <c r="O237" i="28"/>
  <c r="O93" i="28"/>
  <c r="M87" i="28"/>
  <c r="M235" i="28"/>
  <c r="J169" i="28"/>
  <c r="J141" i="28"/>
  <c r="N166" i="28"/>
  <c r="L96" i="28"/>
  <c r="O148" i="28"/>
  <c r="L140" i="28"/>
  <c r="M140" i="28"/>
  <c r="P140" i="28"/>
  <c r="O140" i="28"/>
  <c r="P134" i="28"/>
  <c r="M149" i="28"/>
  <c r="P141" i="28"/>
  <c r="L144" i="28"/>
  <c r="P144" i="28"/>
  <c r="L135" i="28"/>
  <c r="M146" i="28"/>
  <c r="N85" i="28"/>
  <c r="P149" i="28"/>
  <c r="J158" i="28"/>
  <c r="N158" i="28"/>
  <c r="N134" i="28"/>
  <c r="M56" i="28"/>
  <c r="J85" i="28"/>
  <c r="L147" i="28"/>
  <c r="N142" i="28"/>
  <c r="P147" i="28"/>
  <c r="K144" i="28"/>
  <c r="K137" i="28"/>
  <c r="O144" i="28"/>
  <c r="N147" i="28"/>
  <c r="M142" i="28"/>
  <c r="N144" i="28"/>
  <c r="E275" i="28"/>
  <c r="N70" i="28"/>
  <c r="O171" i="28"/>
  <c r="O146" i="28"/>
  <c r="J135" i="28"/>
  <c r="P146" i="28"/>
  <c r="O141" i="28"/>
  <c r="C275" i="28"/>
  <c r="D276" i="28"/>
  <c r="O143" i="28"/>
  <c r="O139" i="28"/>
  <c r="L139" i="28"/>
  <c r="F275" i="28"/>
  <c r="P135" i="28"/>
  <c r="O142" i="28"/>
  <c r="K135" i="28"/>
  <c r="O135" i="28"/>
  <c r="M141" i="28"/>
  <c r="P145" i="28"/>
  <c r="M145" i="28"/>
  <c r="N137" i="28"/>
  <c r="P138" i="28"/>
  <c r="O145" i="28"/>
  <c r="L138" i="28"/>
  <c r="P139" i="28"/>
  <c r="K141" i="28"/>
  <c r="P143" i="28"/>
  <c r="K142" i="28"/>
  <c r="N143" i="28"/>
  <c r="D275" i="28"/>
  <c r="K138" i="28"/>
  <c r="J143" i="28"/>
  <c r="N145" i="28"/>
  <c r="J144" i="28"/>
  <c r="K143" i="28"/>
  <c r="E276" i="28"/>
  <c r="M144" i="28"/>
  <c r="P142" i="28"/>
  <c r="O138" i="28"/>
  <c r="J147" i="28"/>
  <c r="O136" i="28"/>
  <c r="M143" i="28"/>
  <c r="J232" i="28"/>
  <c r="P137" i="28"/>
  <c r="N184" i="28"/>
  <c r="M138" i="28"/>
  <c r="M137" i="28"/>
  <c r="J173" i="28"/>
  <c r="O137" i="28"/>
  <c r="F276" i="28"/>
  <c r="M173" i="28"/>
  <c r="M71" i="28"/>
  <c r="M147" i="28"/>
  <c r="M91" i="28"/>
  <c r="N239" i="28"/>
  <c r="J229" i="28"/>
  <c r="M136" i="28"/>
  <c r="N149" i="28"/>
  <c r="L149" i="28"/>
  <c r="O149" i="28"/>
  <c r="K136" i="28"/>
  <c r="K139" i="28"/>
  <c r="P136" i="28"/>
  <c r="M134" i="28"/>
  <c r="J200" i="28"/>
  <c r="J137" i="28"/>
  <c r="M196" i="28"/>
  <c r="L243" i="28"/>
  <c r="L137" i="28"/>
  <c r="L136" i="28"/>
  <c r="J136" i="28"/>
  <c r="K224" i="28"/>
  <c r="K39" i="28"/>
  <c r="P39" i="28"/>
  <c r="K184" i="28"/>
  <c r="N247" i="28"/>
  <c r="L110" i="28"/>
  <c r="K177" i="28"/>
  <c r="J184" i="28"/>
  <c r="O168" i="28"/>
  <c r="M205" i="28"/>
  <c r="J39" i="28"/>
  <c r="K168" i="28"/>
  <c r="N57" i="28"/>
  <c r="P171" i="28"/>
  <c r="M57" i="28"/>
  <c r="N106" i="28"/>
  <c r="M224" i="28"/>
  <c r="N174" i="28"/>
  <c r="P193" i="28"/>
  <c r="J162" i="28"/>
  <c r="M240" i="28"/>
  <c r="M250" i="28"/>
  <c r="M74" i="28"/>
  <c r="E269" i="28"/>
  <c r="P110" i="28"/>
  <c r="O180" i="28"/>
  <c r="O193" i="28"/>
  <c r="J110" i="28"/>
  <c r="J248" i="28"/>
  <c r="N110" i="28"/>
  <c r="N208" i="28"/>
  <c r="N54" i="28"/>
  <c r="K193" i="28"/>
  <c r="N34" i="28"/>
  <c r="J208" i="28"/>
  <c r="L180" i="28"/>
  <c r="P160" i="28"/>
  <c r="J160" i="28"/>
  <c r="N93" i="28"/>
  <c r="L57" i="28"/>
  <c r="P211" i="28"/>
  <c r="O222" i="28"/>
  <c r="L222" i="28"/>
  <c r="O71" i="28"/>
  <c r="N88" i="28"/>
  <c r="P88" i="28"/>
  <c r="N100" i="28"/>
  <c r="N212" i="28"/>
  <c r="J98" i="28"/>
  <c r="N150" i="28"/>
  <c r="O84" i="28"/>
  <c r="P248" i="28"/>
  <c r="J114" i="28"/>
  <c r="J239" i="28"/>
  <c r="N162" i="28"/>
  <c r="N223" i="28"/>
  <c r="J247" i="28"/>
  <c r="P203" i="28"/>
  <c r="O229" i="28"/>
  <c r="K192" i="28"/>
  <c r="O203" i="28"/>
  <c r="K248" i="28"/>
  <c r="M190" i="28"/>
  <c r="K200" i="28"/>
  <c r="L85" i="28"/>
  <c r="M242" i="28"/>
  <c r="M192" i="28"/>
  <c r="L93" i="28"/>
  <c r="J97" i="28"/>
  <c r="L190" i="28"/>
  <c r="N99" i="28"/>
  <c r="N75" i="28"/>
  <c r="O91" i="28"/>
  <c r="O192" i="28"/>
  <c r="M106" i="28"/>
  <c r="P97" i="28"/>
  <c r="P85" i="28"/>
  <c r="M248" i="28"/>
  <c r="J227" i="28"/>
  <c r="J164" i="28"/>
  <c r="K98" i="28"/>
  <c r="P96" i="28"/>
  <c r="P236" i="28"/>
  <c r="K85" i="28"/>
  <c r="K173" i="28"/>
  <c r="P247" i="28"/>
  <c r="J250" i="28"/>
  <c r="L211" i="28"/>
  <c r="M181" i="28"/>
  <c r="N97" i="28"/>
  <c r="N228" i="28"/>
  <c r="K72" i="28"/>
  <c r="O217" i="28"/>
  <c r="K69" i="28"/>
  <c r="M37" i="28"/>
  <c r="M77" i="28"/>
  <c r="N181" i="28"/>
  <c r="L239" i="28"/>
  <c r="N209" i="28"/>
  <c r="L150" i="28"/>
  <c r="P71" i="28"/>
  <c r="M238" i="28"/>
  <c r="M231" i="28"/>
  <c r="K217" i="28"/>
  <c r="M168" i="28"/>
  <c r="P98" i="28"/>
  <c r="N249" i="28"/>
  <c r="M157" i="28"/>
  <c r="M217" i="28"/>
  <c r="M96" i="28"/>
  <c r="O107" i="28"/>
  <c r="K233" i="28"/>
  <c r="P195" i="28"/>
  <c r="O174" i="28"/>
  <c r="K242" i="28"/>
  <c r="M237" i="28"/>
  <c r="O231" i="28"/>
  <c r="O98" i="28"/>
  <c r="K231" i="28"/>
  <c r="P168" i="28"/>
  <c r="O223" i="28"/>
  <c r="M179" i="28"/>
  <c r="M98" i="28"/>
  <c r="N55" i="28"/>
  <c r="K96" i="28"/>
  <c r="L203" i="28"/>
  <c r="O69" i="28"/>
  <c r="O96" i="28"/>
  <c r="N71" i="28"/>
  <c r="M76" i="28"/>
  <c r="K76" i="28"/>
  <c r="M194" i="28"/>
  <c r="O194" i="28"/>
  <c r="K194" i="28"/>
  <c r="L41" i="28"/>
  <c r="P150" i="28"/>
  <c r="K73" i="28"/>
  <c r="N242" i="28"/>
  <c r="J168" i="28"/>
  <c r="K93" i="28"/>
  <c r="K203" i="28"/>
  <c r="P99" i="28"/>
  <c r="M234" i="28"/>
  <c r="M150" i="28"/>
  <c r="N187" i="28"/>
  <c r="O82" i="28"/>
  <c r="K180" i="28"/>
  <c r="P180" i="28"/>
  <c r="O150" i="28"/>
  <c r="O195" i="28"/>
  <c r="O160" i="28"/>
  <c r="O202" i="28"/>
  <c r="O181" i="28"/>
  <c r="L181" i="28"/>
  <c r="M195" i="28"/>
  <c r="K150" i="28"/>
  <c r="P181" i="28"/>
  <c r="P191" i="28"/>
  <c r="M201" i="28"/>
  <c r="N36" i="28"/>
  <c r="P223" i="28"/>
  <c r="M163" i="28"/>
  <c r="N163" i="28"/>
  <c r="M223" i="28"/>
  <c r="L202" i="28"/>
  <c r="J113" i="28"/>
  <c r="K191" i="28"/>
  <c r="L249" i="28"/>
  <c r="O191" i="28"/>
  <c r="N113" i="28"/>
  <c r="P113" i="28"/>
  <c r="P34" i="28"/>
  <c r="P163" i="28"/>
  <c r="P240" i="28"/>
  <c r="O240" i="28"/>
  <c r="L218" i="28"/>
  <c r="L250" i="28"/>
  <c r="L158" i="28"/>
  <c r="J93" i="28"/>
  <c r="J150" i="28"/>
  <c r="O242" i="28"/>
  <c r="P75" i="28"/>
  <c r="P93" i="28"/>
  <c r="N77" i="28"/>
  <c r="M228" i="28"/>
  <c r="L75" i="28"/>
  <c r="N240" i="28"/>
  <c r="J87" i="28"/>
  <c r="J109" i="28"/>
  <c r="P242" i="28"/>
  <c r="N183" i="28"/>
  <c r="L212" i="28"/>
  <c r="O53" i="28"/>
  <c r="P205" i="28"/>
  <c r="O103" i="28"/>
  <c r="O188" i="28"/>
  <c r="L74" i="28"/>
  <c r="O153" i="28"/>
  <c r="J77" i="28"/>
  <c r="P35" i="28"/>
  <c r="K74" i="28"/>
  <c r="K109" i="28"/>
  <c r="P204" i="28"/>
  <c r="O169" i="28"/>
  <c r="L114" i="28"/>
  <c r="J212" i="28"/>
  <c r="P95" i="28"/>
  <c r="M159" i="28"/>
  <c r="O182" i="28"/>
  <c r="N159" i="28"/>
  <c r="P184" i="28"/>
  <c r="P76" i="28"/>
  <c r="J201" i="28"/>
  <c r="N160" i="28"/>
  <c r="O165" i="28"/>
  <c r="P229" i="28"/>
  <c r="P109" i="28"/>
  <c r="P54" i="28"/>
  <c r="K202" i="28"/>
  <c r="J40" i="28"/>
  <c r="J234" i="28"/>
  <c r="J178" i="28"/>
  <c r="L229" i="28"/>
  <c r="L73" i="28"/>
  <c r="P102" i="28"/>
  <c r="K218" i="28"/>
  <c r="L86" i="28"/>
  <c r="L173" i="28"/>
  <c r="J100" i="28"/>
  <c r="O211" i="28"/>
  <c r="N213" i="28"/>
  <c r="N73" i="28"/>
  <c r="P213" i="28"/>
  <c r="P153" i="28"/>
  <c r="N215" i="28"/>
  <c r="N225" i="28"/>
  <c r="O73" i="28"/>
  <c r="N153" i="28"/>
  <c r="P215" i="28"/>
  <c r="L165" i="28"/>
  <c r="N56" i="28"/>
  <c r="P70" i="28"/>
  <c r="O55" i="28"/>
  <c r="L52" i="28"/>
  <c r="L160" i="28"/>
  <c r="O187" i="28"/>
  <c r="O208" i="28"/>
  <c r="M244" i="28"/>
  <c r="O72" i="28"/>
  <c r="L71" i="28"/>
  <c r="O249" i="28"/>
  <c r="P155" i="28"/>
  <c r="O204" i="28"/>
  <c r="N188" i="28"/>
  <c r="O57" i="28"/>
  <c r="M220" i="28"/>
  <c r="O199" i="28"/>
  <c r="K245" i="28"/>
  <c r="P188" i="28"/>
  <c r="K71" i="28"/>
  <c r="K77" i="28"/>
  <c r="O219" i="28"/>
  <c r="K212" i="28"/>
  <c r="P112" i="28"/>
  <c r="P173" i="28"/>
  <c r="N244" i="28"/>
  <c r="P218" i="28"/>
  <c r="J224" i="28"/>
  <c r="K207" i="28"/>
  <c r="P159" i="28"/>
  <c r="N102" i="28"/>
  <c r="O175" i="28"/>
  <c r="M92" i="28"/>
  <c r="J50" i="28"/>
  <c r="J217" i="28"/>
  <c r="K244" i="28"/>
  <c r="P158" i="28"/>
  <c r="P217" i="28"/>
  <c r="P90" i="28"/>
  <c r="N217" i="28"/>
  <c r="P199" i="28"/>
  <c r="N161" i="28"/>
  <c r="K234" i="28"/>
  <c r="J35" i="28"/>
  <c r="K220" i="28"/>
  <c r="M249" i="28"/>
  <c r="K249" i="28"/>
  <c r="J45" i="28"/>
  <c r="P249" i="28"/>
  <c r="P50" i="28"/>
  <c r="P224" i="28"/>
  <c r="K57" i="28"/>
  <c r="J102" i="28"/>
  <c r="M188" i="28"/>
  <c r="P175" i="28"/>
  <c r="J71" i="28"/>
  <c r="M215" i="28"/>
  <c r="K112" i="28"/>
  <c r="K204" i="28"/>
  <c r="M175" i="28"/>
  <c r="P234" i="28"/>
  <c r="P77" i="28"/>
  <c r="P57" i="28"/>
  <c r="L162" i="28"/>
  <c r="L151" i="28"/>
  <c r="N69" i="28"/>
  <c r="N173" i="28"/>
  <c r="P227" i="28"/>
  <c r="L69" i="28"/>
  <c r="L227" i="28"/>
  <c r="O173" i="28"/>
  <c r="F269" i="28"/>
  <c r="P162" i="28"/>
  <c r="P69" i="28"/>
  <c r="L186" i="28"/>
  <c r="P186" i="28"/>
  <c r="O197" i="28"/>
  <c r="N226" i="28"/>
  <c r="N227" i="28"/>
  <c r="L169" i="28"/>
  <c r="O42" i="28"/>
  <c r="O70" i="28"/>
  <c r="N83" i="28"/>
  <c r="O46" i="28"/>
  <c r="P169" i="28"/>
  <c r="O99" i="28"/>
  <c r="N151" i="28"/>
  <c r="N72" i="28"/>
  <c r="N79" i="28"/>
  <c r="L197" i="28"/>
  <c r="N169" i="28"/>
  <c r="L72" i="28"/>
  <c r="N157" i="28"/>
  <c r="I282" i="28"/>
  <c r="P157" i="28"/>
  <c r="L102" i="28"/>
  <c r="M108" i="28"/>
  <c r="M164" i="28"/>
  <c r="N175" i="28"/>
  <c r="M155" i="28"/>
  <c r="P156" i="28"/>
  <c r="L175" i="28"/>
  <c r="O90" i="28"/>
  <c r="M166" i="28"/>
  <c r="K108" i="28"/>
  <c r="O226" i="28"/>
  <c r="P164" i="28"/>
  <c r="P183" i="28"/>
  <c r="P166" i="28"/>
  <c r="O33" i="28"/>
  <c r="L104" i="28"/>
  <c r="K164" i="28"/>
  <c r="O106" i="28"/>
  <c r="M219" i="28"/>
  <c r="O157" i="28"/>
  <c r="K166" i="28"/>
  <c r="F272" i="28"/>
  <c r="P55" i="28"/>
  <c r="M79" i="28"/>
  <c r="N87" i="28"/>
  <c r="E278" i="28"/>
  <c r="N201" i="28"/>
  <c r="P165" i="28"/>
  <c r="N74" i="28"/>
  <c r="P79" i="28"/>
  <c r="P200" i="28"/>
  <c r="N86" i="28"/>
  <c r="O233" i="28"/>
  <c r="O196" i="28"/>
  <c r="M172" i="28"/>
  <c r="O210" i="28"/>
  <c r="O162" i="28"/>
  <c r="E270" i="28"/>
  <c r="P45" i="28"/>
  <c r="J245" i="28"/>
  <c r="P196" i="28"/>
  <c r="L200" i="28"/>
  <c r="N196" i="28"/>
  <c r="F281" i="28"/>
  <c r="M207" i="28"/>
  <c r="O74" i="28"/>
  <c r="P87" i="28"/>
  <c r="M55" i="28"/>
  <c r="O159" i="28"/>
  <c r="M45" i="28"/>
  <c r="K55" i="28"/>
  <c r="O158" i="28"/>
  <c r="J249" i="28"/>
  <c r="P216" i="28"/>
  <c r="P103" i="28"/>
  <c r="D273" i="28"/>
  <c r="O167" i="28"/>
  <c r="P82" i="28"/>
  <c r="P243" i="28"/>
  <c r="P161" i="28"/>
  <c r="J186" i="28"/>
  <c r="O161" i="28"/>
  <c r="P198" i="28"/>
  <c r="P72" i="28"/>
  <c r="J86" i="28"/>
  <c r="O189" i="28"/>
  <c r="P111" i="28"/>
  <c r="O243" i="28"/>
  <c r="O79" i="28"/>
  <c r="P189" i="28"/>
  <c r="M189" i="28"/>
  <c r="K198" i="28"/>
  <c r="L213" i="28"/>
  <c r="J108" i="28"/>
  <c r="J171" i="28"/>
  <c r="M187" i="28"/>
  <c r="O250" i="28"/>
  <c r="K213" i="28"/>
  <c r="O190" i="28"/>
  <c r="M218" i="28"/>
  <c r="K250" i="28"/>
  <c r="M158" i="28"/>
  <c r="J228" i="28"/>
  <c r="P78" i="28"/>
  <c r="F277" i="28"/>
  <c r="P220" i="28"/>
  <c r="L228" i="28"/>
  <c r="C280" i="28"/>
  <c r="J243" i="28"/>
  <c r="P208" i="28"/>
  <c r="K158" i="28"/>
  <c r="M208" i="28"/>
  <c r="K170" i="28"/>
  <c r="F280" i="28"/>
  <c r="J104" i="28"/>
  <c r="L156" i="28"/>
  <c r="P182" i="28"/>
  <c r="K199" i="28"/>
  <c r="M156" i="28"/>
  <c r="F273" i="28"/>
  <c r="P100" i="28"/>
  <c r="M177" i="28"/>
  <c r="K167" i="28"/>
  <c r="P238" i="28"/>
  <c r="N104" i="28"/>
  <c r="O201" i="28"/>
  <c r="O218" i="28"/>
  <c r="M72" i="28"/>
  <c r="L168" i="28"/>
  <c r="L172" i="28"/>
  <c r="M227" i="28"/>
  <c r="M104" i="28"/>
  <c r="M245" i="28"/>
  <c r="L167" i="28"/>
  <c r="K50" i="28"/>
  <c r="N200" i="28"/>
  <c r="L109" i="28"/>
  <c r="P222" i="28"/>
  <c r="P245" i="28"/>
  <c r="K219" i="28"/>
  <c r="P190" i="28"/>
  <c r="P219" i="28"/>
  <c r="M111" i="28"/>
  <c r="P108" i="28"/>
  <c r="M165" i="28"/>
  <c r="O78" i="28"/>
  <c r="J203" i="28"/>
  <c r="O179" i="28"/>
  <c r="N108" i="28"/>
  <c r="J165" i="28"/>
  <c r="P49" i="28"/>
  <c r="P179" i="28"/>
  <c r="L199" i="28"/>
  <c r="J244" i="28"/>
  <c r="L87" i="28"/>
  <c r="F278" i="28"/>
  <c r="N165" i="28"/>
  <c r="M221" i="28"/>
  <c r="N179" i="28"/>
  <c r="P177" i="28"/>
  <c r="L216" i="28"/>
  <c r="J199" i="28"/>
  <c r="D278" i="28"/>
  <c r="L182" i="28"/>
  <c r="K182" i="28"/>
  <c r="K84" i="28"/>
  <c r="P228" i="28"/>
  <c r="P239" i="28"/>
  <c r="N78" i="28"/>
  <c r="L100" i="28"/>
  <c r="M78" i="28"/>
  <c r="J47" i="28"/>
  <c r="J57" i="28"/>
  <c r="E272" i="28"/>
  <c r="O244" i="28"/>
  <c r="F279" i="28"/>
  <c r="O230" i="28"/>
  <c r="N114" i="28"/>
  <c r="O44" i="28"/>
  <c r="F270" i="28"/>
  <c r="N230" i="28"/>
  <c r="O109" i="28"/>
  <c r="O52" i="28"/>
  <c r="P114" i="28"/>
  <c r="L244" i="28"/>
  <c r="O207" i="28"/>
  <c r="O172" i="28"/>
  <c r="P207" i="28"/>
  <c r="L219" i="28"/>
  <c r="N109" i="28"/>
  <c r="P230" i="28"/>
  <c r="P52" i="28"/>
  <c r="O114" i="28"/>
  <c r="O239" i="28"/>
  <c r="M174" i="28"/>
  <c r="P241" i="28"/>
  <c r="M80" i="28"/>
  <c r="O241" i="28"/>
  <c r="K243" i="28"/>
  <c r="P56" i="28"/>
  <c r="O56" i="28"/>
  <c r="K56" i="28"/>
  <c r="P151" i="28"/>
  <c r="P47" i="28"/>
  <c r="K151" i="28"/>
  <c r="M167" i="28"/>
  <c r="M239" i="28"/>
  <c r="M198" i="28"/>
  <c r="O216" i="28"/>
  <c r="K216" i="28"/>
  <c r="M232" i="28"/>
  <c r="E273" i="28"/>
  <c r="O152" i="28"/>
  <c r="E279" i="28"/>
  <c r="M46" i="28"/>
  <c r="O156" i="28"/>
  <c r="O47" i="28"/>
  <c r="K80" i="28"/>
  <c r="E281" i="28"/>
  <c r="M47" i="28"/>
  <c r="K232" i="28"/>
  <c r="O151" i="28"/>
  <c r="P174" i="28"/>
  <c r="P80" i="28"/>
  <c r="O80" i="28"/>
  <c r="K152" i="28"/>
  <c r="O170" i="28"/>
  <c r="M70" i="28"/>
  <c r="M170" i="28"/>
  <c r="E280" i="28"/>
  <c r="E277" i="28"/>
  <c r="P167" i="28"/>
  <c r="P232" i="28"/>
  <c r="N172" i="28"/>
  <c r="P33" i="28"/>
  <c r="D269" i="28"/>
  <c r="M73" i="28"/>
  <c r="J177" i="28"/>
  <c r="N112" i="28"/>
  <c r="M112" i="28"/>
  <c r="J33" i="28"/>
  <c r="J73" i="28"/>
  <c r="M243" i="28"/>
  <c r="M89" i="28"/>
  <c r="N89" i="28"/>
  <c r="N243" i="28"/>
  <c r="D270" i="28"/>
  <c r="M176" i="28"/>
  <c r="N176" i="28"/>
  <c r="J176" i="28"/>
  <c r="D272" i="28"/>
  <c r="M246" i="28"/>
  <c r="N246" i="28"/>
  <c r="P73" i="28"/>
  <c r="P172" i="28"/>
  <c r="M226" i="28"/>
  <c r="J226" i="28"/>
  <c r="N33" i="28"/>
  <c r="N214" i="28"/>
  <c r="M214" i="28"/>
  <c r="M186" i="28"/>
  <c r="N186" i="28"/>
  <c r="D277" i="28"/>
  <c r="J112" i="28"/>
  <c r="J72" i="28"/>
  <c r="P226" i="28"/>
  <c r="M185" i="28"/>
  <c r="N185" i="28"/>
  <c r="D279" i="28"/>
  <c r="N48" i="28"/>
  <c r="P48" i="28"/>
  <c r="D281" i="28"/>
  <c r="D280" i="28"/>
  <c r="I268" i="28"/>
  <c r="N38" i="28"/>
  <c r="M105" i="28"/>
  <c r="J75" i="28"/>
  <c r="P38" i="28"/>
  <c r="K107" i="28"/>
  <c r="J107" i="28"/>
  <c r="P107" i="28"/>
  <c r="J206" i="28"/>
  <c r="K206" i="28"/>
  <c r="C273" i="28"/>
  <c r="P250" i="28"/>
  <c r="J88" i="28"/>
  <c r="P233" i="28"/>
  <c r="L247" i="28"/>
  <c r="C278" i="28"/>
  <c r="L44" i="28"/>
  <c r="J44" i="28"/>
  <c r="K91" i="28"/>
  <c r="J91" i="28"/>
  <c r="P91" i="28"/>
  <c r="L37" i="28"/>
  <c r="K37" i="28"/>
  <c r="K169" i="28"/>
  <c r="P94" i="28"/>
  <c r="K54" i="28"/>
  <c r="K178" i="28"/>
  <c r="K208" i="28"/>
  <c r="L208" i="28"/>
  <c r="L40" i="28"/>
  <c r="K40" i="28"/>
  <c r="L42" i="28"/>
  <c r="J42" i="28"/>
  <c r="K42" i="28"/>
  <c r="P42" i="28"/>
  <c r="L183" i="28"/>
  <c r="C269" i="28"/>
  <c r="J32" i="28"/>
  <c r="L32" i="28"/>
  <c r="P32" i="28"/>
  <c r="K32" i="28"/>
  <c r="L170" i="28"/>
  <c r="J170" i="28"/>
  <c r="L174" i="28"/>
  <c r="J241" i="28"/>
  <c r="K241" i="28"/>
  <c r="K209" i="28"/>
  <c r="J209" i="28"/>
  <c r="L209" i="28"/>
  <c r="L155" i="28"/>
  <c r="K155" i="28"/>
  <c r="P74" i="28"/>
  <c r="J74" i="28"/>
  <c r="P104" i="28"/>
  <c r="P201" i="28"/>
  <c r="J215" i="28"/>
  <c r="K247" i="28"/>
  <c r="K81" i="28"/>
  <c r="J81" i="28"/>
  <c r="L83" i="28"/>
  <c r="J83" i="28"/>
  <c r="K83" i="28"/>
  <c r="P83" i="28"/>
  <c r="J202" i="28"/>
  <c r="K92" i="28"/>
  <c r="L205" i="28"/>
  <c r="K205" i="28"/>
  <c r="C281" i="28"/>
  <c r="J210" i="28"/>
  <c r="L210" i="28"/>
  <c r="K210" i="28"/>
  <c r="P210" i="28"/>
  <c r="J174" i="28"/>
  <c r="P152" i="28"/>
  <c r="J34" i="28"/>
  <c r="P92" i="28"/>
  <c r="C277" i="28"/>
  <c r="P244" i="28"/>
  <c r="P44" i="28"/>
  <c r="J246" i="28"/>
  <c r="L246" i="28"/>
  <c r="P246" i="28"/>
  <c r="K246" i="28"/>
  <c r="K185" i="28"/>
  <c r="P185" i="28"/>
  <c r="L185" i="28"/>
  <c r="J185" i="28"/>
  <c r="L187" i="28"/>
  <c r="K187" i="28"/>
  <c r="L206" i="28"/>
  <c r="K153" i="28"/>
  <c r="L153" i="28"/>
  <c r="L215" i="28"/>
  <c r="L84" i="28"/>
  <c r="J48" i="28"/>
  <c r="K48" i="28"/>
  <c r="L34" i="28"/>
  <c r="P221" i="28"/>
  <c r="P206" i="28"/>
  <c r="L43" i="28"/>
  <c r="K43" i="28"/>
  <c r="J43" i="28"/>
  <c r="P43" i="28"/>
  <c r="K237" i="28"/>
  <c r="L237" i="28"/>
  <c r="L103" i="28"/>
  <c r="K239" i="28"/>
  <c r="J155" i="28"/>
  <c r="K103" i="28"/>
  <c r="P37" i="28"/>
  <c r="P212" i="28"/>
  <c r="P187" i="28"/>
  <c r="L49" i="28"/>
  <c r="J214" i="28"/>
  <c r="K214" i="28"/>
  <c r="P214" i="28"/>
  <c r="J38" i="28"/>
  <c r="K38" i="28"/>
  <c r="J70" i="28"/>
  <c r="K70" i="28"/>
  <c r="L70" i="28"/>
  <c r="L108" i="28"/>
  <c r="L48" i="28"/>
  <c r="J92" i="28"/>
  <c r="L111" i="28"/>
  <c r="J111" i="28"/>
  <c r="L33" i="28"/>
  <c r="J46" i="28"/>
  <c r="P46" i="28"/>
  <c r="K46" i="28"/>
  <c r="L46" i="28"/>
  <c r="L95" i="28"/>
  <c r="J95" i="28"/>
  <c r="L106" i="28"/>
  <c r="K106" i="28"/>
  <c r="K89" i="28"/>
  <c r="J89" i="28"/>
  <c r="L89" i="28"/>
  <c r="P89" i="28"/>
  <c r="L178" i="28"/>
  <c r="J172" i="28"/>
  <c r="K172" i="28"/>
  <c r="J238" i="28"/>
  <c r="K238" i="28"/>
  <c r="L220" i="28"/>
  <c r="J220" i="28"/>
  <c r="K104" i="28"/>
  <c r="L233" i="28"/>
  <c r="P84" i="28"/>
  <c r="K51" i="28"/>
  <c r="J51" i="28"/>
  <c r="J152" i="28"/>
  <c r="J106" i="28"/>
  <c r="J237" i="28"/>
  <c r="L241" i="28"/>
  <c r="K174" i="28"/>
  <c r="C279" i="28"/>
  <c r="P197" i="28"/>
  <c r="P237" i="28"/>
  <c r="L51" i="28"/>
  <c r="L54" i="28"/>
  <c r="J82" i="28"/>
  <c r="L82" i="28"/>
  <c r="P170" i="28"/>
  <c r="P106" i="28"/>
  <c r="K33" i="28"/>
  <c r="P202" i="28"/>
  <c r="J103" i="28"/>
  <c r="P86" i="28"/>
  <c r="J197" i="28"/>
  <c r="J49" i="28"/>
  <c r="L107" i="28"/>
  <c r="K44" i="28"/>
  <c r="L94" i="28"/>
  <c r="K90" i="28"/>
  <c r="L90" i="28"/>
  <c r="L35" i="28"/>
  <c r="K34" i="28"/>
  <c r="J175" i="28"/>
  <c r="K175" i="28"/>
  <c r="L152" i="28"/>
  <c r="J187" i="28"/>
  <c r="K221" i="28"/>
  <c r="L221" i="28"/>
  <c r="J105" i="28"/>
  <c r="L105" i="28"/>
  <c r="K225" i="28"/>
  <c r="J225" i="28"/>
  <c r="P209" i="28"/>
  <c r="P105" i="28"/>
  <c r="K86" i="28"/>
  <c r="K183" i="28"/>
  <c r="L201" i="28"/>
  <c r="L225" i="28"/>
  <c r="K94" i="28"/>
  <c r="K36" i="28"/>
  <c r="J36" i="28"/>
  <c r="P36" i="28"/>
  <c r="L36" i="28"/>
  <c r="L236" i="28"/>
  <c r="J236" i="28"/>
  <c r="J69" i="28"/>
  <c r="C272" i="28"/>
  <c r="J204" i="28"/>
  <c r="L204" i="28"/>
  <c r="L242" i="28"/>
  <c r="J242" i="28"/>
  <c r="L88" i="28"/>
  <c r="K88" i="28"/>
  <c r="J76" i="28"/>
  <c r="L76" i="28"/>
  <c r="J222" i="28"/>
  <c r="K222" i="28"/>
  <c r="P225" i="28"/>
  <c r="L45" i="28"/>
  <c r="C270" i="28"/>
  <c r="K45" i="28"/>
  <c r="K105" i="28"/>
  <c r="K201" i="28"/>
  <c r="L81" i="28"/>
  <c r="K197" i="28"/>
  <c r="K47" i="28"/>
  <c r="L171" i="28"/>
  <c r="K171" i="28"/>
  <c r="K41" i="28"/>
  <c r="J41" i="28"/>
  <c r="P53" i="28"/>
  <c r="K53" i="28"/>
  <c r="L53" i="28"/>
  <c r="J53" i="28"/>
  <c r="L217" i="28"/>
  <c r="J207" i="28"/>
  <c r="L207" i="28"/>
  <c r="J274" i="28"/>
  <c r="K274" i="28"/>
  <c r="K271" i="28"/>
  <c r="I274" i="28"/>
  <c r="G271" i="28"/>
  <c r="G274" i="28"/>
  <c r="I271" i="28"/>
  <c r="I267" i="28"/>
  <c r="L282" i="28"/>
  <c r="J271" i="28"/>
  <c r="H267" i="28"/>
  <c r="P282" i="28"/>
  <c r="L267" i="28"/>
  <c r="H268" i="28"/>
  <c r="L271" i="28"/>
  <c r="P274" i="28"/>
  <c r="J268" i="28"/>
  <c r="J267" i="28"/>
  <c r="K282" i="28"/>
  <c r="K267" i="28"/>
  <c r="J282" i="28"/>
  <c r="K268" i="28"/>
  <c r="H274" i="28"/>
  <c r="P268" i="28"/>
  <c r="G282" i="28"/>
  <c r="H271" i="28"/>
  <c r="G268" i="28"/>
  <c r="P271" i="28"/>
  <c r="P267" i="28"/>
  <c r="G267" i="28"/>
  <c r="H282" i="28"/>
  <c r="L274" i="28"/>
  <c r="L268" i="28"/>
  <c r="C181" i="19"/>
  <c r="F180" i="19"/>
  <c r="M176" i="19"/>
  <c r="D181" i="19"/>
  <c r="H179" i="19"/>
  <c r="F179" i="19"/>
  <c r="M178" i="19"/>
  <c r="M179" i="19"/>
  <c r="E181" i="19"/>
  <c r="H180" i="19"/>
  <c r="M177" i="19"/>
  <c r="M175" i="19"/>
  <c r="B181" i="19"/>
  <c r="B157" i="19"/>
  <c r="B158" i="19"/>
  <c r="G146" i="19" a="1"/>
  <c r="G146" i="19" s="1"/>
  <c r="B146" i="19"/>
  <c r="B147" i="19"/>
  <c r="F147" i="19" a="1"/>
  <c r="F147" i="19" s="1"/>
  <c r="F146" i="19" a="1"/>
  <c r="F146" i="19" s="1"/>
  <c r="E135" i="19"/>
  <c r="G147" i="19" a="1"/>
  <c r="G147" i="19" s="1"/>
  <c r="AC6" i="19" l="1"/>
  <c r="AA6" i="19"/>
  <c r="Z6" i="19"/>
  <c r="AB6" i="19"/>
  <c r="R73" i="19"/>
  <c r="R62" i="19"/>
  <c r="R51" i="19"/>
  <c r="R46" i="19"/>
  <c r="T6" i="19"/>
  <c r="R6" i="19"/>
  <c r="V181" i="19"/>
  <c r="W181" i="19"/>
  <c r="O181" i="19" s="1"/>
  <c r="X181" i="19"/>
  <c r="P181" i="19" s="1"/>
  <c r="Y181" i="19"/>
  <c r="Q181" i="19" s="1"/>
  <c r="X135" i="19"/>
  <c r="P135" i="19" s="1"/>
  <c r="T135" i="19" s="1"/>
  <c r="Y135" i="19"/>
  <c r="Q135" i="19" s="1"/>
  <c r="U135" i="19" s="1"/>
  <c r="W135" i="19"/>
  <c r="O135" i="19" s="1"/>
  <c r="S135" i="19" s="1"/>
  <c r="V135" i="19"/>
  <c r="R179" i="19"/>
  <c r="AB176" i="19"/>
  <c r="AL176" i="19"/>
  <c r="AA157" i="19"/>
  <c r="AB158" i="19"/>
  <c r="B143" i="19"/>
  <c r="AC180" i="19"/>
  <c r="AC176" i="19"/>
  <c r="AA176" i="19"/>
  <c r="B153" i="19"/>
  <c r="E156" i="19"/>
  <c r="F154" i="19"/>
  <c r="B142" i="19"/>
  <c r="B145" i="19"/>
  <c r="B154" i="19"/>
  <c r="E154" i="19"/>
  <c r="B156" i="19"/>
  <c r="AA158" i="19"/>
  <c r="AC158" i="19"/>
  <c r="N175" i="19"/>
  <c r="AI175" i="19"/>
  <c r="Z178" i="19"/>
  <c r="AH178" i="19"/>
  <c r="AC175" i="19"/>
  <c r="Z175" i="19"/>
  <c r="AH175" i="19"/>
  <c r="AB178" i="19"/>
  <c r="AL157" i="19"/>
  <c r="AK157" i="19"/>
  <c r="Z177" i="19"/>
  <c r="AH177" i="19"/>
  <c r="AL175" i="19"/>
  <c r="AA180" i="19"/>
  <c r="F156" i="19"/>
  <c r="F153" i="19"/>
  <c r="E153" i="19"/>
  <c r="AK179" i="19"/>
  <c r="AA175" i="19"/>
  <c r="AI157" i="19"/>
  <c r="N157" i="19"/>
  <c r="R157" i="19" s="1"/>
  <c r="AI177" i="19"/>
  <c r="N177" i="19"/>
  <c r="AJ135" i="19"/>
  <c r="AG135" i="19"/>
  <c r="AF135" i="19"/>
  <c r="AE135" i="19"/>
  <c r="AD135" i="19"/>
  <c r="AA177" i="19"/>
  <c r="AH157" i="19"/>
  <c r="Z157" i="19"/>
  <c r="AB180" i="19"/>
  <c r="Z158" i="19"/>
  <c r="AH158" i="19"/>
  <c r="AL158" i="19"/>
  <c r="AK158" i="19"/>
  <c r="AL178" i="19"/>
  <c r="AB177" i="19"/>
  <c r="AC157" i="19"/>
  <c r="AI180" i="19"/>
  <c r="N180" i="19"/>
  <c r="R180" i="19" s="1"/>
  <c r="AH176" i="19"/>
  <c r="Z176" i="19"/>
  <c r="AI178" i="19"/>
  <c r="N178" i="19"/>
  <c r="AC178" i="19"/>
  <c r="AB157" i="19"/>
  <c r="AC177" i="19"/>
  <c r="AA178" i="19"/>
  <c r="AB175" i="19"/>
  <c r="AH180" i="19"/>
  <c r="Z180" i="19"/>
  <c r="AJ181" i="19"/>
  <c r="AF181" i="19"/>
  <c r="AE181" i="19"/>
  <c r="AG181" i="19"/>
  <c r="AD181" i="19"/>
  <c r="N176" i="19"/>
  <c r="AI176" i="19"/>
  <c r="AL177" i="19"/>
  <c r="AI158" i="19"/>
  <c r="N158" i="19"/>
  <c r="R158" i="19" s="1"/>
  <c r="AK180" i="19"/>
  <c r="AL180" i="19"/>
  <c r="J179" i="19"/>
  <c r="J269" i="28"/>
  <c r="I276" i="28"/>
  <c r="K275" i="28"/>
  <c r="H276" i="28"/>
  <c r="K276" i="28"/>
  <c r="H275" i="28"/>
  <c r="J276" i="28"/>
  <c r="J275" i="28"/>
  <c r="G276" i="28"/>
  <c r="P276" i="28"/>
  <c r="L275" i="28"/>
  <c r="L276" i="28"/>
  <c r="I275" i="28"/>
  <c r="P275" i="28"/>
  <c r="G275" i="28"/>
  <c r="J270" i="28"/>
  <c r="L280" i="28"/>
  <c r="J281" i="28"/>
  <c r="J273" i="28"/>
  <c r="K270" i="28"/>
  <c r="K280" i="28"/>
  <c r="L278" i="28"/>
  <c r="K277" i="28"/>
  <c r="L269" i="28"/>
  <c r="L281" i="28"/>
  <c r="K272" i="28"/>
  <c r="J272" i="28"/>
  <c r="J277" i="28"/>
  <c r="K273" i="28"/>
  <c r="L273" i="28"/>
  <c r="L270" i="28"/>
  <c r="K279" i="28"/>
  <c r="J280" i="28"/>
  <c r="H270" i="28"/>
  <c r="L272" i="28"/>
  <c r="G269" i="28"/>
  <c r="G278" i="28"/>
  <c r="J278" i="28"/>
  <c r="G279" i="28"/>
  <c r="H269" i="28"/>
  <c r="G281" i="28"/>
  <c r="J279" i="28"/>
  <c r="H278" i="28"/>
  <c r="P281" i="28"/>
  <c r="P278" i="28"/>
  <c r="L279" i="28"/>
  <c r="G280" i="28"/>
  <c r="L277" i="28"/>
  <c r="K281" i="28"/>
  <c r="P270" i="28"/>
  <c r="K269" i="28"/>
  <c r="I278" i="28"/>
  <c r="P280" i="28"/>
  <c r="I269" i="28"/>
  <c r="H273" i="28"/>
  <c r="H280" i="28"/>
  <c r="K278" i="28"/>
  <c r="H272" i="28"/>
  <c r="I281" i="28"/>
  <c r="B336" i="29"/>
  <c r="H277" i="28"/>
  <c r="P277" i="28"/>
  <c r="I270" i="28"/>
  <c r="P272" i="28"/>
  <c r="G272" i="28"/>
  <c r="P279" i="28"/>
  <c r="I279" i="28"/>
  <c r="I277" i="28"/>
  <c r="I272" i="28"/>
  <c r="I280" i="28"/>
  <c r="I273" i="28"/>
  <c r="H279" i="28"/>
  <c r="P269" i="28"/>
  <c r="H281" i="28"/>
  <c r="B337" i="29"/>
  <c r="G277" i="28"/>
  <c r="P273" i="28"/>
  <c r="B335" i="29"/>
  <c r="G273" i="28"/>
  <c r="G270" i="28"/>
  <c r="M181" i="19"/>
  <c r="E134" i="19"/>
  <c r="J180" i="19"/>
  <c r="C157" i="19"/>
  <c r="D157" i="19" s="1"/>
  <c r="E147" i="19"/>
  <c r="C158" i="19"/>
  <c r="D158" i="19" s="1"/>
  <c r="E146" i="19"/>
  <c r="B155" i="19" l="1"/>
  <c r="B144" i="19"/>
  <c r="F155" i="19"/>
  <c r="E155" i="19"/>
  <c r="W155" i="19" s="1"/>
  <c r="O155" i="19" s="1"/>
  <c r="S155" i="19" s="1"/>
  <c r="Y146" i="19"/>
  <c r="Q146" i="19" s="1"/>
  <c r="U146" i="19" s="1"/>
  <c r="V146" i="19"/>
  <c r="X146" i="19"/>
  <c r="P146" i="19" s="1"/>
  <c r="T146" i="19" s="1"/>
  <c r="W146" i="19"/>
  <c r="O146" i="19" s="1"/>
  <c r="S146" i="19" s="1"/>
  <c r="V134" i="19"/>
  <c r="X134" i="19"/>
  <c r="P134" i="19" s="1"/>
  <c r="T134" i="19" s="1"/>
  <c r="W134" i="19"/>
  <c r="O134" i="19" s="1"/>
  <c r="S134" i="19" s="1"/>
  <c r="Y134" i="19"/>
  <c r="Q134" i="19" s="1"/>
  <c r="U134" i="19" s="1"/>
  <c r="V147" i="19"/>
  <c r="X147" i="19"/>
  <c r="P147" i="19" s="1"/>
  <c r="T147" i="19" s="1"/>
  <c r="W147" i="19"/>
  <c r="O147" i="19" s="1"/>
  <c r="S147" i="19" s="1"/>
  <c r="Y147" i="19"/>
  <c r="Q147" i="19" s="1"/>
  <c r="U147" i="19" s="1"/>
  <c r="W153" i="19"/>
  <c r="O153" i="19" s="1"/>
  <c r="S153" i="19" s="1"/>
  <c r="X153" i="19"/>
  <c r="P153" i="19" s="1"/>
  <c r="T153" i="19" s="1"/>
  <c r="Y153" i="19"/>
  <c r="Q153" i="19" s="1"/>
  <c r="U153" i="19" s="1"/>
  <c r="V153" i="19"/>
  <c r="Y156" i="19"/>
  <c r="Q156" i="19" s="1"/>
  <c r="U156" i="19" s="1"/>
  <c r="V156" i="19"/>
  <c r="N156" i="19" s="1"/>
  <c r="R156" i="19" s="1"/>
  <c r="W156" i="19"/>
  <c r="O156" i="19" s="1"/>
  <c r="S156" i="19" s="1"/>
  <c r="X156" i="19"/>
  <c r="P156" i="19" s="1"/>
  <c r="T156" i="19" s="1"/>
  <c r="AJ154" i="19"/>
  <c r="AK154" i="19" s="1"/>
  <c r="V154" i="19"/>
  <c r="N154" i="19" s="1"/>
  <c r="R154" i="19" s="1"/>
  <c r="W154" i="19"/>
  <c r="O154" i="19" s="1"/>
  <c r="S154" i="19" s="1"/>
  <c r="X154" i="19"/>
  <c r="P154" i="19" s="1"/>
  <c r="T154" i="19" s="1"/>
  <c r="Y154" i="19"/>
  <c r="Q154" i="19" s="1"/>
  <c r="U154" i="19" s="1"/>
  <c r="AC181" i="19"/>
  <c r="AE156" i="19"/>
  <c r="AG156" i="19"/>
  <c r="AD156" i="19"/>
  <c r="AJ156" i="19"/>
  <c r="AK156" i="19" s="1"/>
  <c r="AF156" i="19"/>
  <c r="AE154" i="19"/>
  <c r="AD154" i="19"/>
  <c r="AF154" i="19"/>
  <c r="AB135" i="19"/>
  <c r="AC135" i="19"/>
  <c r="AG154" i="19"/>
  <c r="AL135" i="19"/>
  <c r="AK135" i="19"/>
  <c r="AJ147" i="19"/>
  <c r="AG147" i="19"/>
  <c r="AF147" i="19"/>
  <c r="AE147" i="19"/>
  <c r="AD147" i="19"/>
  <c r="AI181" i="19"/>
  <c r="N181" i="19"/>
  <c r="AE153" i="19"/>
  <c r="AF153" i="19"/>
  <c r="AD153" i="19"/>
  <c r="AJ153" i="19"/>
  <c r="AG153" i="19"/>
  <c r="Z181" i="19"/>
  <c r="AH181" i="19"/>
  <c r="N135" i="19"/>
  <c r="R135" i="19" s="1"/>
  <c r="AI135" i="19"/>
  <c r="AJ146" i="19"/>
  <c r="AF146" i="19"/>
  <c r="AG146" i="19"/>
  <c r="AE146" i="19"/>
  <c r="AD146" i="19"/>
  <c r="AJ134" i="19"/>
  <c r="AF134" i="19"/>
  <c r="AE134" i="19"/>
  <c r="AG134" i="19"/>
  <c r="AD134" i="19"/>
  <c r="AA181" i="19"/>
  <c r="AB181" i="19"/>
  <c r="AH135" i="19"/>
  <c r="Z135" i="19"/>
  <c r="AL181" i="19"/>
  <c r="AA135" i="19"/>
  <c r="H147" i="19"/>
  <c r="H146" i="19"/>
  <c r="AE155" i="19" l="1"/>
  <c r="AG155" i="19"/>
  <c r="X155" i="19"/>
  <c r="P155" i="19" s="1"/>
  <c r="T155" i="19" s="1"/>
  <c r="AD155" i="19"/>
  <c r="V155" i="19"/>
  <c r="N155" i="19" s="1"/>
  <c r="R155" i="19" s="1"/>
  <c r="AJ155" i="19"/>
  <c r="Y155" i="19"/>
  <c r="Q155" i="19" s="1"/>
  <c r="U155" i="19" s="1"/>
  <c r="AF155" i="19"/>
  <c r="AB156" i="19"/>
  <c r="AA156" i="19"/>
  <c r="AB153" i="19"/>
  <c r="AB154" i="19"/>
  <c r="AC156" i="19"/>
  <c r="AI156" i="19"/>
  <c r="AL156" i="19"/>
  <c r="AH154" i="19"/>
  <c r="AC154" i="19"/>
  <c r="Z156" i="19"/>
  <c r="AH156" i="19"/>
  <c r="AA146" i="19"/>
  <c r="AI154" i="19"/>
  <c r="AC146" i="19"/>
  <c r="AB146" i="19"/>
  <c r="AA154" i="19"/>
  <c r="AA153" i="19"/>
  <c r="AC134" i="19"/>
  <c r="Z154" i="19"/>
  <c r="AL154" i="19"/>
  <c r="AI146" i="19"/>
  <c r="N146" i="19"/>
  <c r="R146" i="19" s="1"/>
  <c r="Z146" i="19"/>
  <c r="AH146" i="19"/>
  <c r="AA155" i="19"/>
  <c r="AH147" i="19"/>
  <c r="Z147" i="19"/>
  <c r="AI147" i="19"/>
  <c r="N147" i="19"/>
  <c r="R147" i="19" s="1"/>
  <c r="AA147" i="19"/>
  <c r="AK146" i="19"/>
  <c r="AL146" i="19"/>
  <c r="AC153" i="19"/>
  <c r="AB147" i="19"/>
  <c r="Z134" i="19"/>
  <c r="AH134" i="19"/>
  <c r="N134" i="19"/>
  <c r="R134" i="19" s="1"/>
  <c r="AI134" i="19"/>
  <c r="AL153" i="19"/>
  <c r="AK153" i="19"/>
  <c r="AA134" i="19"/>
  <c r="Z153" i="19"/>
  <c r="AH153" i="19"/>
  <c r="AC147" i="19"/>
  <c r="AK147" i="19"/>
  <c r="AL147" i="19"/>
  <c r="AB134" i="19"/>
  <c r="N153" i="19"/>
  <c r="R153" i="19" s="1"/>
  <c r="AI153" i="19"/>
  <c r="AL134" i="19"/>
  <c r="AK134" i="19"/>
  <c r="F175" i="19"/>
  <c r="R175" i="19" s="1"/>
  <c r="F178" i="19"/>
  <c r="R178" i="19" s="1"/>
  <c r="F176" i="19"/>
  <c r="R176" i="19" s="1"/>
  <c r="F177" i="19"/>
  <c r="R177" i="19" s="1"/>
  <c r="AH155" i="19" l="1"/>
  <c r="AL155" i="19"/>
  <c r="AC155" i="19"/>
  <c r="AK155" i="19"/>
  <c r="Z155" i="19"/>
  <c r="AB155" i="19"/>
  <c r="AI155" i="19"/>
  <c r="AK176" i="19"/>
  <c r="AK178" i="19"/>
  <c r="AK177" i="19"/>
  <c r="AK175" i="19"/>
  <c r="F181" i="19"/>
  <c r="R181" i="19" s="1"/>
  <c r="C155" i="19"/>
  <c r="D155" i="19" s="1"/>
  <c r="J175" i="19"/>
  <c r="C153" i="19"/>
  <c r="D153" i="19" s="1"/>
  <c r="C156" i="19"/>
  <c r="D156" i="19" s="1"/>
  <c r="J178" i="19"/>
  <c r="J177" i="19"/>
  <c r="C154" i="19"/>
  <c r="D154" i="19" s="1"/>
  <c r="J176" i="19"/>
  <c r="I175" i="19"/>
  <c r="U175" i="19" s="1"/>
  <c r="AK181" i="19" l="1"/>
  <c r="J181" i="19"/>
  <c r="K175" i="19"/>
  <c r="E144" i="19"/>
  <c r="E142" i="19"/>
  <c r="I178" i="19"/>
  <c r="U178" i="19" s="1"/>
  <c r="I177" i="19"/>
  <c r="U177" i="19" s="1"/>
  <c r="E143" i="19"/>
  <c r="I176" i="19"/>
  <c r="U176" i="19" s="1"/>
  <c r="E145" i="19"/>
  <c r="W145" i="19" l="1"/>
  <c r="O145" i="19" s="1"/>
  <c r="X145" i="19"/>
  <c r="P145" i="19" s="1"/>
  <c r="Y145" i="19"/>
  <c r="V145" i="19"/>
  <c r="N145" i="19" s="1"/>
  <c r="V143" i="19"/>
  <c r="N143" i="19" s="1"/>
  <c r="W143" i="19"/>
  <c r="O143" i="19" s="1"/>
  <c r="X143" i="19"/>
  <c r="P143" i="19" s="1"/>
  <c r="Y143" i="19"/>
  <c r="V142" i="19"/>
  <c r="N142" i="19" s="1"/>
  <c r="W142" i="19"/>
  <c r="O142" i="19" s="1"/>
  <c r="X142" i="19"/>
  <c r="P142" i="19" s="1"/>
  <c r="Y142" i="19"/>
  <c r="Y144" i="19"/>
  <c r="V144" i="19"/>
  <c r="N144" i="19" s="1"/>
  <c r="W144" i="19"/>
  <c r="O144" i="19" s="1"/>
  <c r="X144" i="19"/>
  <c r="P144" i="19" s="1"/>
  <c r="AJ145" i="19"/>
  <c r="AF145" i="19"/>
  <c r="AG145" i="19"/>
  <c r="AF143" i="19"/>
  <c r="AJ143" i="19"/>
  <c r="AG143" i="19"/>
  <c r="AJ144" i="19"/>
  <c r="AF144" i="19"/>
  <c r="AG144" i="19"/>
  <c r="AJ142" i="19"/>
  <c r="AF142" i="19"/>
  <c r="AG142" i="19"/>
  <c r="AD145" i="19"/>
  <c r="AE145" i="19"/>
  <c r="AA145" i="19" s="1"/>
  <c r="AE143" i="19"/>
  <c r="AA143" i="19" s="1"/>
  <c r="AD143" i="19"/>
  <c r="AE142" i="19"/>
  <c r="AD142" i="19"/>
  <c r="AD144" i="19"/>
  <c r="AE144" i="19"/>
  <c r="H144" i="19"/>
  <c r="H142" i="19"/>
  <c r="H143" i="19"/>
  <c r="K178" i="19"/>
  <c r="K177" i="19"/>
  <c r="K176" i="19"/>
  <c r="G181" i="19"/>
  <c r="H145" i="19"/>
  <c r="T181" i="19" l="1"/>
  <c r="S181" i="19"/>
  <c r="AB142" i="19"/>
  <c r="AC142" i="19"/>
  <c r="AC144" i="19"/>
  <c r="AH143" i="19"/>
  <c r="Z143" i="19"/>
  <c r="AC143" i="19"/>
  <c r="AA144" i="19"/>
  <c r="AB143" i="19"/>
  <c r="AB144" i="19"/>
  <c r="Z144" i="19"/>
  <c r="AC145" i="19"/>
  <c r="Z142" i="19"/>
  <c r="AB145" i="19"/>
  <c r="AH145" i="19"/>
  <c r="Z145" i="19"/>
  <c r="AA142" i="19"/>
  <c r="AI144" i="19"/>
  <c r="AL142" i="19"/>
  <c r="AI142" i="19"/>
  <c r="AL143" i="19"/>
  <c r="AL144" i="19"/>
  <c r="AI143" i="19"/>
  <c r="AH144" i="19"/>
  <c r="AI145" i="19"/>
  <c r="AH142" i="19"/>
  <c r="AL145" i="19"/>
  <c r="Q144" i="19"/>
  <c r="U144" i="19" s="1"/>
  <c r="Q143" i="19"/>
  <c r="U143" i="19" s="1"/>
  <c r="Q145" i="19"/>
  <c r="U145" i="19" s="1"/>
  <c r="Q142" i="19"/>
  <c r="U142" i="19" s="1"/>
  <c r="L181" i="19"/>
  <c r="G144" i="19" a="1"/>
  <c r="G144" i="19" s="1"/>
  <c r="G145" i="19" a="1"/>
  <c r="G145" i="19" s="1"/>
  <c r="G143" i="19" a="1"/>
  <c r="G143" i="19" s="1"/>
  <c r="T143" i="19" l="1"/>
  <c r="S143" i="19"/>
  <c r="S145" i="19"/>
  <c r="T145" i="19"/>
  <c r="T144" i="19"/>
  <c r="S144" i="19"/>
  <c r="G176" i="19"/>
  <c r="G178" i="19"/>
  <c r="G142" i="19" a="1"/>
  <c r="G142" i="19" s="1"/>
  <c r="G175" i="19"/>
  <c r="G177" i="19"/>
  <c r="T177" i="19" l="1"/>
  <c r="S177" i="19"/>
  <c r="T178" i="19"/>
  <c r="S178" i="19"/>
  <c r="T142" i="19"/>
  <c r="S142" i="19"/>
  <c r="T175" i="19"/>
  <c r="S175" i="19"/>
  <c r="T176" i="19"/>
  <c r="S176" i="19"/>
  <c r="L176" i="19"/>
  <c r="L177" i="19"/>
  <c r="I181" i="19"/>
  <c r="U181" i="19" s="1"/>
  <c r="L175" i="19"/>
  <c r="L178" i="19"/>
  <c r="K181" i="19" l="1"/>
  <c r="F143" i="19" a="1"/>
  <c r="F143" i="19" s="1"/>
  <c r="R143" i="19" s="1"/>
  <c r="E136" i="19"/>
  <c r="E131" i="19"/>
  <c r="E132" i="19"/>
  <c r="E130" i="19"/>
  <c r="E133" i="19"/>
  <c r="AJ132" i="19" l="1"/>
  <c r="AK132" i="19" s="1"/>
  <c r="X132" i="19"/>
  <c r="P132" i="19" s="1"/>
  <c r="T132" i="19" s="1"/>
  <c r="Y132" i="19"/>
  <c r="V132" i="19"/>
  <c r="N132" i="19" s="1"/>
  <c r="R132" i="19" s="1"/>
  <c r="W132" i="19"/>
  <c r="O132" i="19" s="1"/>
  <c r="S132" i="19" s="1"/>
  <c r="AJ133" i="19"/>
  <c r="AK133" i="19" s="1"/>
  <c r="W133" i="19"/>
  <c r="O133" i="19" s="1"/>
  <c r="S133" i="19" s="1"/>
  <c r="X133" i="19"/>
  <c r="P133" i="19" s="1"/>
  <c r="T133" i="19" s="1"/>
  <c r="Y133" i="19"/>
  <c r="V133" i="19"/>
  <c r="N133" i="19" s="1"/>
  <c r="R133" i="19" s="1"/>
  <c r="AJ131" i="19"/>
  <c r="AK131" i="19" s="1"/>
  <c r="V131" i="19"/>
  <c r="N131" i="19" s="1"/>
  <c r="R131" i="19" s="1"/>
  <c r="W131" i="19"/>
  <c r="O131" i="19" s="1"/>
  <c r="S131" i="19" s="1"/>
  <c r="X131" i="19"/>
  <c r="P131" i="19" s="1"/>
  <c r="T131" i="19" s="1"/>
  <c r="Y131" i="19"/>
  <c r="AJ130" i="19"/>
  <c r="AK130" i="19" s="1"/>
  <c r="V130" i="19"/>
  <c r="N130" i="19" s="1"/>
  <c r="R130" i="19" s="1"/>
  <c r="W130" i="19"/>
  <c r="O130" i="19" s="1"/>
  <c r="S130" i="19" s="1"/>
  <c r="X130" i="19"/>
  <c r="P130" i="19" s="1"/>
  <c r="T130" i="19" s="1"/>
  <c r="Y130" i="19"/>
  <c r="AJ136" i="19"/>
  <c r="AK136" i="19" s="1"/>
  <c r="V136" i="19"/>
  <c r="N136" i="19" s="1"/>
  <c r="R136" i="19" s="1"/>
  <c r="W136" i="19"/>
  <c r="O136" i="19" s="1"/>
  <c r="S136" i="19" s="1"/>
  <c r="X136" i="19"/>
  <c r="P136" i="19" s="1"/>
  <c r="T136" i="19" s="1"/>
  <c r="Y136" i="19"/>
  <c r="AK143" i="19"/>
  <c r="AF133" i="19"/>
  <c r="AG133" i="19"/>
  <c r="AF131" i="19"/>
  <c r="AG131" i="19"/>
  <c r="AF130" i="19"/>
  <c r="AG130" i="19"/>
  <c r="AF132" i="19"/>
  <c r="AG132" i="19"/>
  <c r="AF136" i="19"/>
  <c r="AG136" i="19"/>
  <c r="AD133" i="19"/>
  <c r="AE133" i="19"/>
  <c r="AD130" i="19"/>
  <c r="AE130" i="19"/>
  <c r="AD131" i="19"/>
  <c r="AE131" i="19"/>
  <c r="AD132" i="19"/>
  <c r="AE132" i="19"/>
  <c r="AD136" i="19"/>
  <c r="AE136" i="19"/>
  <c r="H178" i="19"/>
  <c r="H177" i="19"/>
  <c r="F145" i="19" a="1"/>
  <c r="F145" i="19" s="1"/>
  <c r="R145" i="19" s="1"/>
  <c r="H176" i="19"/>
  <c r="F144" i="19" a="1"/>
  <c r="F144" i="19" s="1"/>
  <c r="R144" i="19" s="1"/>
  <c r="F142" i="19" a="1"/>
  <c r="F142" i="19" s="1"/>
  <c r="R142" i="19" s="1"/>
  <c r="H175" i="19"/>
  <c r="AC136" i="19" l="1"/>
  <c r="AB131" i="19"/>
  <c r="AB136" i="19"/>
  <c r="AA132" i="19"/>
  <c r="Z132" i="19"/>
  <c r="AA133" i="19"/>
  <c r="AB132" i="19"/>
  <c r="AC130" i="19"/>
  <c r="AB130" i="19"/>
  <c r="AA136" i="19"/>
  <c r="AC131" i="19"/>
  <c r="Z136" i="19"/>
  <c r="AC132" i="19"/>
  <c r="Z131" i="19"/>
  <c r="AA130" i="19"/>
  <c r="AB133" i="19"/>
  <c r="AA131" i="19"/>
  <c r="Z130" i="19"/>
  <c r="AC133" i="19"/>
  <c r="Z133" i="19"/>
  <c r="AL132" i="19"/>
  <c r="AL133" i="19"/>
  <c r="AL131" i="19"/>
  <c r="AH130" i="19"/>
  <c r="AL130" i="19"/>
  <c r="AL136" i="19"/>
  <c r="AH133" i="19"/>
  <c r="AK142" i="19"/>
  <c r="AK144" i="19"/>
  <c r="AK145" i="19"/>
  <c r="AH131" i="19"/>
  <c r="AI130" i="19"/>
  <c r="AI133" i="19"/>
  <c r="AI136" i="19"/>
  <c r="AI132" i="19"/>
  <c r="AI131" i="19"/>
  <c r="AH136" i="19"/>
  <c r="AH132" i="19"/>
  <c r="Q130" i="19"/>
  <c r="U130" i="19" s="1"/>
  <c r="Q133" i="19"/>
  <c r="U133" i="19" s="1"/>
  <c r="Q136" i="19"/>
  <c r="U136" i="19" s="1"/>
  <c r="Q131" i="19"/>
  <c r="U131" i="19" s="1"/>
  <c r="Q132" i="19"/>
  <c r="U132" i="19" s="1"/>
  <c r="H181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tc={50B26C82-56F6-4C23-B7C4-FF234D35EC78}</author>
  </authors>
  <commentList>
    <comment ref="D233" authorId="0" shapeId="0" xr:uid="{50B26C82-56F6-4C23-B7C4-FF234D35EC7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Bezeichnung fehlt — bitte klären (S_0044, 780x180mm)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Hachtel</author>
    <author>tc={8BE1F804-D3C1-41B4-9D17-2F1758D5ED69}</author>
    <author>tc={E5BC733B-C7FD-4B31-91E1-6A1E13522B85}</author>
    <author>tc={6192ED16-94C1-48F9-AB33-4F6B01BD2B0E}</author>
    <author>tc={E82A13F2-F54B-4EFA-AA67-46E832443AF8}</author>
    <author>tc={E60CD92E-7849-4600-87C8-280ACBACB483}</author>
    <author>tc={6A9CE6F5-5404-4772-A4C9-3A32FE83AEEF}</author>
    <author>tc={938BA399-3418-4B69-B9FF-A148E2BB8668}</author>
    <author>tc={5EB52E27-F017-48E6-A186-E6A36C9FDE50}</author>
    <author>tc={77299F6E-DE4E-4495-A7D8-14BBF6BD0B6D}</author>
    <author>tc={D7440C73-1BBB-4C72-809F-56C63F0144B6}</author>
    <author>tc={266A1DE5-DEAD-42AC-8CD5-418BBB3D35CD}</author>
    <author>tc={701EF41F-C2A1-4627-BAC9-B68730DDE86D}</author>
    <author>tc={1C942C6C-D5EC-4431-9D8A-046E3031CC67}</author>
    <author>tc={2E787629-6DC5-46BB-8832-5C8371B827FD}</author>
    <author>tc={A4BF8222-8769-48B7-9967-84A4B0F2CA1B}</author>
  </authors>
  <commentList>
    <comment ref="O4" authorId="0" shapeId="0" xr:uid="{E78A43B3-E28C-4431-979B-923E3DDCEEC3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Einzige Steuerungsbasis — alle PG-Preise leiten sich hieraus ab. Änderungen hier wirken konsistent auf PG1–4.</t>
        </r>
      </text>
    </comment>
    <comment ref="P4" authorId="0" shapeId="0" xr:uid="{0ED0786B-9CC1-4363-A49B-D03D3012EAA9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Plausibilitätscheck (Formel): Rückgerechneter Basiswert aus dem PG2-Preis. Muss ≈ PG1_Basis sein. Abweichungen zeigen Inkonsistenz im alten Modell.</t>
        </r>
      </text>
    </comment>
    <comment ref="Q4" authorId="0" shapeId="0" xr:uid="{087C9D54-0DBA-4205-B87B-0785CFD3B455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Plausibilitätscheck (Formel): Rückgerechneter Basiswert aus dem PG3-Preis. Muss ≈ PG1_Basis sein. Abweichungen zeigen Inkonsistenz im alten Modell.</t>
        </r>
      </text>
    </comment>
    <comment ref="R4" authorId="0" shapeId="0" xr:uid="{8EAAECFF-4282-4371-BD96-3FE0FAA87DD9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Plausibilitätscheck (Formel): Rückgerechneter Basiswert aus dem PG4-Preis. Muss ≈ PG1_Basis sein. Abweichungen zeigen Inkonsistenz im alten Modell.</t>
        </r>
      </text>
    </comment>
    <comment ref="D213" authorId="1" shapeId="0" xr:uid="{8BE1F804-D3C1-41B4-9D17-2F1758D5ED6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14" authorId="2" shapeId="0" xr:uid="{E5BC733B-C7FD-4B31-91E1-6A1E13522B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15" authorId="3" shapeId="0" xr:uid="{6192ED16-94C1-48F9-AB33-4F6B01BD2B0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27" authorId="4" shapeId="0" xr:uid="{E82A13F2-F54B-4EFA-AA67-46E832443AF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28" authorId="5" shapeId="0" xr:uid="{E60CD92E-7849-4600-87C8-280ACBACB4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1" authorId="6" shapeId="0" xr:uid="{6A9CE6F5-5404-4772-A4C9-3A32FE83AE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2" authorId="7" shapeId="0" xr:uid="{938BA399-3418-4B69-B9FF-A148E2BB866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3" authorId="8" shapeId="0" xr:uid="{5EB52E27-F017-48E6-A186-E6A36C9FDE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4" authorId="9" shapeId="0" xr:uid="{77299F6E-DE4E-4495-A7D8-14BBF6BD0B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5" authorId="10" shapeId="0" xr:uid="{D7440C73-1BBB-4C72-809F-56C63F0144B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6" authorId="11" shapeId="0" xr:uid="{266A1DE5-DEAD-42AC-8CD5-418BBB3D35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7" authorId="12" shapeId="0" xr:uid="{701EF41F-C2A1-4627-BAC9-B68730DDE8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8" authorId="13" shapeId="0" xr:uid="{1C942C6C-D5EC-4431-9D8A-046E3031CC6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59" authorId="14" shapeId="0" xr:uid="{2E787629-6DC5-46BB-8832-5C8371B827F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  <comment ref="D260" authorId="15" shapeId="0" xr:uid="{A4BF8222-8769-48B7-9967-84A4B0F2CA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 Größe nicht in Größentabelle — nicht im Webkonfigurator verfügbar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Hachtel</author>
    <author>tc={3111F2A3-C2C0-4DF0-BE36-8351373D4F5A}</author>
  </authors>
  <commentList>
    <comment ref="E4" authorId="0" shapeId="0" xr:uid="{F5FE6BC2-31AA-4EA7-96F5-88CCE93DC213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Mindestpreis PG1 (MDF) in EUR. Bei 0 = kein Mindestpreis aktiv. Alle Artikel-Preise werden mindestens auf diesen Wert angehoben.</t>
        </r>
      </text>
    </comment>
    <comment ref="E5" authorId="0" shapeId="0" xr:uid="{2FA046B2-07A1-491B-8C17-C7A368820DC7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Mindestpreis PG2 (Furnier) in EUR. Bei 0 = kein Mindestpreis aktiv.</t>
        </r>
      </text>
    </comment>
    <comment ref="E6" authorId="0" shapeId="0" xr:uid="{1EE6986F-A68F-48E3-A8EF-4A9A20206419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Mindestpreis PG3 (Alu) in EUR. Bei 0 = kein Mindestpreis aktiv.</t>
        </r>
      </text>
    </comment>
    <comment ref="E7" authorId="0" shapeId="0" xr:uid="{0EE40747-A7A4-492B-AA19-4084DBB84A9E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Mindestpreis PG4 (Glas) in EUR. Bei 0 = kein Mindestpreis aktiv.</t>
        </r>
      </text>
    </comment>
    <comment ref="K16" authorId="1" shapeId="0" xr:uid="{3111F2A3-C2C0-4DF0-BE36-8351373D4F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Größen-Exponent (Exp) für PG1:
Formel: Preis = Basis × Faktor_effektiv × (Fläche m²)^(Exp − 1)
Exp = 1.0 → Preis proportional zur Fläche (neutral)
Exp &gt; 1.0 → große Teile überproportional teurer
Exp &lt; 1.0 → große Teile günstiger (Mengenrabatt-Effekt)
Beispiel: Platte 0.5 m² vs 1.0 m²
  Exp=1.0: Preis verdoppelt sich
  Exp=1.2: Preis ×2.15 (Aufschlag)
  Exp=0.8: Preis ×1.74 (Rabatt)</t>
      </text>
    </comment>
    <comment ref="Q16" authorId="0" shapeId="0" xr:uid="{B0C608B0-B8B2-45E4-9E70-BCA1DD630503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Normpreis PG1 bei Normfläche 0.35m². Blau = Eingabewert. Änderungen hier wirken auf ALLE Artikel dieser Kategorie.</t>
        </r>
      </text>
    </comment>
    <comment ref="R16" authorId="0" shapeId="0" xr:uid="{6FAEE3DF-CDB7-4426-BBA4-07817ACA6460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Normpreis PG2 (Furnier) bei 0.35m². Leer lassen wenn PG2 nicht aktiv.</t>
        </r>
      </text>
    </comment>
    <comment ref="S16" authorId="0" shapeId="0" xr:uid="{D7B86E6C-77AB-4964-8311-C8E1E0AA8E67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Normpreis PG3 (Alu) bei 0.35m². Leer lassen wenn PG3 nicht aktiv.</t>
        </r>
      </text>
    </comment>
    <comment ref="T16" authorId="0" shapeId="0" xr:uid="{6291397B-EB79-4BA2-A4B4-7E6600CD1E10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Normpreis PG4 (Glas) bei 0.35m². Leer lassen wenn PG4 nicht aktiv.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tc={257FF2F1-0A54-4C56-843D-5606F6972402}</author>
    <author>tc={04C47F40-7CF6-4668-8E4B-C64BBBCE5FD2}</author>
  </authors>
  <commentList>
    <comment ref="A134" authorId="0" shapeId="0" xr:uid="{257FF2F1-0A54-4C56-843D-5606F69724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Tischprogramm-Werte nicht vergleichbar – Komplettsysteme vs. Einzelplatten!</t>
      </text>
    </comment>
    <comment ref="A135" authorId="1" shapeId="0" xr:uid="{04C47F40-7CF6-4668-8E4B-C64BBBCE5F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⚠️ Tischprofile/platten nur bedingt vergleichbar!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Hachtel</author>
  </authors>
  <commentList>
    <comment ref="C2" authorId="0" shapeId="0" xr:uid="{672BCF9D-73CB-4807-8FD5-AB22DD34C7D1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Jährliche Preissteigerung für Neupreisberechnung</t>
        </r>
      </text>
    </comment>
    <comment ref="E2" authorId="0" shapeId="0" xr:uid="{8773FE89-B100-4BA1-81BA-ECCAF9BCF358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Prognosehorizont in Jahren</t>
        </r>
      </text>
    </comment>
    <comment ref="G2" authorId="0" shapeId="0" xr:uid="{6C43029A-A94F-436C-9006-CA2A12493D44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Multiplikator für EUR→CHF Umrechnung</t>
        </r>
      </text>
    </comment>
    <comment ref="C3" authorId="0" shapeId="0" xr:uid="{0BE195B0-83C4-4D68-A940-40D55A1F2A9D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UVP-Multiplikator für Tischplatten (EK × Faktor)</t>
        </r>
      </text>
    </comment>
    <comment ref="E3" authorId="0" shapeId="0" xr:uid="{A5D88C9A-9BB7-47C8-9971-9F16785D6462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Mindest-Zuschlag in EUR bei Neupreisberechnung</t>
        </r>
      </text>
    </comment>
    <comment ref="G3" authorId="0" shapeId="0" xr:uid="{2E0CFE77-9529-45ED-B7BB-C0BE9BB4EB2B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Mindest-Zuschlag Tischplatten EUR</t>
        </r>
      </text>
    </comment>
    <comment ref="D17" authorId="0" shapeId="0" xr:uid="{D109CEFD-933E-481E-89F9-A5A456A930C8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EK-Preis Eingangsrechnung</t>
        </r>
      </text>
    </comment>
    <comment ref="D18" authorId="0" shapeId="0" xr:uid="{81E48EC3-EB2A-423D-9697-58A6B9BF008B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EK-Preis Satz Stellfüße</t>
        </r>
      </text>
    </comment>
    <comment ref="I36" authorId="0" shapeId="0" xr:uid="{30A9729F-E32F-4775-82DB-63C7BEB4068C}">
      <text>
        <r>
          <rPr>
            <b/>
            <sz val="9"/>
            <color indexed="81"/>
            <rFont val="Segoe UI"/>
            <family val="2"/>
          </rPr>
          <t>Daniel Hachtel:</t>
        </r>
        <r>
          <rPr>
            <sz val="9"/>
            <color indexed="81"/>
            <rFont val="Segoe UI"/>
            <family val="2"/>
          </rPr>
          <t xml:space="preserve">
UVP-Multiplikator (EK × Faktor)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<sst xmlns="http://schemas.openxmlformats.org/spreadsheetml/2006/main" count="4993" uniqueCount="989">
  <si>
    <t>Front</t>
  </si>
  <si>
    <t>Klappe</t>
  </si>
  <si>
    <t>Schublade</t>
  </si>
  <si>
    <t>Breite (mm)</t>
  </si>
  <si>
    <t>Typ</t>
  </si>
  <si>
    <t>Kategorie</t>
  </si>
  <si>
    <t>Bezeichnung</t>
  </si>
  <si>
    <t>Platte</t>
  </si>
  <si>
    <t>Boden</t>
  </si>
  <si>
    <t>Boden (360x360)</t>
  </si>
  <si>
    <t>Boden (420x360)</t>
  </si>
  <si>
    <t>Boden (580x360)</t>
  </si>
  <si>
    <t>Boden (780x360)</t>
  </si>
  <si>
    <t>Boden (980x360)</t>
  </si>
  <si>
    <t>Boden (360x580)</t>
  </si>
  <si>
    <t>CHF-Faktor</t>
  </si>
  <si>
    <t>Boden (420x580)</t>
  </si>
  <si>
    <t>Boden (580x580)</t>
  </si>
  <si>
    <t>Boden (780x580)</t>
  </si>
  <si>
    <t>Boden (980x580)</t>
  </si>
  <si>
    <t>Boden (780x780)</t>
  </si>
  <si>
    <t>Boden (980x780)</t>
  </si>
  <si>
    <t>Boden (980x980)</t>
  </si>
  <si>
    <t>Boden (420x780)</t>
  </si>
  <si>
    <t>Boden (420x980)</t>
  </si>
  <si>
    <t>S_0003</t>
  </si>
  <si>
    <t>Boden (420x420)</t>
  </si>
  <si>
    <t>Seite außen</t>
  </si>
  <si>
    <t>Seite außen (360x180)</t>
  </si>
  <si>
    <t>Seite außen (360x360)</t>
  </si>
  <si>
    <t>Seite außen (360x720)</t>
  </si>
  <si>
    <t>Seite außen (360x1080)</t>
  </si>
  <si>
    <t>Seite außen (360x1440)</t>
  </si>
  <si>
    <t>Seite außen (360x1800)</t>
  </si>
  <si>
    <t>Seite außen (580x180)</t>
  </si>
  <si>
    <t>Seite außen (580x360)</t>
  </si>
  <si>
    <t>Seite außen (580x720)</t>
  </si>
  <si>
    <t>Seite außen (580x1080)</t>
  </si>
  <si>
    <t>Seite außen (580x1440)</t>
  </si>
  <si>
    <t>Seite außen (580x1800)</t>
  </si>
  <si>
    <t>Seite außen (180x780)</t>
  </si>
  <si>
    <t>Seite außen (180x980)</t>
  </si>
  <si>
    <t>Seite außen (360x780)</t>
  </si>
  <si>
    <t>Seite außen (360x980)</t>
  </si>
  <si>
    <t>Seite außen (720x780)</t>
  </si>
  <si>
    <t>Seite außen (720x980)</t>
  </si>
  <si>
    <t>Seite außen (1080x780)</t>
  </si>
  <si>
    <t>Seite außen (1080x980)</t>
  </si>
  <si>
    <t>Seite außen (1440x780)</t>
  </si>
  <si>
    <t>Seite außen (1440x980)</t>
  </si>
  <si>
    <t>Seite außen (1800x780)</t>
  </si>
  <si>
    <t>Seite außen (1800x980)</t>
  </si>
  <si>
    <t>Seite außen (580x580)</t>
  </si>
  <si>
    <t>S_0020</t>
  </si>
  <si>
    <t>Seite außen (660x360)</t>
  </si>
  <si>
    <t>Seite außen SY32</t>
  </si>
  <si>
    <t>Seite außen SY32 (360x360)</t>
  </si>
  <si>
    <t>Seite außen SY32 (360x720)</t>
  </si>
  <si>
    <t>Seite außen SY32 (360x1080)</t>
  </si>
  <si>
    <t>Seite außen SY32 (360x1440)</t>
  </si>
  <si>
    <t>Seite außen SY32 (360x1800)</t>
  </si>
  <si>
    <t>Seite außen SY32 (580x360)</t>
  </si>
  <si>
    <t>Seite außen SY32 (580x720)</t>
  </si>
  <si>
    <t>Seite außen SY32 (580x1080)</t>
  </si>
  <si>
    <t>Seite außen SY32 (580x1440)</t>
  </si>
  <si>
    <t>Seite außen SY32 (580x1800)</t>
  </si>
  <si>
    <t>Seite außen SY32 (180x780)</t>
  </si>
  <si>
    <t>Seite außen SY32 (180x980)</t>
  </si>
  <si>
    <t>Seite außen SY32 (360x780)</t>
  </si>
  <si>
    <t>Seite außen SY32 (360x980)</t>
  </si>
  <si>
    <t>Seite außen SY32 (720x780)</t>
  </si>
  <si>
    <t>Seite außen SY32 (720x980)</t>
  </si>
  <si>
    <t>Seite außen SY32 (1080x780)</t>
  </si>
  <si>
    <t>Seite außen SY32 (1080x980)</t>
  </si>
  <si>
    <t>Seite außen SY32 (1440x780)</t>
  </si>
  <si>
    <t>Seite außen SY32 (1440x980)</t>
  </si>
  <si>
    <t>Seite außen SY32 (1800x780)</t>
  </si>
  <si>
    <t>Seite außen SY32 (1800x980)</t>
  </si>
  <si>
    <t>Rücken</t>
  </si>
  <si>
    <t>Rücken (360x180)</t>
  </si>
  <si>
    <t>Rücken (420x180)</t>
  </si>
  <si>
    <t>Rücken (580x180)</t>
  </si>
  <si>
    <t>Rücken (780x180)</t>
  </si>
  <si>
    <t>Rücken (980x180)</t>
  </si>
  <si>
    <t>Rücken (360x360)</t>
  </si>
  <si>
    <t>Rücken (420x360)</t>
  </si>
  <si>
    <t>Rücken (580x360)</t>
  </si>
  <si>
    <t>Rücken (780x360)</t>
  </si>
  <si>
    <t>Rücken (980x360)</t>
  </si>
  <si>
    <t>Rücken (360x720)</t>
  </si>
  <si>
    <t>Rücken (420x720)</t>
  </si>
  <si>
    <t>Rücken (580x720)</t>
  </si>
  <si>
    <t>Rücken (780x720)</t>
  </si>
  <si>
    <t>Rücken (980x720)</t>
  </si>
  <si>
    <t>Rücken (360x1080)</t>
  </si>
  <si>
    <t>Rücken (420x1080)</t>
  </si>
  <si>
    <t>Rücken (580x1080)</t>
  </si>
  <si>
    <t>Rücken (780x1080)</t>
  </si>
  <si>
    <t>Rücken (980x1080)</t>
  </si>
  <si>
    <t>Rücken (360x1440)</t>
  </si>
  <si>
    <t>Rücken (420x1440)</t>
  </si>
  <si>
    <t>Rücken (580x1440)</t>
  </si>
  <si>
    <t>Rücken (780x1440)</t>
  </si>
  <si>
    <t>Rücken (980x1440)</t>
  </si>
  <si>
    <t>Rücken (360x1800)</t>
  </si>
  <si>
    <t>Rücken (420x1800)</t>
  </si>
  <si>
    <t>Rücken (580x1800)</t>
  </si>
  <si>
    <t>Rücken (780x1800)</t>
  </si>
  <si>
    <t>Rücken (980x1800)</t>
  </si>
  <si>
    <t>Seite innen</t>
  </si>
  <si>
    <t>Seite innen (360x180)</t>
  </si>
  <si>
    <t>Seite innen (360x360)</t>
  </si>
  <si>
    <t>Seite innen (360x720)</t>
  </si>
  <si>
    <t>Seite innen (360x1080)</t>
  </si>
  <si>
    <t>Seite innen (360x1440)</t>
  </si>
  <si>
    <t>Seite innen (360x1800)</t>
  </si>
  <si>
    <t>Seite innen (580x180)</t>
  </si>
  <si>
    <t>Seite innen (580x360)</t>
  </si>
  <si>
    <t>Seite innen (580x720)</t>
  </si>
  <si>
    <t>Seite innen (580x1080)</t>
  </si>
  <si>
    <t>Seite innen (580x1440)</t>
  </si>
  <si>
    <t>Seite innen (580x1800)</t>
  </si>
  <si>
    <t>Seite innen (180x780)</t>
  </si>
  <si>
    <t>Seite innen (180x980)</t>
  </si>
  <si>
    <t>Seite innen (360x780)</t>
  </si>
  <si>
    <t>Seite innen (360x980)</t>
  </si>
  <si>
    <t>Seite innen (720x780)</t>
  </si>
  <si>
    <t>Seite innen (720x980)</t>
  </si>
  <si>
    <t>Seite innen (1080x780)</t>
  </si>
  <si>
    <t>Seite innen (1080x980)</t>
  </si>
  <si>
    <t>Seite innen (1440x780)</t>
  </si>
  <si>
    <t>Seite innen (1440x980)</t>
  </si>
  <si>
    <t>Seite innen (1800x780)</t>
  </si>
  <si>
    <t>Seite innen (1800x980)</t>
  </si>
  <si>
    <t>Seite innen (580x580)</t>
  </si>
  <si>
    <t>Seite innen SY32</t>
  </si>
  <si>
    <t>Seite innen SY32 (360x360)</t>
  </si>
  <si>
    <t>Seite innen SY32 (360x720)</t>
  </si>
  <si>
    <t>Seite innen SY32 (360x1080)</t>
  </si>
  <si>
    <t>Seite innen SY32 (360x1440)</t>
  </si>
  <si>
    <t>Seite innen SY32 (360x1800)</t>
  </si>
  <si>
    <t>Seite innen SY32 (580x360)</t>
  </si>
  <si>
    <t>Seite innen SY32 (580x720)</t>
  </si>
  <si>
    <t>Seite innen SY32 (580x1080)</t>
  </si>
  <si>
    <t>Seite innen SY32 (580x1440)</t>
  </si>
  <si>
    <t>Seite innen SY32 (580x1800)</t>
  </si>
  <si>
    <t>Seite innen SY32 (720x780)</t>
  </si>
  <si>
    <t>Seite innen SY32 (720x980)</t>
  </si>
  <si>
    <t>Seite innen SY32 (1080x780)</t>
  </si>
  <si>
    <t>Seite innen SY32 (1080x980)</t>
  </si>
  <si>
    <t>Seite innen SY32 (1440x780)</t>
  </si>
  <si>
    <t>Seite innen SY32 (1440x980)</t>
  </si>
  <si>
    <t>Seite innen SY32 (1800x780)</t>
  </si>
  <si>
    <t>Seite innen SY32 (1800x980)</t>
  </si>
  <si>
    <t>Seite innen SY32 DB</t>
  </si>
  <si>
    <t>Seite innen SY32 DB (360x360)</t>
  </si>
  <si>
    <t>Seite innen SY32 DB (360x720)</t>
  </si>
  <si>
    <t>Seite innen SY32 DB (360x1080)</t>
  </si>
  <si>
    <t>Seite innen SY32 DB (360x1440)</t>
  </si>
  <si>
    <t>Seite innen SY32 DB (360x1800)</t>
  </si>
  <si>
    <t>Seite innen SY32 DB (580x360)</t>
  </si>
  <si>
    <t>Seite innen SY32 DB (580x720)</t>
  </si>
  <si>
    <t>Seite innen SY32 DB (580x1080)</t>
  </si>
  <si>
    <t>Seite innen SY32 DB (580x1440)</t>
  </si>
  <si>
    <t>Seite innen SY32 DB (580x1800)</t>
  </si>
  <si>
    <t>Fachboden klein</t>
  </si>
  <si>
    <t>Fachboden klein (360x360)</t>
  </si>
  <si>
    <t>Fachboden klein (420x360)</t>
  </si>
  <si>
    <t>Fachboden klein (580x360)</t>
  </si>
  <si>
    <t>Fachboden klein (780x360)</t>
  </si>
  <si>
    <t>Fachboden klein (980x360)</t>
  </si>
  <si>
    <t>Fachboden klein (360x580)</t>
  </si>
  <si>
    <t>Fachboden klein (420x580)</t>
  </si>
  <si>
    <t>Fachboden klein (580x580)</t>
  </si>
  <si>
    <t>Fachboden klein (780x580)</t>
  </si>
  <si>
    <t>Fachboden klein (980x580)</t>
  </si>
  <si>
    <t>Fachboden klein (780x780)</t>
  </si>
  <si>
    <t>Fachboden klein (980x780)</t>
  </si>
  <si>
    <t>Fachboden klein (980x980)</t>
  </si>
  <si>
    <t>Fachboden groß</t>
  </si>
  <si>
    <t>Fachboden groß (360x360)</t>
  </si>
  <si>
    <t>Fachboden groß (420x360)</t>
  </si>
  <si>
    <t>Fachboden groß (580x360)</t>
  </si>
  <si>
    <t>Fachboden groß (780x360)</t>
  </si>
  <si>
    <t>Fachboden groß (980x360)</t>
  </si>
  <si>
    <t>Fachboden groß (360x580)</t>
  </si>
  <si>
    <t>Fachboden groß (420x580)</t>
  </si>
  <si>
    <t>Fachboden groß (580x580)</t>
  </si>
  <si>
    <t>Fachboden groß (780x580)</t>
  </si>
  <si>
    <t>Fachboden groß (980x580)</t>
  </si>
  <si>
    <t>Fachboden groß (780x780)</t>
  </si>
  <si>
    <t>Fachboden groß (980x780)</t>
  </si>
  <si>
    <t>Fachboden groß (980x980)</t>
  </si>
  <si>
    <t>Klappenboden</t>
  </si>
  <si>
    <t>Klappenboden (360x360)</t>
  </si>
  <si>
    <t>Klappenboden (420x360)</t>
  </si>
  <si>
    <t>Klappenboden (580x360)</t>
  </si>
  <si>
    <t>Klappenboden (780x360)</t>
  </si>
  <si>
    <t>Klappenboden (980x360)</t>
  </si>
  <si>
    <t>Klappenboden (360x580)</t>
  </si>
  <si>
    <t>Klappenboden (420x580)</t>
  </si>
  <si>
    <t>Klappenboden (580x580)</t>
  </si>
  <si>
    <t>Klappenboden (780x580)</t>
  </si>
  <si>
    <t>Klappenboden (980x580)</t>
  </si>
  <si>
    <t>Klappenboden (420x780)</t>
  </si>
  <si>
    <t>Klappenboden (420x980)</t>
  </si>
  <si>
    <t>Klappenboden (780x780)</t>
  </si>
  <si>
    <t>Klappenboden (780x980)</t>
  </si>
  <si>
    <t>Klappenboden (980x780)</t>
  </si>
  <si>
    <t>Klappenboden (980x980)</t>
  </si>
  <si>
    <t>Klappe (420x180)</t>
  </si>
  <si>
    <t>Klappe (420x360)</t>
  </si>
  <si>
    <t>Klappe (580x180)</t>
  </si>
  <si>
    <t>Klappe (580x360)</t>
  </si>
  <si>
    <t>Klappe (780x180)</t>
  </si>
  <si>
    <t>Klappe (780x360)</t>
  </si>
  <si>
    <t>Klappe (980x180)</t>
  </si>
  <si>
    <t>Klappe (980x360)</t>
  </si>
  <si>
    <t>Klappe (360x180)</t>
  </si>
  <si>
    <t>Klappe (360x360)</t>
  </si>
  <si>
    <t>S_0046</t>
  </si>
  <si>
    <t>Klappe (980x420)</t>
  </si>
  <si>
    <t>Tür</t>
  </si>
  <si>
    <t>Tür (420x360)</t>
  </si>
  <si>
    <t>Tür (420x720)</t>
  </si>
  <si>
    <t>Tür (420x1080)</t>
  </si>
  <si>
    <t>Tür (420x1440)</t>
  </si>
  <si>
    <t>Tür (420x1800)</t>
  </si>
  <si>
    <t>Tür (580x360)</t>
  </si>
  <si>
    <t>Tür (580x720)</t>
  </si>
  <si>
    <t>Tür (580x1080)</t>
  </si>
  <si>
    <t>Tür (580x1440)</t>
  </si>
  <si>
    <t>Tür (580x1800)</t>
  </si>
  <si>
    <t>Tür (360x360)</t>
  </si>
  <si>
    <t>Tür (780x360)</t>
  </si>
  <si>
    <t>Doppeltür</t>
  </si>
  <si>
    <t>Doppeltür (780x360)</t>
  </si>
  <si>
    <t>Doppeltür (780x660)</t>
  </si>
  <si>
    <t>Doppeltür (780x720)</t>
  </si>
  <si>
    <t>Doppeltür (780x1080)</t>
  </si>
  <si>
    <t>Doppeltür (780x1440)</t>
  </si>
  <si>
    <t>Doppeltür (780x1800)</t>
  </si>
  <si>
    <t>Doppeltür (980x360)</t>
  </si>
  <si>
    <t>Doppeltür (980x720)</t>
  </si>
  <si>
    <t>Doppeltür (980x1080)</t>
  </si>
  <si>
    <t>Doppeltür (980x1440)</t>
  </si>
  <si>
    <t>Doppeltür (980x1800)</t>
  </si>
  <si>
    <t>Schublade (420x180)</t>
  </si>
  <si>
    <t>Schublade (420x360)</t>
  </si>
  <si>
    <t>Schublade (580x180)</t>
  </si>
  <si>
    <t>Schublade (580x360)</t>
  </si>
  <si>
    <t>Schublade (780x180)</t>
  </si>
  <si>
    <t>Schublade (780x360)</t>
  </si>
  <si>
    <t>Schublade (980x180)</t>
  </si>
  <si>
    <t>Schublade (980x360)</t>
  </si>
  <si>
    <t>S_0044</t>
  </si>
  <si>
    <t>Schubl.</t>
  </si>
  <si>
    <t xml:space="preserve"> (780x180)</t>
  </si>
  <si>
    <t>S_0001</t>
  </si>
  <si>
    <t>Schublade (420x134)</t>
  </si>
  <si>
    <t>S_0002</t>
  </si>
  <si>
    <t>Schublade (420x220)</t>
  </si>
  <si>
    <t>S_0009</t>
  </si>
  <si>
    <t>Schublade (412x121)</t>
  </si>
  <si>
    <t>S_0010</t>
  </si>
  <si>
    <t>Schublade (412x400)</t>
  </si>
  <si>
    <t>S_0017</t>
  </si>
  <si>
    <t>Schublade (420x145)</t>
  </si>
  <si>
    <t>S_0018</t>
  </si>
  <si>
    <t>Schublade (420x293)</t>
  </si>
  <si>
    <t>S_0029</t>
  </si>
  <si>
    <t>Schublade (420x67)</t>
  </si>
  <si>
    <t>S_0033</t>
  </si>
  <si>
    <t>Schublade (420x142)</t>
  </si>
  <si>
    <t>S_0034</t>
  </si>
  <si>
    <t>Schublade (420x280)</t>
  </si>
  <si>
    <t>S_0037</t>
  </si>
  <si>
    <t>Schublade (420x141)</t>
  </si>
  <si>
    <t>Schublade LB 1</t>
  </si>
  <si>
    <t>Schublade LB 1 (420x180)</t>
  </si>
  <si>
    <t>Schublade LB 1 (420x360)</t>
  </si>
  <si>
    <t>Schublade LB 1 (580x180)</t>
  </si>
  <si>
    <t>Schublade LB 1 (580x360)</t>
  </si>
  <si>
    <t>Schublade LB 1 (780x180)</t>
  </si>
  <si>
    <t>Schublade LB 1 (780x360)</t>
  </si>
  <si>
    <t>Schublade LB 1 (980x180)</t>
  </si>
  <si>
    <t>Schublade LB 1 (980x360)</t>
  </si>
  <si>
    <t>Schublade LB 2</t>
  </si>
  <si>
    <t>Schublade LB 2 (420x180)</t>
  </si>
  <si>
    <t>Schublade LB 2 (420x360)</t>
  </si>
  <si>
    <t>Schublade LB 2 (580x180)</t>
  </si>
  <si>
    <t>Schublade LB 2 (580x360)</t>
  </si>
  <si>
    <t>Schublade LB 2 (780x180)</t>
  </si>
  <si>
    <t>Schublade LB 2 (780x360)</t>
  </si>
  <si>
    <t>Schublade LB 2 (980x180)</t>
  </si>
  <si>
    <t>Schublade LB 2 (980x360)</t>
  </si>
  <si>
    <t>Zubehör</t>
  </si>
  <si>
    <t>Würfel 30mm</t>
  </si>
  <si>
    <t>Würfel 46mm</t>
  </si>
  <si>
    <t>Profil</t>
  </si>
  <si>
    <t>Profil 30mm roh</t>
  </si>
  <si>
    <t>Profil 30mm 180</t>
  </si>
  <si>
    <t>Profil 30mm 360</t>
  </si>
  <si>
    <t>Profil 30mm 420</t>
  </si>
  <si>
    <t>Profil 30mm 580</t>
  </si>
  <si>
    <t>Profil 30mm 660</t>
  </si>
  <si>
    <t>Profil 30mm 720</t>
  </si>
  <si>
    <t>Profil 30mm 780</t>
  </si>
  <si>
    <t>Profil 30mm 980</t>
  </si>
  <si>
    <t>Profil 30mm 1080</t>
  </si>
  <si>
    <t>Profil 30mm 1440</t>
  </si>
  <si>
    <t>Profil 30mm 1800</t>
  </si>
  <si>
    <t>Profil 46mm</t>
  </si>
  <si>
    <t>Schlösser</t>
  </si>
  <si>
    <t>Schloss</t>
  </si>
  <si>
    <t>Griff</t>
  </si>
  <si>
    <t>Push to open / Blanko</t>
  </si>
  <si>
    <t>Luno</t>
  </si>
  <si>
    <t>Linea</t>
  </si>
  <si>
    <t>Rondo</t>
  </si>
  <si>
    <t xml:space="preserve">Axio </t>
  </si>
  <si>
    <t>Axio groß</t>
  </si>
  <si>
    <t>Retrox</t>
  </si>
  <si>
    <t>Reling</t>
  </si>
  <si>
    <t>Reling gross</t>
  </si>
  <si>
    <t>Uno</t>
  </si>
  <si>
    <t>Ombra</t>
  </si>
  <si>
    <t>Solano</t>
  </si>
  <si>
    <t>Arcano</t>
  </si>
  <si>
    <t>Bridge</t>
  </si>
  <si>
    <t>Bridge groß</t>
  </si>
  <si>
    <t>Allungo</t>
  </si>
  <si>
    <t>Hängeregister</t>
  </si>
  <si>
    <t>Zubehör &amp; Sonstiges</t>
  </si>
  <si>
    <t>Rolle Teppich</t>
  </si>
  <si>
    <t>Rolle Parkett</t>
  </si>
  <si>
    <t>Stellfuß Alu</t>
  </si>
  <si>
    <t>Nivellierschraube</t>
  </si>
  <si>
    <t>CPU Halterung</t>
  </si>
  <si>
    <t>Kleinteile</t>
  </si>
  <si>
    <t>Tischgestell</t>
  </si>
  <si>
    <t>DT</t>
  </si>
  <si>
    <t>Globaler Faktor</t>
  </si>
  <si>
    <t>⚙️ PREISSTEUERUNG — Artmodul</t>
  </si>
  <si>
    <t>Globale Parameter</t>
  </si>
  <si>
    <t>← Eingabe: z.B. 0.85 = -15% auf alle Preise</t>
  </si>
  <si>
    <t>← EUR → CHF Umrechnungskurs</t>
  </si>
  <si>
    <t>Materialzuordnung</t>
  </si>
  <si>
    <t>PG1 = MDF</t>
  </si>
  <si>
    <t>PG4 = Glas</t>
  </si>
  <si>
    <t>Kategorie-Faktoren</t>
  </si>
  <si>
    <t>PG1
Faktor</t>
  </si>
  <si>
    <t>PG1
Effektiv</t>
  </si>
  <si>
    <t>PG2
Faktor</t>
  </si>
  <si>
    <t>PG2
Effektiv</t>
  </si>
  <si>
    <t>PG3
Faktor</t>
  </si>
  <si>
    <t>PG3
Effektiv</t>
  </si>
  <si>
    <t>PG4
Faktor</t>
  </si>
  <si>
    <t>PG4
Effektiv</t>
  </si>
  <si>
    <t>Faktor 1.00 = Originalpreis (keine Änderung)</t>
  </si>
  <si>
    <t>Faktor 1.15 = +15% auf Originalpreis</t>
  </si>
  <si>
    <t>Effektiver Faktor = Globaler Faktor × Kategorie-Faktor</t>
  </si>
  <si>
    <t>Gelb hinterlegte Zellen = editierbare Eingaben</t>
  </si>
  <si>
    <t>Blaue Schrift = Eingabewerte, Schwarz = berechnete Werte</t>
  </si>
  <si>
    <t>PG1_Basis</t>
  </si>
  <si>
    <t>ARTMODUL Preisliste 2012 – EUR &amp; CHF</t>
  </si>
  <si>
    <t>Alle Preise exkl. MwSt. | EUR = Euro  |  CHF = Schweizer Franken  |  '-' = nicht verfügbar</t>
  </si>
  <si>
    <t>Artikel</t>
  </si>
  <si>
    <t>Preis in EUR (exkl. MwSt.)</t>
  </si>
  <si>
    <t>Preis in CHF (exkl. MwSt.)</t>
  </si>
  <si>
    <t>Sektion</t>
  </si>
  <si>
    <t>Bauteil / Material</t>
  </si>
  <si>
    <t>Spezifikation / Masse</t>
  </si>
  <si>
    <t>PK 1 EUR</t>
  </si>
  <si>
    <t>PK 2 EUR</t>
  </si>
  <si>
    <t>PK 3 EUR</t>
  </si>
  <si>
    <t>PK 4 EUR</t>
  </si>
  <si>
    <t>PK 5 EUR</t>
  </si>
  <si>
    <t>PK 6 EUR</t>
  </si>
  <si>
    <t>PK 7 EUR</t>
  </si>
  <si>
    <t>PK 8 EUR</t>
  </si>
  <si>
    <t>PK 1 CHF</t>
  </si>
  <si>
    <t>PK 2 CHF</t>
  </si>
  <si>
    <t>PK 3 CHF</t>
  </si>
  <si>
    <t>PK 4 CHF</t>
  </si>
  <si>
    <t>PK 5 CHF</t>
  </si>
  <si>
    <t>PK 6 CHF</t>
  </si>
  <si>
    <t>PK 7 CHF</t>
  </si>
  <si>
    <t>PK 8 CHF</t>
  </si>
  <si>
    <t>Profile und Kleinteile</t>
  </si>
  <si>
    <t>Würfel</t>
  </si>
  <si>
    <t>Material</t>
  </si>
  <si>
    <t>30mm</t>
  </si>
  <si>
    <t>Spezialwürfel</t>
  </si>
  <si>
    <t>30mm: 1/2</t>
  </si>
  <si>
    <t>30mm: 3/4</t>
  </si>
  <si>
    <t>Profil AM 180</t>
  </si>
  <si>
    <t>Achsmass: 180mm</t>
  </si>
  <si>
    <t>Profil AM 360</t>
  </si>
  <si>
    <t>Achsmass: 360mm</t>
  </si>
  <si>
    <t>Profil AM 420</t>
  </si>
  <si>
    <t>Achsmass: 420mm</t>
  </si>
  <si>
    <t>Profil AM 580</t>
  </si>
  <si>
    <t>Achsmass: 580mm</t>
  </si>
  <si>
    <t>Profil AM 720</t>
  </si>
  <si>
    <t>Achsmass: 720mm</t>
  </si>
  <si>
    <t>Profil AM 780</t>
  </si>
  <si>
    <t>Achsmass: 780mm</t>
  </si>
  <si>
    <t>Profil AM 980</t>
  </si>
  <si>
    <t>Achsmass: 980mm</t>
  </si>
  <si>
    <t>Profil AM 1080</t>
  </si>
  <si>
    <t>Achsmass: 1080mm</t>
  </si>
  <si>
    <t>Profil AM 1440</t>
  </si>
  <si>
    <t>Achsmass: 1440mm</t>
  </si>
  <si>
    <t>Profil AM 1800</t>
  </si>
  <si>
    <t>Achsmass: 1800mm</t>
  </si>
  <si>
    <t>M8</t>
  </si>
  <si>
    <t>Rollen 60mm</t>
  </si>
  <si>
    <t>auch mit Bremse verfügb.</t>
  </si>
  <si>
    <t>Füsse 50mm</t>
  </si>
  <si>
    <t>inkl. Nivellierschrauben</t>
  </si>
  <si>
    <t>Abdeckschraube</t>
  </si>
  <si>
    <t>Boden / Seiten</t>
  </si>
  <si>
    <t>360 / 360</t>
  </si>
  <si>
    <t>420 / 360</t>
  </si>
  <si>
    <t>420 / 580</t>
  </si>
  <si>
    <t>580 / 360</t>
  </si>
  <si>
    <t>580 / 580</t>
  </si>
  <si>
    <t>780 / 360</t>
  </si>
  <si>
    <t>780 / 580</t>
  </si>
  <si>
    <t>980 / 360</t>
  </si>
  <si>
    <t>980 / 580</t>
  </si>
  <si>
    <t>Seite</t>
  </si>
  <si>
    <t>360 / 360 (180)</t>
  </si>
  <si>
    <t>360 / 720</t>
  </si>
  <si>
    <t>360 / 1080</t>
  </si>
  <si>
    <t>360 / 1440</t>
  </si>
  <si>
    <t>360 / 1800</t>
  </si>
  <si>
    <t>580 / 360 (180)</t>
  </si>
  <si>
    <t>580 / 720</t>
  </si>
  <si>
    <t>580 / 1080</t>
  </si>
  <si>
    <t>580 / 1440</t>
  </si>
  <si>
    <t>580 / 1800</t>
  </si>
  <si>
    <t>Rück.</t>
  </si>
  <si>
    <t>420 / 360 (180)</t>
  </si>
  <si>
    <t>420 / 720</t>
  </si>
  <si>
    <t>420 / 1080</t>
  </si>
  <si>
    <t>420 / 1440</t>
  </si>
  <si>
    <t>420 / 1800</t>
  </si>
  <si>
    <t>780 / 360 (180)</t>
  </si>
  <si>
    <t>780 / 720</t>
  </si>
  <si>
    <t>780 / 1080</t>
  </si>
  <si>
    <t>780 / 1440</t>
  </si>
  <si>
    <t>780 / 1800</t>
  </si>
  <si>
    <t>980 / 360 (180)</t>
  </si>
  <si>
    <t>980 / 720</t>
  </si>
  <si>
    <t>980 / 1080</t>
  </si>
  <si>
    <t>980 / 1440</t>
  </si>
  <si>
    <t>980 / 1800</t>
  </si>
  <si>
    <t>Fronten (Klappe / Türe / DT)</t>
  </si>
  <si>
    <t>Fronten (Schubladen / HR)</t>
  </si>
  <si>
    <t>420 / 180</t>
  </si>
  <si>
    <t>580 / 180</t>
  </si>
  <si>
    <t>780 / 180</t>
  </si>
  <si>
    <t>980 / 180</t>
  </si>
  <si>
    <t>HR-Sc</t>
  </si>
  <si>
    <t>Tischprogramm</t>
  </si>
  <si>
    <t>TW 1</t>
  </si>
  <si>
    <t>1960 / 980</t>
  </si>
  <si>
    <t>TW 1-1</t>
  </si>
  <si>
    <t>980 / 980</t>
  </si>
  <si>
    <t>TW 2</t>
  </si>
  <si>
    <t>1760 / 780</t>
  </si>
  <si>
    <t>TW 3</t>
  </si>
  <si>
    <t>1560 / 780</t>
  </si>
  <si>
    <t>TW 4</t>
  </si>
  <si>
    <t>1360 / 780</t>
  </si>
  <si>
    <t>TW 5</t>
  </si>
  <si>
    <t>1200 / 780</t>
  </si>
  <si>
    <t>TW 6</t>
  </si>
  <si>
    <t>980 / 780</t>
  </si>
  <si>
    <t>TW 7</t>
  </si>
  <si>
    <t>780 / 780</t>
  </si>
  <si>
    <t>TW 8</t>
  </si>
  <si>
    <t>1200 / 580</t>
  </si>
  <si>
    <t>TW 9</t>
  </si>
  <si>
    <t>TW 10</t>
  </si>
  <si>
    <t>Tischbein</t>
  </si>
  <si>
    <t>750mm</t>
  </si>
  <si>
    <t>720mm</t>
  </si>
  <si>
    <t>Tischsprosse</t>
  </si>
  <si>
    <t>1960mm (Achsmass)</t>
  </si>
  <si>
    <t>1760mm (Achsmass)</t>
  </si>
  <si>
    <t>1560mm (Achsmass)</t>
  </si>
  <si>
    <t>1360mm (Achsmass)</t>
  </si>
  <si>
    <t>1200mm (Achsmass)</t>
  </si>
  <si>
    <t>980mm (Achsmass)</t>
  </si>
  <si>
    <t>780mm (Achsmass)</t>
  </si>
  <si>
    <t>580mm (Achsmass)</t>
  </si>
  <si>
    <t>TWP1</t>
  </si>
  <si>
    <t>TWP1-1</t>
  </si>
  <si>
    <t>TWP2</t>
  </si>
  <si>
    <t>TWP3</t>
  </si>
  <si>
    <t>TWP4</t>
  </si>
  <si>
    <t>TWP5</t>
  </si>
  <si>
    <t>TWP6</t>
  </si>
  <si>
    <t>TWP7</t>
  </si>
  <si>
    <t>TWP8</t>
  </si>
  <si>
    <t>TWP9</t>
  </si>
  <si>
    <t>TWP10</t>
  </si>
  <si>
    <t>Rollcontainer</t>
  </si>
  <si>
    <t>1x Mat.-Schublade</t>
  </si>
  <si>
    <t>RK 3</t>
  </si>
  <si>
    <t>450x610x660</t>
  </si>
  <si>
    <t>1x A6-Schublade</t>
  </si>
  <si>
    <t>1x A4-Schublade</t>
  </si>
  <si>
    <t>RK 13</t>
  </si>
  <si>
    <t>450x810x660</t>
  </si>
  <si>
    <t>RK 4</t>
  </si>
  <si>
    <t>3x A6-Schublade</t>
  </si>
  <si>
    <t>RK 14</t>
  </si>
  <si>
    <t>Tischprofile und TischPlattee</t>
  </si>
  <si>
    <t>Tischplatte</t>
  </si>
  <si>
    <t>Tischprofil</t>
  </si>
  <si>
    <t>ARTMODUL Preisliste – EUR &amp; CHF</t>
  </si>
  <si>
    <t>Art.-Nr.</t>
  </si>
  <si>
    <t>Tiefe (mm)</t>
  </si>
  <si>
    <t>PG 1 EUR</t>
  </si>
  <si>
    <t>PG 2 EUR</t>
  </si>
  <si>
    <t>PG 3 EUR</t>
  </si>
  <si>
    <t>PG 4 EUR</t>
  </si>
  <si>
    <t>PG 1 CHF</t>
  </si>
  <si>
    <t>PG 2 CHF</t>
  </si>
  <si>
    <t>PG 3 CHF</t>
  </si>
  <si>
    <t>PG 4 CHF</t>
  </si>
  <si>
    <t>Matching</t>
  </si>
  <si>
    <t>Sektion 2012</t>
  </si>
  <si>
    <t>PK3</t>
  </si>
  <si>
    <t>PK5</t>
  </si>
  <si>
    <t>PK7</t>
  </si>
  <si>
    <t>PK8</t>
  </si>
  <si>
    <t>PG1</t>
  </si>
  <si>
    <t>PG2</t>
  </si>
  <si>
    <t>PG3</t>
  </si>
  <si>
    <t>PG4</t>
  </si>
  <si>
    <t>Bauteil</t>
  </si>
  <si>
    <t>Maße</t>
  </si>
  <si>
    <t>Ø PK2/PK1</t>
  </si>
  <si>
    <t>Ø PG2/PG1</t>
  </si>
  <si>
    <t>Ø PK4/PK1</t>
  </si>
  <si>
    <t>Ø PG3/PG1</t>
  </si>
  <si>
    <t>Ø PG4/PG1</t>
  </si>
  <si>
    <t>3. Größen-Preis-Verhältnis (€/dm² bei PK1/PG1)</t>
  </si>
  <si>
    <t>Ø €/dm² 2012</t>
  </si>
  <si>
    <t>Ø €/dm² Aktiv</t>
  </si>
  <si>
    <t>Δ €/dm²</t>
  </si>
  <si>
    <t>Fazit</t>
  </si>
  <si>
    <t>Preis pro Flächeneinheit zeigt Degression (kleinere Teile sind relativ teurer)</t>
  </si>
  <si>
    <t>Fläche Min mm²</t>
  </si>
  <si>
    <t>Fläche Max mm²</t>
  </si>
  <si>
    <t>LEGENDE &amp; METHODIK</t>
  </si>
  <si>
    <t>Matching:</t>
  </si>
  <si>
    <t>Abgleich über Bauteil-Typ + Größe (BxT mm). 2012-Seiten → Aktiv-Seite außen. 97 von 145 Artikeln gematcht.</t>
  </si>
  <si>
    <t>PK↔PG Zuordnung:</t>
  </si>
  <si>
    <t>Preislogik 2012:</t>
  </si>
  <si>
    <t>8 feste Preisklassen, Preise direkt hinterlegt (keine Formel-/Faktor-Steuerung erkennbar).</t>
  </si>
  <si>
    <t>Preislogik Aktiv:</t>
  </si>
  <si>
    <t>Basispreis × Globaler_Faktor (1.00) × Kategorie_Faktor (z.B. 0.75 für Platten PG1, 0.88 für Fronten PG1). CHF = EUR × 1.15.</t>
  </si>
  <si>
    <t>Δ-Formel:</t>
  </si>
  <si>
    <t>Δ = (Preis_Aktiv − Preis_2012) / Preis_2012. Grün = Aufschlag, Rot = Abschlag.</t>
  </si>
  <si>
    <t>€/dm²:</t>
  </si>
  <si>
    <t>Basispreis (PK1/PG1) geteilt durch Fläche in dm² (BxT/10000). Zeigt Flächenbezogene Preiseffizienz.</t>
  </si>
  <si>
    <t>⚠️ Tischprogramm:</t>
  </si>
  <si>
    <t>Matches sind Komplettsysteme (2012) vs. Einzelplatten (Aktiv) – NICHT direkt vergleichbar!</t>
  </si>
  <si>
    <t>PK5-PK8 (2012):</t>
  </si>
  <si>
    <t>Existieren nur im alten Modell. Vermutlich weitere Materialvarianten, die im neuen Modell nicht abgebildet sind.</t>
  </si>
  <si>
    <t>Ø PK6/PK1</t>
  </si>
  <si>
    <t>PG1 (MDF)</t>
  </si>
  <si>
    <t>PG4 (Glas)</t>
  </si>
  <si>
    <t>Δ PG1/PK1</t>
  </si>
  <si>
    <t>Δ PG2/PK2</t>
  </si>
  <si>
    <t>Δ PG3/PK6</t>
  </si>
  <si>
    <t>Profile &amp; Kleinteile</t>
  </si>
  <si>
    <t>Achsmaß: 180mm</t>
  </si>
  <si>
    <t>Achsmaß: 360mm</t>
  </si>
  <si>
    <t>Achsmaß: 580mm</t>
  </si>
  <si>
    <t>Achsmaß: 720mm</t>
  </si>
  <si>
    <t>Achsmaß: 780mm</t>
  </si>
  <si>
    <t>Achsmaß: 980mm</t>
  </si>
  <si>
    <t>Achsmaß: 1080mm</t>
  </si>
  <si>
    <t>Achsmaß: 1440mm</t>
  </si>
  <si>
    <t>Achsmaß: 1800mm</t>
  </si>
  <si>
    <t>auch mit Bremse</t>
  </si>
  <si>
    <t>inkl. Nivellierschraube</t>
  </si>
  <si>
    <t>EURO</t>
  </si>
  <si>
    <t>CHF</t>
  </si>
  <si>
    <t>Auchschlag CHF</t>
  </si>
  <si>
    <t>MDF</t>
  </si>
  <si>
    <t>Alu</t>
  </si>
  <si>
    <t>Furnier</t>
  </si>
  <si>
    <t>Glas</t>
  </si>
  <si>
    <t>Panel</t>
  </si>
  <si>
    <t>Art. Nr.</t>
  </si>
  <si>
    <t>Breite / Tiefe</t>
  </si>
  <si>
    <t>360 / 580</t>
  </si>
  <si>
    <t>420 / 780</t>
  </si>
  <si>
    <t>420 / 980</t>
  </si>
  <si>
    <t/>
  </si>
  <si>
    <t>360 / 180</t>
  </si>
  <si>
    <t>180 / 780</t>
  </si>
  <si>
    <t>180 / 980</t>
  </si>
  <si>
    <t>360 / 780</t>
  </si>
  <si>
    <t>360 / 980</t>
  </si>
  <si>
    <t>720 / 780</t>
  </si>
  <si>
    <t>720 / 980</t>
  </si>
  <si>
    <t>1080 / 780</t>
  </si>
  <si>
    <t>1080 / 980</t>
  </si>
  <si>
    <t>1440 / 780</t>
  </si>
  <si>
    <t>1440 / 980</t>
  </si>
  <si>
    <t>1800 / 780</t>
  </si>
  <si>
    <t>1800 / 980</t>
  </si>
  <si>
    <t>Fachboden</t>
  </si>
  <si>
    <t>Türe</t>
  </si>
  <si>
    <t>780 / 660</t>
  </si>
  <si>
    <t>Griffe</t>
  </si>
  <si>
    <t>Sonstiges</t>
  </si>
  <si>
    <t>PG1
Größe-Exp.</t>
  </si>
  <si>
    <t>PG2
Größe-Exp.</t>
  </si>
  <si>
    <t>PG3
Größe-Exp.</t>
  </si>
  <si>
    <t>PG4
Größe-Exp.</t>
  </si>
  <si>
    <t>💡 Größen-Exponent: Preis_final = Basispreis × Faktor_effektiv × (Fläche m²)^(Exp−1)  |  Exp=1.0 → neutral  |  Exp&gt;1 → große Teile teurer  |  Exp&lt;1 → große Teile günstiger</t>
  </si>
  <si>
    <t>PG1-Faktor (MDF)</t>
  </si>
  <si>
    <t>PG4-Faktor (Glas)</t>
  </si>
  <si>
    <t>← Eingabe: z.B. 1.10 = +10% auf alle MDF-Preise</t>
  </si>
  <si>
    <t>← Eingabe: z.B. 0.90 = -10% auf alle Glas-Preise</t>
  </si>
  <si>
    <t>Normgröße (m²)</t>
  </si>
  <si>
    <t>← Referenzfläche | = 0.35 m² (Median) → Hälfte der Artikel teurer, Hälfte günstiger | Exp=1.0 → kein Effekt</t>
  </si>
  <si>
    <t>4. Preisniveau-Gesamtvergleich: Ø Preis je Sektion &amp; Preisgruppe (EUR)</t>
  </si>
  <si>
    <t>← Preisliste 2012 →</t>
  </si>
  <si>
    <t>← Aktiv (aktuell) →</t>
  </si>
  <si>
    <t>Δ Aktiv vs. 2012</t>
  </si>
  <si>
    <t>← Preisliste 2025 →</t>
  </si>
  <si>
    <t>PK1 (MDF)</t>
  </si>
  <si>
    <t>PK2 (Alu)</t>
  </si>
  <si>
    <t>PK4 (Glas)</t>
  </si>
  <si>
    <t>PK6 (Furnier)</t>
  </si>
  <si>
    <t>Tischprofile / -platten</t>
  </si>
  <si>
    <t>Gesamt (Ø aller Sektionen)</t>
  </si>
  <si>
    <t>Ergoleiste</t>
  </si>
  <si>
    <t>Akkustikwand</t>
  </si>
  <si>
    <t>Häfele TE 301 (Höhenverstellbar)</t>
  </si>
  <si>
    <t>Faktor UVP</t>
  </si>
  <si>
    <t>Marge</t>
  </si>
  <si>
    <t>DB €</t>
  </si>
  <si>
    <t>Händler-EK (×Rabatt)</t>
  </si>
  <si>
    <t>UVP CHF (excl. MwSt)</t>
  </si>
  <si>
    <t>UVP € (excl. MwSt)</t>
  </si>
  <si>
    <t>EK €</t>
  </si>
  <si>
    <t>ZUBEHÖR / OPTIONEN</t>
  </si>
  <si>
    <t>TP11</t>
  </si>
  <si>
    <t>TP10</t>
  </si>
  <si>
    <t>TP09</t>
  </si>
  <si>
    <t>TP08</t>
  </si>
  <si>
    <t>TP07</t>
  </si>
  <si>
    <t>TP06</t>
  </si>
  <si>
    <t>TP05</t>
  </si>
  <si>
    <t>TP04</t>
  </si>
  <si>
    <t>TP03</t>
  </si>
  <si>
    <t>TP02</t>
  </si>
  <si>
    <t>TP01</t>
  </si>
  <si>
    <t>Preis Glas CHF neu</t>
  </si>
  <si>
    <t>Preis Glas € neu</t>
  </si>
  <si>
    <t>Preis Glas € alt</t>
  </si>
  <si>
    <t>Preis CHF neu</t>
  </si>
  <si>
    <t>Preis € neu</t>
  </si>
  <si>
    <t>Preis CHF alt</t>
  </si>
  <si>
    <t>Preis € alt</t>
  </si>
  <si>
    <t>Tischname</t>
  </si>
  <si>
    <t>TISCHPLATTEN</t>
  </si>
  <si>
    <t>Stellfüße (Satz)</t>
  </si>
  <si>
    <t>Tischsprosse 1</t>
  </si>
  <si>
    <t>Tischsprosse 2</t>
  </si>
  <si>
    <t>Tischsprosse 3</t>
  </si>
  <si>
    <t>Tischsprosse 4</t>
  </si>
  <si>
    <t>Tischsprosse 5</t>
  </si>
  <si>
    <t>Tischsprosse 6</t>
  </si>
  <si>
    <t>Tischsprosse 7</t>
  </si>
  <si>
    <t>Tischbein 1</t>
  </si>
  <si>
    <t>Tischbein 2</t>
  </si>
  <si>
    <t>Tischsprosse 8</t>
  </si>
  <si>
    <t>Länge (mm)</t>
  </si>
  <si>
    <t>PROFIL 46mm – Gestell-Bauteile</t>
  </si>
  <si>
    <t>Min. Aufschlag TP €</t>
  </si>
  <si>
    <t>Min. Aufschlag €</t>
  </si>
  <si>
    <t>Faktor Tischplatte</t>
  </si>
  <si>
    <t>Aufschlag €→CHF</t>
  </si>
  <si>
    <t>Jahre Vorschau</t>
  </si>
  <si>
    <t>Inflation p.a.</t>
  </si>
  <si>
    <t>⚙ PARAMETER</t>
  </si>
  <si>
    <t>Tisch-Gestell</t>
  </si>
  <si>
    <t>Stellfüße 46mm</t>
  </si>
  <si>
    <t>Tischplatten</t>
  </si>
  <si>
    <t>Tischprofile und Tischplatten</t>
  </si>
  <si>
    <t>Tischprofile &amp; Tischplatten</t>
  </si>
  <si>
    <t>T-S8</t>
  </si>
  <si>
    <t>Tischsprosse 580mm</t>
  </si>
  <si>
    <t>T-B2</t>
  </si>
  <si>
    <t>Tischbein 720mm</t>
  </si>
  <si>
    <t>T-B1</t>
  </si>
  <si>
    <t>Tischbein 750mm</t>
  </si>
  <si>
    <t>T-S7</t>
  </si>
  <si>
    <t>Tischsprosse 780mm</t>
  </si>
  <si>
    <t>T-S6</t>
  </si>
  <si>
    <t>Tischsprosse 980mm</t>
  </si>
  <si>
    <t>T-S5</t>
  </si>
  <si>
    <t>Tischsprosse 1200mm</t>
  </si>
  <si>
    <t>T-S4</t>
  </si>
  <si>
    <t>Tischsprosse 1360mm</t>
  </si>
  <si>
    <t>T-S3</t>
  </si>
  <si>
    <t>Tischsprosse 1560mm</t>
  </si>
  <si>
    <t>T-S2</t>
  </si>
  <si>
    <t>Tischsprosse 1760mm</t>
  </si>
  <si>
    <t>T-S1</t>
  </si>
  <si>
    <t>Tischsprosse 1960mm</t>
  </si>
  <si>
    <t>T-W46</t>
  </si>
  <si>
    <t>T-SF</t>
  </si>
  <si>
    <t>Tischplatte 1960×980</t>
  </si>
  <si>
    <t>Tischplatte 980×980</t>
  </si>
  <si>
    <t>Tischplatte 1760×780</t>
  </si>
  <si>
    <t>Tischplatte 1560×780</t>
  </si>
  <si>
    <t>Tischplatte 1360×780</t>
  </si>
  <si>
    <t>Tischplatte 1200×780</t>
  </si>
  <si>
    <t>Tischplatte 980×780</t>
  </si>
  <si>
    <t>Tischplatte 780×780</t>
  </si>
  <si>
    <t>Tischplatte 1200×580</t>
  </si>
  <si>
    <t>Tischplatte 980×580</t>
  </si>
  <si>
    <t>Tischplatte 580×580</t>
  </si>
  <si>
    <t>Profil 46mm / Tischplatten</t>
  </si>
  <si>
    <t>1960mm (AM)</t>
  </si>
  <si>
    <t>1760mm (AM)</t>
  </si>
  <si>
    <t>1560mm (AM)</t>
  </si>
  <si>
    <t>1360mm (AM)</t>
  </si>
  <si>
    <t>1200mm (AM)</t>
  </si>
  <si>
    <t>980mm (AM)</t>
  </si>
  <si>
    <t>780mm (AM)</t>
  </si>
  <si>
    <t>580mm (AM)</t>
  </si>
  <si>
    <t>46mm</t>
  </si>
  <si>
    <t>Stellfüße</t>
  </si>
  <si>
    <t>Satz</t>
  </si>
  <si>
    <t>Tisch 1 (1960×980)</t>
  </si>
  <si>
    <t>Tisch 2 (980×980)</t>
  </si>
  <si>
    <t>Tisch 3 (1760×780)</t>
  </si>
  <si>
    <t>Tisch 4 (1560×780)</t>
  </si>
  <si>
    <t>Tisch 5 (1360×780)</t>
  </si>
  <si>
    <t>Tisch 6 (1200×780)</t>
  </si>
  <si>
    <t>Tisch 7 (980×780)</t>
  </si>
  <si>
    <t>Tisch 8 (780×780)</t>
  </si>
  <si>
    <t>Tisch 9 (1200×580)</t>
  </si>
  <si>
    <t>Tisch 10 (980×580)</t>
  </si>
  <si>
    <t>Tisch 11 (580×580)</t>
  </si>
  <si>
    <t>T-B750</t>
  </si>
  <si>
    <t>T-B720</t>
  </si>
  <si>
    <t>T-S1960</t>
  </si>
  <si>
    <t>T-S1760</t>
  </si>
  <si>
    <t>T-S1560</t>
  </si>
  <si>
    <t>T-S1360</t>
  </si>
  <si>
    <t>T-S1200</t>
  </si>
  <si>
    <t>T-S980</t>
  </si>
  <si>
    <t>T-S780</t>
  </si>
  <si>
    <t>T-S580</t>
  </si>
  <si>
    <t>Struktur-Analyse / CHF</t>
  </si>
  <si>
    <t>art_nr</t>
  </si>
  <si>
    <t>typ</t>
  </si>
  <si>
    <t>kategorie</t>
  </si>
  <si>
    <t>bezeichnung</t>
  </si>
  <si>
    <t>breite_mm</t>
  </si>
  <si>
    <t>tiefe_mm</t>
  </si>
  <si>
    <t>pg1_mdf_eur</t>
  </si>
  <si>
    <t>pg4_glas_eur</t>
  </si>
  <si>
    <t>pg1_mdf_chf</t>
  </si>
  <si>
    <t>pg4_glas_chf</t>
  </si>
  <si>
    <t>warnung</t>
  </si>
  <si>
    <t>Würfel 30mm 1/2</t>
  </si>
  <si>
    <t>Würfel 30mm 3/4</t>
  </si>
  <si>
    <t>Würfel 46mm 1/2</t>
  </si>
  <si>
    <t>Würfel 46mm 3/4</t>
  </si>
  <si>
    <t>K</t>
  </si>
  <si>
    <t>S</t>
  </si>
  <si>
    <t>Tür rechts</t>
  </si>
  <si>
    <t>TR</t>
  </si>
  <si>
    <t>T</t>
  </si>
  <si>
    <t>Tür links</t>
  </si>
  <si>
    <t>TL</t>
  </si>
  <si>
    <t>⚠ Größe außerhalb Konfigurator-Standard</t>
  </si>
  <si>
    <t>PG2-Faktor (Furnier)</t>
  </si>
  <si>
    <t>← Eingabe: z.B. 0.95 = -5% auf alle Furnier-Preise</t>
  </si>
  <si>
    <t>PG3-Faktor (Alu)</t>
  </si>
  <si>
    <t>← Eingabe: z.B. 1.05 = +5% auf alle Alu-Preise</t>
  </si>
  <si>
    <t>PG2 = Furnier</t>
  </si>
  <si>
    <t>PG3 = Alu</t>
  </si>
  <si>
    <t>pg2_furnier_eur</t>
  </si>
  <si>
    <t>pg3_alu_eur</t>
  </si>
  <si>
    <t>pg2_furnier_chf</t>
  </si>
  <si>
    <t>pg3_alu_chf</t>
  </si>
  <si>
    <t>PK1↔PG1 (MDF), PK2↔PG2 (Furnier), PK4↔PG4 (Glas), PK6↔PG3 (Alu). PK3/5/7/8 haben kein PG-Äquivalent.</t>
  </si>
  <si>
    <t>PG2 (Furnier)</t>
  </si>
  <si>
    <t>PG3 (Alu)</t>
  </si>
  <si>
    <t>Preisvergleich nach Preisgruppe – Typ: Platte (EUR)</t>
  </si>
  <si>
    <t>Alle Preise in EUR exkl. MwSt. | PG1 = MDF | PG2 = Furnier | PG3 = Alu | PG4 = Glas</t>
  </si>
  <si>
    <t>PG1 MDF</t>
  </si>
  <si>
    <t>PG2 Furnier</t>
  </si>
  <si>
    <t>PG3 Alu</t>
  </si>
  <si>
    <t>PG4 Glas</t>
  </si>
  <si>
    <t>Ø Preis</t>
  </si>
  <si>
    <t>📊 Zusammenfassung nach Kategorie (EUR)</t>
  </si>
  <si>
    <t>PG2/PG1
(Furnier vs. MDF)</t>
  </si>
  <si>
    <t>PG3/PG1
(Alu vs. MDF)</t>
  </si>
  <si>
    <t>PG4/PG1
(Glas vs. MDF)</t>
  </si>
  <si>
    <t>PG3/PG2
(Alu vs. Furnier)</t>
  </si>
  <si>
    <t>PG4/PG2
(Glas vs. Furnier)</t>
  </si>
  <si>
    <t>PG4/PG3
(Glas vs. Alu)</t>
  </si>
  <si>
    <t>Ø Preis EUR</t>
  </si>
  <si>
    <t>Anzahl</t>
  </si>
  <si>
    <t>Ø PG1</t>
  </si>
  <si>
    <t>Ø PG2</t>
  </si>
  <si>
    <t>Ø PG3</t>
  </si>
  <si>
    <t>Ø PG4</t>
  </si>
  <si>
    <t>Ø PG3/PG2</t>
  </si>
  <si>
    <t>Ø PG4/PG2</t>
  </si>
  <si>
    <t>Ø PG4/PG3</t>
  </si>
  <si>
    <t>PG2_Basis ℹ</t>
  </si>
  <si>
    <t>PG3_Basis ℹ</t>
  </si>
  <si>
    <t>PG4_Basis ℹ</t>
  </si>
  <si>
    <t>Kabeldurchlass</t>
  </si>
  <si>
    <t>📊 Zusammenfassung</t>
  </si>
  <si>
    <t>Ø PG2/PG1 Faktor:</t>
  </si>
  <si>
    <t>Ø PG3/PG1 Faktor:</t>
  </si>
  <si>
    <t>Ø PG4/PG1 Faktor:</t>
  </si>
  <si>
    <t>ℹ️ Hinweis: Die alten PG2/3/4-Einzelbasiswerte (Spalten P/Q/R) wurden vor der Umstellung nicht gesichert. Die Abweichungsanalyse zeigt das neue konsistente Modell. Spalten O/P/Q/R im Aktiv-Sheet zeigen jetzt alle denselben Rückrechnungswert = O, da das Modell vollständig konsistent ist.</t>
  </si>
  <si>
    <t>🎯 Normpreise pro Kategorie (Basis-Tabelle für Aktiv-Preismodell)</t>
  </si>
  <si>
    <t>PG1_Norm</t>
  </si>
  <si>
    <t>PG2_Norm</t>
  </si>
  <si>
    <t>PG3_Norm</t>
  </si>
  <si>
    <t>PG4_Norm</t>
  </si>
  <si>
    <t>PG1 Mindestpreis</t>
  </si>
  <si>
    <t>PG2 Mindestpreis</t>
  </si>
  <si>
    <t>PG3 Mindestpreis</t>
  </si>
  <si>
    <t>PG4 Mindestpreis</t>
  </si>
  <si>
    <t>⚖️ Preismodell-Abweichungsanalyse: Basis (O) vs. Aktuelles System</t>
  </si>
  <si>
    <t>Vergleich: Alter Basispreis (O × Faktoren) vs. neues Preismodell. Grün = neues Modell günstiger, Rot = teurer.</t>
  </si>
  <si>
    <t>── PG1 (MDF) ──────────</t>
  </si>
  <si>
    <t>── PG2 (Furnier) ──────</t>
  </si>
  <si>
    <t>── PG3 (Alu) ───────────</t>
  </si>
  <si>
    <t>── PG4 (Glas) ──────────</t>
  </si>
  <si>
    <t>O-Basis</t>
  </si>
  <si>
    <t>PG1 Basis-Preis</t>
  </si>
  <si>
    <t>PG1 Neu</t>
  </si>
  <si>
    <t>PG1 Diff (€)</t>
  </si>
  <si>
    <t>PG1 Diff (%)</t>
  </si>
  <si>
    <t>PG2 Basis-Preis</t>
  </si>
  <si>
    <t>PG2 Neu</t>
  </si>
  <si>
    <t>PG2 Diff (€)</t>
  </si>
  <si>
    <t>PG2 Diff (%)</t>
  </si>
  <si>
    <t>PG3 Basis-Preis</t>
  </si>
  <si>
    <t>PG3 Neu</t>
  </si>
  <si>
    <t>PG3 Diff (€)</t>
  </si>
  <si>
    <t>PG3 Diff (%)</t>
  </si>
  <si>
    <t>PG4 Basis-Preis</t>
  </si>
  <si>
    <t>PG4 Neu</t>
  </si>
  <si>
    <t>PG4 Diff (€)</t>
  </si>
  <si>
    <t>PG4 Diff (%)</t>
  </si>
  <si>
    <t>Inflationsrate p.a.:</t>
  </si>
  <si>
    <t>Basisjahr:</t>
  </si>
  <si>
    <t>Hochrechn.-Jahr:</t>
  </si>
  <si>
    <t>Vergleich Preislogik: Preisliste 2012 vs. Aktiv (inflationsbereinigt) vs. Preisliste 2025</t>
  </si>
  <si>
    <t>Preisliste 2012  (PK1–PK8)</t>
  </si>
  <si>
    <t>Preisliste 2025  (PG1–PG4)</t>
  </si>
  <si>
    <t>Fläche
cm²</t>
  </si>
  <si>
    <t>Zuordnung: PK1↔PG1 (MDF) | PK2↔PG2 (Furnier) | PK4↔PG4 (Glas) | PK6↔PG3 (Alu)  ·  Δ real = (Aktiv deflat. − 2012-Preis) / 2012-Preis</t>
  </si>
  <si>
    <t>▼ Aktiv deflationiert  (auf 2012-Basis)</t>
  </si>
  <si>
    <t>⬤ Δ real:  Aktiv vs. 2012</t>
  </si>
  <si>
    <t>Aktiv EUR  (aktuell)</t>
  </si>
  <si>
    <t>Δ Aktiv  vs. Preisliste 2025</t>
  </si>
  <si>
    <t>PK1
MDF</t>
  </si>
  <si>
    <t>PK2
Furnier</t>
  </si>
  <si>
    <t>PK4
Glas</t>
  </si>
  <si>
    <t>PK6
Alu</t>
  </si>
  <si>
    <t>PG1
MDF</t>
  </si>
  <si>
    <t>PG2
Furnier</t>
  </si>
  <si>
    <t>PG3
Alu</t>
  </si>
  <si>
    <t>PG4
Glas</t>
  </si>
  <si>
    <t>Δ PG1
vs PK1</t>
  </si>
  <si>
    <t>Δ PG1
vs PL25</t>
  </si>
  <si>
    <t>Δ PG2
vs PL25</t>
  </si>
  <si>
    <t>Δ PG3
vs PL25</t>
  </si>
  <si>
    <t>Δ PG4
vs PL25</t>
  </si>
  <si>
    <t>Glas CHF
PL 2025</t>
  </si>
  <si>
    <t>Glas CHF
Aktiv</t>
  </si>
  <si>
    <t>Holz €/dm²
2012</t>
  </si>
  <si>
    <t>Holz €/dm²
Aktiv</t>
  </si>
  <si>
    <t>ANALYSE-ERGEBNISSE &amp; EMPFEHLUNGEN</t>
  </si>
  <si>
    <t>Erstellt automatisch — Basis: Δ real (Aktiv inflationsbereinigt vs. 2012)</t>
  </si>
  <si>
    <t>I. SYSTEMATISCHE ABWEICHUNGEN — Durchschnitt Δ real nach Material &amp; Sektion</t>
  </si>
  <si>
    <t>MDF PG1</t>
  </si>
  <si>
    <t>Furnier PG2</t>
  </si>
  <si>
    <t>Alu PG3</t>
  </si>
  <si>
    <t>Glas PG4</t>
  </si>
  <si>
    <t>Bewertung</t>
  </si>
  <si>
    <t>Glas deutlich unter Inflationsniveau – Unterpreisstellung</t>
  </si>
  <si>
    <t>Alu &amp; Glas unter 2012-Niveau – Preisanpassung empfohlen</t>
  </si>
  <si>
    <t>Fronten / Kläppen &amp; Türen</t>
  </si>
  <si>
    <t>Türen/Furnier stark über 2012 – höhere Fertigungsk. plausibel</t>
  </si>
  <si>
    <t>Schubladen</t>
  </si>
  <si>
    <t>Alu-Schubladen real stark günstiger – möglicherweise falsche Zuordnung</t>
  </si>
  <si>
    <t>II. ANOMALIEN &amp; HANDLUNGSBEDARF</t>
  </si>
  <si>
    <t>Nr.</t>
  </si>
  <si>
    <t>Anomalie</t>
  </si>
  <si>
    <t>Betroffene Positionen</t>
  </si>
  <si>
    <t>Befund</t>
  </si>
  <si>
    <t>Empfehlung</t>
  </si>
  <si>
    <t>Priorität</t>
  </si>
  <si>
    <t>GLAS (PG4) systematisch unterbepreist</t>
  </si>
  <si>
    <t>Alle Boden/Seiten &amp; Rücken mit Glasausführung (8 Pos. &gt; −30%)</t>
  </si>
  <si>
    <t>Real −20% bis −57% unter 2012-Niveau. PL2025 korrigiert mit +40–60% Aufschlag. Aktiv-Liste liegt zwischen PK4(2012) und PL2025 unerklärlich niedrig.</t>
  </si>
  <si>
    <t>Glaspreise in Aktiv-Liste sofort überprüfen. Zwischenpreiserhöhung empfohlen. PL2025-Niveau als Ziel.</t>
  </si>
  <si>
    <t>⚠️ HOCH</t>
  </si>
  <si>
    <t>Türen Furnier (PG2) real stark über 2012</t>
  </si>
  <si>
    <t>Fronten Türen 420–580mm Breite (7 Pos. &gt; +30%)</t>
  </si>
  <si>
    <t>Real +32% bis +76% über 2012 (inflationsbereinigt). Größte Abweichung bei 420/360 (+68%) und 580/360 (+76%). Auffällig: kleine Formate teurer als große.</t>
  </si>
  <si>
    <t>Fertigungskostenaufschläge prüfen. Eventuell Kleinserienzuschlag dokumentieren. Größenstaffelung konsistenter gestalten.</t>
  </si>
  <si>
    <t>MITTEL</t>
  </si>
  <si>
    <t>KLAPPE 980/360: Preisinversion</t>
  </si>
  <si>
    <t>Art.-Nr. 5007 (980/360) vs. 5005 (780/360)</t>
  </si>
  <si>
    <t>Klappe 980mm (PG1=209) ist günstiger als Klappe 780mm (PG1=205) – gegenüber 2012 auch real −14.8% (einzige Klappe mit negativem Δ). Logikfehler in Preissetzung.</t>
  </si>
  <si>
    <t>Art.-Nr. 5007 Preis auf mind. PG1=215 korrigieren (interpoliert aus 780→980 Schrittgröße). Quelldaten prüfen.</t>
  </si>
  <si>
    <t>SCHUBLADEN: Doppeleinträge in Aktiv-Quelldaten</t>
  </si>
  <si>
    <t>Art.-Nr. 5300–5307 (Schubladen 420–980mm)</t>
  </si>
  <si>
    <t>Alle 8 Schubladenbreiten erscheinen zweimal in der Aktiv-Quelldatei mit abweichenden PK1-Preisen (z.B. 5300: 212 vs. 235). Aktuell aktiver Preis unklar.</t>
  </si>
  <si>
    <t>Aktiv-Sheet bereinigen: genau einen gültigen Eintrag je Art.-Nr. behalten, veraltete Version löschen oder auskommentieren.</t>
  </si>
  <si>
    <t>HOLZPREIS-EFFIZIENZ stark gestiegen</t>
  </si>
  <si>
    <t>Alle Sektionen</t>
  </si>
  <si>
    <t>Holzpreis €/dm² gestiegen: Boden/Rücken +49%, Fronten +56%, Schubladen +43%. Schubladen (kleine Formate) mit 20–43 €/dm² ineffizient – hoher Fixkostenanteil.</t>
  </si>
  <si>
    <t>Schubladen-Kleinstformate (180mm Höhe) auf Rentabilität prüfen. Mindestpreis definieren.</t>
  </si>
  <si>
    <t>ALU (PG3) real unter 2012-Niveau</t>
  </si>
  <si>
    <t>Boden/Seiten −13%, Rücken −20%, Schubladen −20%</t>
  </si>
  <si>
    <t>Alu-Preise real gesunken. PL2025 setzt Alu +14% über Aktiv. Keine akute Gefahr, aber Anpassungsbedüa bei Preislistenrevision.</t>
  </si>
  <si>
    <t>Bei nächster Preislistenüberarbeitung Alu-Stufen auf PL2025-Niveau anheben. Kein unmittelbarer Handlungsbedarf.</t>
  </si>
  <si>
    <t>NIEDRIG</t>
  </si>
  <si>
    <t>III. PREISSETZUNGSLOGIK — Aktiv vs. Preisliste 2025</t>
  </si>
  <si>
    <t>Δ Aktiv vs. PL25 (MDF)</t>
  </si>
  <si>
    <t>Δ Aktiv vs. PL25 (Furnier)</t>
  </si>
  <si>
    <t>Δ Aktiv vs. PL25 (Alu)</t>
  </si>
  <si>
    <t>Δ Aktiv vs. PL25 (Glas)</t>
  </si>
  <si>
    <t>Konsequenz</t>
  </si>
  <si>
    <t>Nur Glas-Kunden profitieren von günstigerer Aktiv-Kalkulation</t>
  </si>
  <si>
    <t>Gleiche Situation wie Boden: Glas-Rabatt durch fehlende Anpassung</t>
  </si>
  <si>
    <t>Fronten / Kl./Türen</t>
  </si>
  <si>
    <t>PL2025 massiv teurer – Kundenwiderstand möglich. Stufenerführung planen.</t>
  </si>
  <si>
    <t>Aktiv deutlich günstiger als PL2025 in allen Materialien</t>
  </si>
  <si>
    <t>🔒 DEFAULT-SICHERUNG (vor KI-Optimierung)</t>
  </si>
  <si>
    <t>Parameter</t>
  </si>
  <si>
    <t>Default-Wert</t>
  </si>
  <si>
    <t>Optimiert auf</t>
  </si>
  <si>
    <t>Begruendung</t>
  </si>
  <si>
    <t>Unveraendert</t>
  </si>
  <si>
    <t>Alu real -8 bis -20% unter 2012. PL2025 hebt ~+14% an. Faktor 1.20 -&gt; 1.10 (kein Ueberschiessen)</t>
  </si>
  <si>
    <t>Glas real -20 bis -57% unter 2012. PL2025 setzt +40-60%. Faktor 1.35 = schrittweise Korrektur</t>
  </si>
  <si>
    <t>Kein Glas unter 90 EUR (360x360 nach Anpassung). Schutz vor Tiefstpreisen.</t>
  </si>
  <si>
    <t>Tuer PG2-Faktor (Kat.-Faktor)</t>
  </si>
  <si>
    <t>Furnier-Tuer real +44-76% ueber 2012. Kat.-Faktor 0.89 -&gt; 0.82 bremst Aufschlag etwas</t>
  </si>
  <si>
    <t>PG3-Kategorie-Faktoren (vor 2012-Referenz-Korrektur)</t>
  </si>
  <si>
    <t>Alt</t>
  </si>
  <si>
    <t>Neu</t>
  </si>
  <si>
    <t>Referenz (Alu/Furnier Ratio 2012)</t>
  </si>
  <si>
    <t>Platte (G17)</t>
  </si>
  <si>
    <t>PK6/PK2 Ø = 1.122 in PL2012</t>
  </si>
  <si>
    <t>Klappe (G27)</t>
  </si>
  <si>
    <t>PK6/PK2 Ø = 1.097 in PL2012</t>
  </si>
  <si>
    <t>Tuer (G28)</t>
  </si>
  <si>
    <t>Doppeltuer (G29)</t>
  </si>
  <si>
    <t>Schublade (G30-32)</t>
  </si>
  <si>
    <t>PK6/PK2 Ø = 1.020 in PL2012</t>
  </si>
  <si>
    <t>Profil/Griff/etc. (G33-36)</t>
  </si>
  <si>
    <t>Kein PK6 in PL2012, konservativ +5% auf PG2</t>
  </si>
  <si>
    <t>PG 1</t>
  </si>
  <si>
    <t>PG 2</t>
  </si>
  <si>
    <t>PG 3</t>
  </si>
  <si>
    <t>PG 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</si>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</sst>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%;\-0.0%;&quot;-&quot;"/>
    <numFmt numFmtId="165" formatCode="0.0\x"/>
    <numFmt numFmtId="166" formatCode="\+0.0%;\-0.0%;0%"/>
    <numFmt numFmtId="167" formatCode="0.0%"/>
    <numFmt numFmtId="168" formatCode="0.00\x"/>
    <numFmt numFmtId="169" formatCode="#,##0;\(#,##0\);&quot;-&quot;"/>
    <numFmt numFmtId="170" formatCode="\+#,##0;\-#,##0;&quot;-&quot;"/>
    <numFmt numFmtId="171" formatCode="\+0.0%;\-0.0%;&quot;-&quot;"/>
    <numFmt numFmtId="172" formatCode="[Black]#,##0"/>
  </numFmts>
  <fonts count="10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666666"/>
      <name val="Calibri"/>
      <family val="2"/>
      <charset val="1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sz val="11"/>
      <color rgb="FF0000FF"/>
      <name val="Calibri"/>
      <family val="2"/>
      <charset val="1"/>
    </font>
    <font>
      <b/>
      <sz val="14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808080"/>
      <name val="Calibri"/>
      <family val="2"/>
      <charset val="1"/>
    </font>
    <font>
      <i/>
      <sz val="10"/>
      <name val="Arial"/>
      <family val="2"/>
    </font>
    <font>
      <sz val="9"/>
      <color rgb="FF757575"/>
      <name val="Arial"/>
      <family val="2"/>
    </font>
    <font>
      <sz val="9"/>
      <name val="Arial"/>
      <family val="2"/>
    </font>
    <font>
      <i/>
      <sz val="10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color rgb="FF999999"/>
      <name val="Arial"/>
      <family val="2"/>
    </font>
    <font>
      <b/>
      <sz val="9"/>
      <color theme="1"/>
      <name val="Arial"/>
      <family val="2"/>
    </font>
    <font>
      <b/>
      <sz val="11"/>
      <color rgb="FF1F2D3D"/>
      <name val="Arial"/>
      <family val="2"/>
    </font>
    <font>
      <i/>
      <sz val="9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0"/>
      <name val="Calibri"/>
      <family val="2"/>
      <scheme val="minor"/>
    </font>
    <font>
      <i/>
      <sz val="9"/>
      <color rgb="FF595959"/>
      <name val="Calibri"/>
      <family val="2"/>
      <charset val="1"/>
    </font>
    <font>
      <b/>
      <sz val="9"/>
      <color rgb="FF000000"/>
      <name val="Arial"/>
      <family val="2"/>
    </font>
    <font>
      <b/>
      <sz val="11"/>
      <color rgb="FFFFFF00"/>
      <name val="Calibri"/>
      <family val="2"/>
      <scheme val="minor"/>
    </font>
    <font>
      <b/>
      <sz val="12"/>
      <color theme="1"/>
      <name val="Yu Gothic UI Light"/>
      <family val="2"/>
    </font>
    <font>
      <sz val="12"/>
      <color theme="1"/>
      <name val="Yu Gothic UI Light"/>
      <family val="2"/>
    </font>
    <font>
      <sz val="9"/>
      <color indexed="81"/>
      <name val="Segoe UI"/>
      <family val="2"/>
    </font>
    <font>
      <sz val="11"/>
      <color rgb="FFAAAAAA"/>
      <name val="Calibri"/>
      <family val="2"/>
      <charset val="1"/>
    </font>
    <font>
      <b/>
      <sz val="12"/>
      <color rgb="FFFFFFFF"/>
      <name val="Calibri"/>
      <family val="2"/>
      <scheme val="minor"/>
    </font>
    <font>
      <b/>
      <sz val="9"/>
      <color indexed="81"/>
      <name val="Segoe UI"/>
      <family val="2"/>
    </font>
    <font>
      <b/>
      <sz val="9"/>
      <color rgb="FFFFFFFF"/>
      <name val="Calibri"/>
      <family val="2"/>
      <charset val="1"/>
    </font>
    <font>
      <sz val="8"/>
      <color rgb="FF999999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rgb="FF1A1A1A"/>
      <name val="Calibri"/>
      <family val="2"/>
      <scheme val="minor"/>
    </font>
    <font>
      <sz val="10"/>
      <color rgb="FF1A1A1A"/>
      <name val="Calibri"/>
      <family val="2"/>
      <scheme val="minor"/>
    </font>
    <font>
      <b/>
      <sz val="10"/>
      <color rgb="FFC62828"/>
      <name val="Calibri"/>
      <family val="2"/>
      <scheme val="minor"/>
    </font>
    <font>
      <b/>
      <sz val="10"/>
      <color rgb="FFBF360C"/>
      <name val="Calibri"/>
      <family val="2"/>
      <scheme val="minor"/>
    </font>
    <font>
      <b/>
      <sz val="9"/>
      <color rgb="FFBF360C"/>
      <name val="Arial"/>
      <family val="2"/>
    </font>
    <font>
      <b/>
      <sz val="14"/>
      <color theme="1"/>
      <name val="Calibri"/>
      <family val="2"/>
      <charset val="1"/>
    </font>
    <font>
      <i/>
      <sz val="10"/>
      <color rgb="FF555555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1A6B1A"/>
      <name val="Calibri"/>
      <family val="2"/>
      <charset val="1"/>
    </font>
    <font>
      <sz val="10"/>
      <color rgb="FFC00000"/>
      <name val="Calibri"/>
      <family val="2"/>
      <charset val="1"/>
    </font>
    <font>
      <sz val="10"/>
      <color rgb="FFC05000"/>
      <name val="Calibri"/>
      <family val="2"/>
      <charset val="1"/>
    </font>
    <font>
      <sz val="10"/>
      <color rgb="FF555555"/>
      <name val="Calibri"/>
      <family val="2"/>
      <charset val="1"/>
    </font>
    <font>
      <sz val="10"/>
      <color rgb="FF1A3C6B"/>
      <name val="Calibri"/>
      <family val="2"/>
      <charset val="1"/>
    </font>
    <font>
      <b/>
      <sz val="10"/>
      <color rgb="FF1A6B1A"/>
      <name val="Calibri"/>
      <family val="2"/>
      <charset val="1"/>
    </font>
    <font>
      <b/>
      <sz val="10"/>
      <color rgb="FFC00000"/>
      <name val="Calibri"/>
      <family val="2"/>
      <charset val="1"/>
    </font>
    <font>
      <b/>
      <sz val="10"/>
      <color rgb="FF1A3C6B"/>
      <name val="Calibri"/>
      <family val="2"/>
      <charset val="1"/>
    </font>
    <font>
      <b/>
      <sz val="10"/>
      <color rgb="FF6B1A1A"/>
      <name val="Calibri"/>
      <family val="2"/>
      <charset val="1"/>
    </font>
    <font>
      <b/>
      <sz val="10"/>
      <color rgb="FFC05000"/>
      <name val="Calibri"/>
      <family val="2"/>
      <charset val="1"/>
    </font>
    <font>
      <b/>
      <sz val="12"/>
      <color rgb="FF1F3864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10"/>
      <color rgb="FFBDD7EE"/>
      <name val="Calibri"/>
      <family val="2"/>
      <charset val="1"/>
    </font>
    <font>
      <b/>
      <sz val="8"/>
      <color rgb="FF0000FF"/>
      <name val="Arial"/>
      <family val="2"/>
    </font>
    <font>
      <i/>
      <sz val="8"/>
      <color rgb="FF999999"/>
      <name val="Arial"/>
      <family val="2"/>
    </font>
    <font>
      <i/>
      <sz val="9"/>
      <color rgb="FF555555"/>
      <name val="Calibri"/>
      <family val="2"/>
      <charset val="1"/>
    </font>
    <font>
      <sz val="8"/>
      <color theme="1"/>
      <name val="Arial"/>
      <family val="2"/>
    </font>
    <font>
      <b/>
      <sz val="13"/>
      <color rgb="FFFFFFFF"/>
      <name val="Calibri"/>
      <family val="2"/>
      <charset val="1"/>
    </font>
    <font>
      <i/>
      <sz val="8"/>
      <color rgb="FF888888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00FF"/>
      <name val="Calibri"/>
      <family val="2"/>
      <charset val="1"/>
    </font>
    <font>
      <sz val="9"/>
      <color rgb="FF37474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8"/>
      <color rgb="FF1565C0"/>
      <name val="Calibri"/>
      <family val="2"/>
      <charset val="1"/>
    </font>
    <font>
      <b/>
      <sz val="8"/>
      <color rgb="FF2E7D32"/>
      <name val="Calibri"/>
      <family val="2"/>
      <charset val="1"/>
    </font>
    <font>
      <b/>
      <sz val="8"/>
      <color rgb="FF6A1B9A"/>
      <name val="Calibri"/>
      <family val="2"/>
      <charset val="1"/>
    </font>
    <font>
      <b/>
      <sz val="8"/>
      <color rgb="FFB71C1C"/>
      <name val="Calibri"/>
      <family val="2"/>
      <charset val="1"/>
    </font>
    <font>
      <sz val="11"/>
      <color rgb="FF375623"/>
      <name val="Calibri"/>
      <family val="2"/>
      <charset val="1"/>
    </font>
    <font>
      <b/>
      <sz val="11"/>
      <color rgb="FF375623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595959"/>
      <name val="Calibri"/>
      <family val="2"/>
      <charset val="1"/>
    </font>
    <font>
      <b/>
      <sz val="9"/>
      <color rgb="FF172B4D"/>
      <name val="Calibri"/>
      <family val="2"/>
      <charset val="1"/>
    </font>
    <font>
      <b/>
      <sz val="9"/>
      <color rgb="FF1F3864"/>
      <name val="Calibri"/>
      <family val="2"/>
      <charset val="1"/>
    </font>
    <font>
      <b/>
      <sz val="9"/>
      <color rgb="FF276221"/>
      <name val="Calibri"/>
      <family val="2"/>
      <charset val="1"/>
    </font>
    <font>
      <b/>
      <sz val="9"/>
      <color rgb="FF7D4E00"/>
      <name val="Calibri"/>
      <family val="2"/>
      <charset val="1"/>
    </font>
    <font>
      <b/>
      <sz val="9"/>
      <color rgb="FF7B1A1A"/>
      <name val="Calibri"/>
      <family val="2"/>
      <charset val="1"/>
    </font>
    <font>
      <b/>
      <sz val="9"/>
      <color rgb="FF274E13"/>
      <name val="Calibri"/>
      <family val="2"/>
      <charset val="1"/>
    </font>
    <font>
      <b/>
      <sz val="9"/>
      <color rgb="FF7F4F00"/>
      <name val="Calibri"/>
      <family val="2"/>
      <charset val="1"/>
    </font>
    <font>
      <b/>
      <sz val="9"/>
      <color rgb="FF4A0033"/>
      <name val="Calibri"/>
      <family val="2"/>
      <charset val="1"/>
    </font>
    <font>
      <sz val="11"/>
      <color rgb="FF666666"/>
      <name val="Calibri"/>
      <family val="2"/>
      <charset val="1"/>
    </font>
    <font>
      <i/>
      <sz val="11"/>
      <color rgb="FF666666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C55A11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rgb="FFC55A11"/>
      <name val="Calibri"/>
      <family val="2"/>
      <charset val="1"/>
    </font>
    <font>
      <b/>
      <i/>
      <sz val="9"/>
      <color rgb="FFFFFFFF"/>
      <name val="Calibri"/>
      <family val="2"/>
      <charset val="1"/>
    </font>
    <font>
      <sz val="11"/>
      <color rgb="FF888888"/>
      <name val="Calibri"/>
      <family val="2"/>
      <charset val="1"/>
    </font>
    <font>
      <sz val="11"/>
      <color rgb="FF333333"/>
      <name val="Calibri"/>
      <family val="2"/>
      <charset val="1"/>
    </font>
    <font>
      <sz val="9"/>
      <name val="Calibri"/>
      <family val="2"/>
      <charset val="1"/>
    </font>
    <font>
      <b/>
      <sz val="11"/>
      <color rgb="FFFFFF00"/>
      <name val="Calibri"/>
      <family val="2"/>
      <charset val="1"/>
    </font>
    <font>
      <b/>
      <sz val="12"/>
      <color rgb="FF000000"/>
      <name val="Yu Gothic UI Light"/>
      <family val="2"/>
    </font>
    <font>
      <sz val="12"/>
      <color rgb="FF000000"/>
      <name val="Yu Gothic UI Light"/>
      <family val="2"/>
    </font>
    <font>
      <b/>
      <sz val="11"/>
      <color rgb="FFFFFF00"/>
      <name val="Calibri"/>
      <family val="2"/>
    </font>
    <font>
      <b/>
      <sz val="12"/>
      <color rgb="FFFFFFFF"/>
      <name val="Yu Gothic UI Light"/>
      <family val="2"/>
    </font>
  </fonts>
  <fills count="75">
    <fill>
      <patternFill patternType="none"/>
    </fill>
    <fill>
      <patternFill patternType="gray125"/>
    </fill>
    <fill>
      <patternFill patternType="solid">
        <fgColor rgb="FFFFFFFF"/>
        <bgColor rgb="FFFFFDE7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F2D3D"/>
        <bgColor rgb="FF2E4057"/>
      </patternFill>
    </fill>
    <fill>
      <patternFill patternType="solid">
        <fgColor rgb="FF37474F"/>
        <bgColor rgb="FF2E4057"/>
      </patternFill>
    </fill>
    <fill>
      <patternFill patternType="solid">
        <fgColor rgb="FF1A5276"/>
        <bgColor rgb="FF2E4057"/>
      </patternFill>
    </fill>
    <fill>
      <patternFill patternType="solid">
        <fgColor rgb="FF1B5E20"/>
        <bgColor rgb="FF37474F"/>
      </patternFill>
    </fill>
    <fill>
      <patternFill patternType="solid">
        <fgColor rgb="FF2E4057"/>
        <bgColor rgb="FF37474F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DE7"/>
        <bgColor rgb="FFFFF3E0"/>
      </patternFill>
    </fill>
    <fill>
      <patternFill patternType="solid">
        <fgColor rgb="FFEFEBE9"/>
        <bgColor rgb="FFF3E5F5"/>
      </patternFill>
    </fill>
    <fill>
      <patternFill patternType="solid">
        <fgColor rgb="FF1F2D3D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F4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BF0F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5FB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</fills>
  <borders count="79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theme="4"/>
      </left>
      <right/>
      <top style="thin">
        <color rgb="FFBDBDBD"/>
      </top>
      <bottom/>
      <diagonal/>
    </border>
    <border>
      <left/>
      <right style="thin">
        <color theme="4"/>
      </right>
      <top style="thin">
        <color rgb="FFBDBDBD"/>
      </top>
      <bottom/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theme="4"/>
      </left>
      <right/>
      <top style="thin">
        <color rgb="FFBDBDBD"/>
      </top>
      <bottom style="thin">
        <color rgb="FFBDBDBD"/>
      </bottom>
      <diagonal/>
    </border>
    <border>
      <left style="thin">
        <color theme="4"/>
      </left>
      <right/>
      <top style="thin">
        <color rgb="FFBDBDBD"/>
      </top>
      <bottom style="thin">
        <color rgb="FFE0E0E0"/>
      </bottom>
      <diagonal/>
    </border>
    <border>
      <left/>
      <right/>
      <top style="thin">
        <color rgb="FFBDBDBD"/>
      </top>
      <bottom style="thin">
        <color rgb="FFE0E0E0"/>
      </bottom>
      <diagonal/>
    </border>
    <border>
      <left/>
      <right style="thin">
        <color theme="4"/>
      </right>
      <top style="thin">
        <color rgb="FFBDBDBD"/>
      </top>
      <bottom style="thin">
        <color rgb="FFE0E0E0"/>
      </bottom>
      <diagonal/>
    </border>
    <border>
      <left style="thin">
        <color theme="4"/>
      </left>
      <right/>
      <top style="thin">
        <color theme="4"/>
      </top>
      <bottom style="thin">
        <color rgb="FFE0E0E0"/>
      </bottom>
      <diagonal/>
    </border>
    <border>
      <left/>
      <right/>
      <top style="thin">
        <color theme="4"/>
      </top>
      <bottom style="thin">
        <color rgb="FFE0E0E0"/>
      </bottom>
      <diagonal/>
    </border>
    <border>
      <left/>
      <right style="thin">
        <color theme="4"/>
      </right>
      <top style="thin">
        <color theme="4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0E0E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/>
      <bottom/>
      <diagonal/>
    </border>
    <border>
      <left style="medium">
        <color rgb="FF2E75B6"/>
      </left>
      <right/>
      <top/>
      <bottom/>
      <diagonal/>
    </border>
    <border>
      <left style="medium">
        <color rgb="FF7B241C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medium">
        <color rgb="FFE65100"/>
      </top>
      <bottom style="medium">
        <color rgb="FFE65100"/>
      </bottom>
      <diagonal/>
    </border>
    <border>
      <left/>
      <right/>
      <top style="medium">
        <color rgb="FFE65100"/>
      </top>
      <bottom style="medium">
        <color rgb="FFE65100"/>
      </bottom>
      <diagonal/>
    </border>
    <border>
      <left/>
      <right/>
      <top style="medium">
        <color rgb="FFE65100"/>
      </top>
      <bottom/>
      <diagonal/>
    </border>
    <border>
      <left/>
      <right style="thin">
        <color theme="4"/>
      </right>
      <top style="medium">
        <color rgb="FFE65100"/>
      </top>
      <bottom/>
      <diagonal/>
    </border>
    <border>
      <left/>
      <right style="medium">
        <color rgb="FF7B241C"/>
      </right>
      <top style="medium">
        <color rgb="FFE65100"/>
      </top>
      <bottom/>
      <diagonal/>
    </border>
    <border>
      <left style="medium">
        <color rgb="FF2E75B6"/>
      </left>
      <right/>
      <top style="medium">
        <color rgb="FFE65100"/>
      </top>
      <bottom/>
      <diagonal/>
    </border>
    <border>
      <left/>
      <right style="medium">
        <color rgb="FF7B241C"/>
      </right>
      <top style="medium">
        <color rgb="FFE65100"/>
      </top>
      <bottom style="medium">
        <color rgb="FFE65100"/>
      </bottom>
      <diagonal/>
    </border>
    <border>
      <left style="medium">
        <color rgb="FF2E75B6"/>
      </left>
      <right/>
      <top style="medium">
        <color rgb="FFE65100"/>
      </top>
      <bottom style="medium">
        <color rgb="FFE651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medium">
        <color rgb="FF1F3864"/>
      </top>
      <bottom style="thin">
        <color rgb="FFCCCCCC"/>
      </bottom>
      <diagonal/>
    </border>
    <border>
      <left style="thin">
        <color rgb="FFCCCCCC"/>
      </left>
      <right/>
      <top style="medium">
        <color rgb="FF1F38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F3864"/>
      </bottom>
      <diagonal/>
    </border>
    <border>
      <left style="thin">
        <color rgb="FFCCCCCC"/>
      </left>
      <right/>
      <top style="thin">
        <color rgb="FFCCCCCC"/>
      </top>
      <bottom style="medium">
        <color rgb="FF1F3864"/>
      </bottom>
      <diagonal/>
    </border>
    <border>
      <left/>
      <right style="thin">
        <color rgb="FFBDD7EE"/>
      </right>
      <top style="thin">
        <color rgb="FF2E75B6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2E75B6"/>
      </top>
      <bottom style="thin">
        <color rgb="FFBDD7EE"/>
      </bottom>
      <diagonal/>
    </border>
    <border>
      <left style="thin">
        <color rgb="FFBDD7EE"/>
      </left>
      <right/>
      <top style="thin">
        <color rgb="FF2E75B6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2E75B6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2E75B6"/>
      </bottom>
      <diagonal/>
    </border>
    <border>
      <left style="thin">
        <color rgb="FFBDD7EE"/>
      </left>
      <right/>
      <top style="thin">
        <color rgb="FFBDD7EE"/>
      </top>
      <bottom style="thin">
        <color rgb="FF2E75B6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485">
    <xf numFmtId="0" fontId="0" fillId="0" borderId="0" xfId="0"/>
    <xf numFmtId="0" fontId="9" fillId="0" borderId="0" xfId="0" applyFont="1"/>
    <xf numFmtId="0" fontId="13" fillId="0" borderId="0" xfId="0" applyFont="1"/>
    <xf numFmtId="0" fontId="10" fillId="7" borderId="0" xfId="0" applyFont="1" applyFill="1"/>
    <xf numFmtId="2" fontId="17" fillId="8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2" fontId="16" fillId="6" borderId="0" xfId="0" applyNumberFormat="1" applyFont="1" applyFill="1" applyAlignment="1">
      <alignment horizontal="center"/>
    </xf>
    <xf numFmtId="2" fontId="18" fillId="7" borderId="0" xfId="0" applyNumberFormat="1" applyFont="1" applyFill="1" applyAlignment="1">
      <alignment horizontal="center"/>
    </xf>
    <xf numFmtId="0" fontId="10" fillId="5" borderId="1" xfId="0" applyFont="1" applyFill="1" applyBorder="1"/>
    <xf numFmtId="2" fontId="18" fillId="5" borderId="1" xfId="0" applyNumberFormat="1" applyFont="1" applyFill="1" applyBorder="1" applyAlignment="1">
      <alignment horizontal="center"/>
    </xf>
    <xf numFmtId="0" fontId="10" fillId="5" borderId="2" xfId="0" applyFont="1" applyFill="1" applyBorder="1"/>
    <xf numFmtId="2" fontId="16" fillId="6" borderId="2" xfId="0" applyNumberFormat="1" applyFont="1" applyFill="1" applyBorder="1" applyAlignment="1">
      <alignment horizontal="center"/>
    </xf>
    <xf numFmtId="2" fontId="18" fillId="5" borderId="2" xfId="0" applyNumberFormat="1" applyFont="1" applyFill="1" applyBorder="1" applyAlignment="1">
      <alignment horizontal="center"/>
    </xf>
    <xf numFmtId="0" fontId="10" fillId="7" borderId="2" xfId="0" applyFont="1" applyFill="1" applyBorder="1"/>
    <xf numFmtId="2" fontId="18" fillId="7" borderId="2" xfId="0" applyNumberFormat="1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 vertical="center"/>
    </xf>
    <xf numFmtId="0" fontId="11" fillId="15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 vertical="center"/>
    </xf>
    <xf numFmtId="0" fontId="22" fillId="18" borderId="3" xfId="0" applyFont="1" applyFill="1" applyBorder="1" applyAlignment="1">
      <alignment horizontal="left" vertical="center"/>
    </xf>
    <xf numFmtId="3" fontId="22" fillId="18" borderId="3" xfId="0" applyNumberFormat="1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0" fillId="17" borderId="0" xfId="0" applyFill="1"/>
    <xf numFmtId="0" fontId="21" fillId="19" borderId="3" xfId="0" applyFont="1" applyFill="1" applyBorder="1" applyAlignment="1">
      <alignment horizontal="left" vertical="center"/>
    </xf>
    <xf numFmtId="0" fontId="22" fillId="19" borderId="3" xfId="0" applyFont="1" applyFill="1" applyBorder="1" applyAlignment="1">
      <alignment horizontal="left" vertical="center"/>
    </xf>
    <xf numFmtId="3" fontId="22" fillId="19" borderId="3" xfId="0" applyNumberFormat="1" applyFont="1" applyFill="1" applyBorder="1" applyAlignment="1">
      <alignment horizontal="center" vertical="center"/>
    </xf>
    <xf numFmtId="0" fontId="22" fillId="19" borderId="3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left" vertical="center"/>
    </xf>
    <xf numFmtId="0" fontId="22" fillId="20" borderId="3" xfId="0" applyFont="1" applyFill="1" applyBorder="1" applyAlignment="1">
      <alignment horizontal="left" vertical="center"/>
    </xf>
    <xf numFmtId="3" fontId="22" fillId="20" borderId="3" xfId="0" applyNumberFormat="1" applyFont="1" applyFill="1" applyBorder="1" applyAlignment="1">
      <alignment horizontal="center" vertical="center"/>
    </xf>
    <xf numFmtId="0" fontId="22" fillId="20" borderId="3" xfId="0" applyFont="1" applyFill="1" applyBorder="1" applyAlignment="1">
      <alignment horizontal="center" vertical="center"/>
    </xf>
    <xf numFmtId="0" fontId="21" fillId="21" borderId="3" xfId="0" applyFont="1" applyFill="1" applyBorder="1" applyAlignment="1">
      <alignment horizontal="left" vertical="center"/>
    </xf>
    <xf numFmtId="0" fontId="22" fillId="21" borderId="3" xfId="0" applyFont="1" applyFill="1" applyBorder="1" applyAlignment="1">
      <alignment horizontal="left" vertical="center"/>
    </xf>
    <xf numFmtId="3" fontId="22" fillId="21" borderId="3" xfId="0" applyNumberFormat="1" applyFont="1" applyFill="1" applyBorder="1" applyAlignment="1">
      <alignment horizontal="center" vertical="center"/>
    </xf>
    <xf numFmtId="0" fontId="22" fillId="21" borderId="3" xfId="0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horizontal="left" vertical="center"/>
    </xf>
    <xf numFmtId="0" fontId="22" fillId="22" borderId="3" xfId="0" applyFont="1" applyFill="1" applyBorder="1" applyAlignment="1">
      <alignment horizontal="left" vertical="center"/>
    </xf>
    <xf numFmtId="3" fontId="22" fillId="22" borderId="3" xfId="0" applyNumberFormat="1" applyFont="1" applyFill="1" applyBorder="1" applyAlignment="1">
      <alignment horizontal="center" vertical="center"/>
    </xf>
    <xf numFmtId="0" fontId="22" fillId="22" borderId="3" xfId="0" applyFont="1" applyFill="1" applyBorder="1" applyAlignment="1">
      <alignment horizontal="center" vertical="center"/>
    </xf>
    <xf numFmtId="0" fontId="21" fillId="23" borderId="3" xfId="0" applyFont="1" applyFill="1" applyBorder="1" applyAlignment="1">
      <alignment horizontal="left" vertical="center"/>
    </xf>
    <xf numFmtId="0" fontId="22" fillId="23" borderId="3" xfId="0" applyFont="1" applyFill="1" applyBorder="1" applyAlignment="1">
      <alignment horizontal="left" vertical="center"/>
    </xf>
    <xf numFmtId="3" fontId="22" fillId="23" borderId="3" xfId="0" applyNumberFormat="1" applyFont="1" applyFill="1" applyBorder="1" applyAlignment="1">
      <alignment horizontal="center" vertical="center"/>
    </xf>
    <xf numFmtId="0" fontId="22" fillId="23" borderId="3" xfId="0" applyFont="1" applyFill="1" applyBorder="1" applyAlignment="1">
      <alignment horizontal="center" vertical="center"/>
    </xf>
    <xf numFmtId="0" fontId="21" fillId="24" borderId="3" xfId="0" applyFont="1" applyFill="1" applyBorder="1" applyAlignment="1">
      <alignment horizontal="left" vertical="center"/>
    </xf>
    <xf numFmtId="0" fontId="22" fillId="24" borderId="3" xfId="0" applyFont="1" applyFill="1" applyBorder="1" applyAlignment="1">
      <alignment horizontal="left" vertical="center"/>
    </xf>
    <xf numFmtId="3" fontId="22" fillId="24" borderId="3" xfId="0" applyNumberFormat="1" applyFont="1" applyFill="1" applyBorder="1" applyAlignment="1">
      <alignment horizontal="center" vertical="center"/>
    </xf>
    <xf numFmtId="0" fontId="22" fillId="24" borderId="3" xfId="0" applyFont="1" applyFill="1" applyBorder="1" applyAlignment="1">
      <alignment horizontal="center" vertical="center"/>
    </xf>
    <xf numFmtId="0" fontId="21" fillId="25" borderId="3" xfId="0" applyFont="1" applyFill="1" applyBorder="1" applyAlignment="1">
      <alignment horizontal="left" vertical="center"/>
    </xf>
    <xf numFmtId="0" fontId="22" fillId="25" borderId="3" xfId="0" applyFont="1" applyFill="1" applyBorder="1" applyAlignment="1">
      <alignment horizontal="left" vertical="center"/>
    </xf>
    <xf numFmtId="0" fontId="22" fillId="25" borderId="3" xfId="0" applyFont="1" applyFill="1" applyBorder="1" applyAlignment="1">
      <alignment horizontal="center" vertical="center"/>
    </xf>
    <xf numFmtId="3" fontId="22" fillId="25" borderId="3" xfId="0" applyNumberFormat="1" applyFont="1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/>
    </xf>
    <xf numFmtId="0" fontId="11" fillId="28" borderId="5" xfId="0" applyFont="1" applyFill="1" applyBorder="1" applyAlignment="1">
      <alignment horizontal="center"/>
    </xf>
    <xf numFmtId="0" fontId="11" fillId="29" borderId="5" xfId="0" applyFont="1" applyFill="1" applyBorder="1" applyAlignment="1">
      <alignment horizontal="center"/>
    </xf>
    <xf numFmtId="0" fontId="11" fillId="27" borderId="6" xfId="0" applyFont="1" applyFill="1" applyBorder="1" applyAlignment="1">
      <alignment horizontal="center"/>
    </xf>
    <xf numFmtId="0" fontId="11" fillId="29" borderId="7" xfId="0" applyFont="1" applyFill="1" applyBorder="1" applyAlignment="1">
      <alignment horizontal="center"/>
    </xf>
    <xf numFmtId="0" fontId="21" fillId="31" borderId="10" xfId="0" applyFont="1" applyFill="1" applyBorder="1" applyAlignment="1">
      <alignment horizontal="left"/>
    </xf>
    <xf numFmtId="0" fontId="25" fillId="31" borderId="11" xfId="0" applyFont="1" applyFill="1" applyBorder="1" applyAlignment="1">
      <alignment horizontal="left"/>
    </xf>
    <xf numFmtId="0" fontId="25" fillId="31" borderId="11" xfId="0" applyFont="1" applyFill="1" applyBorder="1" applyAlignment="1">
      <alignment horizontal="center"/>
    </xf>
    <xf numFmtId="3" fontId="25" fillId="31" borderId="11" xfId="0" applyNumberFormat="1" applyFont="1" applyFill="1" applyBorder="1" applyAlignment="1">
      <alignment horizontal="center"/>
    </xf>
    <xf numFmtId="3" fontId="25" fillId="31" borderId="12" xfId="0" applyNumberFormat="1" applyFont="1" applyFill="1" applyBorder="1" applyAlignment="1">
      <alignment horizontal="center"/>
    </xf>
    <xf numFmtId="0" fontId="21" fillId="5" borderId="13" xfId="0" applyFont="1" applyFill="1" applyBorder="1" applyAlignment="1">
      <alignment horizontal="left"/>
    </xf>
    <xf numFmtId="0" fontId="25" fillId="5" borderId="14" xfId="0" applyFont="1" applyFill="1" applyBorder="1" applyAlignment="1">
      <alignment horizontal="left"/>
    </xf>
    <xf numFmtId="0" fontId="25" fillId="5" borderId="14" xfId="0" applyFont="1" applyFill="1" applyBorder="1" applyAlignment="1">
      <alignment horizontal="center"/>
    </xf>
    <xf numFmtId="3" fontId="25" fillId="5" borderId="14" xfId="0" applyNumberFormat="1" applyFont="1" applyFill="1" applyBorder="1" applyAlignment="1">
      <alignment horizontal="center"/>
    </xf>
    <xf numFmtId="3" fontId="25" fillId="5" borderId="15" xfId="0" applyNumberFormat="1" applyFont="1" applyFill="1" applyBorder="1" applyAlignment="1">
      <alignment horizontal="center"/>
    </xf>
    <xf numFmtId="0" fontId="21" fillId="31" borderId="13" xfId="0" applyFont="1" applyFill="1" applyBorder="1" applyAlignment="1">
      <alignment horizontal="left"/>
    </xf>
    <xf numFmtId="0" fontId="25" fillId="31" borderId="14" xfId="0" applyFont="1" applyFill="1" applyBorder="1" applyAlignment="1">
      <alignment horizontal="left"/>
    </xf>
    <xf numFmtId="0" fontId="25" fillId="31" borderId="14" xfId="0" applyFont="1" applyFill="1" applyBorder="1" applyAlignment="1">
      <alignment horizontal="center"/>
    </xf>
    <xf numFmtId="3" fontId="25" fillId="31" borderId="14" xfId="0" applyNumberFormat="1" applyFont="1" applyFill="1" applyBorder="1" applyAlignment="1">
      <alignment horizontal="center"/>
    </xf>
    <xf numFmtId="3" fontId="25" fillId="31" borderId="15" xfId="0" applyNumberFormat="1" applyFont="1" applyFill="1" applyBorder="1" applyAlignment="1">
      <alignment horizontal="center"/>
    </xf>
    <xf numFmtId="0" fontId="26" fillId="0" borderId="0" xfId="0" applyFont="1"/>
    <xf numFmtId="0" fontId="14" fillId="4" borderId="0" xfId="0" applyFont="1" applyFill="1"/>
    <xf numFmtId="0" fontId="0" fillId="4" borderId="0" xfId="0" applyFill="1"/>
    <xf numFmtId="0" fontId="2" fillId="0" borderId="0" xfId="2"/>
    <xf numFmtId="0" fontId="6" fillId="0" borderId="0" xfId="2" applyFont="1"/>
    <xf numFmtId="9" fontId="2" fillId="41" borderId="0" xfId="2" applyNumberFormat="1" applyFill="1" applyAlignment="1">
      <alignment horizontal="center"/>
    </xf>
    <xf numFmtId="0" fontId="35" fillId="0" borderId="27" xfId="2" applyFont="1" applyBorder="1" applyAlignment="1">
      <alignment horizontal="left" vertical="center" wrapText="1" readingOrder="1"/>
    </xf>
    <xf numFmtId="0" fontId="35" fillId="0" borderId="27" xfId="2" applyFont="1" applyBorder="1" applyAlignment="1">
      <alignment horizontal="center" vertical="center" wrapText="1" readingOrder="1"/>
    </xf>
    <xf numFmtId="0" fontId="36" fillId="0" borderId="28" xfId="2" applyFont="1" applyBorder="1" applyAlignment="1">
      <alignment horizontal="left" vertical="center" wrapText="1" readingOrder="1"/>
    </xf>
    <xf numFmtId="0" fontId="36" fillId="0" borderId="28" xfId="2" applyFont="1" applyBorder="1" applyAlignment="1">
      <alignment horizontal="center" vertical="center" wrapText="1" readingOrder="1"/>
    </xf>
    <xf numFmtId="0" fontId="36" fillId="0" borderId="0" xfId="2" applyFont="1" applyAlignment="1">
      <alignment horizontal="left" vertical="center" wrapText="1" readingOrder="1"/>
    </xf>
    <xf numFmtId="0" fontId="36" fillId="0" borderId="0" xfId="2" applyFont="1" applyAlignment="1">
      <alignment horizontal="center" vertical="center" wrapText="1" readingOrder="1"/>
    </xf>
    <xf numFmtId="0" fontId="36" fillId="0" borderId="0" xfId="3" applyNumberFormat="1" applyFont="1" applyFill="1" applyAlignment="1">
      <alignment horizontal="center" vertical="center" wrapText="1" readingOrder="1"/>
    </xf>
    <xf numFmtId="0" fontId="8" fillId="0" borderId="0" xfId="0" applyFont="1" applyAlignment="1">
      <alignment horizontal="center" wrapText="1"/>
    </xf>
    <xf numFmtId="2" fontId="16" fillId="42" borderId="0" xfId="0" applyNumberFormat="1" applyFont="1" applyFill="1"/>
    <xf numFmtId="2" fontId="19" fillId="37" borderId="0" xfId="0" applyNumberFormat="1" applyFont="1" applyFill="1"/>
    <xf numFmtId="2" fontId="38" fillId="37" borderId="2" xfId="0" applyNumberFormat="1" applyFont="1" applyFill="1" applyBorder="1" applyAlignment="1">
      <alignment horizontal="center"/>
    </xf>
    <xf numFmtId="2" fontId="38" fillId="37" borderId="1" xfId="0" applyNumberFormat="1" applyFont="1" applyFill="1" applyBorder="1" applyAlignment="1">
      <alignment horizontal="center"/>
    </xf>
    <xf numFmtId="2" fontId="16" fillId="6" borderId="0" xfId="0" applyNumberFormat="1" applyFont="1" applyFill="1" applyAlignment="1">
      <alignment horizontal="center" vertical="center"/>
    </xf>
    <xf numFmtId="2" fontId="38" fillId="37" borderId="0" xfId="0" applyNumberFormat="1" applyFont="1" applyFill="1" applyAlignment="1">
      <alignment horizontal="center" vertical="center"/>
    </xf>
    <xf numFmtId="2" fontId="38" fillId="37" borderId="30" xfId="0" applyNumberFormat="1" applyFont="1" applyFill="1" applyBorder="1" applyAlignment="1">
      <alignment horizontal="center" vertical="center"/>
    </xf>
    <xf numFmtId="0" fontId="9" fillId="5" borderId="0" xfId="0" applyFont="1" applyFill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4"/>
    <xf numFmtId="2" fontId="1" fillId="9" borderId="0" xfId="4" applyNumberFormat="1" applyFill="1"/>
    <xf numFmtId="167" fontId="1" fillId="43" borderId="0" xfId="4" applyNumberFormat="1" applyFill="1"/>
    <xf numFmtId="3" fontId="1" fillId="43" borderId="0" xfId="4" applyNumberFormat="1" applyFill="1"/>
    <xf numFmtId="3" fontId="1" fillId="44" borderId="0" xfId="4" applyNumberFormat="1" applyFill="1"/>
    <xf numFmtId="0" fontId="1" fillId="43" borderId="0" xfId="4" applyFill="1"/>
    <xf numFmtId="167" fontId="1" fillId="0" borderId="0" xfId="4" applyNumberFormat="1"/>
    <xf numFmtId="3" fontId="1" fillId="0" borderId="0" xfId="4" applyNumberFormat="1"/>
    <xf numFmtId="0" fontId="1" fillId="5" borderId="0" xfId="4" applyFill="1"/>
    <xf numFmtId="0" fontId="7" fillId="3" borderId="0" xfId="4" applyFont="1" applyFill="1" applyAlignment="1">
      <alignment horizontal="center"/>
    </xf>
    <xf numFmtId="0" fontId="7" fillId="45" borderId="0" xfId="4" applyFont="1" applyFill="1" applyAlignment="1">
      <alignment horizontal="center"/>
    </xf>
    <xf numFmtId="0" fontId="1" fillId="46" borderId="0" xfId="4" applyFill="1"/>
    <xf numFmtId="0" fontId="39" fillId="46" borderId="0" xfId="4" applyFont="1" applyFill="1"/>
    <xf numFmtId="0" fontId="1" fillId="9" borderId="0" xfId="4" applyFill="1"/>
    <xf numFmtId="0" fontId="6" fillId="47" borderId="0" xfId="4" applyFont="1" applyFill="1"/>
    <xf numFmtId="167" fontId="1" fillId="9" borderId="0" xfId="4" applyNumberFormat="1" applyFill="1"/>
    <xf numFmtId="0" fontId="41" fillId="48" borderId="0" xfId="0" applyFont="1" applyFill="1"/>
    <xf numFmtId="0" fontId="24" fillId="31" borderId="0" xfId="0" applyFont="1" applyFill="1"/>
    <xf numFmtId="0" fontId="24" fillId="31" borderId="0" xfId="0" applyFont="1" applyFill="1" applyAlignment="1">
      <alignment horizontal="center"/>
    </xf>
    <xf numFmtId="0" fontId="24" fillId="5" borderId="0" xfId="0" applyFont="1" applyFill="1"/>
    <xf numFmtId="0" fontId="24" fillId="5" borderId="0" xfId="0" applyFont="1" applyFill="1" applyAlignment="1">
      <alignment horizontal="center"/>
    </xf>
    <xf numFmtId="0" fontId="42" fillId="0" borderId="0" xfId="0" applyFont="1"/>
    <xf numFmtId="0" fontId="7" fillId="3" borderId="31" xfId="4" applyFont="1" applyFill="1" applyBorder="1" applyAlignment="1">
      <alignment horizontal="center"/>
    </xf>
    <xf numFmtId="0" fontId="1" fillId="43" borderId="31" xfId="4" applyFill="1" applyBorder="1"/>
    <xf numFmtId="0" fontId="1" fillId="5" borderId="31" xfId="4" applyFill="1" applyBorder="1"/>
    <xf numFmtId="2" fontId="16" fillId="7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43" fillId="5" borderId="0" xfId="0" applyFont="1" applyFill="1"/>
    <xf numFmtId="2" fontId="16" fillId="5" borderId="0" xfId="0" applyNumberFormat="1" applyFont="1" applyFill="1" applyAlignment="1">
      <alignment horizontal="center"/>
    </xf>
    <xf numFmtId="2" fontId="18" fillId="5" borderId="0" xfId="0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45" fillId="5" borderId="0" xfId="2" applyNumberFormat="1" applyFont="1" applyFill="1" applyAlignment="1">
      <alignment horizontal="left"/>
    </xf>
    <xf numFmtId="0" fontId="45" fillId="5" borderId="0" xfId="2" applyFont="1" applyFill="1" applyAlignment="1">
      <alignment horizontal="left"/>
    </xf>
    <xf numFmtId="3" fontId="45" fillId="5" borderId="0" xfId="2" applyNumberFormat="1" applyFont="1" applyFill="1" applyAlignment="1">
      <alignment horizontal="right"/>
    </xf>
    <xf numFmtId="1" fontId="45" fillId="5" borderId="0" xfId="2" applyNumberFormat="1" applyFont="1" applyFill="1" applyAlignment="1">
      <alignment horizontal="center"/>
    </xf>
    <xf numFmtId="0" fontId="44" fillId="5" borderId="0" xfId="2" applyFont="1" applyFill="1" applyAlignment="1">
      <alignment horizontal="center"/>
    </xf>
    <xf numFmtId="0" fontId="44" fillId="5" borderId="33" xfId="2" applyFont="1" applyFill="1" applyBorder="1" applyAlignment="1">
      <alignment horizontal="center"/>
    </xf>
    <xf numFmtId="3" fontId="45" fillId="5" borderId="33" xfId="2" applyNumberFormat="1" applyFont="1" applyFill="1" applyBorder="1" applyAlignment="1">
      <alignment horizontal="right"/>
    </xf>
    <xf numFmtId="0" fontId="44" fillId="5" borderId="34" xfId="2" applyFont="1" applyFill="1" applyBorder="1"/>
    <xf numFmtId="0" fontId="45" fillId="5" borderId="34" xfId="2" applyFont="1" applyFill="1" applyBorder="1" applyAlignment="1">
      <alignment horizontal="center"/>
    </xf>
    <xf numFmtId="0" fontId="6" fillId="0" borderId="38" xfId="4" applyFont="1" applyBorder="1" applyAlignment="1">
      <alignment horizontal="right"/>
    </xf>
    <xf numFmtId="0" fontId="6" fillId="0" borderId="36" xfId="4" applyFont="1" applyBorder="1"/>
    <xf numFmtId="0" fontId="6" fillId="0" borderId="37" xfId="4" applyFont="1" applyBorder="1"/>
    <xf numFmtId="0" fontId="6" fillId="0" borderId="39" xfId="4" applyFont="1" applyBorder="1"/>
    <xf numFmtId="0" fontId="1" fillId="0" borderId="40" xfId="4" applyBorder="1"/>
    <xf numFmtId="0" fontId="6" fillId="0" borderId="41" xfId="4" applyFont="1" applyBorder="1"/>
    <xf numFmtId="0" fontId="1" fillId="0" borderId="42" xfId="4" applyBorder="1"/>
    <xf numFmtId="0" fontId="1" fillId="0" borderId="43" xfId="4" applyBorder="1"/>
    <xf numFmtId="0" fontId="6" fillId="0" borderId="0" xfId="4" applyFont="1"/>
    <xf numFmtId="0" fontId="6" fillId="0" borderId="44" xfId="4" applyFont="1" applyBorder="1" applyAlignment="1">
      <alignment horizontal="right"/>
    </xf>
    <xf numFmtId="0" fontId="6" fillId="0" borderId="45" xfId="4" applyFont="1" applyBorder="1"/>
    <xf numFmtId="0" fontId="6" fillId="0" borderId="46" xfId="4" applyFont="1" applyBorder="1"/>
    <xf numFmtId="0" fontId="6" fillId="49" borderId="39" xfId="4" applyFont="1" applyFill="1" applyBorder="1"/>
    <xf numFmtId="0" fontId="1" fillId="0" borderId="32" xfId="4" applyBorder="1"/>
    <xf numFmtId="0" fontId="1" fillId="0" borderId="47" xfId="4" applyBorder="1"/>
    <xf numFmtId="0" fontId="6" fillId="0" borderId="44" xfId="4" applyFont="1" applyBorder="1"/>
    <xf numFmtId="0" fontId="46" fillId="8" borderId="0" xfId="2" applyFont="1" applyFill="1" applyAlignment="1">
      <alignment horizontal="left"/>
    </xf>
    <xf numFmtId="3" fontId="45" fillId="38" borderId="0" xfId="2" applyNumberFormat="1" applyFont="1" applyFill="1" applyAlignment="1">
      <alignment horizontal="right"/>
    </xf>
    <xf numFmtId="3" fontId="45" fillId="38" borderId="33" xfId="2" applyNumberFormat="1" applyFont="1" applyFill="1" applyBorder="1" applyAlignment="1">
      <alignment horizontal="right"/>
    </xf>
    <xf numFmtId="0" fontId="48" fillId="34" borderId="14" xfId="0" applyFont="1" applyFill="1" applyBorder="1" applyAlignment="1">
      <alignment horizontal="left"/>
    </xf>
    <xf numFmtId="0" fontId="48" fillId="34" borderId="14" xfId="0" applyFont="1" applyFill="1" applyBorder="1" applyAlignment="1">
      <alignment horizontal="center"/>
    </xf>
    <xf numFmtId="3" fontId="25" fillId="5" borderId="48" xfId="0" applyNumberFormat="1" applyFont="1" applyFill="1" applyBorder="1" applyAlignment="1">
      <alignment horizontal="center"/>
    </xf>
    <xf numFmtId="3" fontId="25" fillId="5" borderId="49" xfId="0" applyNumberFormat="1" applyFont="1" applyFill="1" applyBorder="1" applyAlignment="1">
      <alignment horizontal="center"/>
    </xf>
    <xf numFmtId="3" fontId="25" fillId="31" borderId="51" xfId="0" applyNumberFormat="1" applyFont="1" applyFill="1" applyBorder="1" applyAlignment="1">
      <alignment horizontal="center"/>
    </xf>
    <xf numFmtId="3" fontId="25" fillId="31" borderId="50" xfId="0" applyNumberFormat="1" applyFont="1" applyFill="1" applyBorder="1" applyAlignment="1">
      <alignment horizontal="center"/>
    </xf>
    <xf numFmtId="3" fontId="25" fillId="31" borderId="52" xfId="0" applyNumberFormat="1" applyFont="1" applyFill="1" applyBorder="1" applyAlignment="1">
      <alignment horizontal="center"/>
    </xf>
    <xf numFmtId="3" fontId="25" fillId="31" borderId="53" xfId="0" applyNumberFormat="1" applyFont="1" applyFill="1" applyBorder="1" applyAlignment="1">
      <alignment horizontal="center"/>
    </xf>
    <xf numFmtId="3" fontId="25" fillId="5" borderId="51" xfId="0" applyNumberFormat="1" applyFont="1" applyFill="1" applyBorder="1" applyAlignment="1">
      <alignment horizontal="center"/>
    </xf>
    <xf numFmtId="3" fontId="25" fillId="5" borderId="50" xfId="0" applyNumberFormat="1" applyFont="1" applyFill="1" applyBorder="1" applyAlignment="1">
      <alignment horizontal="center"/>
    </xf>
    <xf numFmtId="3" fontId="25" fillId="5" borderId="52" xfId="0" applyNumberFormat="1" applyFont="1" applyFill="1" applyBorder="1" applyAlignment="1">
      <alignment horizontal="center"/>
    </xf>
    <xf numFmtId="3" fontId="25" fillId="5" borderId="53" xfId="0" applyNumberFormat="1" applyFont="1" applyFill="1" applyBorder="1" applyAlignment="1">
      <alignment horizontal="center"/>
    </xf>
    <xf numFmtId="3" fontId="25" fillId="31" borderId="48" xfId="0" applyNumberFormat="1" applyFont="1" applyFill="1" applyBorder="1" applyAlignment="1">
      <alignment horizontal="center"/>
    </xf>
    <xf numFmtId="3" fontId="25" fillId="31" borderId="49" xfId="0" applyNumberFormat="1" applyFont="1" applyFill="1" applyBorder="1" applyAlignment="1">
      <alignment horizontal="center"/>
    </xf>
    <xf numFmtId="0" fontId="47" fillId="34" borderId="0" xfId="2" applyFont="1" applyFill="1" applyAlignment="1">
      <alignment horizontal="left"/>
    </xf>
    <xf numFmtId="1" fontId="47" fillId="34" borderId="0" xfId="2" applyNumberFormat="1" applyFont="1" applyFill="1" applyAlignment="1">
      <alignment horizontal="center"/>
    </xf>
    <xf numFmtId="0" fontId="47" fillId="34" borderId="0" xfId="2" applyFont="1" applyFill="1" applyAlignment="1">
      <alignment horizontal="center"/>
    </xf>
    <xf numFmtId="3" fontId="45" fillId="38" borderId="52" xfId="2" applyNumberFormat="1" applyFont="1" applyFill="1" applyBorder="1" applyAlignment="1">
      <alignment horizontal="right"/>
    </xf>
    <xf numFmtId="3" fontId="45" fillId="38" borderId="55" xfId="2" applyNumberFormat="1" applyFont="1" applyFill="1" applyBorder="1" applyAlignment="1">
      <alignment horizontal="right"/>
    </xf>
    <xf numFmtId="3" fontId="45" fillId="38" borderId="54" xfId="2" applyNumberFormat="1" applyFont="1" applyFill="1" applyBorder="1" applyAlignment="1">
      <alignment horizontal="right"/>
    </xf>
    <xf numFmtId="3" fontId="45" fillId="38" borderId="51" xfId="2" applyNumberFormat="1" applyFont="1" applyFill="1" applyBorder="1" applyAlignment="1">
      <alignment horizontal="right"/>
    </xf>
    <xf numFmtId="3" fontId="45" fillId="38" borderId="57" xfId="2" applyNumberFormat="1" applyFont="1" applyFill="1" applyBorder="1" applyAlignment="1">
      <alignment horizontal="right"/>
    </xf>
    <xf numFmtId="3" fontId="45" fillId="38" borderId="56" xfId="2" applyNumberFormat="1" applyFont="1" applyFill="1" applyBorder="1" applyAlignment="1">
      <alignment horizontal="right"/>
    </xf>
    <xf numFmtId="3" fontId="45" fillId="5" borderId="52" xfId="2" applyNumberFormat="1" applyFont="1" applyFill="1" applyBorder="1" applyAlignment="1">
      <alignment horizontal="right"/>
    </xf>
    <xf numFmtId="3" fontId="45" fillId="5" borderId="55" xfId="2" applyNumberFormat="1" applyFont="1" applyFill="1" applyBorder="1" applyAlignment="1">
      <alignment horizontal="right"/>
    </xf>
    <xf numFmtId="3" fontId="45" fillId="5" borderId="54" xfId="2" applyNumberFormat="1" applyFont="1" applyFill="1" applyBorder="1" applyAlignment="1">
      <alignment horizontal="right"/>
    </xf>
    <xf numFmtId="0" fontId="52" fillId="5" borderId="60" xfId="0" applyFont="1" applyFill="1" applyBorder="1"/>
    <xf numFmtId="0" fontId="52" fillId="50" borderId="60" xfId="0" applyFont="1" applyFill="1" applyBorder="1"/>
    <xf numFmtId="0" fontId="52" fillId="50" borderId="66" xfId="0" applyFont="1" applyFill="1" applyBorder="1"/>
    <xf numFmtId="0" fontId="52" fillId="5" borderId="60" xfId="0" applyFont="1" applyFill="1" applyBorder="1" applyAlignment="1">
      <alignment horizontal="left"/>
    </xf>
    <xf numFmtId="0" fontId="52" fillId="50" borderId="60" xfId="0" applyFont="1" applyFill="1" applyBorder="1" applyAlignment="1">
      <alignment horizontal="left"/>
    </xf>
    <xf numFmtId="0" fontId="52" fillId="50" borderId="66" xfId="0" applyFont="1" applyFill="1" applyBorder="1" applyAlignment="1">
      <alignment horizontal="left"/>
    </xf>
    <xf numFmtId="0" fontId="52" fillId="5" borderId="60" xfId="0" applyFont="1" applyFill="1" applyBorder="1" applyAlignment="1">
      <alignment horizontal="center"/>
    </xf>
    <xf numFmtId="0" fontId="52" fillId="50" borderId="60" xfId="0" applyFont="1" applyFill="1" applyBorder="1" applyAlignment="1">
      <alignment horizontal="center"/>
    </xf>
    <xf numFmtId="0" fontId="52" fillId="50" borderId="66" xfId="0" applyFont="1" applyFill="1" applyBorder="1" applyAlignment="1">
      <alignment horizontal="center"/>
    </xf>
    <xf numFmtId="3" fontId="52" fillId="5" borderId="60" xfId="0" applyNumberFormat="1" applyFont="1" applyFill="1" applyBorder="1" applyAlignment="1">
      <alignment horizontal="right"/>
    </xf>
    <xf numFmtId="3" fontId="52" fillId="50" borderId="60" xfId="0" applyNumberFormat="1" applyFont="1" applyFill="1" applyBorder="1" applyAlignment="1">
      <alignment horizontal="right"/>
    </xf>
    <xf numFmtId="3" fontId="52" fillId="50" borderId="66" xfId="0" applyNumberFormat="1" applyFont="1" applyFill="1" applyBorder="1" applyAlignment="1">
      <alignment horizontal="right"/>
    </xf>
    <xf numFmtId="0" fontId="51" fillId="46" borderId="64" xfId="0" applyFont="1" applyFill="1" applyBorder="1" applyAlignment="1">
      <alignment horizontal="center"/>
    </xf>
    <xf numFmtId="0" fontId="43" fillId="5" borderId="60" xfId="0" applyFont="1" applyFill="1" applyBorder="1" applyAlignment="1">
      <alignment horizontal="left"/>
    </xf>
    <xf numFmtId="0" fontId="43" fillId="5" borderId="60" xfId="0" applyFont="1" applyFill="1" applyBorder="1"/>
    <xf numFmtId="0" fontId="43" fillId="5" borderId="60" xfId="0" applyFont="1" applyFill="1" applyBorder="1" applyAlignment="1">
      <alignment horizontal="center"/>
    </xf>
    <xf numFmtId="3" fontId="43" fillId="5" borderId="60" xfId="0" applyNumberFormat="1" applyFont="1" applyFill="1" applyBorder="1" applyAlignment="1">
      <alignment horizontal="right"/>
    </xf>
    <xf numFmtId="0" fontId="43" fillId="50" borderId="60" xfId="0" applyFont="1" applyFill="1" applyBorder="1" applyAlignment="1">
      <alignment horizontal="left"/>
    </xf>
    <xf numFmtId="0" fontId="43" fillId="50" borderId="60" xfId="0" applyFont="1" applyFill="1" applyBorder="1"/>
    <xf numFmtId="0" fontId="43" fillId="50" borderId="60" xfId="0" applyFont="1" applyFill="1" applyBorder="1" applyAlignment="1">
      <alignment horizontal="center"/>
    </xf>
    <xf numFmtId="3" fontId="43" fillId="50" borderId="60" xfId="0" applyNumberFormat="1" applyFont="1" applyFill="1" applyBorder="1" applyAlignment="1">
      <alignment horizontal="right"/>
    </xf>
    <xf numFmtId="0" fontId="63" fillId="0" borderId="0" xfId="0" applyFont="1"/>
    <xf numFmtId="0" fontId="52" fillId="51" borderId="0" xfId="0" applyFont="1" applyFill="1"/>
    <xf numFmtId="3" fontId="52" fillId="51" borderId="0" xfId="0" applyNumberFormat="1" applyFont="1" applyFill="1"/>
    <xf numFmtId="0" fontId="52" fillId="5" borderId="0" xfId="0" applyFont="1" applyFill="1"/>
    <xf numFmtId="3" fontId="52" fillId="5" borderId="0" xfId="0" applyNumberFormat="1" applyFont="1" applyFill="1"/>
    <xf numFmtId="0" fontId="52" fillId="51" borderId="71" xfId="0" applyFont="1" applyFill="1" applyBorder="1"/>
    <xf numFmtId="0" fontId="52" fillId="51" borderId="72" xfId="0" applyFont="1" applyFill="1" applyBorder="1"/>
    <xf numFmtId="3" fontId="52" fillId="51" borderId="72" xfId="0" applyNumberFormat="1" applyFont="1" applyFill="1" applyBorder="1"/>
    <xf numFmtId="0" fontId="52" fillId="5" borderId="71" xfId="0" applyFont="1" applyFill="1" applyBorder="1"/>
    <xf numFmtId="0" fontId="52" fillId="5" borderId="72" xfId="0" applyFont="1" applyFill="1" applyBorder="1"/>
    <xf numFmtId="3" fontId="52" fillId="5" borderId="72" xfId="0" applyNumberFormat="1" applyFont="1" applyFill="1" applyBorder="1"/>
    <xf numFmtId="0" fontId="52" fillId="5" borderId="74" xfId="0" applyFont="1" applyFill="1" applyBorder="1"/>
    <xf numFmtId="0" fontId="52" fillId="5" borderId="75" xfId="0" applyFont="1" applyFill="1" applyBorder="1"/>
    <xf numFmtId="3" fontId="52" fillId="5" borderId="75" xfId="0" applyNumberFormat="1" applyFont="1" applyFill="1" applyBorder="1"/>
    <xf numFmtId="0" fontId="49" fillId="46" borderId="0" xfId="0" applyFont="1" applyFill="1"/>
    <xf numFmtId="0" fontId="50" fillId="46" borderId="0" xfId="0" applyFont="1" applyFill="1"/>
    <xf numFmtId="0" fontId="41" fillId="46" borderId="64" xfId="0" applyFont="1" applyFill="1" applyBorder="1" applyAlignment="1">
      <alignment horizontal="center" wrapText="1"/>
    </xf>
    <xf numFmtId="167" fontId="58" fillId="5" borderId="60" xfId="0" applyNumberFormat="1" applyFont="1" applyFill="1" applyBorder="1" applyAlignment="1">
      <alignment horizontal="right"/>
    </xf>
    <xf numFmtId="167" fontId="53" fillId="5" borderId="60" xfId="0" applyNumberFormat="1" applyFont="1" applyFill="1" applyBorder="1" applyAlignment="1">
      <alignment horizontal="right"/>
    </xf>
    <xf numFmtId="167" fontId="58" fillId="50" borderId="60" xfId="0" applyNumberFormat="1" applyFont="1" applyFill="1" applyBorder="1" applyAlignment="1">
      <alignment horizontal="right"/>
    </xf>
    <xf numFmtId="167" fontId="53" fillId="50" borderId="60" xfId="0" applyNumberFormat="1" applyFont="1" applyFill="1" applyBorder="1" applyAlignment="1">
      <alignment horizontal="right"/>
    </xf>
    <xf numFmtId="167" fontId="60" fillId="50" borderId="60" xfId="0" applyNumberFormat="1" applyFont="1" applyFill="1" applyBorder="1" applyAlignment="1">
      <alignment horizontal="right"/>
    </xf>
    <xf numFmtId="167" fontId="61" fillId="5" borderId="60" xfId="0" applyNumberFormat="1" applyFont="1" applyFill="1" applyBorder="1" applyAlignment="1">
      <alignment horizontal="right"/>
    </xf>
    <xf numFmtId="167" fontId="61" fillId="50" borderId="60" xfId="0" applyNumberFormat="1" applyFont="1" applyFill="1" applyBorder="1" applyAlignment="1">
      <alignment horizontal="right"/>
    </xf>
    <xf numFmtId="167" fontId="57" fillId="50" borderId="66" xfId="0" applyNumberFormat="1" applyFont="1" applyFill="1" applyBorder="1" applyAlignment="1">
      <alignment horizontal="right"/>
    </xf>
    <xf numFmtId="167" fontId="59" fillId="5" borderId="60" xfId="0" applyNumberFormat="1" applyFont="1" applyFill="1" applyBorder="1" applyAlignment="1">
      <alignment horizontal="right"/>
    </xf>
    <xf numFmtId="167" fontId="54" fillId="5" borderId="60" xfId="0" applyNumberFormat="1" applyFont="1" applyFill="1" applyBorder="1" applyAlignment="1">
      <alignment horizontal="right"/>
    </xf>
    <xf numFmtId="167" fontId="55" fillId="5" borderId="60" xfId="0" applyNumberFormat="1" applyFont="1" applyFill="1" applyBorder="1" applyAlignment="1">
      <alignment horizontal="right"/>
    </xf>
    <xf numFmtId="167" fontId="56" fillId="5" borderId="60" xfId="0" applyNumberFormat="1" applyFont="1" applyFill="1" applyBorder="1" applyAlignment="1">
      <alignment horizontal="right"/>
    </xf>
    <xf numFmtId="167" fontId="59" fillId="50" borderId="60" xfId="0" applyNumberFormat="1" applyFont="1" applyFill="1" applyBorder="1" applyAlignment="1">
      <alignment horizontal="right"/>
    </xf>
    <xf numFmtId="167" fontId="54" fillId="50" borderId="60" xfId="0" applyNumberFormat="1" applyFont="1" applyFill="1" applyBorder="1" applyAlignment="1">
      <alignment horizontal="right"/>
    </xf>
    <xf numFmtId="167" fontId="55" fillId="50" borderId="60" xfId="0" applyNumberFormat="1" applyFont="1" applyFill="1" applyBorder="1" applyAlignment="1">
      <alignment horizontal="right"/>
    </xf>
    <xf numFmtId="167" fontId="56" fillId="50" borderId="60" xfId="0" applyNumberFormat="1" applyFont="1" applyFill="1" applyBorder="1" applyAlignment="1">
      <alignment horizontal="right"/>
    </xf>
    <xf numFmtId="167" fontId="62" fillId="5" borderId="60" xfId="0" applyNumberFormat="1" applyFont="1" applyFill="1" applyBorder="1" applyAlignment="1">
      <alignment horizontal="right"/>
    </xf>
    <xf numFmtId="167" fontId="62" fillId="50" borderId="60" xfId="0" applyNumberFormat="1" applyFont="1" applyFill="1" applyBorder="1" applyAlignment="1">
      <alignment horizontal="right"/>
    </xf>
    <xf numFmtId="167" fontId="54" fillId="50" borderId="66" xfId="0" applyNumberFormat="1" applyFont="1" applyFill="1" applyBorder="1" applyAlignment="1">
      <alignment horizontal="right"/>
    </xf>
    <xf numFmtId="167" fontId="43" fillId="5" borderId="60" xfId="0" applyNumberFormat="1" applyFont="1" applyFill="1" applyBorder="1" applyAlignment="1">
      <alignment horizontal="right"/>
    </xf>
    <xf numFmtId="167" fontId="52" fillId="5" borderId="60" xfId="0" applyNumberFormat="1" applyFont="1" applyFill="1" applyBorder="1" applyAlignment="1">
      <alignment horizontal="right"/>
    </xf>
    <xf numFmtId="167" fontId="43" fillId="50" borderId="60" xfId="0" applyNumberFormat="1" applyFont="1" applyFill="1" applyBorder="1" applyAlignment="1">
      <alignment horizontal="right"/>
    </xf>
    <xf numFmtId="167" fontId="52" fillId="50" borderId="60" xfId="0" applyNumberFormat="1" applyFont="1" applyFill="1" applyBorder="1" applyAlignment="1">
      <alignment horizontal="right"/>
    </xf>
    <xf numFmtId="167" fontId="52" fillId="50" borderId="66" xfId="0" applyNumberFormat="1" applyFont="1" applyFill="1" applyBorder="1" applyAlignment="1">
      <alignment horizontal="right"/>
    </xf>
    <xf numFmtId="0" fontId="51" fillId="46" borderId="65" xfId="0" applyFont="1" applyFill="1" applyBorder="1" applyAlignment="1">
      <alignment horizontal="center"/>
    </xf>
    <xf numFmtId="3" fontId="43" fillId="5" borderId="61" xfId="0" applyNumberFormat="1" applyFont="1" applyFill="1" applyBorder="1" applyAlignment="1">
      <alignment horizontal="right"/>
    </xf>
    <xf numFmtId="3" fontId="52" fillId="5" borderId="61" xfId="0" applyNumberFormat="1" applyFont="1" applyFill="1" applyBorder="1" applyAlignment="1">
      <alignment horizontal="right"/>
    </xf>
    <xf numFmtId="3" fontId="43" fillId="50" borderId="61" xfId="0" applyNumberFormat="1" applyFont="1" applyFill="1" applyBorder="1" applyAlignment="1">
      <alignment horizontal="right"/>
    </xf>
    <xf numFmtId="3" fontId="52" fillId="50" borderId="61" xfId="0" applyNumberFormat="1" applyFont="1" applyFill="1" applyBorder="1" applyAlignment="1">
      <alignment horizontal="right"/>
    </xf>
    <xf numFmtId="3" fontId="52" fillId="50" borderId="67" xfId="0" applyNumberFormat="1" applyFont="1" applyFill="1" applyBorder="1" applyAlignment="1">
      <alignment horizontal="right"/>
    </xf>
    <xf numFmtId="0" fontId="41" fillId="46" borderId="58" xfId="0" applyFont="1" applyFill="1" applyBorder="1" applyAlignment="1">
      <alignment horizontal="center" wrapText="1"/>
    </xf>
    <xf numFmtId="0" fontId="41" fillId="46" borderId="59" xfId="0" applyFont="1" applyFill="1" applyBorder="1" applyAlignment="1">
      <alignment horizontal="center" wrapText="1"/>
    </xf>
    <xf numFmtId="167" fontId="52" fillId="50" borderId="62" xfId="0" applyNumberFormat="1" applyFont="1" applyFill="1" applyBorder="1" applyAlignment="1">
      <alignment horizontal="right"/>
    </xf>
    <xf numFmtId="3" fontId="52" fillId="50" borderId="63" xfId="0" applyNumberFormat="1" applyFont="1" applyFill="1" applyBorder="1" applyAlignment="1">
      <alignment horizontal="right"/>
    </xf>
    <xf numFmtId="0" fontId="41" fillId="3" borderId="68" xfId="0" applyFont="1" applyFill="1" applyBorder="1" applyAlignment="1">
      <alignment horizontal="center" wrapText="1"/>
    </xf>
    <xf numFmtId="0" fontId="41" fillId="3" borderId="69" xfId="0" applyFont="1" applyFill="1" applyBorder="1" applyAlignment="1">
      <alignment horizontal="center" wrapText="1"/>
    </xf>
    <xf numFmtId="0" fontId="41" fillId="3" borderId="70" xfId="0" applyFont="1" applyFill="1" applyBorder="1" applyAlignment="1">
      <alignment horizontal="center" wrapText="1"/>
    </xf>
    <xf numFmtId="0" fontId="41" fillId="3" borderId="0" xfId="0" applyFont="1" applyFill="1" applyAlignment="1">
      <alignment horizontal="center" wrapText="1"/>
    </xf>
    <xf numFmtId="167" fontId="52" fillId="51" borderId="72" xfId="0" applyNumberFormat="1" applyFont="1" applyFill="1" applyBorder="1"/>
    <xf numFmtId="167" fontId="52" fillId="51" borderId="73" xfId="0" applyNumberFormat="1" applyFont="1" applyFill="1" applyBorder="1"/>
    <xf numFmtId="167" fontId="52" fillId="5" borderId="72" xfId="0" applyNumberFormat="1" applyFont="1" applyFill="1" applyBorder="1"/>
    <xf numFmtId="167" fontId="52" fillId="5" borderId="73" xfId="0" applyNumberFormat="1" applyFont="1" applyFill="1" applyBorder="1"/>
    <xf numFmtId="167" fontId="52" fillId="5" borderId="75" xfId="0" applyNumberFormat="1" applyFont="1" applyFill="1" applyBorder="1"/>
    <xf numFmtId="167" fontId="52" fillId="5" borderId="76" xfId="0" applyNumberFormat="1" applyFont="1" applyFill="1" applyBorder="1"/>
    <xf numFmtId="167" fontId="52" fillId="51" borderId="0" xfId="0" applyNumberFormat="1" applyFont="1" applyFill="1"/>
    <xf numFmtId="167" fontId="52" fillId="5" borderId="0" xfId="0" applyNumberFormat="1" applyFont="1" applyFill="1"/>
    <xf numFmtId="0" fontId="66" fillId="35" borderId="0" xfId="0" applyFont="1" applyFill="1" applyAlignment="1">
      <alignment horizontal="center"/>
    </xf>
    <xf numFmtId="0" fontId="67" fillId="32" borderId="0" xfId="0" applyFont="1" applyFill="1" applyAlignment="1">
      <alignment horizontal="center"/>
    </xf>
    <xf numFmtId="0" fontId="68" fillId="0" borderId="0" xfId="0" applyFont="1"/>
    <xf numFmtId="0" fontId="41" fillId="27" borderId="0" xfId="0" applyFont="1" applyFill="1" applyAlignment="1">
      <alignment horizontal="center"/>
    </xf>
    <xf numFmtId="0" fontId="30" fillId="52" borderId="0" xfId="0" applyFont="1" applyFill="1"/>
    <xf numFmtId="0" fontId="41" fillId="27" borderId="0" xfId="0" applyFont="1" applyFill="1" applyAlignment="1">
      <alignment horizontal="center" wrapText="1"/>
    </xf>
    <xf numFmtId="0" fontId="41" fillId="53" borderId="0" xfId="0" applyFont="1" applyFill="1" applyAlignment="1">
      <alignment horizontal="center" wrapText="1"/>
    </xf>
    <xf numFmtId="0" fontId="41" fillId="53" borderId="0" xfId="0" applyFont="1" applyFill="1" applyAlignment="1">
      <alignment horizontal="center"/>
    </xf>
    <xf numFmtId="0" fontId="72" fillId="0" borderId="0" xfId="0" applyFont="1"/>
    <xf numFmtId="1" fontId="73" fillId="35" borderId="0" xfId="0" applyNumberFormat="1" applyFont="1" applyFill="1" applyAlignment="1">
      <alignment horizontal="center"/>
    </xf>
    <xf numFmtId="0" fontId="74" fillId="0" borderId="0" xfId="0" applyFont="1" applyAlignment="1">
      <alignment horizontal="center"/>
    </xf>
    <xf numFmtId="169" fontId="75" fillId="54" borderId="0" xfId="0" applyNumberFormat="1" applyFont="1" applyFill="1"/>
    <xf numFmtId="0" fontId="41" fillId="33" borderId="0" xfId="0" applyFont="1" applyFill="1" applyAlignment="1">
      <alignment horizontal="center"/>
    </xf>
    <xf numFmtId="0" fontId="41" fillId="55" borderId="0" xfId="0" applyFont="1" applyFill="1" applyAlignment="1">
      <alignment horizontal="center"/>
    </xf>
    <xf numFmtId="0" fontId="41" fillId="56" borderId="0" xfId="0" applyFont="1" applyFill="1" applyAlignment="1">
      <alignment horizontal="center"/>
    </xf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69" fillId="57" borderId="0" xfId="0" applyFont="1" applyFill="1"/>
    <xf numFmtId="169" fontId="69" fillId="57" borderId="0" xfId="0" applyNumberFormat="1" applyFont="1" applyFill="1" applyAlignment="1">
      <alignment horizontal="center"/>
    </xf>
    <xf numFmtId="170" fontId="69" fillId="57" borderId="0" xfId="0" applyNumberFormat="1" applyFont="1" applyFill="1" applyAlignment="1">
      <alignment horizontal="center"/>
    </xf>
    <xf numFmtId="171" fontId="69" fillId="57" borderId="0" xfId="0" applyNumberFormat="1" applyFont="1" applyFill="1" applyAlignment="1">
      <alignment horizontal="center"/>
    </xf>
    <xf numFmtId="171" fontId="0" fillId="57" borderId="0" xfId="0" applyNumberFormat="1" applyFill="1"/>
    <xf numFmtId="169" fontId="0" fillId="57" borderId="0" xfId="0" applyNumberFormat="1" applyFill="1"/>
    <xf numFmtId="170" fontId="0" fillId="57" borderId="0" xfId="0" applyNumberFormat="1" applyFill="1"/>
    <xf numFmtId="0" fontId="0" fillId="57" borderId="0" xfId="0" applyFill="1"/>
    <xf numFmtId="0" fontId="9" fillId="57" borderId="0" xfId="0" applyFont="1" applyFill="1"/>
    <xf numFmtId="168" fontId="0" fillId="57" borderId="0" xfId="0" applyNumberFormat="1" applyFill="1"/>
    <xf numFmtId="0" fontId="71" fillId="57" borderId="0" xfId="0" applyFont="1" applyFill="1" applyAlignment="1">
      <alignment wrapText="1"/>
    </xf>
    <xf numFmtId="0" fontId="0" fillId="0" borderId="0" xfId="0" applyAlignment="1">
      <alignment wrapText="1"/>
    </xf>
    <xf numFmtId="0" fontId="8" fillId="59" borderId="0" xfId="0" applyFont="1" applyFill="1"/>
    <xf numFmtId="0" fontId="0" fillId="59" borderId="0" xfId="0" applyFill="1"/>
    <xf numFmtId="0" fontId="82" fillId="0" borderId="0" xfId="0" applyFont="1"/>
    <xf numFmtId="0" fontId="83" fillId="0" borderId="0" xfId="0" applyFont="1" applyAlignment="1">
      <alignment horizontal="right"/>
    </xf>
    <xf numFmtId="0" fontId="75" fillId="60" borderId="29" xfId="0" applyFont="1" applyFill="1" applyBorder="1" applyAlignment="1">
      <alignment horizontal="center"/>
    </xf>
    <xf numFmtId="0" fontId="84" fillId="10" borderId="0" xfId="0" applyFont="1" applyFill="1" applyAlignment="1">
      <alignment horizontal="center" vertical="center"/>
    </xf>
    <xf numFmtId="0" fontId="84" fillId="10" borderId="42" xfId="0" applyFont="1" applyFill="1" applyBorder="1" applyAlignment="1">
      <alignment horizontal="center" vertical="center" wrapText="1"/>
    </xf>
    <xf numFmtId="0" fontId="85" fillId="36" borderId="42" xfId="0" applyFont="1" applyFill="1" applyBorder="1" applyAlignment="1">
      <alignment horizontal="center" vertical="center" wrapText="1"/>
    </xf>
    <xf numFmtId="0" fontId="88" fillId="62" borderId="42" xfId="0" applyFont="1" applyFill="1" applyBorder="1" applyAlignment="1">
      <alignment horizontal="center" vertical="center" wrapText="1"/>
    </xf>
    <xf numFmtId="0" fontId="89" fillId="63" borderId="42" xfId="0" applyFont="1" applyFill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center" vertical="center" wrapText="1"/>
    </xf>
    <xf numFmtId="0" fontId="91" fillId="65" borderId="42" xfId="0" applyFont="1" applyFill="1" applyBorder="1" applyAlignment="1">
      <alignment horizontal="center" vertical="center" wrapText="1"/>
    </xf>
    <xf numFmtId="0" fontId="85" fillId="36" borderId="47" xfId="0" applyFont="1" applyFill="1" applyBorder="1" applyAlignment="1">
      <alignment horizontal="center" vertical="center" wrapText="1"/>
    </xf>
    <xf numFmtId="0" fontId="86" fillId="58" borderId="47" xfId="0" applyFont="1" applyFill="1" applyBorder="1" applyAlignment="1">
      <alignment horizontal="center" vertical="center" wrapText="1"/>
    </xf>
    <xf numFmtId="0" fontId="87" fillId="61" borderId="47" xfId="0" applyFont="1" applyFill="1" applyBorder="1" applyAlignment="1">
      <alignment horizontal="center" vertical="center" wrapText="1"/>
    </xf>
    <xf numFmtId="0" fontId="88" fillId="62" borderId="47" xfId="0" applyFont="1" applyFill="1" applyBorder="1" applyAlignment="1">
      <alignment horizontal="center" vertical="center" wrapText="1"/>
    </xf>
    <xf numFmtId="0" fontId="89" fillId="63" borderId="47" xfId="0" applyFont="1" applyFill="1" applyBorder="1" applyAlignment="1">
      <alignment horizontal="center" vertical="center" wrapText="1"/>
    </xf>
    <xf numFmtId="0" fontId="90" fillId="64" borderId="47" xfId="0" applyFont="1" applyFill="1" applyBorder="1" applyAlignment="1">
      <alignment horizontal="center" vertical="center" wrapText="1"/>
    </xf>
    <xf numFmtId="0" fontId="91" fillId="65" borderId="47" xfId="0" applyFont="1" applyFill="1" applyBorder="1" applyAlignment="1">
      <alignment horizontal="center" vertical="center" wrapText="1"/>
    </xf>
    <xf numFmtId="0" fontId="24" fillId="0" borderId="16" xfId="0" applyFont="1" applyBorder="1"/>
    <xf numFmtId="0" fontId="24" fillId="0" borderId="17" xfId="0" applyFont="1" applyBorder="1"/>
    <xf numFmtId="3" fontId="24" fillId="0" borderId="17" xfId="0" applyNumberFormat="1" applyFont="1" applyBorder="1" applyAlignment="1">
      <alignment horizontal="center"/>
    </xf>
    <xf numFmtId="0" fontId="11" fillId="0" borderId="0" xfId="0" applyFont="1"/>
    <xf numFmtId="3" fontId="11" fillId="0" borderId="0" xfId="0" applyNumberFormat="1" applyFont="1" applyAlignment="1">
      <alignment horizontal="center"/>
    </xf>
    <xf numFmtId="0" fontId="24" fillId="0" borderId="0" xfId="0" applyFont="1"/>
    <xf numFmtId="3" fontId="24" fillId="0" borderId="0" xfId="0" applyNumberFormat="1" applyFont="1" applyAlignment="1">
      <alignment horizontal="center"/>
    </xf>
    <xf numFmtId="0" fontId="25" fillId="0" borderId="29" xfId="0" applyFont="1" applyBorder="1"/>
    <xf numFmtId="3" fontId="24" fillId="0" borderId="29" xfId="0" applyNumberFormat="1" applyFont="1" applyBorder="1" applyAlignment="1">
      <alignment horizontal="center"/>
    </xf>
    <xf numFmtId="0" fontId="33" fillId="0" borderId="29" xfId="0" applyFont="1" applyBorder="1"/>
    <xf numFmtId="164" fontId="25" fillId="0" borderId="29" xfId="0" applyNumberFormat="1" applyFont="1" applyBorder="1" applyAlignment="1">
      <alignment horizontal="center"/>
    </xf>
    <xf numFmtId="164" fontId="33" fillId="0" borderId="29" xfId="0" applyNumberFormat="1" applyFont="1" applyBorder="1" applyAlignment="1">
      <alignment horizontal="center"/>
    </xf>
    <xf numFmtId="3" fontId="27" fillId="0" borderId="29" xfId="0" applyNumberFormat="1" applyFont="1" applyBorder="1" applyAlignment="1">
      <alignment horizontal="center"/>
    </xf>
    <xf numFmtId="0" fontId="25" fillId="0" borderId="0" xfId="0" applyFont="1"/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0" fillId="0" borderId="22" xfId="0" applyFont="1" applyBorder="1"/>
    <xf numFmtId="165" fontId="10" fillId="0" borderId="3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/>
    <xf numFmtId="165" fontId="10" fillId="0" borderId="25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3" fontId="10" fillId="0" borderId="3" xfId="0" applyNumberFormat="1" applyFont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2" fontId="10" fillId="0" borderId="25" xfId="0" applyNumberFormat="1" applyFont="1" applyBorder="1" applyAlignment="1">
      <alignment horizontal="center"/>
    </xf>
    <xf numFmtId="164" fontId="10" fillId="0" borderId="25" xfId="0" applyNumberFormat="1" applyFont="1" applyBorder="1" applyAlignment="1">
      <alignment horizontal="center"/>
    </xf>
    <xf numFmtId="3" fontId="10" fillId="0" borderId="25" xfId="0" applyNumberFormat="1" applyFont="1" applyBorder="1" applyAlignment="1">
      <alignment horizontal="center"/>
    </xf>
    <xf numFmtId="3" fontId="10" fillId="0" borderId="26" xfId="0" applyNumberFormat="1" applyFont="1" applyBorder="1" applyAlignment="1">
      <alignment horizontal="center"/>
    </xf>
    <xf numFmtId="0" fontId="27" fillId="0" borderId="0" xfId="0" applyFont="1"/>
    <xf numFmtId="0" fontId="30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" fontId="0" fillId="0" borderId="0" xfId="0" applyNumberFormat="1"/>
    <xf numFmtId="166" fontId="0" fillId="0" borderId="0" xfId="0" applyNumberFormat="1"/>
    <xf numFmtId="4" fontId="30" fillId="0" borderId="0" xfId="0" applyNumberFormat="1" applyFont="1"/>
    <xf numFmtId="166" fontId="30" fillId="0" borderId="0" xfId="0" applyNumberFormat="1" applyFont="1"/>
    <xf numFmtId="4" fontId="0" fillId="67" borderId="0" xfId="0" applyNumberFormat="1" applyFill="1"/>
    <xf numFmtId="4" fontId="24" fillId="0" borderId="17" xfId="0" applyNumberFormat="1" applyFont="1" applyBorder="1" applyAlignment="1">
      <alignment horizontal="center"/>
    </xf>
    <xf numFmtId="4" fontId="24" fillId="0" borderId="18" xfId="0" applyNumberFormat="1" applyFont="1" applyBorder="1" applyAlignment="1">
      <alignment horizontal="center"/>
    </xf>
    <xf numFmtId="3" fontId="0" fillId="0" borderId="0" xfId="0" applyNumberFormat="1"/>
    <xf numFmtId="171" fontId="0" fillId="66" borderId="0" xfId="0" applyNumberFormat="1" applyFill="1"/>
    <xf numFmtId="171" fontId="0" fillId="0" borderId="0" xfId="0" applyNumberFormat="1"/>
    <xf numFmtId="171" fontId="24" fillId="0" borderId="17" xfId="0" applyNumberFormat="1" applyFont="1" applyBorder="1" applyAlignment="1">
      <alignment horizontal="center"/>
    </xf>
    <xf numFmtId="0" fontId="30" fillId="69" borderId="0" xfId="0" applyFont="1" applyFill="1"/>
    <xf numFmtId="0" fontId="94" fillId="0" borderId="0" xfId="0" applyFont="1"/>
    <xf numFmtId="0" fontId="95" fillId="0" borderId="0" xfId="0" applyFont="1"/>
    <xf numFmtId="0" fontId="80" fillId="0" borderId="0" xfId="0" applyFont="1"/>
    <xf numFmtId="0" fontId="0" fillId="70" borderId="0" xfId="0" applyFill="1"/>
    <xf numFmtId="0" fontId="8" fillId="70" borderId="0" xfId="0" applyFont="1" applyFill="1"/>
    <xf numFmtId="171" fontId="94" fillId="0" borderId="0" xfId="0" applyNumberFormat="1" applyFont="1"/>
    <xf numFmtId="0" fontId="96" fillId="0" borderId="0" xfId="0" applyFont="1" applyAlignment="1">
      <alignment wrapText="1"/>
    </xf>
    <xf numFmtId="0" fontId="97" fillId="0" borderId="0" xfId="0" applyFont="1" applyAlignment="1">
      <alignment wrapText="1"/>
    </xf>
    <xf numFmtId="0" fontId="81" fillId="0" borderId="0" xfId="0" applyFont="1" applyAlignment="1">
      <alignment wrapText="1"/>
    </xf>
    <xf numFmtId="0" fontId="30" fillId="27" borderId="0" xfId="0" applyFont="1" applyFill="1"/>
    <xf numFmtId="0" fontId="30" fillId="71" borderId="0" xfId="0" applyFont="1" applyFill="1"/>
    <xf numFmtId="0" fontId="98" fillId="71" borderId="0" xfId="0" applyFont="1" applyFill="1"/>
    <xf numFmtId="0" fontId="30" fillId="71" borderId="0" xfId="0" applyFont="1" applyFill="1" applyAlignment="1">
      <alignment horizontal="center"/>
    </xf>
    <xf numFmtId="0" fontId="52" fillId="0" borderId="0" xfId="0" applyFont="1"/>
    <xf numFmtId="2" fontId="99" fillId="0" borderId="0" xfId="0" applyNumberFormat="1" applyFont="1"/>
    <xf numFmtId="2" fontId="0" fillId="0" borderId="0" xfId="0" applyNumberFormat="1" applyAlignment="1">
      <alignment horizontal="center"/>
    </xf>
    <xf numFmtId="0" fontId="92" fillId="0" borderId="0" xfId="0" applyFont="1" applyAlignment="1">
      <alignment horizontal="center"/>
    </xf>
    <xf numFmtId="2" fontId="97" fillId="0" borderId="0" xfId="0" applyNumberFormat="1" applyFont="1" applyAlignment="1">
      <alignment horizontal="center"/>
    </xf>
    <xf numFmtId="0" fontId="100" fillId="0" borderId="0" xfId="0" applyFont="1" applyAlignment="1">
      <alignment horizontal="center"/>
    </xf>
    <xf numFmtId="2" fontId="96" fillId="0" borderId="0" xfId="0" applyNumberFormat="1" applyFont="1" applyAlignment="1">
      <alignment horizontal="center"/>
    </xf>
    <xf numFmtId="3" fontId="99" fillId="0" borderId="0" xfId="0" applyNumberFormat="1" applyFont="1"/>
    <xf numFmtId="3" fontId="0" fillId="0" borderId="0" xfId="0" applyNumberFormat="1" applyAlignment="1">
      <alignment horizontal="center"/>
    </xf>
    <xf numFmtId="3" fontId="96" fillId="0" borderId="0" xfId="0" applyNumberFormat="1" applyFont="1" applyAlignment="1">
      <alignment horizontal="center"/>
    </xf>
    <xf numFmtId="2" fontId="75" fillId="6" borderId="2" xfId="0" applyNumberFormat="1" applyFont="1" applyFill="1" applyBorder="1" applyAlignment="1">
      <alignment horizontal="center"/>
    </xf>
    <xf numFmtId="2" fontId="75" fillId="6" borderId="0" xfId="0" applyNumberFormat="1" applyFont="1" applyFill="1" applyAlignment="1">
      <alignment horizontal="center"/>
    </xf>
    <xf numFmtId="2" fontId="75" fillId="6" borderId="1" xfId="0" applyNumberFormat="1" applyFont="1" applyFill="1" applyBorder="1" applyAlignment="1">
      <alignment horizontal="center"/>
    </xf>
    <xf numFmtId="0" fontId="0" fillId="72" borderId="0" xfId="0" applyFill="1"/>
    <xf numFmtId="171" fontId="0" fillId="72" borderId="0" xfId="0" applyNumberFormat="1" applyFill="1"/>
    <xf numFmtId="1" fontId="101" fillId="73" borderId="0" xfId="0" applyNumberFormat="1" applyFont="1" applyFill="1" applyAlignment="1">
      <alignment horizontal="center"/>
    </xf>
    <xf numFmtId="171" fontId="0" fillId="74" borderId="0" xfId="0" applyNumberFormat="1" applyFill="1"/>
    <xf numFmtId="0" fontId="87" fillId="61" borderId="42" xfId="0" applyFont="1" applyFill="1" applyBorder="1" applyAlignment="1">
      <alignment horizontal="center" vertical="center" wrapText="1"/>
    </xf>
    <xf numFmtId="0" fontId="86" fillId="58" borderId="42" xfId="0" applyFont="1" applyFill="1" applyBorder="1" applyAlignment="1">
      <alignment horizontal="center" vertical="center" wrapText="1"/>
    </xf>
    <xf numFmtId="0" fontId="86" fillId="58" borderId="43" xfId="0" applyFont="1" applyFill="1" applyBorder="1" applyAlignment="1">
      <alignment horizontal="center" vertical="center" wrapText="1"/>
    </xf>
    <xf numFmtId="0" fontId="87" fillId="61" borderId="43" xfId="0" applyFont="1" applyFill="1" applyBorder="1" applyAlignment="1">
      <alignment horizontal="center" vertical="center" wrapText="1"/>
    </xf>
    <xf numFmtId="3" fontId="24" fillId="68" borderId="17" xfId="0" applyNumberFormat="1" applyFont="1" applyFill="1" applyBorder="1" applyAlignment="1">
      <alignment horizontal="center"/>
    </xf>
    <xf numFmtId="3" fontId="0" fillId="72" borderId="0" xfId="0" applyNumberFormat="1" applyFill="1"/>
    <xf numFmtId="0" fontId="102" fillId="40" borderId="0" xfId="0" applyFont="1" applyFill="1" applyAlignment="1">
      <alignment horizontal="center"/>
    </xf>
    <xf numFmtId="0" fontId="30" fillId="39" borderId="0" xfId="0" applyFont="1" applyFill="1" applyAlignment="1">
      <alignment horizontal="center"/>
    </xf>
    <xf numFmtId="0" fontId="103" fillId="5" borderId="0" xfId="0" applyFont="1" applyFill="1" applyAlignment="1">
      <alignment horizontal="left"/>
    </xf>
    <xf numFmtId="0" fontId="103" fillId="5" borderId="0" xfId="0" applyFont="1" applyFill="1" applyAlignment="1">
      <alignment horizontal="center"/>
    </xf>
    <xf numFmtId="0" fontId="104" fillId="5" borderId="0" xfId="0" applyFont="1" applyFill="1" applyAlignment="1">
      <alignment horizontal="left"/>
    </xf>
    <xf numFmtId="0" fontId="104" fillId="43" borderId="0" xfId="0" applyFont="1" applyFill="1" applyAlignment="1">
      <alignment horizontal="left"/>
    </xf>
    <xf numFmtId="0" fontId="104" fillId="5" borderId="77" xfId="0" applyFont="1" applyFill="1" applyBorder="1" applyAlignment="1">
      <alignment horizontal="left"/>
    </xf>
    <xf numFmtId="0" fontId="105" fillId="40" borderId="0" xfId="0" applyFont="1" applyFill="1" applyAlignment="1">
      <alignment horizontal="center"/>
    </xf>
    <xf numFmtId="0" fontId="0" fillId="39" borderId="0" xfId="0" applyFill="1"/>
    <xf numFmtId="0" fontId="106" fillId="27" borderId="78" xfId="0" applyFont="1" applyFill="1" applyBorder="1" applyAlignment="1">
      <alignment horizontal="left"/>
    </xf>
    <xf numFmtId="3" fontId="106" fillId="27" borderId="78" xfId="0" applyNumberFormat="1" applyFont="1" applyFill="1" applyBorder="1" applyAlignment="1">
      <alignment horizontal="left"/>
    </xf>
    <xf numFmtId="0" fontId="18" fillId="0" borderId="0" xfId="0" applyFont="1"/>
    <xf numFmtId="3" fontId="18" fillId="0" borderId="0" xfId="0" applyNumberFormat="1" applyFont="1"/>
    <xf numFmtId="172" fontId="104" fillId="5" borderId="77" xfId="0" applyNumberFormat="1" applyFont="1" applyFill="1" applyBorder="1" applyAlignment="1">
      <alignment horizontal="center"/>
    </xf>
    <xf numFmtId="172" fontId="104" fillId="43" borderId="0" xfId="0" applyNumberFormat="1" applyFont="1" applyFill="1" applyAlignment="1">
      <alignment horizontal="center"/>
    </xf>
    <xf numFmtId="172" fontId="104" fillId="5" borderId="0" xfId="0" applyNumberFormat="1" applyFont="1" applyFill="1" applyAlignment="1">
      <alignment horizontal="center"/>
    </xf>
    <xf numFmtId="0" fontId="5" fillId="30" borderId="9" xfId="0" applyFont="1" applyFill="1" applyBorder="1"/>
    <xf numFmtId="0" fontId="5" fillId="30" borderId="8" xfId="0" applyFont="1" applyFill="1" applyBorder="1"/>
    <xf numFmtId="0" fontId="5" fillId="30" borderId="4" xfId="0" applyFont="1" applyFill="1" applyBorder="1"/>
    <xf numFmtId="0" fontId="12" fillId="26" borderId="0" xfId="0" applyFont="1" applyFill="1" applyAlignment="1">
      <alignment vertical="center"/>
    </xf>
    <xf numFmtId="0" fontId="23" fillId="5" borderId="0" xfId="0" applyFont="1" applyFill="1"/>
    <xf numFmtId="0" fontId="4" fillId="27" borderId="4" xfId="0" applyFont="1" applyFill="1" applyBorder="1"/>
    <xf numFmtId="0" fontId="4" fillId="28" borderId="4" xfId="0" applyFont="1" applyFill="1" applyBorder="1"/>
    <xf numFmtId="0" fontId="4" fillId="29" borderId="4" xfId="0" applyFont="1" applyFill="1" applyBorder="1"/>
    <xf numFmtId="0" fontId="64" fillId="46" borderId="0" xfId="0" applyFont="1" applyFill="1"/>
    <xf numFmtId="0" fontId="49" fillId="46" borderId="0" xfId="0" applyFont="1" applyFill="1"/>
    <xf numFmtId="0" fontId="65" fillId="46" borderId="0" xfId="0" applyFont="1" applyFill="1"/>
    <xf numFmtId="0" fontId="50" fillId="46" borderId="0" xfId="0" applyFont="1" applyFill="1"/>
    <xf numFmtId="0" fontId="15" fillId="3" borderId="0" xfId="0" applyFont="1" applyFill="1" applyAlignment="1">
      <alignment horizontal="left"/>
    </xf>
    <xf numFmtId="0" fontId="14" fillId="4" borderId="0" xfId="0" applyFont="1" applyFill="1"/>
    <xf numFmtId="0" fontId="0" fillId="4" borderId="0" xfId="0" applyFill="1"/>
    <xf numFmtId="0" fontId="51" fillId="27" borderId="0" xfId="0" applyFont="1" applyFill="1"/>
    <xf numFmtId="0" fontId="0" fillId="27" borderId="0" xfId="0" applyFill="1"/>
    <xf numFmtId="0" fontId="32" fillId="0" borderId="0" xfId="0" applyFont="1"/>
    <xf numFmtId="0" fontId="70" fillId="26" borderId="0" xfId="0" applyFont="1" applyFill="1"/>
    <xf numFmtId="0" fontId="89" fillId="63" borderId="32" xfId="0" applyFont="1" applyFill="1" applyBorder="1" applyAlignment="1">
      <alignment horizontal="center" vertical="center"/>
    </xf>
    <xf numFmtId="0" fontId="89" fillId="63" borderId="0" xfId="0" applyFont="1" applyFill="1" applyAlignment="1">
      <alignment horizontal="center" vertical="center"/>
    </xf>
    <xf numFmtId="0" fontId="89" fillId="63" borderId="40" xfId="0" applyFont="1" applyFill="1" applyBorder="1" applyAlignment="1">
      <alignment horizontal="center" vertical="center"/>
    </xf>
    <xf numFmtId="0" fontId="24" fillId="0" borderId="0" xfId="0" applyFont="1"/>
    <xf numFmtId="0" fontId="0" fillId="0" borderId="0" xfId="0"/>
    <xf numFmtId="0" fontId="28" fillId="0" borderId="0" xfId="0" applyFont="1"/>
    <xf numFmtId="0" fontId="85" fillId="36" borderId="32" xfId="0" applyFont="1" applyFill="1" applyBorder="1" applyAlignment="1">
      <alignment horizontal="center" vertical="center"/>
    </xf>
    <xf numFmtId="0" fontId="85" fillId="36" borderId="0" xfId="0" applyFont="1" applyFill="1" applyAlignment="1">
      <alignment horizontal="center" vertical="center"/>
    </xf>
    <xf numFmtId="0" fontId="85" fillId="36" borderId="40" xfId="0" applyFont="1" applyFill="1" applyBorder="1" applyAlignment="1">
      <alignment horizontal="center" vertical="center"/>
    </xf>
    <xf numFmtId="0" fontId="90" fillId="64" borderId="32" xfId="0" applyFont="1" applyFill="1" applyBorder="1" applyAlignment="1">
      <alignment horizontal="center" vertical="center"/>
    </xf>
    <xf numFmtId="0" fontId="90" fillId="64" borderId="0" xfId="0" applyFont="1" applyFill="1" applyAlignment="1">
      <alignment horizontal="center" vertical="center"/>
    </xf>
    <xf numFmtId="0" fontId="90" fillId="64" borderId="40" xfId="0" applyFont="1" applyFill="1" applyBorder="1" applyAlignment="1">
      <alignment horizontal="center" vertical="center"/>
    </xf>
    <xf numFmtId="0" fontId="87" fillId="61" borderId="32" xfId="0" applyFont="1" applyFill="1" applyBorder="1" applyAlignment="1">
      <alignment horizontal="center" vertical="center"/>
    </xf>
    <xf numFmtId="0" fontId="87" fillId="61" borderId="0" xfId="0" applyFont="1" applyFill="1" applyAlignment="1">
      <alignment horizontal="center" vertical="center"/>
    </xf>
    <xf numFmtId="0" fontId="87" fillId="61" borderId="40" xfId="0" applyFont="1" applyFill="1" applyBorder="1" applyAlignment="1">
      <alignment horizontal="center" vertical="center"/>
    </xf>
    <xf numFmtId="0" fontId="86" fillId="58" borderId="32" xfId="0" applyFont="1" applyFill="1" applyBorder="1" applyAlignment="1">
      <alignment horizontal="center" vertical="center"/>
    </xf>
    <xf numFmtId="0" fontId="86" fillId="58" borderId="0" xfId="0" applyFont="1" applyFill="1" applyAlignment="1">
      <alignment horizontal="center" vertical="center"/>
    </xf>
    <xf numFmtId="0" fontId="86" fillId="58" borderId="40" xfId="0" applyFont="1" applyFill="1" applyBorder="1" applyAlignment="1">
      <alignment horizontal="center" vertical="center"/>
    </xf>
    <xf numFmtId="0" fontId="88" fillId="62" borderId="32" xfId="0" applyFont="1" applyFill="1" applyBorder="1" applyAlignment="1">
      <alignment horizontal="center" vertical="center"/>
    </xf>
    <xf numFmtId="0" fontId="88" fillId="62" borderId="0" xfId="0" applyFont="1" applyFill="1" applyAlignment="1">
      <alignment horizontal="center" vertical="center"/>
    </xf>
    <xf numFmtId="0" fontId="88" fillId="62" borderId="40" xfId="0" applyFont="1" applyFill="1" applyBorder="1" applyAlignment="1">
      <alignment horizontal="center" vertical="center"/>
    </xf>
    <xf numFmtId="0" fontId="30" fillId="30" borderId="0" xfId="0" applyFont="1" applyFill="1"/>
    <xf numFmtId="0" fontId="91" fillId="65" borderId="32" xfId="0" applyFont="1" applyFill="1" applyBorder="1" applyAlignment="1">
      <alignment horizontal="center" vertical="center"/>
    </xf>
    <xf numFmtId="0" fontId="91" fillId="65" borderId="0" xfId="0" applyFont="1" applyFill="1" applyAlignment="1">
      <alignment horizontal="center" vertical="center"/>
    </xf>
    <xf numFmtId="0" fontId="70" fillId="30" borderId="0" xfId="0" applyFont="1" applyFill="1"/>
    <xf numFmtId="0" fontId="93" fillId="0" borderId="0" xfId="0" applyFont="1"/>
    <xf numFmtId="0" fontId="30" fillId="0" borderId="0" xfId="0" applyFont="1"/>
    <xf numFmtId="0" fontId="8" fillId="0" borderId="0" xfId="0" applyFont="1" applyAlignment="1">
      <alignment horizontal="center"/>
    </xf>
    <xf numFmtId="0" fontId="29" fillId="0" borderId="0" xfId="0" applyFont="1"/>
    <xf numFmtId="0" fontId="14" fillId="0" borderId="0" xfId="0" applyFont="1"/>
    <xf numFmtId="0" fontId="5" fillId="17" borderId="0" xfId="0" applyFont="1" applyFill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34" fillId="40" borderId="0" xfId="2" applyFont="1" applyFill="1" applyAlignment="1">
      <alignment horizontal="center"/>
    </xf>
    <xf numFmtId="0" fontId="31" fillId="39" borderId="0" xfId="2" applyFont="1" applyFill="1" applyAlignment="1">
      <alignment horizontal="center"/>
    </xf>
    <xf numFmtId="0" fontId="6" fillId="0" borderId="35" xfId="4" applyFont="1" applyBorder="1" applyAlignment="1">
      <alignment horizontal="center"/>
    </xf>
    <xf numFmtId="0" fontId="6" fillId="0" borderId="36" xfId="4" applyFont="1" applyBorder="1" applyAlignment="1">
      <alignment horizontal="center"/>
    </xf>
    <xf numFmtId="0" fontId="6" fillId="0" borderId="37" xfId="4" applyFont="1" applyBorder="1" applyAlignment="1">
      <alignment horizontal="center"/>
    </xf>
  </cellXfs>
  <cellStyles count="5">
    <cellStyle name="Komma 2" xfId="3" xr:uid="{8CCE07F5-F5DD-4156-AC61-6DACF8A4E49A}"/>
    <cellStyle name="Standard" xfId="0" builtinId="0"/>
    <cellStyle name="Standard 2" xfId="1" xr:uid="{5890A4DE-511D-41F6-9666-8726E70C5AB5}"/>
    <cellStyle name="Standard 3" xfId="2" xr:uid="{DAF6FA89-2443-4D9C-A415-051F59F655DF}"/>
    <cellStyle name="Standard 4" xfId="4" xr:uid="{B019CB7A-CAEB-4737-A92C-7CF80D02E41A}"/>
  </cellStyles>
  <dxfs count="23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  <dxf>
      <font>
        <b/>
        <i val="0"/>
        <color rgb="FF2E7D32"/>
      </font>
    </dxf>
    <dxf>
      <font>
        <b/>
        <i val="0"/>
        <color rgb="FFC62828"/>
      </font>
    </dxf>
    <dxf>
      <font>
        <color rgb="FF2E7D32"/>
      </font>
    </dxf>
    <dxf>
      <font>
        <color rgb="FFC62828"/>
      </font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b/>
        <i val="0"/>
        <color rgb="FFC62828"/>
      </font>
      <fill>
        <patternFill patternType="solid">
          <fgColor indexed="64"/>
          <bgColor rgb="FFFFEBEE"/>
        </patternFill>
      </fill>
    </dxf>
    <dxf>
      <numFmt numFmtId="2" formatCode="0.00"/>
      <fill>
        <patternFill patternType="solid">
          <fgColor indexed="64"/>
          <bgColor rgb="FFE2EFDA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9D9D9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9D9D9"/>
        </patternFill>
      </fill>
    </dxf>
    <dxf>
      <numFmt numFmtId="3" formatCode="#,##0"/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9D9D9"/>
        </patternFill>
      </fill>
    </dxf>
    <dxf>
      <fill>
        <patternFill patternType="solid">
          <fgColor indexed="64"/>
          <bgColor rgb="FFDEEAF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  <fill>
        <patternFill patternType="solid">
          <fgColor indexed="64"/>
          <bgColor rgb="FFDEEAF1"/>
        </patternFill>
      </fill>
    </dxf>
    <dxf>
      <numFmt numFmtId="3" formatCode="#,##0"/>
    </dxf>
    <dxf>
      <numFmt numFmtId="3" formatCode="#,##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numFmt numFmtId="0" formatCode="General"/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1"/>
    </dxf>
    <dxf>
      <border outline="0">
        <top style="medium">
          <color rgb="FF000000"/>
        </top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Yu Gothic UI Ligh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/>
      <border diagonalUp="0" diagonalDown="0">
        <left style="medium">
          <color rgb="FF7B241C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  <border diagonalUp="0" diagonalDown="0">
        <left style="medium">
          <color rgb="FF2E75B6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3" formatCode="#,##0"/>
      <fill>
        <patternFill patternType="solid">
          <fgColor indexed="64"/>
          <bgColor rgb="FFFFFFFF"/>
        </patternFill>
      </fill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numFmt numFmtId="1" formatCode="0"/>
      <fill>
        <patternFill patternType="solid">
          <fgColor indexed="64"/>
          <bgColor rgb="FFFFFFFF"/>
        </patternFill>
      </fill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6EFCE"/>
      <rgbColor rgb="FFF0F7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ischkonfigurator_v05.xlsm" TargetMode="External"/><Relationship Id="rId1" Type="http://schemas.openxmlformats.org/officeDocument/2006/relationships/externalLinkPath" Target="file:///D:\Tischkonfigurator_v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rkstattauftrag"/>
      <sheetName val="Konfigurator"/>
      <sheetName val="Größentabelle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Hachtel" id="{35A15404-4186-4954-868A-41C7A7CCB036}" userId="07b811b47acf0a8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3D6D237-2B9D-4A40-93DB-A02F1C1DB234}" name="KonfiguratorDB" displayName="KonfiguratorDB" ref="A1:O307" totalsRowShown="0" headerRowDxfId="231" dataDxfId="230" headerRowCellStyle="Standard 3" dataCellStyle="Standard 3">
  <autoFilter ref="A1:O307" xr:uid="{33D6D237-2B9D-4A40-93DB-A02F1C1DB234}"/>
  <tableColumns count="15">
    <tableColumn id="1" xr3:uid="{B3123804-51BC-4ABC-9C8C-7498D8586F18}" name="art_nr" dataDxfId="229" dataCellStyle="Standard 3"/>
    <tableColumn id="2" xr3:uid="{2AEFBF85-18A8-4ABF-8A59-7D7AB4491CA0}" name="typ" dataDxfId="228" dataCellStyle="Standard 3"/>
    <tableColumn id="3" xr3:uid="{7CBBDDED-6F32-4F24-AB63-4F1EB0E68096}" name="kategorie" dataDxfId="227" dataCellStyle="Standard 3"/>
    <tableColumn id="4" xr3:uid="{433CDF09-D099-4B33-B5E0-2A69B63F184B}" name="bezeichnung" dataDxfId="226" dataCellStyle="Standard 3"/>
    <tableColumn id="5" xr3:uid="{27FA5F84-2BD3-4E52-8215-2D5AB93C0627}" name="breite_mm" dataDxfId="225" dataCellStyle="Standard 3"/>
    <tableColumn id="6" xr3:uid="{1E737E9C-73EC-408C-8F38-57423F70E0E4}" name="tiefe_mm" dataDxfId="224" dataCellStyle="Standard 3"/>
    <tableColumn id="7" xr3:uid="{E430F425-3150-4D85-9EA6-1A512E2EE3D7}" name="pg1_mdf_eur" dataDxfId="223" dataCellStyle="Standard 3">
      <calculatedColumnFormula>IFERROR(INDEX(Aktiv!$G$6:$G$326,MATCH(A2,Aktiv!$A$6:$A$326,0)),"")</calculatedColumnFormula>
    </tableColumn>
    <tableColumn id="8" xr3:uid="{C04AE028-84E7-4F4C-8994-2A9A82284DC7}" name="pg2_furnier_eur" dataDxfId="222" dataCellStyle="Standard 3">
      <calculatedColumnFormula>IFERROR(INDEX(Aktiv!$H$6:$H$326,MATCH(A2,Aktiv!$A$6:$A$326,0)),"")</calculatedColumnFormula>
    </tableColumn>
    <tableColumn id="9" xr3:uid="{919EE246-45AA-4231-9610-9CE98E594AD1}" name="pg3_alu_eur" dataDxfId="221" dataCellStyle="Standard 3">
      <calculatedColumnFormula>IFERROR(INDEX(Aktiv!$I$6:$I$326,MATCH(A2,Aktiv!$A$6:$A$326,0)),"")</calculatedColumnFormula>
    </tableColumn>
    <tableColumn id="10" xr3:uid="{0709B29B-4BD8-4F07-9DEA-9D61E7D43161}" name="pg4_glas_eur" dataDxfId="220" dataCellStyle="Standard 3">
      <calculatedColumnFormula>IFERROR(INDEX(Aktiv!$J$6:$J$326,MATCH(A2,Aktiv!$A$6:$A$326,0)),"")</calculatedColumnFormula>
    </tableColumn>
    <tableColumn id="11" xr3:uid="{AEDF4CCB-B75B-409D-BE88-1322E35C73F7}" name="pg1_mdf_chf" dataDxfId="219" dataCellStyle="Standard 3">
      <calculatedColumnFormula>IFERROR(ROUND(G2*Steuerungsdaten!$B$5,0),"-")</calculatedColumnFormula>
    </tableColumn>
    <tableColumn id="12" xr3:uid="{7A67A6B9-7E9E-449E-9449-797D2DA6BFF1}" name="pg2_furnier_chf" dataDxfId="218" dataCellStyle="Standard 3">
      <calculatedColumnFormula>IFERROR(ROUND(H2*Steuerungsdaten!$B$5,0),"-")</calculatedColumnFormula>
    </tableColumn>
    <tableColumn id="13" xr3:uid="{D51B28D6-60C8-492E-8A6A-FC8A398A33BA}" name="pg3_alu_chf" dataDxfId="217" dataCellStyle="Standard 3">
      <calculatedColumnFormula>IFERROR(ROUND(I2*Steuerungsdaten!$B$5,0),"-")</calculatedColumnFormula>
    </tableColumn>
    <tableColumn id="14" xr3:uid="{0C5AC8F3-A7D6-45F7-B46B-736DC4AA7DA4}" name="pg4_glas_chf" dataDxfId="216" dataCellStyle="Standard 3">
      <calculatedColumnFormula>IFERROR(ROUND(J2*Steuerungsdaten!$B$5,0),"-")</calculatedColumnFormula>
    </tableColumn>
    <tableColumn id="15" xr3:uid="{4CA9443F-6CF1-4846-8A44-A3F40D6F9C4F}" name="warnung" dataDxfId="215" dataCellStyle="Standard 3">
      <calculatedColumnFormula>IF(ISNA(MATCH(A2,Aktiv!$A$6:$A$326,0)),"⚠ nicht im Modell","")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DB20D-B65E-4075-A1CF-F278A421E43D}" name="Tabelle1" displayName="Tabelle1" ref="B3:H18" totalsRowShown="0" headerRowDxfId="214" dataDxfId="212" headerRowBorderDxfId="213" tableBorderDxfId="211">
  <tableColumns count="7">
    <tableColumn id="1" xr3:uid="{1CFE0C93-B3C2-4307-9991-C8D76B069560}" name="Panel" dataDxfId="210"/>
    <tableColumn id="7" xr3:uid="{049C9FD0-AB6C-406D-B172-FCBE18FFACAF}" name="Art. Nr." dataDxfId="209"/>
    <tableColumn id="2" xr3:uid="{BC917A8B-A07D-4A54-9F8C-C657B228A535}" name="Breite / Tiefe" dataDxfId="208"/>
    <tableColumn id="3" xr3:uid="{AD4095C0-0B3C-4A31-8A45-BEDFA25BD0A6}" name="PG1" dataDxfId="207"/>
    <tableColumn id="4" xr3:uid="{593C02FE-EAA9-49BF-AADB-E9A33D6B6C81}" name="PG2" dataDxfId="206"/>
    <tableColumn id="5" xr3:uid="{571DE039-8A91-411A-8160-C1284A5DF605}" name="PG3" dataDxfId="205"/>
    <tableColumn id="6" xr3:uid="{51FEF340-66D3-4F00-8C19-4DE8B80E996D}" name="PG4" dataDxfId="20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C66662-AD6F-499E-85FB-4455502835EC}" name="Tabelle14" displayName="Tabelle14" ref="B20:H45" totalsRowShown="0" headerRowDxfId="203" dataDxfId="201" headerRowBorderDxfId="202" tableBorderDxfId="200">
  <tableColumns count="7">
    <tableColumn id="1" xr3:uid="{5F27BD57-EC3A-449E-94DA-8F19F8EA5225}" name="Panel" dataDxfId="199"/>
    <tableColumn id="7" xr3:uid="{34B84000-9431-415C-9582-29C26884922B}" name="Art. Nr." dataDxfId="198"/>
    <tableColumn id="2" xr3:uid="{2C826FF6-49FE-4AB0-BAA2-EE35FBEB87C5}" name="Breite / Tiefe" dataDxfId="197"/>
    <tableColumn id="3" xr3:uid="{02F4F36C-A085-41B5-A746-2179F785E50A}" name="PG1" dataDxfId="196"/>
    <tableColumn id="4" xr3:uid="{9B6A39D6-5CB4-4711-B66A-F04D209E1771}" name="PG3" dataDxfId="195"/>
    <tableColumn id="5" xr3:uid="{D82BEB50-2DF6-4A31-B6CF-641BE4B5ABDD}" name="PG2" dataDxfId="194"/>
    <tableColumn id="6" xr3:uid="{FADC581D-DEE1-455D-9CA5-C58E62B8343D}" name="PG4" dataDxfId="193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E0C351-B427-4673-B3B4-A76D55AA1A6B}" name="Tabelle1468" displayName="Tabelle1468" ref="B47:H75" totalsRowShown="0" headerRowDxfId="192" dataDxfId="190" headerRowBorderDxfId="191" tableBorderDxfId="189">
  <tableColumns count="7">
    <tableColumn id="1" xr3:uid="{772D0BB4-FA20-4B35-B126-E3A91428F9FB}" name="Panel" dataDxfId="188"/>
    <tableColumn id="7" xr3:uid="{028F8057-3C94-4619-89EC-DEA8CE781B26}" name="Art. Nr." dataDxfId="187"/>
    <tableColumn id="2" xr3:uid="{83D8D6EF-CAEE-44CC-8660-5B8D431E5B3C}" name="Breite / Tiefe" dataDxfId="186"/>
    <tableColumn id="3" xr3:uid="{A8E7252D-F2F5-48B5-8128-1810C01A772C}" name="PG1" dataDxfId="185"/>
    <tableColumn id="4" xr3:uid="{8E0976E7-45D0-45CA-90CF-F96C08237B94}" name="PG3" dataDxfId="184"/>
    <tableColumn id="5" xr3:uid="{8DE01BED-A72F-4E33-8F39-D17216586188}" name="PG2" dataDxfId="183"/>
    <tableColumn id="6" xr3:uid="{28333033-5057-4367-BC3F-C580853F3BB6}" name="PG4" dataDxfId="18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2335C4-279A-46D5-A9F9-CE53D884FD24}" name="Tabelle146816" displayName="Tabelle146816" ref="B77:H90" totalsRowShown="0" headerRowDxfId="181" dataDxfId="179" headerRowBorderDxfId="180" tableBorderDxfId="178">
  <tableColumns count="7">
    <tableColumn id="1" xr3:uid="{684460E2-B5C2-4F5F-94A8-401FFE412C10}" name="Panel" dataDxfId="177"/>
    <tableColumn id="7" xr3:uid="{72F65652-A264-4897-A028-16BF21C94ABE}" name="Art. Nr." dataDxfId="176"/>
    <tableColumn id="2" xr3:uid="{F0BA2E05-283E-4932-A18C-08F3E41382A2}" name="Breite / Tiefe" dataDxfId="175"/>
    <tableColumn id="3" xr3:uid="{83DAA733-911A-44F0-B830-5EEA70802583}" name="PG1" dataDxfId="174"/>
    <tableColumn id="4" xr3:uid="{A1025FC6-4B63-4315-8846-94BEC9794EC3}" name="PG3" dataDxfId="173"/>
    <tableColumn id="5" xr3:uid="{A3B23B55-3FAF-4B27-A365-E0AD9C4B178F}" name="PG2" dataDxfId="172"/>
    <tableColumn id="6" xr3:uid="{A5783880-32ED-46FC-8FB9-9E2016E31C48}" name="PG4" dataDxfId="17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DBD269-9E57-44DE-91CA-8657E35089E8}" name="Tabelle14681620" displayName="Tabelle14681620" ref="B92:H102" totalsRowShown="0" headerRowDxfId="170" dataDxfId="168" headerRowBorderDxfId="169" tableBorderDxfId="167">
  <tableColumns count="7">
    <tableColumn id="1" xr3:uid="{626D2D0B-413D-423C-B5B5-120D95C13C17}" name="Panel" dataDxfId="166"/>
    <tableColumn id="7" xr3:uid="{083177AD-85CC-4B90-A591-B75C58FFF63D}" name="Art. Nr." dataDxfId="165"/>
    <tableColumn id="2" xr3:uid="{4FCE6F34-1504-4853-8C92-DABA6F519FBB}" name="Breite / Tiefe" dataDxfId="164"/>
    <tableColumn id="3" xr3:uid="{E38F6684-5632-4868-885E-ED782CFC2505}" name="PG1" dataDxfId="163"/>
    <tableColumn id="4" xr3:uid="{FFE4CCB8-1BC3-45A4-AABC-B458F008B52B}" name="PG3" dataDxfId="162"/>
    <tableColumn id="5" xr3:uid="{FE1CD279-68A0-4E82-B242-43DF9296A1E5}" name="PG2" dataDxfId="161"/>
    <tableColumn id="6" xr3:uid="{98673960-E9B2-432C-AB53-ECFA8F43EB82}" name="PG4" dataDxfId="160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571D78-3559-4793-9C4C-ED505489E786}" name="Tabelle1468162022" displayName="Tabelle1468162022" ref="B104:H120" totalsRowShown="0" headerRowDxfId="159" dataDxfId="157" headerRowBorderDxfId="158" tableBorderDxfId="156">
  <tableColumns count="7">
    <tableColumn id="1" xr3:uid="{2E8A9C49-9FBE-4CE1-9549-BF15C9B094DF}" name="Panel" dataDxfId="155"/>
    <tableColumn id="7" xr3:uid="{E55D5709-8F07-4C2E-9481-351B4C7402D5}" name="Art. Nr." dataDxfId="154"/>
    <tableColumn id="2" xr3:uid="{F12F1C4D-23BE-4BEC-9E1A-D38091A91F54}" name="Breite / Tiefe" dataDxfId="153"/>
    <tableColumn id="3" xr3:uid="{99B995CE-F95A-4A3A-B320-C42348A8566F}" name="PG1" dataDxfId="152"/>
    <tableColumn id="4" xr3:uid="{585DB1ED-1A05-40C8-AEC2-653B6C3C3626}" name="PG3" dataDxfId="151"/>
    <tableColumn id="5" xr3:uid="{19939CB6-26EE-4244-B252-91FCD535D53A}" name="PG2" dataDxfId="150"/>
    <tableColumn id="6" xr3:uid="{B7CC268C-70F4-4BA9-9777-82078B004B33}" name="PG4" dataDxfId="14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EDF161-4F33-43A9-A25F-57F6AB16473E}" name="Tabelle146816202224" displayName="Tabelle146816202224" ref="B122:H138" totalsRowShown="0" headerRowDxfId="148" dataDxfId="146" headerRowBorderDxfId="147" tableBorderDxfId="145">
  <tableColumns count="7">
    <tableColumn id="1" xr3:uid="{379EEE92-DD68-48AC-BF1E-A3C41E5CDA94}" name="Panel" dataDxfId="144"/>
    <tableColumn id="7" xr3:uid="{83675F47-9415-486D-80F9-DCD16FE41D76}" name="Art. Nr." dataDxfId="143"/>
    <tableColumn id="2" xr3:uid="{93EE11C3-2CB3-4E07-AB0E-235A49646297}" name="Breite / Tiefe" dataDxfId="142"/>
    <tableColumn id="3" xr3:uid="{0D9B09BF-4C08-49FC-B0FA-50B67C44145D}" name="PG1" dataDxfId="141"/>
    <tableColumn id="4" xr3:uid="{D72C3880-21B8-4A70-A013-40602FF147D4}" name="PG3" dataDxfId="140"/>
    <tableColumn id="5" xr3:uid="{68E43761-2820-4D9E-9147-4B6C0D568BDB}" name="PG2" dataDxfId="139"/>
    <tableColumn id="6" xr3:uid="{1ACCBAB4-480D-4861-AA11-9A843FDE214B}" name="PG4" dataDxfId="13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3A5E39-C349-4908-86DC-4AC8A38CB29E}" name="Tabelle14681620222426" displayName="Tabelle14681620222426" ref="B140:H148" totalsRowShown="0" headerRowDxfId="137" dataDxfId="135" headerRowBorderDxfId="136" tableBorderDxfId="134">
  <tableColumns count="7">
    <tableColumn id="1" xr3:uid="{C1493F75-11A3-4C7F-8EBF-2A6BEFF4D373}" name="Panel" dataDxfId="133"/>
    <tableColumn id="7" xr3:uid="{87F5659D-D4FB-4674-8C83-19A14008D50E}" name="Art. Nr." dataDxfId="132"/>
    <tableColumn id="2" xr3:uid="{C0F38196-E8FC-404E-84B4-7000E2DC58D5}" name="Breite / Tiefe" dataDxfId="131"/>
    <tableColumn id="3" xr3:uid="{48ECD0E9-9BA6-43D6-BD87-60C3195E0BF6}" name="PG1" dataDxfId="130"/>
    <tableColumn id="4" xr3:uid="{3E5607F2-FD34-4DC5-9A6A-B49CDF818524}" name="PG3" dataDxfId="129"/>
    <tableColumn id="5" xr3:uid="{9A64593B-9B31-4B0A-BC64-FC3DAD444EE6}" name="PG2" dataDxfId="128"/>
    <tableColumn id="6" xr3:uid="{380F0713-1BB7-4403-B3CD-269403E6CE57}" name="PG4" dataDxfId="127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1544DC-7317-4E56-B43B-0CB2195BD2DA}" name="Tabelle16" displayName="Tabelle16" ref="J3:P18" totalsRowShown="0" headerRowDxfId="126" dataDxfId="124" headerRowBorderDxfId="125" tableBorderDxfId="123">
  <tableColumns count="7">
    <tableColumn id="1" xr3:uid="{284FAF43-729F-431A-9B37-1EAFB6C583F1}" name="Panel" dataDxfId="122"/>
    <tableColumn id="7" xr3:uid="{E966E2A5-A71F-4D66-9F61-D5BED1897CB8}" name="Art. Nr." dataDxfId="121"/>
    <tableColumn id="2" xr3:uid="{D8254346-ACF4-456B-8846-DCFA4239BA19}" name="Breite / Tiefe" dataDxfId="120"/>
    <tableColumn id="3" xr3:uid="{4832E540-5C29-4B91-BCDC-A83CD7010514}" name="PG1" dataDxfId="119"/>
    <tableColumn id="4" xr3:uid="{AA26F0F3-B0C6-4EEB-90D0-AA8135C6346C}" name="PG2" dataDxfId="118"/>
    <tableColumn id="5" xr3:uid="{827DDC49-3ECD-43FB-A4BD-A233EC820F28}" name="PG3" dataDxfId="117"/>
    <tableColumn id="6" xr3:uid="{506178B2-42AC-48CC-B498-6AA639A6DD0C}" name="PG4" dataDxfId="116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731483-8BD1-40EC-AA37-ED24F7A34567}" name="Tabelle1410" displayName="Tabelle1410" ref="J20:P45" totalsRowShown="0" headerRowDxfId="115" dataDxfId="113" headerRowBorderDxfId="114" tableBorderDxfId="112">
  <tableColumns count="7">
    <tableColumn id="1" xr3:uid="{1E4362D4-7AF8-43BA-A097-B2EF7EBC97FE}" name="Panel" dataDxfId="111"/>
    <tableColumn id="7" xr3:uid="{484E667E-A798-41A0-B1BE-6C909E901E48}" name="Art. Nr." dataDxfId="110"/>
    <tableColumn id="2" xr3:uid="{BEC38DD4-087D-4EE2-BDFB-7BA9BECC1384}" name="Breite / Tiefe" dataDxfId="109"/>
    <tableColumn id="3" xr3:uid="{DCD76346-884E-4511-9613-93B007B01FE4}" name="PG1" dataDxfId="108"/>
    <tableColumn id="4" xr3:uid="{51658D28-68A7-430E-904B-767C95E68BCA}" name="PG3" dataDxfId="107"/>
    <tableColumn id="5" xr3:uid="{01EF39EB-ED86-4AF2-8AF0-E3C391B39BC3}" name="PG2" dataDxfId="106"/>
    <tableColumn id="6" xr3:uid="{7742AA79-C1B5-4F90-99A4-20832C212081}" name="PG4" dataDxfId="105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871165-5AAD-4BF9-894C-58C87F9BB3B0}" name="Tabelle146812" displayName="Tabelle146812" ref="J47:P75" totalsRowShown="0" headerRowDxfId="104" dataDxfId="102" headerRowBorderDxfId="103" tableBorderDxfId="101">
  <tableColumns count="7">
    <tableColumn id="1" xr3:uid="{044CB5DE-A910-46A2-A125-31A8C4FEB7D8}" name="Panel" dataDxfId="100"/>
    <tableColumn id="7" xr3:uid="{4287F487-BE0C-4C4C-95C7-EC664D844185}" name="Art. Nr." dataDxfId="99"/>
    <tableColumn id="2" xr3:uid="{5B81220A-45AB-4A61-A24E-06939F304BBB}" name="Breite / Tiefe" dataDxfId="98"/>
    <tableColumn id="3" xr3:uid="{C46D89FB-F48A-467A-AC08-CD6E8EED113A}" name="PG1" dataDxfId="97"/>
    <tableColumn id="4" xr3:uid="{BD41612E-C2E1-417F-9743-1FA8A0587FED}" name="PG3" dataDxfId="96"/>
    <tableColumn id="5" xr3:uid="{5CB8B8EF-69B5-43C0-BAC2-46733FF5FC50}" name="PG2" dataDxfId="95"/>
    <tableColumn id="6" xr3:uid="{5EF4D6C4-2AB0-4262-8608-840D38128046}" name="PG4" dataDxfId="94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5B176D-28F1-43DC-BB8E-A843EC297709}" name="Tabelle14681614" displayName="Tabelle14681614" ref="J77:P90" totalsRowShown="0" headerRowDxfId="93" dataDxfId="91" headerRowBorderDxfId="92" tableBorderDxfId="90">
  <tableColumns count="7">
    <tableColumn id="1" xr3:uid="{5681B01A-C8CA-472E-97BC-57003F019E8B}" name="Panel" dataDxfId="89"/>
    <tableColumn id="7" xr3:uid="{E8DBFB1E-28A3-4E43-849C-9EDA5ECD2927}" name="Art. Nr." dataDxfId="88"/>
    <tableColumn id="2" xr3:uid="{910FFD84-C3CA-4C62-AB97-C3879ABBD49B}" name="Breite / Tiefe" dataDxfId="87"/>
    <tableColumn id="3" xr3:uid="{BFCDD7B2-021D-4355-8E0F-6EBEBB994D7C}" name="PG1" dataDxfId="86"/>
    <tableColumn id="4" xr3:uid="{16706492-E410-45A7-99FD-5216F2013D14}" name="PG3" dataDxfId="85"/>
    <tableColumn id="5" xr3:uid="{44FFCFE1-9986-4F29-815E-E52B97A3147F}" name="PG2" dataDxfId="84"/>
    <tableColumn id="6" xr3:uid="{B3276720-9FF4-418B-A94D-9AA874CC3C7E}" name="PG4" dataDxfId="83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BC7BA2-B2F4-4B94-A3AA-8B6974FA4BEF}" name="Tabelle1468162018" displayName="Tabelle1468162018" ref="J92:P102" totalsRowShown="0" headerRowDxfId="82" dataDxfId="80" headerRowBorderDxfId="81" tableBorderDxfId="79">
  <tableColumns count="7">
    <tableColumn id="1" xr3:uid="{820D7AA8-63EC-4B43-BD60-E86EC99CB425}" name="Panel" dataDxfId="78"/>
    <tableColumn id="7" xr3:uid="{BCDD51C0-193A-4438-BE4A-0E7A42B794D3}" name="Art. Nr." dataDxfId="77"/>
    <tableColumn id="2" xr3:uid="{84D36966-BD12-47C1-AEB2-4B1A6074A396}" name="Breite / Tiefe" dataDxfId="76"/>
    <tableColumn id="3" xr3:uid="{2ADCF50C-71F9-449C-A436-D532D99083E1}" name="PG1" dataDxfId="75"/>
    <tableColumn id="4" xr3:uid="{FB18399B-86A5-44AA-81F5-657D2FC7749B}" name="PG3" dataDxfId="74"/>
    <tableColumn id="5" xr3:uid="{0BC84954-89D7-4D0E-B4D8-2A826A3223E1}" name="PG2" dataDxfId="73"/>
    <tableColumn id="6" xr3:uid="{3CE3C77F-5261-426E-B1CC-A010CEC92FAE}" name="PG4" dataDxfId="7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394A00-48B1-4686-88BC-BE22AA909F51}" name="Tabelle146816202228" displayName="Tabelle146816202228" ref="J104:P120" totalsRowShown="0" headerRowDxfId="71" dataDxfId="69" headerRowBorderDxfId="70" tableBorderDxfId="68">
  <tableColumns count="7">
    <tableColumn id="1" xr3:uid="{6ABE1A5B-8F2A-49C2-8815-82BC5A78569C}" name="Panel" dataDxfId="67"/>
    <tableColumn id="7" xr3:uid="{B9E38E84-F821-423E-B823-74751A9B35EB}" name="Art. Nr." dataDxfId="66"/>
    <tableColumn id="2" xr3:uid="{DA049013-1499-4656-ADF9-7C87803F08BD}" name="Breite / Tiefe" dataDxfId="65"/>
    <tableColumn id="3" xr3:uid="{67419029-1DEC-40C6-8AD3-D62F3F7D0AB3}" name="PG1" dataDxfId="64"/>
    <tableColumn id="4" xr3:uid="{44EFCE5D-891A-4BFE-9D78-7E84DB92D18C}" name="PG3" dataDxfId="63"/>
    <tableColumn id="5" xr3:uid="{9C0C557B-0936-4299-AF49-8EAC673954E2}" name="PG2" dataDxfId="62"/>
    <tableColumn id="6" xr3:uid="{27182799-F2E6-4D09-B47B-4BF4C37ECCDE}" name="PG4" dataDxfId="6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8DF4FE-1F04-4DCE-8BE6-DAE1E4DA2044}" name="Tabelle14681620222430" displayName="Tabelle14681620222430" ref="J122:P138" totalsRowShown="0" headerRowDxfId="60" dataDxfId="58" headerRowBorderDxfId="59" tableBorderDxfId="57">
  <tableColumns count="7">
    <tableColumn id="1" xr3:uid="{EF5802B3-2370-49A5-B8E4-A6D5027E82F0}" name="Panel" dataDxfId="56"/>
    <tableColumn id="7" xr3:uid="{DFE839EC-3CB7-4F9D-B749-5CCC8450090A}" name="Art. Nr." dataDxfId="55"/>
    <tableColumn id="2" xr3:uid="{B9811EA1-12F7-435A-A98D-02A413E21A24}" name="Breite / Tiefe" dataDxfId="54"/>
    <tableColumn id="3" xr3:uid="{F3528594-9E9A-415D-9E3A-D31E70EE21B0}" name="PG1" dataDxfId="53"/>
    <tableColumn id="4" xr3:uid="{CDD5DC5B-942E-40FF-BDFC-CF72B16EF327}" name="PG3" dataDxfId="52"/>
    <tableColumn id="5" xr3:uid="{663F20C5-5865-4082-8923-11B127E13100}" name="PG2" dataDxfId="51"/>
    <tableColumn id="6" xr3:uid="{DBF86AF9-B41E-4C95-9D68-F56AA8D0E5F2}" name="PG4" dataDxfId="5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376CCFE-93FD-4A18-9B84-52EB025004B7}" name="Tabelle1468162022242632" displayName="Tabelle1468162022242632" ref="J140:P148" totalsRowShown="0" headerRowDxfId="49" dataDxfId="47" headerRowBorderDxfId="48" tableBorderDxfId="46">
  <tableColumns count="7">
    <tableColumn id="1" xr3:uid="{BE35DE37-FFE3-4DFC-B881-05E658158390}" name="Panel" dataDxfId="45"/>
    <tableColumn id="7" xr3:uid="{E9895019-448B-47E9-B0D2-E1807A676A25}" name="Art. Nr." dataDxfId="44"/>
    <tableColumn id="2" xr3:uid="{23DBA22D-2EB6-4A58-8417-2FD752AF4B9D}" name="Breite / Tiefe" dataDxfId="43"/>
    <tableColumn id="3" xr3:uid="{69BD1779-A028-48A8-8693-070B9FDFCF5F}" name="PG1" dataDxfId="42"/>
    <tableColumn id="4" xr3:uid="{9F1D1537-448A-408D-9F10-95AB7085BD30}" name="PG3" dataDxfId="41"/>
    <tableColumn id="5" xr3:uid="{6391438C-3A9F-4656-A740-0EBDF1E416BB}" name="PG2" dataDxfId="40"/>
    <tableColumn id="6" xr3:uid="{F5C49520-1369-40DB-AB28-0675C370519A}" name="PG4" dataDxfId="39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2277F-1C00-4DD2-B21D-CF9413EEC962}" name="Tbl_Profil46" displayName="Tbl_Profil46" ref="B6:H18" totalsRowShown="0" headerRowDxfId="38">
  <autoFilter ref="B6:H18" xr:uid="{C7E42962-6E04-4895-AC80-8B127994E339}"/>
  <tableColumns count="7">
    <tableColumn id="1" xr3:uid="{E6CABEEA-CE2F-4593-B04D-E92B33BAF674}" name="Bezeichnung" dataDxfId="37"/>
    <tableColumn id="2" xr3:uid="{2B111BEB-2EA5-4F4D-87CD-C50497F82CF2}" name="Länge (mm)" dataDxfId="36"/>
    <tableColumn id="3" xr3:uid="{0A5217E0-4AC4-4A0B-8DC9-2C4AA58382F6}" name="EK €"/>
    <tableColumn id="4" xr3:uid="{C6A31104-0006-483B-A859-8BAEEAC2D277}" name="Preis € alt" dataDxfId="35"/>
    <tableColumn id="5" xr3:uid="{D859D690-0572-495E-BD75-A56B6031E6D2}" name="Preis CHF alt" dataDxfId="34"/>
    <tableColumn id="6" xr3:uid="{06C2582F-9617-43CB-B3FF-BEDAE54F7B85}" name="Preis € neu" dataDxfId="33">
      <calculatedColumnFormula>ROUND(E7*(1+$C$2)^$E$2+$E$3,0)</calculatedColumnFormula>
    </tableColumn>
    <tableColumn id="7" xr3:uid="{D12F50FB-C4FB-4C1A-9DB5-712E38AFBEC8}" name="Preis CHF neu" dataDxfId="32">
      <calculatedColumnFormula>ROUND(G7*$G$2,0)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C68DAF7-9F26-4F6C-8964-462192A76EF6}" name="Tbl_Tischplatten" displayName="Tbl_Tischplatten" ref="B21:L32" totalsRowShown="0" headerRowDxfId="31" dataDxfId="30">
  <autoFilter ref="B21:L32" xr:uid="{CC59DDFC-2226-488B-9B63-D82E07CE6D48}"/>
  <tableColumns count="11">
    <tableColumn id="1" xr3:uid="{DCDDE090-3D2E-42B4-AF2C-86055EBA11D5}" name="Bezeichnung" dataDxfId="29"/>
    <tableColumn id="2" xr3:uid="{D4532227-7746-419A-AE3A-3EAA9585D391}" name="Tischname" dataDxfId="28"/>
    <tableColumn id="3" xr3:uid="{AE4E158A-9F60-43F4-B642-024B2D17A17D}" name="Breite (mm)" dataDxfId="27"/>
    <tableColumn id="4" xr3:uid="{1474AA45-F952-4C60-8ACD-A6BC907DF947}" name="Tiefe (mm)" dataDxfId="26"/>
    <tableColumn id="5" xr3:uid="{4CF431FC-32A7-4CC3-A8FB-B4FCA452162E}" name="Preis € alt" dataDxfId="25"/>
    <tableColumn id="6" xr3:uid="{EF96B98A-C7BD-4CE5-9922-AFEFA3B00E20}" name="Preis CHF alt" dataDxfId="24"/>
    <tableColumn id="7" xr3:uid="{08726474-09A1-4D53-B771-96A75A9012B4}" name="Preis € neu" dataDxfId="23">
      <calculatedColumnFormula>ROUND(F22*(1+$C$2)^$E$2+$G$3,0)</calculatedColumnFormula>
    </tableColumn>
    <tableColumn id="8" xr3:uid="{D454A651-1044-4765-9018-DD7D4D7CDF9F}" name="Preis CHF neu" dataDxfId="22">
      <calculatedColumnFormula>ROUND(H22*$G$2,0)</calculatedColumnFormula>
    </tableColumn>
    <tableColumn id="9" xr3:uid="{FE62A826-7C46-4BEF-9A09-A6F2B02FE9D2}" name="Preis Glas € alt" dataDxfId="21"/>
    <tableColumn id="10" xr3:uid="{2F744674-F250-41CA-A068-FFE328C81F09}" name="Preis Glas € neu" dataDxfId="20">
      <calculatedColumnFormula>ROUND(J22*(1+$C$2)^$E$2+$G$3,0)</calculatedColumnFormula>
    </tableColumn>
    <tableColumn id="11" xr3:uid="{EF0A17FC-B858-4629-8D6E-BA927C6DBE4B}" name="Preis Glas CHF neu" dataDxfId="19">
      <calculatedColumnFormula>ROUND(K22*$G$2,0)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F240D23-F337-4ABF-947D-BF67A8232E8D}" name="Tbl_Zubehoer" displayName="Tbl_Zubehoer" ref="B35:I38" totalsRowShown="0" headerRowDxfId="18">
  <autoFilter ref="B35:I38" xr:uid="{01DCE146-9949-40AD-8916-E0B41D1DDE34}"/>
  <tableColumns count="8">
    <tableColumn id="1" xr3:uid="{353BA565-D8C3-48C4-A14B-77485CF4832A}" name="Bezeichnung"/>
    <tableColumn id="2" xr3:uid="{8A001EE5-6160-4D79-90C2-15C0711AFA1A}" name="EK €"/>
    <tableColumn id="3" xr3:uid="{D08D580C-E8A4-47A7-B3AC-2AC6EC10FE12}" name="UVP € (excl. MwSt)" dataDxfId="17">
      <calculatedColumnFormula>ROUND(C36*$I36,0)</calculatedColumnFormula>
    </tableColumn>
    <tableColumn id="4" xr3:uid="{F5AA5237-A5CF-4CE9-AA94-186DD7223816}" name="UVP CHF (excl. MwSt)" dataDxfId="16">
      <calculatedColumnFormula>ROUND(D36*$G$2,0)</calculatedColumnFormula>
    </tableColumn>
    <tableColumn id="5" xr3:uid="{2FF650FF-BF71-44F9-BA1F-4C8802517852}" name="Händler-EK (×Rabatt)">
      <calculatedColumnFormula>D36*[1]Konfigurator!$C$22</calculatedColumnFormula>
    </tableColumn>
    <tableColumn id="6" xr3:uid="{E539E087-34FC-4AFD-82C0-F9A5537F7815}" name="DB €">
      <calculatedColumnFormula>F36-C36</calculatedColumnFormula>
    </tableColumn>
    <tableColumn id="7" xr3:uid="{2BA9B338-E4DE-402C-89A9-26D93745FDB5}" name="Marge">
      <calculatedColumnFormula>G36/C36</calculatedColumnFormula>
    </tableColumn>
    <tableColumn id="8" xr3:uid="{6AA4830B-6FC7-424F-B489-2AB83D2E275D}" name="Faktor UVP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33" dT="2026-04-02T13:27:46.71" personId="{35A15404-4186-4954-868A-41C7A7CCB036}" id="{50B26C82-56F6-4C23-B7C4-FF234D35EC78}">
    <text>⚠ Bezeichnung fehlt — bitte klären (S_0044, 780x180mm)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3" dT="2026-04-02T13:34:27.06" personId="{35A15404-4186-4954-868A-41C7A7CCB036}" id="{8BE1F804-D3C1-41B4-9D17-2F1758D5ED69}">
    <text>⚠ Größe nicht in Größentabelle — nicht im Webkonfigurator verfügbar</text>
  </threadedComment>
  <threadedComment ref="D214" dT="2026-04-02T13:34:27.09" personId="{35A15404-4186-4954-868A-41C7A7CCB036}" id="{E5BC733B-C7FD-4B31-91E1-6A1E13522B85}">
    <text>⚠ Größe nicht in Größentabelle — nicht im Webkonfigurator verfügbar</text>
  </threadedComment>
  <threadedComment ref="D215" dT="2026-04-02T13:34:27.11" personId="{35A15404-4186-4954-868A-41C7A7CCB036}" id="{6192ED16-94C1-48F9-AB33-4F6B01BD2B0E}">
    <text>⚠ Größe nicht in Größentabelle — nicht im Webkonfigurator verfügbar</text>
  </threadedComment>
  <threadedComment ref="D227" dT="2026-04-02T13:34:27.13" personId="{35A15404-4186-4954-868A-41C7A7CCB036}" id="{E82A13F2-F54B-4EFA-AA67-46E832443AF8}">
    <text>⚠ Größe nicht in Größentabelle — nicht im Webkonfigurator verfügbar</text>
  </threadedComment>
  <threadedComment ref="D228" dT="2026-04-02T13:34:27.16" personId="{35A15404-4186-4954-868A-41C7A7CCB036}" id="{E60CD92E-7849-4600-87C8-280ACBACB483}">
    <text>⚠ Größe nicht in Größentabelle — nicht im Webkonfigurator verfügbar</text>
  </threadedComment>
  <threadedComment ref="D251" dT="2026-04-02T13:34:27.17" personId="{35A15404-4186-4954-868A-41C7A7CCB036}" id="{6A9CE6F5-5404-4772-A4C9-3A32FE83AEEF}">
    <text>⚠ Größe nicht in Größentabelle — nicht im Webkonfigurator verfügbar</text>
  </threadedComment>
  <threadedComment ref="D252" dT="2026-04-02T13:34:27.19" personId="{35A15404-4186-4954-868A-41C7A7CCB036}" id="{938BA399-3418-4B69-B9FF-A148E2BB8668}">
    <text>⚠ Größe nicht in Größentabelle — nicht im Webkonfigurator verfügbar</text>
  </threadedComment>
  <threadedComment ref="D253" dT="2026-04-02T13:34:27.20" personId="{35A15404-4186-4954-868A-41C7A7CCB036}" id="{5EB52E27-F017-48E6-A186-E6A36C9FDE50}">
    <text>⚠ Größe nicht in Größentabelle — nicht im Webkonfigurator verfügbar</text>
  </threadedComment>
  <threadedComment ref="D254" dT="2026-04-02T13:34:27.21" personId="{35A15404-4186-4954-868A-41C7A7CCB036}" id="{77299F6E-DE4E-4495-A7D8-14BBF6BD0B6D}">
    <text>⚠ Größe nicht in Größentabelle — nicht im Webkonfigurator verfügbar</text>
  </threadedComment>
  <threadedComment ref="D255" dT="2026-04-02T13:34:27.23" personId="{35A15404-4186-4954-868A-41C7A7CCB036}" id="{D7440C73-1BBB-4C72-809F-56C63F0144B6}">
    <text>⚠ Größe nicht in Größentabelle — nicht im Webkonfigurator verfügbar</text>
  </threadedComment>
  <threadedComment ref="D256" dT="2026-04-02T13:34:27.24" personId="{35A15404-4186-4954-868A-41C7A7CCB036}" id="{266A1DE5-DEAD-42AC-8CD5-418BBB3D35CD}">
    <text>⚠ Größe nicht in Größentabelle — nicht im Webkonfigurator verfügbar</text>
  </threadedComment>
  <threadedComment ref="D257" dT="2026-04-02T13:34:27.31" personId="{35A15404-4186-4954-868A-41C7A7CCB036}" id="{701EF41F-C2A1-4627-BAC9-B68730DDE86D}">
    <text>⚠ Größe nicht in Größentabelle — nicht im Webkonfigurator verfügbar</text>
  </threadedComment>
  <threadedComment ref="D258" dT="2026-04-02T13:34:27.32" personId="{35A15404-4186-4954-868A-41C7A7CCB036}" id="{1C942C6C-D5EC-4431-9D8A-046E3031CC67}">
    <text>⚠ Größe nicht in Größentabelle — nicht im Webkonfigurator verfügbar</text>
  </threadedComment>
  <threadedComment ref="D259" dT="2026-04-02T13:34:27.33" personId="{35A15404-4186-4954-868A-41C7A7CCB036}" id="{2E787629-6DC5-46BB-8832-5C8371B827FD}">
    <text>⚠ Größe nicht in Größentabelle — nicht im Webkonfigurator verfügbar</text>
  </threadedComment>
  <threadedComment ref="D260" dT="2026-04-02T13:34:27.34" personId="{35A15404-4186-4954-868A-41C7A7CCB036}" id="{A4BF8222-8769-48B7-9967-84A4B0F2CA1B}">
    <text>⚠ Größe nicht in Größentabelle — nicht im Webkonfigurator verfügbar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6" dT="2026-04-02T10:36:12.95" personId="{35A15404-4186-4954-868A-41C7A7CCB036}" id="{3111F2A3-C2C0-4DF0-BE36-8351373D4F5A}">
    <text>Größen-Exponent (Exp) für PG1:
Formel: Preis = Basis × Faktor_effektiv × (Fläche m²)^(Exp − 1)
Exp = 1.0 → Preis proportional zur Fläche (neutral)
Exp &gt; 1.0 → große Teile überproportional teurer
Exp &lt; 1.0 → große Teile günstiger (Mengenrabatt-Effekt)
Beispiel: Platte 0.5 m² vs 1.0 m²
  Exp=1.0: Preis verdoppelt sich
  Exp=1.2: Preis ×2.15 (Aufschlag)
  Exp=0.8: Preis ×1.74 (Rabatt)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34" dT="2026-03-30T13:11:36.07" personId="{35A15404-4186-4954-868A-41C7A7CCB036}" id="{257FF2F1-0A54-4C56-843D-5606F6972402}">
    <text>⚠️ Tischprogramm-Werte nicht vergleichbar – Komplettsysteme vs. Einzelplatten!</text>
  </threadedComment>
  <threadedComment ref="A135" dT="2026-03-30T13:11:36.07" personId="{35A15404-4186-4954-868A-41C7A7CCB036}" id="{04C47F40-7CF6-4668-8E4B-C64BBBCE5FD2}">
    <text>⚠️ Tischprofile/platten nur bedingt vergleichbar!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B626B6-6F6D-4D66-BFFF-BC533B05840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2f4fc32-6153-4361-b851-459896f5107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5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88EE-BB71-4D9F-8EBF-B573B493FB3F}">
  <sheetPr>
    <tabColor rgb="FF2E75B6"/>
  </sheetPr>
  <dimension ref="A1:P282"/>
  <sheetViews>
    <sheetView topLeftCell="F1" workbookViewId="0">
      <pane ySplit="4" topLeftCell="A5" activePane="bottomLeft" state="frozen"/>
      <selection pane="bottomLeft" activeCell="T4" sqref="T4"/>
    </sheetView>
  </sheetViews>
  <sheetFormatPr baseColWidth="10" defaultRowHeight="15" x14ac:dyDescent="0.25"/>
  <cols>
    <col min="1" max="1" width="13.28515625" customWidth="1"/>
    <col min="2" max="2" width="24.7109375" customWidth="1"/>
    <col min="3" max="3" width="36.140625" customWidth="1"/>
    <col min="4" max="5" width="12.42578125" customWidth="1"/>
    <col min="6" max="6" width="13.28515625" customWidth="1"/>
    <col min="7" max="12" width="15.5703125" customWidth="1"/>
    <col min="13" max="15" width="17.140625" customWidth="1"/>
    <col min="16" max="16" width="13.7109375" customWidth="1"/>
  </cols>
  <sheetData>
    <row r="1" spans="1:16" ht="30" customHeight="1" x14ac:dyDescent="0.3">
      <c r="A1" s="433" t="s">
        <v>807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224"/>
      <c r="P1" s="224"/>
    </row>
    <row r="2" spans="1:16" ht="18" customHeight="1" x14ac:dyDescent="0.25">
      <c r="A2" s="435" t="s">
        <v>808</v>
      </c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225"/>
      <c r="P2" s="225"/>
    </row>
    <row r="3" spans="1:16" ht="9.9499999999999993" customHeight="1" thickBot="1" x14ac:dyDescent="0.3"/>
    <row r="4" spans="1:16" ht="36" customHeight="1" x14ac:dyDescent="0.25">
      <c r="A4" s="201" t="s">
        <v>525</v>
      </c>
      <c r="B4" s="201" t="s">
        <v>5</v>
      </c>
      <c r="C4" s="201" t="s">
        <v>6</v>
      </c>
      <c r="D4" s="201" t="s">
        <v>3</v>
      </c>
      <c r="E4" s="201" t="s">
        <v>526</v>
      </c>
      <c r="F4" s="201" t="s">
        <v>809</v>
      </c>
      <c r="G4" s="201" t="s">
        <v>810</v>
      </c>
      <c r="H4" s="201" t="s">
        <v>811</v>
      </c>
      <c r="I4" s="251" t="s">
        <v>812</v>
      </c>
      <c r="J4" s="226" t="s">
        <v>815</v>
      </c>
      <c r="K4" s="226" t="s">
        <v>816</v>
      </c>
      <c r="L4" s="226" t="s">
        <v>817</v>
      </c>
      <c r="M4" s="226" t="s">
        <v>818</v>
      </c>
      <c r="N4" s="226" t="s">
        <v>819</v>
      </c>
      <c r="O4" s="257" t="s">
        <v>820</v>
      </c>
      <c r="P4" s="258" t="s">
        <v>821</v>
      </c>
    </row>
    <row r="5" spans="1:16" x14ac:dyDescent="0.25">
      <c r="A5" s="202">
        <v>3000</v>
      </c>
      <c r="B5" s="203" t="str">
        <f>IFERROR(_xlfn.XLOOKUP(A5,Aktiv!$A:$A,Aktiv!$C:$C,"–"),"")</f>
        <v>Boden</v>
      </c>
      <c r="C5" s="203" t="str">
        <f>IFERROR(_xlfn.XLOOKUP(A5,Aktiv!$A:$A,Aktiv!$D:$D,"–"),"")</f>
        <v>Boden (360x360)</v>
      </c>
      <c r="D5" s="204">
        <f>IFERROR(_xlfn.XLOOKUP(A5,Aktiv!$A:$A,Aktiv!$E:$E,"–"),"")</f>
        <v>360</v>
      </c>
      <c r="E5" s="204">
        <f>IFERROR(_xlfn.XLOOKUP(A5,Aktiv!$A:$A,Aktiv!$F:$F,"–"),"")</f>
        <v>360</v>
      </c>
      <c r="F5" s="205">
        <f>IFERROR(_xlfn.XLOOKUP(A5,Aktiv!$A:$A,Aktiv!$G:$G,"–"),"")</f>
        <v>25</v>
      </c>
      <c r="G5" s="205">
        <f>IFERROR(_xlfn.XLOOKUP(A5,Aktiv!$A:$A,Aktiv!$H:$H,"–"),"")</f>
        <v>103</v>
      </c>
      <c r="H5" s="205">
        <f>IFERROR(_xlfn.XLOOKUP(A5,Aktiv!$A:$A,Aktiv!$I:$I,"–"),"")</f>
        <v>120</v>
      </c>
      <c r="I5" s="252">
        <f>IFERROR(_xlfn.XLOOKUP(A5,Aktiv!$A:$A,Aktiv!$J:$J,"–"),"")</f>
        <v>145</v>
      </c>
      <c r="J5" s="227">
        <f t="shared" ref="J5:J68" si="0">IFERROR(IF(OR(F5=0,G5=0,F5="",G5=""),"-",(G5-F5)/F5),"–")</f>
        <v>3.12</v>
      </c>
      <c r="K5" s="235">
        <f t="shared" ref="K5:K68" si="1">IFERROR(IF(OR(F5=0,H5=0,F5="",H5=""),"-",(H5-F5)/F5),"–")</f>
        <v>3.8</v>
      </c>
      <c r="L5" s="246">
        <f t="shared" ref="L5:L68" si="2">IFERROR(IF(OR(F5=0,I5=0,F5="",I5=""),"-",(I5-F5)/F5),"–")</f>
        <v>4.8</v>
      </c>
      <c r="M5" s="246">
        <f t="shared" ref="M5:M68" si="3">IFERROR(IF(OR(G5=0,H5=0,G5="",H5=""),"-",(H5-G5)/G5),"–")</f>
        <v>0.1650485436893204</v>
      </c>
      <c r="N5" s="246">
        <f t="shared" ref="N5:N68" si="4">IFERROR(IF(OR(G5=0,I5=0,G5="",I5=""),"-",(I5-G5)/G5),"–")</f>
        <v>0.40776699029126212</v>
      </c>
      <c r="O5" s="246">
        <f t="shared" ref="O5:O68" si="5">IFERROR(IF(OR(H5=0,I5=0,H5="",I5=""),"-",(I5-H5)/H5),"–")</f>
        <v>0.20833333333333334</v>
      </c>
      <c r="P5" s="252">
        <f t="shared" ref="P5:P68" si="6">IFERROR(ROUND(AVERAGEIF(F5:I5,"&lt;&gt;0"),0),"–")</f>
        <v>98</v>
      </c>
    </row>
    <row r="6" spans="1:16" x14ac:dyDescent="0.25">
      <c r="A6" s="192">
        <v>3001</v>
      </c>
      <c r="B6" s="189" t="str">
        <f>IFERROR(_xlfn.XLOOKUP(A6,Aktiv!$A:$A,Aktiv!$C:$C,"–"),"")</f>
        <v>Boden</v>
      </c>
      <c r="C6" s="189" t="str">
        <f>IFERROR(_xlfn.XLOOKUP(A6,Aktiv!$A:$A,Aktiv!$D:$D,"–"),"")</f>
        <v>Boden (420x360)</v>
      </c>
      <c r="D6" s="195">
        <f>IFERROR(_xlfn.XLOOKUP(A6,Aktiv!$A:$A,Aktiv!$E:$E,"–"),"")</f>
        <v>420</v>
      </c>
      <c r="E6" s="195">
        <f>IFERROR(_xlfn.XLOOKUP(A6,Aktiv!$A:$A,Aktiv!$F:$F,"–"),"")</f>
        <v>360</v>
      </c>
      <c r="F6" s="198">
        <f>IFERROR(_xlfn.XLOOKUP(A6,Aktiv!$A:$A,Aktiv!$G:$G,"–"),"")</f>
        <v>27</v>
      </c>
      <c r="G6" s="198">
        <f>IFERROR(_xlfn.XLOOKUP(A6,Aktiv!$A:$A,Aktiv!$H:$H,"–"),"")</f>
        <v>103</v>
      </c>
      <c r="H6" s="198">
        <f>IFERROR(_xlfn.XLOOKUP(A6,Aktiv!$A:$A,Aktiv!$I:$I,"–"),"")</f>
        <v>120</v>
      </c>
      <c r="I6" s="253">
        <f>IFERROR(_xlfn.XLOOKUP(A6,Aktiv!$A:$A,Aktiv!$J:$J,"–"),"")</f>
        <v>145</v>
      </c>
      <c r="J6" s="228">
        <f t="shared" si="0"/>
        <v>2.8148148148148149</v>
      </c>
      <c r="K6" s="236">
        <f t="shared" si="1"/>
        <v>3.4444444444444446</v>
      </c>
      <c r="L6" s="247">
        <f t="shared" si="2"/>
        <v>4.3703703703703702</v>
      </c>
      <c r="M6" s="247">
        <f t="shared" si="3"/>
        <v>0.1650485436893204</v>
      </c>
      <c r="N6" s="247">
        <f t="shared" si="4"/>
        <v>0.40776699029126212</v>
      </c>
      <c r="O6" s="247">
        <f t="shared" si="5"/>
        <v>0.20833333333333334</v>
      </c>
      <c r="P6" s="253">
        <f t="shared" si="6"/>
        <v>99</v>
      </c>
    </row>
    <row r="7" spans="1:16" x14ac:dyDescent="0.25">
      <c r="A7" s="192">
        <v>3002</v>
      </c>
      <c r="B7" s="189" t="str">
        <f>IFERROR(_xlfn.XLOOKUP(A7,Aktiv!$A:$A,Aktiv!$C:$C,"–"),"")</f>
        <v>Boden</v>
      </c>
      <c r="C7" s="189" t="str">
        <f>IFERROR(_xlfn.XLOOKUP(A7,Aktiv!$A:$A,Aktiv!$D:$D,"–"),"")</f>
        <v>Boden (580x360)</v>
      </c>
      <c r="D7" s="195">
        <f>IFERROR(_xlfn.XLOOKUP(A7,Aktiv!$A:$A,Aktiv!$E:$E,"–"),"")</f>
        <v>580</v>
      </c>
      <c r="E7" s="195">
        <f>IFERROR(_xlfn.XLOOKUP(A7,Aktiv!$A:$A,Aktiv!$F:$F,"–"),"")</f>
        <v>360</v>
      </c>
      <c r="F7" s="198">
        <f>IFERROR(_xlfn.XLOOKUP(A7,Aktiv!$A:$A,Aktiv!$G:$G,"–"),"")</f>
        <v>37</v>
      </c>
      <c r="G7" s="198">
        <f>IFERROR(_xlfn.XLOOKUP(A7,Aktiv!$A:$A,Aktiv!$H:$H,"–"),"")</f>
        <v>126</v>
      </c>
      <c r="H7" s="198">
        <f>IFERROR(_xlfn.XLOOKUP(A7,Aktiv!$A:$A,Aktiv!$I:$I,"–"),"")</f>
        <v>131</v>
      </c>
      <c r="I7" s="253">
        <f>IFERROR(_xlfn.XLOOKUP(A7,Aktiv!$A:$A,Aktiv!$J:$J,"–"),"")</f>
        <v>146</v>
      </c>
      <c r="J7" s="228">
        <f t="shared" si="0"/>
        <v>2.4054054054054053</v>
      </c>
      <c r="K7" s="236">
        <f t="shared" si="1"/>
        <v>2.5405405405405403</v>
      </c>
      <c r="L7" s="247">
        <f t="shared" si="2"/>
        <v>2.9459459459459461</v>
      </c>
      <c r="M7" s="247">
        <f t="shared" si="3"/>
        <v>3.968253968253968E-2</v>
      </c>
      <c r="N7" s="247">
        <f t="shared" si="4"/>
        <v>0.15873015873015872</v>
      </c>
      <c r="O7" s="247">
        <f t="shared" si="5"/>
        <v>0.11450381679389313</v>
      </c>
      <c r="P7" s="253">
        <f t="shared" si="6"/>
        <v>110</v>
      </c>
    </row>
    <row r="8" spans="1:16" x14ac:dyDescent="0.25">
      <c r="A8" s="192">
        <v>3003</v>
      </c>
      <c r="B8" s="189" t="str">
        <f>IFERROR(_xlfn.XLOOKUP(A8,Aktiv!$A:$A,Aktiv!$C:$C,"–"),"")</f>
        <v>Boden</v>
      </c>
      <c r="C8" s="189" t="str">
        <f>IFERROR(_xlfn.XLOOKUP(A8,Aktiv!$A:$A,Aktiv!$D:$D,"–"),"")</f>
        <v>Boden (780x360)</v>
      </c>
      <c r="D8" s="195">
        <f>IFERROR(_xlfn.XLOOKUP(A8,Aktiv!$A:$A,Aktiv!$E:$E,"–"),"")</f>
        <v>780</v>
      </c>
      <c r="E8" s="195">
        <f>IFERROR(_xlfn.XLOOKUP(A8,Aktiv!$A:$A,Aktiv!$F:$F,"–"),"")</f>
        <v>360</v>
      </c>
      <c r="F8" s="198">
        <f>IFERROR(_xlfn.XLOOKUP(A8,Aktiv!$A:$A,Aktiv!$G:$G,"–"),"")</f>
        <v>49</v>
      </c>
      <c r="G8" s="198">
        <f>IFERROR(_xlfn.XLOOKUP(A8,Aktiv!$A:$A,Aktiv!$H:$H,"–"),"")</f>
        <v>169</v>
      </c>
      <c r="H8" s="198">
        <f>IFERROR(_xlfn.XLOOKUP(A8,Aktiv!$A:$A,Aktiv!$I:$I,"–"),"")</f>
        <v>177</v>
      </c>
      <c r="I8" s="253">
        <f>IFERROR(_xlfn.XLOOKUP(A8,Aktiv!$A:$A,Aktiv!$J:$J,"–"),"")</f>
        <v>196</v>
      </c>
      <c r="J8" s="228">
        <f t="shared" si="0"/>
        <v>2.4489795918367347</v>
      </c>
      <c r="K8" s="237">
        <f t="shared" si="1"/>
        <v>2.6122448979591835</v>
      </c>
      <c r="L8" s="247">
        <f t="shared" si="2"/>
        <v>3</v>
      </c>
      <c r="M8" s="247">
        <f t="shared" si="3"/>
        <v>4.7337278106508875E-2</v>
      </c>
      <c r="N8" s="247">
        <f t="shared" si="4"/>
        <v>0.15976331360946747</v>
      </c>
      <c r="O8" s="247">
        <f t="shared" si="5"/>
        <v>0.10734463276836158</v>
      </c>
      <c r="P8" s="253">
        <f t="shared" si="6"/>
        <v>148</v>
      </c>
    </row>
    <row r="9" spans="1:16" x14ac:dyDescent="0.25">
      <c r="A9" s="192">
        <v>3004</v>
      </c>
      <c r="B9" s="189" t="str">
        <f>IFERROR(_xlfn.XLOOKUP(A9,Aktiv!$A:$A,Aktiv!$C:$C,"–"),"")</f>
        <v>Boden</v>
      </c>
      <c r="C9" s="189" t="str">
        <f>IFERROR(_xlfn.XLOOKUP(A9,Aktiv!$A:$A,Aktiv!$D:$D,"–"),"")</f>
        <v>Boden (980x360)</v>
      </c>
      <c r="D9" s="195">
        <f>IFERROR(_xlfn.XLOOKUP(A9,Aktiv!$A:$A,Aktiv!$E:$E,"–"),"")</f>
        <v>980</v>
      </c>
      <c r="E9" s="195">
        <f>IFERROR(_xlfn.XLOOKUP(A9,Aktiv!$A:$A,Aktiv!$F:$F,"–"),"")</f>
        <v>360</v>
      </c>
      <c r="F9" s="198">
        <f>IFERROR(_xlfn.XLOOKUP(A9,Aktiv!$A:$A,Aktiv!$G:$G,"–"),"")</f>
        <v>62</v>
      </c>
      <c r="G9" s="198">
        <f>IFERROR(_xlfn.XLOOKUP(A9,Aktiv!$A:$A,Aktiv!$H:$H,"–"),"")</f>
        <v>213</v>
      </c>
      <c r="H9" s="198">
        <f>IFERROR(_xlfn.XLOOKUP(A9,Aktiv!$A:$A,Aktiv!$I:$I,"–"),"")</f>
        <v>222</v>
      </c>
      <c r="I9" s="253">
        <f>IFERROR(_xlfn.XLOOKUP(A9,Aktiv!$A:$A,Aktiv!$J:$J,"–"),"")</f>
        <v>247</v>
      </c>
      <c r="J9" s="228">
        <f t="shared" si="0"/>
        <v>2.435483870967742</v>
      </c>
      <c r="K9" s="237">
        <f t="shared" si="1"/>
        <v>2.5806451612903225</v>
      </c>
      <c r="L9" s="247">
        <f t="shared" si="2"/>
        <v>2.9838709677419355</v>
      </c>
      <c r="M9" s="247">
        <f t="shared" si="3"/>
        <v>4.2253521126760563E-2</v>
      </c>
      <c r="N9" s="247">
        <f t="shared" si="4"/>
        <v>0.15962441314553991</v>
      </c>
      <c r="O9" s="247">
        <f t="shared" si="5"/>
        <v>0.11261261261261261</v>
      </c>
      <c r="P9" s="253">
        <f t="shared" si="6"/>
        <v>186</v>
      </c>
    </row>
    <row r="10" spans="1:16" x14ac:dyDescent="0.25">
      <c r="A10" s="192">
        <v>3005</v>
      </c>
      <c r="B10" s="189" t="str">
        <f>IFERROR(_xlfn.XLOOKUP(A10,Aktiv!$A:$A,Aktiv!$C:$C,"–"),"")</f>
        <v>Boden</v>
      </c>
      <c r="C10" s="189" t="str">
        <f>IFERROR(_xlfn.XLOOKUP(A10,Aktiv!$A:$A,Aktiv!$D:$D,"–"),"")</f>
        <v>Boden (360x580)</v>
      </c>
      <c r="D10" s="195">
        <f>IFERROR(_xlfn.XLOOKUP(A10,Aktiv!$A:$A,Aktiv!$E:$E,"–"),"")</f>
        <v>360</v>
      </c>
      <c r="E10" s="195">
        <f>IFERROR(_xlfn.XLOOKUP(A10,Aktiv!$A:$A,Aktiv!$F:$F,"–"),"")</f>
        <v>580</v>
      </c>
      <c r="F10" s="198">
        <f>IFERROR(_xlfn.XLOOKUP(A10,Aktiv!$A:$A,Aktiv!$G:$G,"–"),"")</f>
        <v>37</v>
      </c>
      <c r="G10" s="198">
        <f>IFERROR(_xlfn.XLOOKUP(A10,Aktiv!$A:$A,Aktiv!$H:$H,"–"),"")</f>
        <v>126</v>
      </c>
      <c r="H10" s="198">
        <f>IFERROR(_xlfn.XLOOKUP(A10,Aktiv!$A:$A,Aktiv!$I:$I,"–"),"")</f>
        <v>131</v>
      </c>
      <c r="I10" s="253">
        <f>IFERROR(_xlfn.XLOOKUP(A10,Aktiv!$A:$A,Aktiv!$J:$J,"–"),"")</f>
        <v>146</v>
      </c>
      <c r="J10" s="228">
        <f t="shared" si="0"/>
        <v>2.4054054054054053</v>
      </c>
      <c r="K10" s="236">
        <f t="shared" si="1"/>
        <v>2.5405405405405403</v>
      </c>
      <c r="L10" s="247">
        <f t="shared" si="2"/>
        <v>2.9459459459459461</v>
      </c>
      <c r="M10" s="247">
        <f t="shared" si="3"/>
        <v>3.968253968253968E-2</v>
      </c>
      <c r="N10" s="247">
        <f t="shared" si="4"/>
        <v>0.15873015873015872</v>
      </c>
      <c r="O10" s="247">
        <f t="shared" si="5"/>
        <v>0.11450381679389313</v>
      </c>
      <c r="P10" s="253">
        <f t="shared" si="6"/>
        <v>110</v>
      </c>
    </row>
    <row r="11" spans="1:16" x14ac:dyDescent="0.25">
      <c r="A11" s="192">
        <v>3006</v>
      </c>
      <c r="B11" s="189" t="str">
        <f>IFERROR(_xlfn.XLOOKUP(A11,Aktiv!$A:$A,Aktiv!$C:$C,"–"),"")</f>
        <v>Boden</v>
      </c>
      <c r="C11" s="189" t="str">
        <f>IFERROR(_xlfn.XLOOKUP(A11,Aktiv!$A:$A,Aktiv!$D:$D,"–"),"")</f>
        <v>Boden (420x580)</v>
      </c>
      <c r="D11" s="195">
        <f>IFERROR(_xlfn.XLOOKUP(A11,Aktiv!$A:$A,Aktiv!$E:$E,"–"),"")</f>
        <v>420</v>
      </c>
      <c r="E11" s="195">
        <f>IFERROR(_xlfn.XLOOKUP(A11,Aktiv!$A:$A,Aktiv!$F:$F,"–"),"")</f>
        <v>580</v>
      </c>
      <c r="F11" s="198">
        <f>IFERROR(_xlfn.XLOOKUP(A11,Aktiv!$A:$A,Aktiv!$G:$G,"–"),"")</f>
        <v>43</v>
      </c>
      <c r="G11" s="198">
        <f>IFERROR(_xlfn.XLOOKUP(A11,Aktiv!$A:$A,Aktiv!$H:$H,"–"),"")</f>
        <v>147</v>
      </c>
      <c r="H11" s="198">
        <f>IFERROR(_xlfn.XLOOKUP(A11,Aktiv!$A:$A,Aktiv!$I:$I,"–"),"")</f>
        <v>153</v>
      </c>
      <c r="I11" s="253">
        <f>IFERROR(_xlfn.XLOOKUP(A11,Aktiv!$A:$A,Aktiv!$J:$J,"–"),"")</f>
        <v>170</v>
      </c>
      <c r="J11" s="228">
        <f t="shared" si="0"/>
        <v>2.4186046511627906</v>
      </c>
      <c r="K11" s="237">
        <f t="shared" si="1"/>
        <v>2.558139534883721</v>
      </c>
      <c r="L11" s="247">
        <f t="shared" si="2"/>
        <v>2.9534883720930232</v>
      </c>
      <c r="M11" s="247">
        <f t="shared" si="3"/>
        <v>4.0816326530612242E-2</v>
      </c>
      <c r="N11" s="247">
        <f t="shared" si="4"/>
        <v>0.15646258503401361</v>
      </c>
      <c r="O11" s="247">
        <f t="shared" si="5"/>
        <v>0.1111111111111111</v>
      </c>
      <c r="P11" s="253">
        <f t="shared" si="6"/>
        <v>128</v>
      </c>
    </row>
    <row r="12" spans="1:16" x14ac:dyDescent="0.25">
      <c r="A12" s="192">
        <v>3007</v>
      </c>
      <c r="B12" s="189" t="str">
        <f>IFERROR(_xlfn.XLOOKUP(A12,Aktiv!$A:$A,Aktiv!$C:$C,"–"),"")</f>
        <v>Boden</v>
      </c>
      <c r="C12" s="189" t="str">
        <f>IFERROR(_xlfn.XLOOKUP(A12,Aktiv!$A:$A,Aktiv!$D:$D,"–"),"")</f>
        <v>Boden (580x580)</v>
      </c>
      <c r="D12" s="195">
        <f>IFERROR(_xlfn.XLOOKUP(A12,Aktiv!$A:$A,Aktiv!$E:$E,"–"),"")</f>
        <v>580</v>
      </c>
      <c r="E12" s="195">
        <f>IFERROR(_xlfn.XLOOKUP(A12,Aktiv!$A:$A,Aktiv!$F:$F,"–"),"")</f>
        <v>580</v>
      </c>
      <c r="F12" s="198">
        <f>IFERROR(_xlfn.XLOOKUP(A12,Aktiv!$A:$A,Aktiv!$G:$G,"–"),"")</f>
        <v>59</v>
      </c>
      <c r="G12" s="198">
        <f>IFERROR(_xlfn.XLOOKUP(A12,Aktiv!$A:$A,Aktiv!$H:$H,"–"),"")</f>
        <v>203</v>
      </c>
      <c r="H12" s="198">
        <f>IFERROR(_xlfn.XLOOKUP(A12,Aktiv!$A:$A,Aktiv!$I:$I,"–"),"")</f>
        <v>211</v>
      </c>
      <c r="I12" s="253">
        <f>IFERROR(_xlfn.XLOOKUP(A12,Aktiv!$A:$A,Aktiv!$J:$J,"–"),"")</f>
        <v>235</v>
      </c>
      <c r="J12" s="228">
        <f t="shared" si="0"/>
        <v>2.4406779661016951</v>
      </c>
      <c r="K12" s="237">
        <f t="shared" si="1"/>
        <v>2.5762711864406778</v>
      </c>
      <c r="L12" s="247">
        <f t="shared" si="2"/>
        <v>2.9830508474576272</v>
      </c>
      <c r="M12" s="247">
        <f t="shared" si="3"/>
        <v>3.9408866995073892E-2</v>
      </c>
      <c r="N12" s="247">
        <f t="shared" si="4"/>
        <v>0.15763546798029557</v>
      </c>
      <c r="O12" s="247">
        <f t="shared" si="5"/>
        <v>0.11374407582938388</v>
      </c>
      <c r="P12" s="253">
        <f t="shared" si="6"/>
        <v>177</v>
      </c>
    </row>
    <row r="13" spans="1:16" x14ac:dyDescent="0.25">
      <c r="A13" s="192">
        <v>3008</v>
      </c>
      <c r="B13" s="189" t="str">
        <f>IFERROR(_xlfn.XLOOKUP(A13,Aktiv!$A:$A,Aktiv!$C:$C,"–"),"")</f>
        <v>Boden</v>
      </c>
      <c r="C13" s="189" t="str">
        <f>IFERROR(_xlfn.XLOOKUP(A13,Aktiv!$A:$A,Aktiv!$D:$D,"–"),"")</f>
        <v>Boden (780x580)</v>
      </c>
      <c r="D13" s="195">
        <f>IFERROR(_xlfn.XLOOKUP(A13,Aktiv!$A:$A,Aktiv!$E:$E,"–"),"")</f>
        <v>780</v>
      </c>
      <c r="E13" s="195">
        <f>IFERROR(_xlfn.XLOOKUP(A13,Aktiv!$A:$A,Aktiv!$F:$F,"–"),"")</f>
        <v>580</v>
      </c>
      <c r="F13" s="198">
        <f>IFERROR(_xlfn.XLOOKUP(A13,Aktiv!$A:$A,Aktiv!$G:$G,"–"),"")</f>
        <v>80</v>
      </c>
      <c r="G13" s="198">
        <f>IFERROR(_xlfn.XLOOKUP(A13,Aktiv!$A:$A,Aktiv!$H:$H,"–"),"")</f>
        <v>273</v>
      </c>
      <c r="H13" s="198">
        <f>IFERROR(_xlfn.XLOOKUP(A13,Aktiv!$A:$A,Aktiv!$I:$I,"–"),"")</f>
        <v>284</v>
      </c>
      <c r="I13" s="253">
        <f>IFERROR(_xlfn.XLOOKUP(A13,Aktiv!$A:$A,Aktiv!$J:$J,"–"),"")</f>
        <v>316</v>
      </c>
      <c r="J13" s="228">
        <f t="shared" si="0"/>
        <v>2.4125000000000001</v>
      </c>
      <c r="K13" s="237">
        <f t="shared" si="1"/>
        <v>2.5499999999999998</v>
      </c>
      <c r="L13" s="247">
        <f t="shared" si="2"/>
        <v>2.95</v>
      </c>
      <c r="M13" s="247">
        <f t="shared" si="3"/>
        <v>4.0293040293040296E-2</v>
      </c>
      <c r="N13" s="247">
        <f t="shared" si="4"/>
        <v>0.1575091575091575</v>
      </c>
      <c r="O13" s="247">
        <f t="shared" si="5"/>
        <v>0.11267605633802817</v>
      </c>
      <c r="P13" s="253">
        <f t="shared" si="6"/>
        <v>238</v>
      </c>
    </row>
    <row r="14" spans="1:16" x14ac:dyDescent="0.25">
      <c r="A14" s="192">
        <v>3009</v>
      </c>
      <c r="B14" s="189" t="str">
        <f>IFERROR(_xlfn.XLOOKUP(A14,Aktiv!$A:$A,Aktiv!$C:$C,"–"),"")</f>
        <v>Boden</v>
      </c>
      <c r="C14" s="189" t="str">
        <f>IFERROR(_xlfn.XLOOKUP(A14,Aktiv!$A:$A,Aktiv!$D:$D,"–"),"")</f>
        <v>Boden (980x580)</v>
      </c>
      <c r="D14" s="195">
        <f>IFERROR(_xlfn.XLOOKUP(A14,Aktiv!$A:$A,Aktiv!$E:$E,"–"),"")</f>
        <v>980</v>
      </c>
      <c r="E14" s="195">
        <f>IFERROR(_xlfn.XLOOKUP(A14,Aktiv!$A:$A,Aktiv!$F:$F,"–"),"")</f>
        <v>580</v>
      </c>
      <c r="F14" s="198">
        <f>IFERROR(_xlfn.XLOOKUP(A14,Aktiv!$A:$A,Aktiv!$G:$G,"–"),"")</f>
        <v>100</v>
      </c>
      <c r="G14" s="198">
        <f>IFERROR(_xlfn.XLOOKUP(A14,Aktiv!$A:$A,Aktiv!$H:$H,"–"),"")</f>
        <v>343</v>
      </c>
      <c r="H14" s="198">
        <f>IFERROR(_xlfn.XLOOKUP(A14,Aktiv!$A:$A,Aktiv!$I:$I,"–"),"")</f>
        <v>357</v>
      </c>
      <c r="I14" s="253">
        <f>IFERROR(_xlfn.XLOOKUP(A14,Aktiv!$A:$A,Aktiv!$J:$J,"–"),"")</f>
        <v>398</v>
      </c>
      <c r="J14" s="228">
        <f t="shared" si="0"/>
        <v>2.4300000000000002</v>
      </c>
      <c r="K14" s="237">
        <f t="shared" si="1"/>
        <v>2.57</v>
      </c>
      <c r="L14" s="247">
        <f t="shared" si="2"/>
        <v>2.98</v>
      </c>
      <c r="M14" s="247">
        <f t="shared" si="3"/>
        <v>4.0816326530612242E-2</v>
      </c>
      <c r="N14" s="247">
        <f t="shared" si="4"/>
        <v>0.16034985422740525</v>
      </c>
      <c r="O14" s="247">
        <f t="shared" si="5"/>
        <v>0.11484593837535013</v>
      </c>
      <c r="P14" s="253">
        <f t="shared" si="6"/>
        <v>300</v>
      </c>
    </row>
    <row r="15" spans="1:16" x14ac:dyDescent="0.25">
      <c r="A15" s="192">
        <v>3010</v>
      </c>
      <c r="B15" s="189" t="str">
        <f>IFERROR(_xlfn.XLOOKUP(A15,Aktiv!$A:$A,Aktiv!$C:$C,"–"),"")</f>
        <v>Boden</v>
      </c>
      <c r="C15" s="189" t="str">
        <f>IFERROR(_xlfn.XLOOKUP(A15,Aktiv!$A:$A,Aktiv!$D:$D,"–"),"")</f>
        <v>Boden (780x780)</v>
      </c>
      <c r="D15" s="195">
        <f>IFERROR(_xlfn.XLOOKUP(A15,Aktiv!$A:$A,Aktiv!$E:$E,"–"),"")</f>
        <v>780</v>
      </c>
      <c r="E15" s="195">
        <f>IFERROR(_xlfn.XLOOKUP(A15,Aktiv!$A:$A,Aktiv!$F:$F,"–"),"")</f>
        <v>780</v>
      </c>
      <c r="F15" s="198">
        <f>IFERROR(_xlfn.XLOOKUP(A15,Aktiv!$A:$A,Aktiv!$G:$G,"–"),"")</f>
        <v>107</v>
      </c>
      <c r="G15" s="198">
        <f>IFERROR(_xlfn.XLOOKUP(A15,Aktiv!$A:$A,Aktiv!$H:$H,"–"),"")</f>
        <v>367</v>
      </c>
      <c r="H15" s="198">
        <f>IFERROR(_xlfn.XLOOKUP(A15,Aktiv!$A:$A,Aktiv!$I:$I,"–"),"")</f>
        <v>382</v>
      </c>
      <c r="I15" s="253">
        <f>IFERROR(_xlfn.XLOOKUP(A15,Aktiv!$A:$A,Aktiv!$J:$J,"–"),"")</f>
        <v>426</v>
      </c>
      <c r="J15" s="228">
        <f t="shared" si="0"/>
        <v>2.4299065420560746</v>
      </c>
      <c r="K15" s="238">
        <f t="shared" si="1"/>
        <v>2.5700934579439254</v>
      </c>
      <c r="L15" s="247">
        <f t="shared" si="2"/>
        <v>2.9813084112149535</v>
      </c>
      <c r="M15" s="247">
        <f t="shared" si="3"/>
        <v>4.0871934604904632E-2</v>
      </c>
      <c r="N15" s="247">
        <f t="shared" si="4"/>
        <v>0.16076294277929154</v>
      </c>
      <c r="O15" s="247">
        <f t="shared" si="5"/>
        <v>0.11518324607329843</v>
      </c>
      <c r="P15" s="253">
        <f t="shared" si="6"/>
        <v>321</v>
      </c>
    </row>
    <row r="16" spans="1:16" x14ac:dyDescent="0.25">
      <c r="A16" s="192">
        <v>3011</v>
      </c>
      <c r="B16" s="189" t="str">
        <f>IFERROR(_xlfn.XLOOKUP(A16,Aktiv!$A:$A,Aktiv!$C:$C,"–"),"")</f>
        <v>Boden</v>
      </c>
      <c r="C16" s="189" t="str">
        <f>IFERROR(_xlfn.XLOOKUP(A16,Aktiv!$A:$A,Aktiv!$D:$D,"–"),"")</f>
        <v>Boden (980x780)</v>
      </c>
      <c r="D16" s="195">
        <f>IFERROR(_xlfn.XLOOKUP(A16,Aktiv!$A:$A,Aktiv!$E:$E,"–"),"")</f>
        <v>980</v>
      </c>
      <c r="E16" s="195">
        <f>IFERROR(_xlfn.XLOOKUP(A16,Aktiv!$A:$A,Aktiv!$F:$F,"–"),"")</f>
        <v>780</v>
      </c>
      <c r="F16" s="198">
        <f>IFERROR(_xlfn.XLOOKUP(A16,Aktiv!$A:$A,Aktiv!$G:$G,"–"),"")</f>
        <v>135</v>
      </c>
      <c r="G16" s="198">
        <f>IFERROR(_xlfn.XLOOKUP(A16,Aktiv!$A:$A,Aktiv!$H:$H,"–"),"")</f>
        <v>461</v>
      </c>
      <c r="H16" s="198">
        <f>IFERROR(_xlfn.XLOOKUP(A16,Aktiv!$A:$A,Aktiv!$I:$I,"–"),"")</f>
        <v>480</v>
      </c>
      <c r="I16" s="253">
        <f>IFERROR(_xlfn.XLOOKUP(A16,Aktiv!$A:$A,Aktiv!$J:$J,"–"),"")</f>
        <v>535</v>
      </c>
      <c r="J16" s="228">
        <f t="shared" si="0"/>
        <v>2.414814814814815</v>
      </c>
      <c r="K16" s="237">
        <f t="shared" si="1"/>
        <v>2.5555555555555554</v>
      </c>
      <c r="L16" s="247">
        <f t="shared" si="2"/>
        <v>2.9629629629629628</v>
      </c>
      <c r="M16" s="247">
        <f t="shared" si="3"/>
        <v>4.1214750542299353E-2</v>
      </c>
      <c r="N16" s="247">
        <f t="shared" si="4"/>
        <v>0.16052060737527116</v>
      </c>
      <c r="O16" s="247">
        <f t="shared" si="5"/>
        <v>0.11458333333333333</v>
      </c>
      <c r="P16" s="253">
        <f t="shared" si="6"/>
        <v>403</v>
      </c>
    </row>
    <row r="17" spans="1:16" x14ac:dyDescent="0.25">
      <c r="A17" s="192">
        <v>3012</v>
      </c>
      <c r="B17" s="189" t="str">
        <f>IFERROR(_xlfn.XLOOKUP(A17,Aktiv!$A:$A,Aktiv!$C:$C,"–"),"")</f>
        <v>Boden</v>
      </c>
      <c r="C17" s="189" t="str">
        <f>IFERROR(_xlfn.XLOOKUP(A17,Aktiv!$A:$A,Aktiv!$D:$D,"–"),"")</f>
        <v>Boden (980x980)</v>
      </c>
      <c r="D17" s="195">
        <f>IFERROR(_xlfn.XLOOKUP(A17,Aktiv!$A:$A,Aktiv!$E:$E,"–"),"")</f>
        <v>980</v>
      </c>
      <c r="E17" s="195">
        <f>IFERROR(_xlfn.XLOOKUP(A17,Aktiv!$A:$A,Aktiv!$F:$F,"–"),"")</f>
        <v>980</v>
      </c>
      <c r="F17" s="198">
        <f>IFERROR(_xlfn.XLOOKUP(A17,Aktiv!$A:$A,Aktiv!$G:$G,"–"),"")</f>
        <v>169</v>
      </c>
      <c r="G17" s="198">
        <f>IFERROR(_xlfn.XLOOKUP(A17,Aktiv!$A:$A,Aktiv!$H:$H,"–"),"")</f>
        <v>580</v>
      </c>
      <c r="H17" s="198">
        <f>IFERROR(_xlfn.XLOOKUP(A17,Aktiv!$A:$A,Aktiv!$I:$I,"–"),"")</f>
        <v>604</v>
      </c>
      <c r="I17" s="253">
        <f>IFERROR(_xlfn.XLOOKUP(A17,Aktiv!$A:$A,Aktiv!$J:$J,"–"),"")</f>
        <v>672</v>
      </c>
      <c r="J17" s="228">
        <f t="shared" si="0"/>
        <v>2.4319526627218937</v>
      </c>
      <c r="K17" s="237">
        <f t="shared" si="1"/>
        <v>2.5739644970414202</v>
      </c>
      <c r="L17" s="247">
        <f t="shared" si="2"/>
        <v>2.9763313609467454</v>
      </c>
      <c r="M17" s="247">
        <f t="shared" si="3"/>
        <v>4.1379310344827586E-2</v>
      </c>
      <c r="N17" s="247">
        <f t="shared" si="4"/>
        <v>0.15862068965517243</v>
      </c>
      <c r="O17" s="247">
        <f t="shared" si="5"/>
        <v>0.11258278145695365</v>
      </c>
      <c r="P17" s="253">
        <f t="shared" si="6"/>
        <v>506</v>
      </c>
    </row>
    <row r="18" spans="1:16" x14ac:dyDescent="0.25">
      <c r="A18" s="192">
        <v>3013</v>
      </c>
      <c r="B18" s="189" t="str">
        <f>IFERROR(_xlfn.XLOOKUP(A18,Aktiv!$A:$A,Aktiv!$C:$C,"–"),"")</f>
        <v>Boden</v>
      </c>
      <c r="C18" s="189" t="str">
        <f>IFERROR(_xlfn.XLOOKUP(A18,Aktiv!$A:$A,Aktiv!$D:$D,"–"),"")</f>
        <v>Boden (420x780)</v>
      </c>
      <c r="D18" s="195">
        <f>IFERROR(_xlfn.XLOOKUP(A18,Aktiv!$A:$A,Aktiv!$E:$E,"–"),"")</f>
        <v>420</v>
      </c>
      <c r="E18" s="195">
        <f>IFERROR(_xlfn.XLOOKUP(A18,Aktiv!$A:$A,Aktiv!$F:$F,"–"),"")</f>
        <v>780</v>
      </c>
      <c r="F18" s="198">
        <f>IFERROR(_xlfn.XLOOKUP(A18,Aktiv!$A:$A,Aktiv!$G:$G,"–"),"")</f>
        <v>58</v>
      </c>
      <c r="G18" s="198">
        <f>IFERROR(_xlfn.XLOOKUP(A18,Aktiv!$A:$A,Aktiv!$H:$H,"–"),"")</f>
        <v>198</v>
      </c>
      <c r="H18" s="198">
        <f>IFERROR(_xlfn.XLOOKUP(A18,Aktiv!$A:$A,Aktiv!$I:$I,"–"),"")</f>
        <v>206</v>
      </c>
      <c r="I18" s="253">
        <f>IFERROR(_xlfn.XLOOKUP(A18,Aktiv!$A:$A,Aktiv!$J:$J,"–"),"")</f>
        <v>229</v>
      </c>
      <c r="J18" s="228">
        <f t="shared" si="0"/>
        <v>2.4137931034482758</v>
      </c>
      <c r="K18" s="237">
        <f t="shared" si="1"/>
        <v>2.5517241379310347</v>
      </c>
      <c r="L18" s="247">
        <f t="shared" si="2"/>
        <v>2.9482758620689653</v>
      </c>
      <c r="M18" s="247">
        <f t="shared" si="3"/>
        <v>4.0404040404040407E-2</v>
      </c>
      <c r="N18" s="247">
        <f t="shared" si="4"/>
        <v>0.15656565656565657</v>
      </c>
      <c r="O18" s="247">
        <f t="shared" si="5"/>
        <v>0.11165048543689321</v>
      </c>
      <c r="P18" s="253">
        <f t="shared" si="6"/>
        <v>173</v>
      </c>
    </row>
    <row r="19" spans="1:16" x14ac:dyDescent="0.25">
      <c r="A19" s="192">
        <v>3014</v>
      </c>
      <c r="B19" s="189" t="str">
        <f>IFERROR(_xlfn.XLOOKUP(A19,Aktiv!$A:$A,Aktiv!$C:$C,"–"),"")</f>
        <v>Boden</v>
      </c>
      <c r="C19" s="189" t="str">
        <f>IFERROR(_xlfn.XLOOKUP(A19,Aktiv!$A:$A,Aktiv!$D:$D,"–"),"")</f>
        <v>Boden (420x980)</v>
      </c>
      <c r="D19" s="195">
        <f>IFERROR(_xlfn.XLOOKUP(A19,Aktiv!$A:$A,Aktiv!$E:$E,"–"),"")</f>
        <v>420</v>
      </c>
      <c r="E19" s="195">
        <f>IFERROR(_xlfn.XLOOKUP(A19,Aktiv!$A:$A,Aktiv!$F:$F,"–"),"")</f>
        <v>980</v>
      </c>
      <c r="F19" s="198">
        <f>IFERROR(_xlfn.XLOOKUP(A19,Aktiv!$A:$A,Aktiv!$G:$G,"–"),"")</f>
        <v>72</v>
      </c>
      <c r="G19" s="198">
        <f>IFERROR(_xlfn.XLOOKUP(A19,Aktiv!$A:$A,Aktiv!$H:$H,"–"),"")</f>
        <v>248</v>
      </c>
      <c r="H19" s="198">
        <f>IFERROR(_xlfn.XLOOKUP(A19,Aktiv!$A:$A,Aktiv!$I:$I,"–"),"")</f>
        <v>259</v>
      </c>
      <c r="I19" s="253">
        <f>IFERROR(_xlfn.XLOOKUP(A19,Aktiv!$A:$A,Aktiv!$J:$J,"–"),"")</f>
        <v>288</v>
      </c>
      <c r="J19" s="228">
        <f t="shared" si="0"/>
        <v>2.4444444444444446</v>
      </c>
      <c r="K19" s="237">
        <f t="shared" si="1"/>
        <v>2.5972222222222223</v>
      </c>
      <c r="L19" s="247">
        <f t="shared" si="2"/>
        <v>3</v>
      </c>
      <c r="M19" s="247">
        <f t="shared" si="3"/>
        <v>4.4354838709677422E-2</v>
      </c>
      <c r="N19" s="247">
        <f t="shared" si="4"/>
        <v>0.16129032258064516</v>
      </c>
      <c r="O19" s="247">
        <f t="shared" si="5"/>
        <v>0.11196911196911197</v>
      </c>
      <c r="P19" s="253">
        <f t="shared" si="6"/>
        <v>217</v>
      </c>
    </row>
    <row r="20" spans="1:16" x14ac:dyDescent="0.25">
      <c r="A20" s="192" t="s">
        <v>25</v>
      </c>
      <c r="B20" s="189" t="str">
        <f>IFERROR(_xlfn.XLOOKUP(A20,Aktiv!$A:$A,Aktiv!$C:$C,"–"),"")</f>
        <v>Boden</v>
      </c>
      <c r="C20" s="189" t="str">
        <f>IFERROR(_xlfn.XLOOKUP(A20,Aktiv!$A:$A,Aktiv!$D:$D,"–"),"")</f>
        <v>Boden (420x420)</v>
      </c>
      <c r="D20" s="195">
        <f>IFERROR(_xlfn.XLOOKUP(A20,Aktiv!$A:$A,Aktiv!$E:$E,"–"),"")</f>
        <v>420</v>
      </c>
      <c r="E20" s="195">
        <f>IFERROR(_xlfn.XLOOKUP(A20,Aktiv!$A:$A,Aktiv!$F:$F,"–"),"")</f>
        <v>420</v>
      </c>
      <c r="F20" s="198">
        <f>IFERROR(_xlfn.XLOOKUP(A20,Aktiv!$A:$A,Aktiv!$G:$G,"–"),"")</f>
        <v>31</v>
      </c>
      <c r="G20" s="198">
        <f>IFERROR(_xlfn.XLOOKUP(A20,Aktiv!$A:$A,Aktiv!$H:$H,"–"),"")</f>
        <v>106</v>
      </c>
      <c r="H20" s="198">
        <f>IFERROR(_xlfn.XLOOKUP(A20,Aktiv!$A:$A,Aktiv!$I:$I,"–"),"")</f>
        <v>120</v>
      </c>
      <c r="I20" s="253">
        <f>IFERROR(_xlfn.XLOOKUP(A20,Aktiv!$A:$A,Aktiv!$J:$J,"–"),"")</f>
        <v>145</v>
      </c>
      <c r="J20" s="228">
        <f t="shared" si="0"/>
        <v>2.4193548387096775</v>
      </c>
      <c r="K20" s="237">
        <f t="shared" si="1"/>
        <v>2.870967741935484</v>
      </c>
      <c r="L20" s="247">
        <f t="shared" si="2"/>
        <v>3.6774193548387095</v>
      </c>
      <c r="M20" s="247">
        <f t="shared" si="3"/>
        <v>0.13207547169811321</v>
      </c>
      <c r="N20" s="247">
        <f t="shared" si="4"/>
        <v>0.36792452830188677</v>
      </c>
      <c r="O20" s="247">
        <f t="shared" si="5"/>
        <v>0.20833333333333334</v>
      </c>
      <c r="P20" s="253">
        <f t="shared" si="6"/>
        <v>101</v>
      </c>
    </row>
    <row r="21" spans="1:16" x14ac:dyDescent="0.25">
      <c r="A21" s="206">
        <v>5200</v>
      </c>
      <c r="B21" s="207" t="str">
        <f>IFERROR(_xlfn.XLOOKUP(A21,Aktiv!$A:$A,Aktiv!$C:$C,"–"),"")</f>
        <v>Doppeltür</v>
      </c>
      <c r="C21" s="207" t="str">
        <f>IFERROR(_xlfn.XLOOKUP(A21,Aktiv!$A:$A,Aktiv!$D:$D,"–"),"")</f>
        <v>Doppeltür (780x360)</v>
      </c>
      <c r="D21" s="208">
        <f>IFERROR(_xlfn.XLOOKUP(A21,Aktiv!$A:$A,Aktiv!$E:$E,"–"),"")</f>
        <v>780</v>
      </c>
      <c r="E21" s="208">
        <f>IFERROR(_xlfn.XLOOKUP(A21,Aktiv!$A:$A,Aktiv!$F:$F,"–"),"")</f>
        <v>360</v>
      </c>
      <c r="F21" s="209">
        <f>IFERROR(_xlfn.XLOOKUP(A21,Aktiv!$A:$A,Aktiv!$G:$G,"–"),"")</f>
        <v>212</v>
      </c>
      <c r="G21" s="209">
        <f>IFERROR(_xlfn.XLOOKUP(A21,Aktiv!$A:$A,Aktiv!$H:$H,"–"),"")</f>
        <v>300</v>
      </c>
      <c r="H21" s="209">
        <f>IFERROR(_xlfn.XLOOKUP(A21,Aktiv!$A:$A,Aktiv!$I:$I,"–"),"")</f>
        <v>316</v>
      </c>
      <c r="I21" s="254">
        <f>IFERROR(_xlfn.XLOOKUP(A21,Aktiv!$A:$A,Aktiv!$J:$J,"–"),"")</f>
        <v>697</v>
      </c>
      <c r="J21" s="229">
        <f t="shared" si="0"/>
        <v>0.41509433962264153</v>
      </c>
      <c r="K21" s="239">
        <f t="shared" si="1"/>
        <v>0.49056603773584906</v>
      </c>
      <c r="L21" s="248">
        <f t="shared" si="2"/>
        <v>2.2877358490566038</v>
      </c>
      <c r="M21" s="248">
        <f t="shared" si="3"/>
        <v>5.3333333333333337E-2</v>
      </c>
      <c r="N21" s="248">
        <f t="shared" si="4"/>
        <v>1.3233333333333333</v>
      </c>
      <c r="O21" s="248">
        <f t="shared" si="5"/>
        <v>1.2056962025316456</v>
      </c>
      <c r="P21" s="254">
        <f t="shared" si="6"/>
        <v>381</v>
      </c>
    </row>
    <row r="22" spans="1:16" x14ac:dyDescent="0.25">
      <c r="A22" s="193">
        <v>5201</v>
      </c>
      <c r="B22" s="190" t="str">
        <f>IFERROR(_xlfn.XLOOKUP(A22,Aktiv!$A:$A,Aktiv!$C:$C,"–"),"")</f>
        <v>Doppeltür</v>
      </c>
      <c r="C22" s="190" t="str">
        <f>IFERROR(_xlfn.XLOOKUP(A22,Aktiv!$A:$A,Aktiv!$D:$D,"–"),"")</f>
        <v>Doppeltür (780x720)</v>
      </c>
      <c r="D22" s="196">
        <f>IFERROR(_xlfn.XLOOKUP(A22,Aktiv!$A:$A,Aktiv!$E:$E,"–"),"")</f>
        <v>780</v>
      </c>
      <c r="E22" s="196">
        <f>IFERROR(_xlfn.XLOOKUP(A22,Aktiv!$A:$A,Aktiv!$F:$F,"–"),"")</f>
        <v>720</v>
      </c>
      <c r="F22" s="199">
        <f>IFERROR(_xlfn.XLOOKUP(A22,Aktiv!$A:$A,Aktiv!$G:$G,"–"),"")</f>
        <v>344</v>
      </c>
      <c r="G22" s="199">
        <f>IFERROR(_xlfn.XLOOKUP(A22,Aktiv!$A:$A,Aktiv!$H:$H,"–"),"")</f>
        <v>487</v>
      </c>
      <c r="H22" s="199">
        <f>IFERROR(_xlfn.XLOOKUP(A22,Aktiv!$A:$A,Aktiv!$I:$I,"–"),"")</f>
        <v>514</v>
      </c>
      <c r="I22" s="255">
        <f>IFERROR(_xlfn.XLOOKUP(A22,Aktiv!$A:$A,Aktiv!$J:$J,"–"),"")</f>
        <v>1132</v>
      </c>
      <c r="J22" s="230">
        <f t="shared" si="0"/>
        <v>0.41569767441860467</v>
      </c>
      <c r="K22" s="240">
        <f t="shared" si="1"/>
        <v>0.4941860465116279</v>
      </c>
      <c r="L22" s="249">
        <f t="shared" si="2"/>
        <v>2.2906976744186047</v>
      </c>
      <c r="M22" s="249">
        <f t="shared" si="3"/>
        <v>5.5441478439425054E-2</v>
      </c>
      <c r="N22" s="249">
        <f t="shared" si="4"/>
        <v>1.324435318275154</v>
      </c>
      <c r="O22" s="249">
        <f t="shared" si="5"/>
        <v>1.2023346303501945</v>
      </c>
      <c r="P22" s="255">
        <f t="shared" si="6"/>
        <v>619</v>
      </c>
    </row>
    <row r="23" spans="1:16" x14ac:dyDescent="0.25">
      <c r="A23" s="193">
        <v>5202</v>
      </c>
      <c r="B23" s="190" t="str">
        <f>IFERROR(_xlfn.XLOOKUP(A23,Aktiv!$A:$A,Aktiv!$C:$C,"–"),"")</f>
        <v>Doppeltür</v>
      </c>
      <c r="C23" s="190" t="str">
        <f>IFERROR(_xlfn.XLOOKUP(A23,Aktiv!$A:$A,Aktiv!$D:$D,"–"),"")</f>
        <v>Doppeltür (780x1080)</v>
      </c>
      <c r="D23" s="196">
        <f>IFERROR(_xlfn.XLOOKUP(A23,Aktiv!$A:$A,Aktiv!$E:$E,"–"),"")</f>
        <v>780</v>
      </c>
      <c r="E23" s="196">
        <f>IFERROR(_xlfn.XLOOKUP(A23,Aktiv!$A:$A,Aktiv!$F:$F,"–"),"")</f>
        <v>1080</v>
      </c>
      <c r="F23" s="199">
        <f>IFERROR(_xlfn.XLOOKUP(A23,Aktiv!$A:$A,Aktiv!$G:$G,"–"),"")</f>
        <v>456</v>
      </c>
      <c r="G23" s="199">
        <f>IFERROR(_xlfn.XLOOKUP(A23,Aktiv!$A:$A,Aktiv!$H:$H,"–"),"")</f>
        <v>646</v>
      </c>
      <c r="H23" s="199">
        <f>IFERROR(_xlfn.XLOOKUP(A23,Aktiv!$A:$A,Aktiv!$I:$I,"–"),"")</f>
        <v>682</v>
      </c>
      <c r="I23" s="255">
        <f>IFERROR(_xlfn.XLOOKUP(A23,Aktiv!$A:$A,Aktiv!$J:$J,"–"),"")</f>
        <v>1504</v>
      </c>
      <c r="J23" s="230">
        <f t="shared" si="0"/>
        <v>0.41666666666666669</v>
      </c>
      <c r="K23" s="240">
        <f t="shared" si="1"/>
        <v>0.49561403508771928</v>
      </c>
      <c r="L23" s="249">
        <f t="shared" si="2"/>
        <v>2.2982456140350878</v>
      </c>
      <c r="M23" s="249">
        <f t="shared" si="3"/>
        <v>5.5727554179566562E-2</v>
      </c>
      <c r="N23" s="249">
        <f t="shared" si="4"/>
        <v>1.3281733746130031</v>
      </c>
      <c r="O23" s="249">
        <f t="shared" si="5"/>
        <v>1.2052785923753666</v>
      </c>
      <c r="P23" s="255">
        <f t="shared" si="6"/>
        <v>822</v>
      </c>
    </row>
    <row r="24" spans="1:16" x14ac:dyDescent="0.25">
      <c r="A24" s="193">
        <v>5203</v>
      </c>
      <c r="B24" s="190" t="str">
        <f>IFERROR(_xlfn.XLOOKUP(A24,Aktiv!$A:$A,Aktiv!$C:$C,"–"),"")</f>
        <v>Doppeltür</v>
      </c>
      <c r="C24" s="190" t="str">
        <f>IFERROR(_xlfn.XLOOKUP(A24,Aktiv!$A:$A,Aktiv!$D:$D,"–"),"")</f>
        <v>Doppeltür (780x1440)</v>
      </c>
      <c r="D24" s="196">
        <f>IFERROR(_xlfn.XLOOKUP(A24,Aktiv!$A:$A,Aktiv!$E:$E,"–"),"")</f>
        <v>780</v>
      </c>
      <c r="E24" s="196">
        <f>IFERROR(_xlfn.XLOOKUP(A24,Aktiv!$A:$A,Aktiv!$F:$F,"–"),"")</f>
        <v>1440</v>
      </c>
      <c r="F24" s="199">
        <f>IFERROR(_xlfn.XLOOKUP(A24,Aktiv!$A:$A,Aktiv!$G:$G,"–"),"")</f>
        <v>558</v>
      </c>
      <c r="G24" s="199">
        <f>IFERROR(_xlfn.XLOOKUP(A24,Aktiv!$A:$A,Aktiv!$H:$H,"–"),"")</f>
        <v>790</v>
      </c>
      <c r="H24" s="199">
        <f>IFERROR(_xlfn.XLOOKUP(A24,Aktiv!$A:$A,Aktiv!$I:$I,"–"),"")</f>
        <v>834</v>
      </c>
      <c r="I24" s="255">
        <f>IFERROR(_xlfn.XLOOKUP(A24,Aktiv!$A:$A,Aktiv!$J:$J,"–"),"")</f>
        <v>1839</v>
      </c>
      <c r="J24" s="230">
        <f t="shared" si="0"/>
        <v>0.4157706093189964</v>
      </c>
      <c r="K24" s="240">
        <f t="shared" si="1"/>
        <v>0.4946236559139785</v>
      </c>
      <c r="L24" s="249">
        <f t="shared" si="2"/>
        <v>2.295698924731183</v>
      </c>
      <c r="M24" s="249">
        <f t="shared" si="3"/>
        <v>5.5696202531645568E-2</v>
      </c>
      <c r="N24" s="249">
        <f t="shared" si="4"/>
        <v>1.3278481012658228</v>
      </c>
      <c r="O24" s="249">
        <f t="shared" si="5"/>
        <v>1.2050359712230216</v>
      </c>
      <c r="P24" s="255">
        <f t="shared" si="6"/>
        <v>1005</v>
      </c>
    </row>
    <row r="25" spans="1:16" x14ac:dyDescent="0.25">
      <c r="A25" s="193">
        <v>5204</v>
      </c>
      <c r="B25" s="190" t="str">
        <f>IFERROR(_xlfn.XLOOKUP(A25,Aktiv!$A:$A,Aktiv!$C:$C,"–"),"")</f>
        <v>Doppeltür</v>
      </c>
      <c r="C25" s="190" t="str">
        <f>IFERROR(_xlfn.XLOOKUP(A25,Aktiv!$A:$A,Aktiv!$D:$D,"–"),"")</f>
        <v>Doppeltür (780x1800)</v>
      </c>
      <c r="D25" s="196">
        <f>IFERROR(_xlfn.XLOOKUP(A25,Aktiv!$A:$A,Aktiv!$E:$E,"–"),"")</f>
        <v>780</v>
      </c>
      <c r="E25" s="196">
        <f>IFERROR(_xlfn.XLOOKUP(A25,Aktiv!$A:$A,Aktiv!$F:$F,"–"),"")</f>
        <v>1800</v>
      </c>
      <c r="F25" s="199">
        <f>IFERROR(_xlfn.XLOOKUP(A25,Aktiv!$A:$A,Aktiv!$G:$G,"–"),"")</f>
        <v>653</v>
      </c>
      <c r="G25" s="199">
        <f>IFERROR(_xlfn.XLOOKUP(A25,Aktiv!$A:$A,Aktiv!$H:$H,"–"),"")</f>
        <v>924</v>
      </c>
      <c r="H25" s="199">
        <f>IFERROR(_xlfn.XLOOKUP(A25,Aktiv!$A:$A,Aktiv!$I:$I,"–"),"")</f>
        <v>975</v>
      </c>
      <c r="I25" s="255">
        <f>IFERROR(_xlfn.XLOOKUP(A25,Aktiv!$A:$A,Aktiv!$J:$J,"–"),"")</f>
        <v>2150</v>
      </c>
      <c r="J25" s="230">
        <f t="shared" si="0"/>
        <v>0.41500765696784075</v>
      </c>
      <c r="K25" s="241">
        <f t="shared" si="1"/>
        <v>0.49310872894333846</v>
      </c>
      <c r="L25" s="249">
        <f t="shared" si="2"/>
        <v>2.2924961715160794</v>
      </c>
      <c r="M25" s="249">
        <f t="shared" si="3"/>
        <v>5.5194805194805192E-2</v>
      </c>
      <c r="N25" s="249">
        <f t="shared" si="4"/>
        <v>1.3268398268398269</v>
      </c>
      <c r="O25" s="249">
        <f t="shared" si="5"/>
        <v>1.2051282051282051</v>
      </c>
      <c r="P25" s="255">
        <f t="shared" si="6"/>
        <v>1176</v>
      </c>
    </row>
    <row r="26" spans="1:16" x14ac:dyDescent="0.25">
      <c r="A26" s="193">
        <v>5205</v>
      </c>
      <c r="B26" s="190" t="str">
        <f>IFERROR(_xlfn.XLOOKUP(A26,Aktiv!$A:$A,Aktiv!$C:$C,"–"),"")</f>
        <v>Doppeltür</v>
      </c>
      <c r="C26" s="190" t="str">
        <f>IFERROR(_xlfn.XLOOKUP(A26,Aktiv!$A:$A,Aktiv!$D:$D,"–"),"")</f>
        <v>Doppeltür (980x360)</v>
      </c>
      <c r="D26" s="196">
        <f>IFERROR(_xlfn.XLOOKUP(A26,Aktiv!$A:$A,Aktiv!$E:$E,"–"),"")</f>
        <v>980</v>
      </c>
      <c r="E26" s="196">
        <f>IFERROR(_xlfn.XLOOKUP(A26,Aktiv!$A:$A,Aktiv!$F:$F,"–"),"")</f>
        <v>360</v>
      </c>
      <c r="F26" s="199">
        <f>IFERROR(_xlfn.XLOOKUP(A26,Aktiv!$A:$A,Aktiv!$G:$G,"–"),"")</f>
        <v>248</v>
      </c>
      <c r="G26" s="199">
        <f>IFERROR(_xlfn.XLOOKUP(A26,Aktiv!$A:$A,Aktiv!$H:$H,"–"),"")</f>
        <v>351</v>
      </c>
      <c r="H26" s="199">
        <f>IFERROR(_xlfn.XLOOKUP(A26,Aktiv!$A:$A,Aktiv!$I:$I,"–"),"")</f>
        <v>371</v>
      </c>
      <c r="I26" s="255">
        <f>IFERROR(_xlfn.XLOOKUP(A26,Aktiv!$A:$A,Aktiv!$J:$J,"–"),"")</f>
        <v>818</v>
      </c>
      <c r="J26" s="230">
        <f t="shared" si="0"/>
        <v>0.41532258064516131</v>
      </c>
      <c r="K26" s="240">
        <f t="shared" si="1"/>
        <v>0.49596774193548387</v>
      </c>
      <c r="L26" s="249">
        <f t="shared" si="2"/>
        <v>2.2983870967741935</v>
      </c>
      <c r="M26" s="249">
        <f t="shared" si="3"/>
        <v>5.6980056980056981E-2</v>
      </c>
      <c r="N26" s="249">
        <f t="shared" si="4"/>
        <v>1.3304843304843306</v>
      </c>
      <c r="O26" s="249">
        <f t="shared" si="5"/>
        <v>1.2048517520215634</v>
      </c>
      <c r="P26" s="255">
        <f t="shared" si="6"/>
        <v>447</v>
      </c>
    </row>
    <row r="27" spans="1:16" x14ac:dyDescent="0.25">
      <c r="A27" s="193">
        <v>5206</v>
      </c>
      <c r="B27" s="190" t="str">
        <f>IFERROR(_xlfn.XLOOKUP(A27,Aktiv!$A:$A,Aktiv!$C:$C,"–"),"")</f>
        <v>Doppeltür</v>
      </c>
      <c r="C27" s="190" t="str">
        <f>IFERROR(_xlfn.XLOOKUP(A27,Aktiv!$A:$A,Aktiv!$D:$D,"–"),"")</f>
        <v>Doppeltür (980x720)</v>
      </c>
      <c r="D27" s="196">
        <f>IFERROR(_xlfn.XLOOKUP(A27,Aktiv!$A:$A,Aktiv!$E:$E,"–"),"")</f>
        <v>980</v>
      </c>
      <c r="E27" s="196">
        <f>IFERROR(_xlfn.XLOOKUP(A27,Aktiv!$A:$A,Aktiv!$F:$F,"–"),"")</f>
        <v>720</v>
      </c>
      <c r="F27" s="199">
        <f>IFERROR(_xlfn.XLOOKUP(A27,Aktiv!$A:$A,Aktiv!$G:$G,"–"),"")</f>
        <v>403</v>
      </c>
      <c r="G27" s="199">
        <f>IFERROR(_xlfn.XLOOKUP(A27,Aktiv!$A:$A,Aktiv!$H:$H,"–"),"")</f>
        <v>571</v>
      </c>
      <c r="H27" s="199">
        <f>IFERROR(_xlfn.XLOOKUP(A27,Aktiv!$A:$A,Aktiv!$I:$I,"–"),"")</f>
        <v>602</v>
      </c>
      <c r="I27" s="255">
        <f>IFERROR(_xlfn.XLOOKUP(A27,Aktiv!$A:$A,Aktiv!$J:$J,"–"),"")</f>
        <v>1328</v>
      </c>
      <c r="J27" s="230">
        <f t="shared" si="0"/>
        <v>0.41687344913151364</v>
      </c>
      <c r="K27" s="240">
        <f t="shared" si="1"/>
        <v>0.49379652605459057</v>
      </c>
      <c r="L27" s="249">
        <f t="shared" si="2"/>
        <v>2.2952853598014888</v>
      </c>
      <c r="M27" s="249">
        <f t="shared" si="3"/>
        <v>5.4290718038528897E-2</v>
      </c>
      <c r="N27" s="249">
        <f t="shared" si="4"/>
        <v>1.3257443082311733</v>
      </c>
      <c r="O27" s="249">
        <f t="shared" si="5"/>
        <v>1.2059800664451827</v>
      </c>
      <c r="P27" s="255">
        <f t="shared" si="6"/>
        <v>726</v>
      </c>
    </row>
    <row r="28" spans="1:16" x14ac:dyDescent="0.25">
      <c r="A28" s="193">
        <v>5207</v>
      </c>
      <c r="B28" s="190" t="str">
        <f>IFERROR(_xlfn.XLOOKUP(A28,Aktiv!$A:$A,Aktiv!$C:$C,"–"),"")</f>
        <v>Doppeltür</v>
      </c>
      <c r="C28" s="190" t="str">
        <f>IFERROR(_xlfn.XLOOKUP(A28,Aktiv!$A:$A,Aktiv!$D:$D,"–"),"")</f>
        <v>Doppeltür (980x1080)</v>
      </c>
      <c r="D28" s="196">
        <f>IFERROR(_xlfn.XLOOKUP(A28,Aktiv!$A:$A,Aktiv!$E:$E,"–"),"")</f>
        <v>980</v>
      </c>
      <c r="E28" s="196">
        <f>IFERROR(_xlfn.XLOOKUP(A28,Aktiv!$A:$A,Aktiv!$F:$F,"–"),"")</f>
        <v>1080</v>
      </c>
      <c r="F28" s="199">
        <f>IFERROR(_xlfn.XLOOKUP(A28,Aktiv!$A:$A,Aktiv!$G:$G,"–"),"")</f>
        <v>536</v>
      </c>
      <c r="G28" s="199">
        <f>IFERROR(_xlfn.XLOOKUP(A28,Aktiv!$A:$A,Aktiv!$H:$H,"–"),"")</f>
        <v>758</v>
      </c>
      <c r="H28" s="199">
        <f>IFERROR(_xlfn.XLOOKUP(A28,Aktiv!$A:$A,Aktiv!$I:$I,"–"),"")</f>
        <v>800</v>
      </c>
      <c r="I28" s="255">
        <f>IFERROR(_xlfn.XLOOKUP(A28,Aktiv!$A:$A,Aktiv!$J:$J,"–"),"")</f>
        <v>1764</v>
      </c>
      <c r="J28" s="230">
        <f t="shared" si="0"/>
        <v>0.41417910447761191</v>
      </c>
      <c r="K28" s="240">
        <f t="shared" si="1"/>
        <v>0.4925373134328358</v>
      </c>
      <c r="L28" s="249">
        <f t="shared" si="2"/>
        <v>2.2910447761194028</v>
      </c>
      <c r="M28" s="249">
        <f t="shared" si="3"/>
        <v>5.5408970976253295E-2</v>
      </c>
      <c r="N28" s="249">
        <f t="shared" si="4"/>
        <v>1.3271767810026385</v>
      </c>
      <c r="O28" s="249">
        <f t="shared" si="5"/>
        <v>1.2050000000000001</v>
      </c>
      <c r="P28" s="255">
        <f t="shared" si="6"/>
        <v>965</v>
      </c>
    </row>
    <row r="29" spans="1:16" x14ac:dyDescent="0.25">
      <c r="A29" s="193">
        <v>5208</v>
      </c>
      <c r="B29" s="190" t="str">
        <f>IFERROR(_xlfn.XLOOKUP(A29,Aktiv!$A:$A,Aktiv!$C:$C,"–"),"")</f>
        <v>Doppeltür</v>
      </c>
      <c r="C29" s="190" t="str">
        <f>IFERROR(_xlfn.XLOOKUP(A29,Aktiv!$A:$A,Aktiv!$D:$D,"–"),"")</f>
        <v>Doppeltür (980x1440)</v>
      </c>
      <c r="D29" s="196">
        <f>IFERROR(_xlfn.XLOOKUP(A29,Aktiv!$A:$A,Aktiv!$E:$E,"–"),"")</f>
        <v>980</v>
      </c>
      <c r="E29" s="196">
        <f>IFERROR(_xlfn.XLOOKUP(A29,Aktiv!$A:$A,Aktiv!$F:$F,"–"),"")</f>
        <v>1440</v>
      </c>
      <c r="F29" s="199" t="str">
        <f>IFERROR(_xlfn.XLOOKUP(A29,Aktiv!$A:$A,Aktiv!$G:$G,"–"),"")</f>
        <v>-</v>
      </c>
      <c r="G29" s="199" t="str">
        <f>IFERROR(_xlfn.XLOOKUP(A29,Aktiv!$A:$A,Aktiv!$H:$H,"–"),"")</f>
        <v>-</v>
      </c>
      <c r="H29" s="199" t="str">
        <f>IFERROR(_xlfn.XLOOKUP(A29,Aktiv!$A:$A,Aktiv!$I:$I,"–"),"")</f>
        <v>-</v>
      </c>
      <c r="I29" s="255" t="str">
        <f>IFERROR(_xlfn.XLOOKUP(A29,Aktiv!$A:$A,Aktiv!$J:$J,"–"),"")</f>
        <v>-</v>
      </c>
      <c r="J29" s="230" t="str">
        <f t="shared" si="0"/>
        <v>–</v>
      </c>
      <c r="K29" s="240" t="str">
        <f t="shared" si="1"/>
        <v>–</v>
      </c>
      <c r="L29" s="249" t="str">
        <f t="shared" si="2"/>
        <v>–</v>
      </c>
      <c r="M29" s="249" t="str">
        <f t="shared" si="3"/>
        <v>–</v>
      </c>
      <c r="N29" s="249" t="str">
        <f t="shared" si="4"/>
        <v>–</v>
      </c>
      <c r="O29" s="249" t="str">
        <f t="shared" si="5"/>
        <v>–</v>
      </c>
      <c r="P29" s="255" t="str">
        <f t="shared" si="6"/>
        <v>–</v>
      </c>
    </row>
    <row r="30" spans="1:16" x14ac:dyDescent="0.25">
      <c r="A30" s="193">
        <v>5209</v>
      </c>
      <c r="B30" s="190" t="str">
        <f>IFERROR(_xlfn.XLOOKUP(A30,Aktiv!$A:$A,Aktiv!$C:$C,"–"),"")</f>
        <v>Doppeltür</v>
      </c>
      <c r="C30" s="190" t="str">
        <f>IFERROR(_xlfn.XLOOKUP(A30,Aktiv!$A:$A,Aktiv!$D:$D,"–"),"")</f>
        <v>Doppeltür (980x1800)</v>
      </c>
      <c r="D30" s="196">
        <f>IFERROR(_xlfn.XLOOKUP(A30,Aktiv!$A:$A,Aktiv!$E:$E,"–"),"")</f>
        <v>980</v>
      </c>
      <c r="E30" s="196">
        <f>IFERROR(_xlfn.XLOOKUP(A30,Aktiv!$A:$A,Aktiv!$F:$F,"–"),"")</f>
        <v>1800</v>
      </c>
      <c r="F30" s="199" t="str">
        <f>IFERROR(_xlfn.XLOOKUP(A30,Aktiv!$A:$A,Aktiv!$G:$G,"–"),"")</f>
        <v>-</v>
      </c>
      <c r="G30" s="199" t="str">
        <f>IFERROR(_xlfn.XLOOKUP(A30,Aktiv!$A:$A,Aktiv!$H:$H,"–"),"")</f>
        <v>-</v>
      </c>
      <c r="H30" s="199" t="str">
        <f>IFERROR(_xlfn.XLOOKUP(A30,Aktiv!$A:$A,Aktiv!$I:$I,"–"),"")</f>
        <v>-</v>
      </c>
      <c r="I30" s="255" t="str">
        <f>IFERROR(_xlfn.XLOOKUP(A30,Aktiv!$A:$A,Aktiv!$J:$J,"–"),"")</f>
        <v>-</v>
      </c>
      <c r="J30" s="230" t="str">
        <f t="shared" si="0"/>
        <v>–</v>
      </c>
      <c r="K30" s="240" t="str">
        <f t="shared" si="1"/>
        <v>–</v>
      </c>
      <c r="L30" s="249" t="str">
        <f t="shared" si="2"/>
        <v>–</v>
      </c>
      <c r="M30" s="249" t="str">
        <f t="shared" si="3"/>
        <v>–</v>
      </c>
      <c r="N30" s="249" t="str">
        <f t="shared" si="4"/>
        <v>–</v>
      </c>
      <c r="O30" s="249" t="str">
        <f t="shared" si="5"/>
        <v>–</v>
      </c>
      <c r="P30" s="255" t="str">
        <f t="shared" si="6"/>
        <v>–</v>
      </c>
    </row>
    <row r="31" spans="1:16" x14ac:dyDescent="0.25">
      <c r="A31" s="193">
        <v>5210</v>
      </c>
      <c r="B31" s="190" t="str">
        <f>IFERROR(_xlfn.XLOOKUP(A31,Aktiv!$A:$A,Aktiv!$C:$C,"–"),"")</f>
        <v>Doppeltür</v>
      </c>
      <c r="C31" s="190" t="str">
        <f>IFERROR(_xlfn.XLOOKUP(A31,Aktiv!$A:$A,Aktiv!$D:$D,"–"),"")</f>
        <v>Doppeltür (780x660)</v>
      </c>
      <c r="D31" s="196">
        <f>IFERROR(_xlfn.XLOOKUP(A31,Aktiv!$A:$A,Aktiv!$E:$E,"–"),"")</f>
        <v>780</v>
      </c>
      <c r="E31" s="196">
        <f>IFERROR(_xlfn.XLOOKUP(A31,Aktiv!$A:$A,Aktiv!$F:$F,"–"),"")</f>
        <v>660</v>
      </c>
      <c r="F31" s="199">
        <f>IFERROR(_xlfn.XLOOKUP(A31,Aktiv!$A:$A,Aktiv!$G:$G,"–"),"")</f>
        <v>323</v>
      </c>
      <c r="G31" s="199">
        <f>IFERROR(_xlfn.XLOOKUP(A31,Aktiv!$A:$A,Aktiv!$H:$H,"–"),"")</f>
        <v>458</v>
      </c>
      <c r="H31" s="199">
        <f>IFERROR(_xlfn.XLOOKUP(A31,Aktiv!$A:$A,Aktiv!$I:$I,"–"),"")</f>
        <v>483</v>
      </c>
      <c r="I31" s="255">
        <f>IFERROR(_xlfn.XLOOKUP(A31,Aktiv!$A:$A,Aktiv!$J:$J,"–"),"")</f>
        <v>1065</v>
      </c>
      <c r="J31" s="230">
        <f t="shared" si="0"/>
        <v>0.41795665634674922</v>
      </c>
      <c r="K31" s="240">
        <f t="shared" si="1"/>
        <v>0.49535603715170279</v>
      </c>
      <c r="L31" s="249">
        <f t="shared" si="2"/>
        <v>2.2972136222910216</v>
      </c>
      <c r="M31" s="249">
        <f t="shared" si="3"/>
        <v>5.458515283842795E-2</v>
      </c>
      <c r="N31" s="249">
        <f t="shared" si="4"/>
        <v>1.3253275109170306</v>
      </c>
      <c r="O31" s="249">
        <f t="shared" si="5"/>
        <v>1.2049689440993789</v>
      </c>
      <c r="P31" s="255">
        <f t="shared" si="6"/>
        <v>582</v>
      </c>
    </row>
    <row r="32" spans="1:16" x14ac:dyDescent="0.25">
      <c r="A32" s="202">
        <v>3750</v>
      </c>
      <c r="B32" s="203" t="str">
        <f>IFERROR(_xlfn.XLOOKUP(A32,Aktiv!$A:$A,Aktiv!$C:$C,"–"),"")</f>
        <v>Fachboden groß</v>
      </c>
      <c r="C32" s="203" t="str">
        <f>IFERROR(_xlfn.XLOOKUP(A32,Aktiv!$A:$A,Aktiv!$D:$D,"–"),"")</f>
        <v>Fachboden groß (360x360)</v>
      </c>
      <c r="D32" s="204">
        <f>IFERROR(_xlfn.XLOOKUP(A32,Aktiv!$A:$A,Aktiv!$E:$E,"–"),"")</f>
        <v>360</v>
      </c>
      <c r="E32" s="204">
        <f>IFERROR(_xlfn.XLOOKUP(A32,Aktiv!$A:$A,Aktiv!$F:$F,"–"),"")</f>
        <v>360</v>
      </c>
      <c r="F32" s="205">
        <f>IFERROR(_xlfn.XLOOKUP(A32,Aktiv!$A:$A,Aktiv!$G:$G,"–"),"")</f>
        <v>25</v>
      </c>
      <c r="G32" s="205">
        <f>IFERROR(_xlfn.XLOOKUP(A32,Aktiv!$A:$A,Aktiv!$H:$H,"–"),"")</f>
        <v>103</v>
      </c>
      <c r="H32" s="205">
        <f>IFERROR(_xlfn.XLOOKUP(A32,Aktiv!$A:$A,Aktiv!$I:$I,"–"),"")</f>
        <v>120</v>
      </c>
      <c r="I32" s="252">
        <f>IFERROR(_xlfn.XLOOKUP(A32,Aktiv!$A:$A,Aktiv!$J:$J,"–"),"")</f>
        <v>145</v>
      </c>
      <c r="J32" s="227">
        <f t="shared" si="0"/>
        <v>3.12</v>
      </c>
      <c r="K32" s="235">
        <f t="shared" si="1"/>
        <v>3.8</v>
      </c>
      <c r="L32" s="246">
        <f t="shared" si="2"/>
        <v>4.8</v>
      </c>
      <c r="M32" s="246">
        <f t="shared" si="3"/>
        <v>0.1650485436893204</v>
      </c>
      <c r="N32" s="246">
        <f t="shared" si="4"/>
        <v>0.40776699029126212</v>
      </c>
      <c r="O32" s="246">
        <f t="shared" si="5"/>
        <v>0.20833333333333334</v>
      </c>
      <c r="P32" s="252">
        <f t="shared" si="6"/>
        <v>98</v>
      </c>
    </row>
    <row r="33" spans="1:16" x14ac:dyDescent="0.25">
      <c r="A33" s="192">
        <v>3751</v>
      </c>
      <c r="B33" s="189" t="str">
        <f>IFERROR(_xlfn.XLOOKUP(A33,Aktiv!$A:$A,Aktiv!$C:$C,"–"),"")</f>
        <v>Fachboden groß</v>
      </c>
      <c r="C33" s="189" t="str">
        <f>IFERROR(_xlfn.XLOOKUP(A33,Aktiv!$A:$A,Aktiv!$D:$D,"–"),"")</f>
        <v>Fachboden groß (420x360)</v>
      </c>
      <c r="D33" s="195">
        <f>IFERROR(_xlfn.XLOOKUP(A33,Aktiv!$A:$A,Aktiv!$E:$E,"–"),"")</f>
        <v>420</v>
      </c>
      <c r="E33" s="195">
        <f>IFERROR(_xlfn.XLOOKUP(A33,Aktiv!$A:$A,Aktiv!$F:$F,"–"),"")</f>
        <v>360</v>
      </c>
      <c r="F33" s="198">
        <f>IFERROR(_xlfn.XLOOKUP(A33,Aktiv!$A:$A,Aktiv!$G:$G,"–"),"")</f>
        <v>27</v>
      </c>
      <c r="G33" s="198">
        <f>IFERROR(_xlfn.XLOOKUP(A33,Aktiv!$A:$A,Aktiv!$H:$H,"–"),"")</f>
        <v>103</v>
      </c>
      <c r="H33" s="198">
        <f>IFERROR(_xlfn.XLOOKUP(A33,Aktiv!$A:$A,Aktiv!$I:$I,"–"),"")</f>
        <v>120</v>
      </c>
      <c r="I33" s="253">
        <f>IFERROR(_xlfn.XLOOKUP(A33,Aktiv!$A:$A,Aktiv!$J:$J,"–"),"")</f>
        <v>145</v>
      </c>
      <c r="J33" s="228">
        <f t="shared" si="0"/>
        <v>2.8148148148148149</v>
      </c>
      <c r="K33" s="236">
        <f t="shared" si="1"/>
        <v>3.4444444444444446</v>
      </c>
      <c r="L33" s="247">
        <f t="shared" si="2"/>
        <v>4.3703703703703702</v>
      </c>
      <c r="M33" s="247">
        <f t="shared" si="3"/>
        <v>0.1650485436893204</v>
      </c>
      <c r="N33" s="247">
        <f t="shared" si="4"/>
        <v>0.40776699029126212</v>
      </c>
      <c r="O33" s="247">
        <f t="shared" si="5"/>
        <v>0.20833333333333334</v>
      </c>
      <c r="P33" s="253">
        <f t="shared" si="6"/>
        <v>99</v>
      </c>
    </row>
    <row r="34" spans="1:16" x14ac:dyDescent="0.25">
      <c r="A34" s="192">
        <v>3752</v>
      </c>
      <c r="B34" s="189" t="str">
        <f>IFERROR(_xlfn.XLOOKUP(A34,Aktiv!$A:$A,Aktiv!$C:$C,"–"),"")</f>
        <v>Fachboden groß</v>
      </c>
      <c r="C34" s="189" t="str">
        <f>IFERROR(_xlfn.XLOOKUP(A34,Aktiv!$A:$A,Aktiv!$D:$D,"–"),"")</f>
        <v>Fachboden groß (580x360)</v>
      </c>
      <c r="D34" s="195">
        <f>IFERROR(_xlfn.XLOOKUP(A34,Aktiv!$A:$A,Aktiv!$E:$E,"–"),"")</f>
        <v>580</v>
      </c>
      <c r="E34" s="195">
        <f>IFERROR(_xlfn.XLOOKUP(A34,Aktiv!$A:$A,Aktiv!$F:$F,"–"),"")</f>
        <v>360</v>
      </c>
      <c r="F34" s="198">
        <f>IFERROR(_xlfn.XLOOKUP(A34,Aktiv!$A:$A,Aktiv!$G:$G,"–"),"")</f>
        <v>37</v>
      </c>
      <c r="G34" s="198">
        <f>IFERROR(_xlfn.XLOOKUP(A34,Aktiv!$A:$A,Aktiv!$H:$H,"–"),"")</f>
        <v>126</v>
      </c>
      <c r="H34" s="198">
        <f>IFERROR(_xlfn.XLOOKUP(A34,Aktiv!$A:$A,Aktiv!$I:$I,"–"),"")</f>
        <v>131</v>
      </c>
      <c r="I34" s="253">
        <f>IFERROR(_xlfn.XLOOKUP(A34,Aktiv!$A:$A,Aktiv!$J:$J,"–"),"")</f>
        <v>146</v>
      </c>
      <c r="J34" s="228">
        <f t="shared" si="0"/>
        <v>2.4054054054054053</v>
      </c>
      <c r="K34" s="236">
        <f t="shared" si="1"/>
        <v>2.5405405405405403</v>
      </c>
      <c r="L34" s="247">
        <f t="shared" si="2"/>
        <v>2.9459459459459461</v>
      </c>
      <c r="M34" s="247">
        <f t="shared" si="3"/>
        <v>3.968253968253968E-2</v>
      </c>
      <c r="N34" s="247">
        <f t="shared" si="4"/>
        <v>0.15873015873015872</v>
      </c>
      <c r="O34" s="247">
        <f t="shared" si="5"/>
        <v>0.11450381679389313</v>
      </c>
      <c r="P34" s="253">
        <f t="shared" si="6"/>
        <v>110</v>
      </c>
    </row>
    <row r="35" spans="1:16" x14ac:dyDescent="0.25">
      <c r="A35" s="192">
        <v>3753</v>
      </c>
      <c r="B35" s="189" t="str">
        <f>IFERROR(_xlfn.XLOOKUP(A35,Aktiv!$A:$A,Aktiv!$C:$C,"–"),"")</f>
        <v>Fachboden groß</v>
      </c>
      <c r="C35" s="189" t="str">
        <f>IFERROR(_xlfn.XLOOKUP(A35,Aktiv!$A:$A,Aktiv!$D:$D,"–"),"")</f>
        <v>Fachboden groß (780x360)</v>
      </c>
      <c r="D35" s="195">
        <f>IFERROR(_xlfn.XLOOKUP(A35,Aktiv!$A:$A,Aktiv!$E:$E,"–"),"")</f>
        <v>780</v>
      </c>
      <c r="E35" s="195">
        <f>IFERROR(_xlfn.XLOOKUP(A35,Aktiv!$A:$A,Aktiv!$F:$F,"–"),"")</f>
        <v>360</v>
      </c>
      <c r="F35" s="198">
        <f>IFERROR(_xlfn.XLOOKUP(A35,Aktiv!$A:$A,Aktiv!$G:$G,"–"),"")</f>
        <v>49</v>
      </c>
      <c r="G35" s="198">
        <f>IFERROR(_xlfn.XLOOKUP(A35,Aktiv!$A:$A,Aktiv!$H:$H,"–"),"")</f>
        <v>169</v>
      </c>
      <c r="H35" s="198">
        <f>IFERROR(_xlfn.XLOOKUP(A35,Aktiv!$A:$A,Aktiv!$I:$I,"–"),"")</f>
        <v>177</v>
      </c>
      <c r="I35" s="253">
        <f>IFERROR(_xlfn.XLOOKUP(A35,Aktiv!$A:$A,Aktiv!$J:$J,"–"),"")</f>
        <v>196</v>
      </c>
      <c r="J35" s="228">
        <f t="shared" si="0"/>
        <v>2.4489795918367347</v>
      </c>
      <c r="K35" s="237">
        <f t="shared" si="1"/>
        <v>2.6122448979591835</v>
      </c>
      <c r="L35" s="247">
        <f t="shared" si="2"/>
        <v>3</v>
      </c>
      <c r="M35" s="247">
        <f t="shared" si="3"/>
        <v>4.7337278106508875E-2</v>
      </c>
      <c r="N35" s="247">
        <f t="shared" si="4"/>
        <v>0.15976331360946747</v>
      </c>
      <c r="O35" s="247">
        <f t="shared" si="5"/>
        <v>0.10734463276836158</v>
      </c>
      <c r="P35" s="253">
        <f t="shared" si="6"/>
        <v>148</v>
      </c>
    </row>
    <row r="36" spans="1:16" x14ac:dyDescent="0.25">
      <c r="A36" s="192">
        <v>3754</v>
      </c>
      <c r="B36" s="189" t="str">
        <f>IFERROR(_xlfn.XLOOKUP(A36,Aktiv!$A:$A,Aktiv!$C:$C,"–"),"")</f>
        <v>Fachboden groß</v>
      </c>
      <c r="C36" s="189" t="str">
        <f>IFERROR(_xlfn.XLOOKUP(A36,Aktiv!$A:$A,Aktiv!$D:$D,"–"),"")</f>
        <v>Fachboden groß (980x360)</v>
      </c>
      <c r="D36" s="195">
        <f>IFERROR(_xlfn.XLOOKUP(A36,Aktiv!$A:$A,Aktiv!$E:$E,"–"),"")</f>
        <v>980</v>
      </c>
      <c r="E36" s="195">
        <f>IFERROR(_xlfn.XLOOKUP(A36,Aktiv!$A:$A,Aktiv!$F:$F,"–"),"")</f>
        <v>360</v>
      </c>
      <c r="F36" s="198">
        <f>IFERROR(_xlfn.XLOOKUP(A36,Aktiv!$A:$A,Aktiv!$G:$G,"–"),"")</f>
        <v>62</v>
      </c>
      <c r="G36" s="198">
        <f>IFERROR(_xlfn.XLOOKUP(A36,Aktiv!$A:$A,Aktiv!$H:$H,"–"),"")</f>
        <v>213</v>
      </c>
      <c r="H36" s="198">
        <f>IFERROR(_xlfn.XLOOKUP(A36,Aktiv!$A:$A,Aktiv!$I:$I,"–"),"")</f>
        <v>222</v>
      </c>
      <c r="I36" s="253">
        <f>IFERROR(_xlfn.XLOOKUP(A36,Aktiv!$A:$A,Aktiv!$J:$J,"–"),"")</f>
        <v>247</v>
      </c>
      <c r="J36" s="228">
        <f t="shared" si="0"/>
        <v>2.435483870967742</v>
      </c>
      <c r="K36" s="237">
        <f t="shared" si="1"/>
        <v>2.5806451612903225</v>
      </c>
      <c r="L36" s="247">
        <f t="shared" si="2"/>
        <v>2.9838709677419355</v>
      </c>
      <c r="M36" s="247">
        <f t="shared" si="3"/>
        <v>4.2253521126760563E-2</v>
      </c>
      <c r="N36" s="247">
        <f t="shared" si="4"/>
        <v>0.15962441314553991</v>
      </c>
      <c r="O36" s="247">
        <f t="shared" si="5"/>
        <v>0.11261261261261261</v>
      </c>
      <c r="P36" s="253">
        <f t="shared" si="6"/>
        <v>186</v>
      </c>
    </row>
    <row r="37" spans="1:16" x14ac:dyDescent="0.25">
      <c r="A37" s="192">
        <v>3755</v>
      </c>
      <c r="B37" s="189" t="str">
        <f>IFERROR(_xlfn.XLOOKUP(A37,Aktiv!$A:$A,Aktiv!$C:$C,"–"),"")</f>
        <v>Fachboden groß</v>
      </c>
      <c r="C37" s="189" t="str">
        <f>IFERROR(_xlfn.XLOOKUP(A37,Aktiv!$A:$A,Aktiv!$D:$D,"–"),"")</f>
        <v>Fachboden groß (360x580)</v>
      </c>
      <c r="D37" s="195">
        <f>IFERROR(_xlfn.XLOOKUP(A37,Aktiv!$A:$A,Aktiv!$E:$E,"–"),"")</f>
        <v>360</v>
      </c>
      <c r="E37" s="195">
        <f>IFERROR(_xlfn.XLOOKUP(A37,Aktiv!$A:$A,Aktiv!$F:$F,"–"),"")</f>
        <v>580</v>
      </c>
      <c r="F37" s="198">
        <f>IFERROR(_xlfn.XLOOKUP(A37,Aktiv!$A:$A,Aktiv!$G:$G,"–"),"")</f>
        <v>37</v>
      </c>
      <c r="G37" s="198">
        <f>IFERROR(_xlfn.XLOOKUP(A37,Aktiv!$A:$A,Aktiv!$H:$H,"–"),"")</f>
        <v>126</v>
      </c>
      <c r="H37" s="198">
        <f>IFERROR(_xlfn.XLOOKUP(A37,Aktiv!$A:$A,Aktiv!$I:$I,"–"),"")</f>
        <v>131</v>
      </c>
      <c r="I37" s="253">
        <f>IFERROR(_xlfn.XLOOKUP(A37,Aktiv!$A:$A,Aktiv!$J:$J,"–"),"")</f>
        <v>146</v>
      </c>
      <c r="J37" s="228">
        <f t="shared" si="0"/>
        <v>2.4054054054054053</v>
      </c>
      <c r="K37" s="236">
        <f t="shared" si="1"/>
        <v>2.5405405405405403</v>
      </c>
      <c r="L37" s="247">
        <f t="shared" si="2"/>
        <v>2.9459459459459461</v>
      </c>
      <c r="M37" s="247">
        <f t="shared" si="3"/>
        <v>3.968253968253968E-2</v>
      </c>
      <c r="N37" s="247">
        <f t="shared" si="4"/>
        <v>0.15873015873015872</v>
      </c>
      <c r="O37" s="247">
        <f t="shared" si="5"/>
        <v>0.11450381679389313</v>
      </c>
      <c r="P37" s="253">
        <f t="shared" si="6"/>
        <v>110</v>
      </c>
    </row>
    <row r="38" spans="1:16" x14ac:dyDescent="0.25">
      <c r="A38" s="192">
        <v>3756</v>
      </c>
      <c r="B38" s="189" t="str">
        <f>IFERROR(_xlfn.XLOOKUP(A38,Aktiv!$A:$A,Aktiv!$C:$C,"–"),"")</f>
        <v>Fachboden groß</v>
      </c>
      <c r="C38" s="189" t="str">
        <f>IFERROR(_xlfn.XLOOKUP(A38,Aktiv!$A:$A,Aktiv!$D:$D,"–"),"")</f>
        <v>Fachboden groß (420x580)</v>
      </c>
      <c r="D38" s="195">
        <f>IFERROR(_xlfn.XLOOKUP(A38,Aktiv!$A:$A,Aktiv!$E:$E,"–"),"")</f>
        <v>420</v>
      </c>
      <c r="E38" s="195">
        <f>IFERROR(_xlfn.XLOOKUP(A38,Aktiv!$A:$A,Aktiv!$F:$F,"–"),"")</f>
        <v>580</v>
      </c>
      <c r="F38" s="198">
        <f>IFERROR(_xlfn.XLOOKUP(A38,Aktiv!$A:$A,Aktiv!$G:$G,"–"),"")</f>
        <v>43</v>
      </c>
      <c r="G38" s="198">
        <f>IFERROR(_xlfn.XLOOKUP(A38,Aktiv!$A:$A,Aktiv!$H:$H,"–"),"")</f>
        <v>147</v>
      </c>
      <c r="H38" s="198">
        <f>IFERROR(_xlfn.XLOOKUP(A38,Aktiv!$A:$A,Aktiv!$I:$I,"–"),"")</f>
        <v>153</v>
      </c>
      <c r="I38" s="253">
        <f>IFERROR(_xlfn.XLOOKUP(A38,Aktiv!$A:$A,Aktiv!$J:$J,"–"),"")</f>
        <v>170</v>
      </c>
      <c r="J38" s="228">
        <f t="shared" si="0"/>
        <v>2.4186046511627906</v>
      </c>
      <c r="K38" s="237">
        <f t="shared" si="1"/>
        <v>2.558139534883721</v>
      </c>
      <c r="L38" s="247">
        <f t="shared" si="2"/>
        <v>2.9534883720930232</v>
      </c>
      <c r="M38" s="247">
        <f t="shared" si="3"/>
        <v>4.0816326530612242E-2</v>
      </c>
      <c r="N38" s="247">
        <f t="shared" si="4"/>
        <v>0.15646258503401361</v>
      </c>
      <c r="O38" s="247">
        <f t="shared" si="5"/>
        <v>0.1111111111111111</v>
      </c>
      <c r="P38" s="253">
        <f t="shared" si="6"/>
        <v>128</v>
      </c>
    </row>
    <row r="39" spans="1:16" x14ac:dyDescent="0.25">
      <c r="A39" s="192">
        <v>3757</v>
      </c>
      <c r="B39" s="189" t="str">
        <f>IFERROR(_xlfn.XLOOKUP(A39,Aktiv!$A:$A,Aktiv!$C:$C,"–"),"")</f>
        <v>Fachboden groß</v>
      </c>
      <c r="C39" s="189" t="str">
        <f>IFERROR(_xlfn.XLOOKUP(A39,Aktiv!$A:$A,Aktiv!$D:$D,"–"),"")</f>
        <v>Fachboden groß (580x580)</v>
      </c>
      <c r="D39" s="195">
        <f>IFERROR(_xlfn.XLOOKUP(A39,Aktiv!$A:$A,Aktiv!$E:$E,"–"),"")</f>
        <v>580</v>
      </c>
      <c r="E39" s="195">
        <f>IFERROR(_xlfn.XLOOKUP(A39,Aktiv!$A:$A,Aktiv!$F:$F,"–"),"")</f>
        <v>580</v>
      </c>
      <c r="F39" s="198">
        <f>IFERROR(_xlfn.XLOOKUP(A39,Aktiv!$A:$A,Aktiv!$G:$G,"–"),"")</f>
        <v>59</v>
      </c>
      <c r="G39" s="198">
        <f>IFERROR(_xlfn.XLOOKUP(A39,Aktiv!$A:$A,Aktiv!$H:$H,"–"),"")</f>
        <v>203</v>
      </c>
      <c r="H39" s="198">
        <f>IFERROR(_xlfn.XLOOKUP(A39,Aktiv!$A:$A,Aktiv!$I:$I,"–"),"")</f>
        <v>211</v>
      </c>
      <c r="I39" s="253">
        <f>IFERROR(_xlfn.XLOOKUP(A39,Aktiv!$A:$A,Aktiv!$J:$J,"–"),"")</f>
        <v>235</v>
      </c>
      <c r="J39" s="228">
        <f t="shared" si="0"/>
        <v>2.4406779661016951</v>
      </c>
      <c r="K39" s="237">
        <f t="shared" si="1"/>
        <v>2.5762711864406778</v>
      </c>
      <c r="L39" s="247">
        <f t="shared" si="2"/>
        <v>2.9830508474576272</v>
      </c>
      <c r="M39" s="247">
        <f t="shared" si="3"/>
        <v>3.9408866995073892E-2</v>
      </c>
      <c r="N39" s="247">
        <f t="shared" si="4"/>
        <v>0.15763546798029557</v>
      </c>
      <c r="O39" s="247">
        <f t="shared" si="5"/>
        <v>0.11374407582938388</v>
      </c>
      <c r="P39" s="253">
        <f t="shared" si="6"/>
        <v>177</v>
      </c>
    </row>
    <row r="40" spans="1:16" x14ac:dyDescent="0.25">
      <c r="A40" s="192">
        <v>3758</v>
      </c>
      <c r="B40" s="189" t="str">
        <f>IFERROR(_xlfn.XLOOKUP(A40,Aktiv!$A:$A,Aktiv!$C:$C,"–"),"")</f>
        <v>Fachboden groß</v>
      </c>
      <c r="C40" s="189" t="str">
        <f>IFERROR(_xlfn.XLOOKUP(A40,Aktiv!$A:$A,Aktiv!$D:$D,"–"),"")</f>
        <v>Fachboden groß (780x580)</v>
      </c>
      <c r="D40" s="195">
        <f>IFERROR(_xlfn.XLOOKUP(A40,Aktiv!$A:$A,Aktiv!$E:$E,"–"),"")</f>
        <v>780</v>
      </c>
      <c r="E40" s="195">
        <f>IFERROR(_xlfn.XLOOKUP(A40,Aktiv!$A:$A,Aktiv!$F:$F,"–"),"")</f>
        <v>580</v>
      </c>
      <c r="F40" s="198">
        <f>IFERROR(_xlfn.XLOOKUP(A40,Aktiv!$A:$A,Aktiv!$G:$G,"–"),"")</f>
        <v>80</v>
      </c>
      <c r="G40" s="198">
        <f>IFERROR(_xlfn.XLOOKUP(A40,Aktiv!$A:$A,Aktiv!$H:$H,"–"),"")</f>
        <v>273</v>
      </c>
      <c r="H40" s="198">
        <f>IFERROR(_xlfn.XLOOKUP(A40,Aktiv!$A:$A,Aktiv!$I:$I,"–"),"")</f>
        <v>284</v>
      </c>
      <c r="I40" s="253">
        <f>IFERROR(_xlfn.XLOOKUP(A40,Aktiv!$A:$A,Aktiv!$J:$J,"–"),"")</f>
        <v>316</v>
      </c>
      <c r="J40" s="228">
        <f t="shared" si="0"/>
        <v>2.4125000000000001</v>
      </c>
      <c r="K40" s="237">
        <f t="shared" si="1"/>
        <v>2.5499999999999998</v>
      </c>
      <c r="L40" s="247">
        <f t="shared" si="2"/>
        <v>2.95</v>
      </c>
      <c r="M40" s="247">
        <f t="shared" si="3"/>
        <v>4.0293040293040296E-2</v>
      </c>
      <c r="N40" s="247">
        <f t="shared" si="4"/>
        <v>0.1575091575091575</v>
      </c>
      <c r="O40" s="247">
        <f t="shared" si="5"/>
        <v>0.11267605633802817</v>
      </c>
      <c r="P40" s="253">
        <f t="shared" si="6"/>
        <v>238</v>
      </c>
    </row>
    <row r="41" spans="1:16" x14ac:dyDescent="0.25">
      <c r="A41" s="192">
        <v>3759</v>
      </c>
      <c r="B41" s="189" t="str">
        <f>IFERROR(_xlfn.XLOOKUP(A41,Aktiv!$A:$A,Aktiv!$C:$C,"–"),"")</f>
        <v>Fachboden groß</v>
      </c>
      <c r="C41" s="189" t="str">
        <f>IFERROR(_xlfn.XLOOKUP(A41,Aktiv!$A:$A,Aktiv!$D:$D,"–"),"")</f>
        <v>Fachboden groß (980x580)</v>
      </c>
      <c r="D41" s="195">
        <f>IFERROR(_xlfn.XLOOKUP(A41,Aktiv!$A:$A,Aktiv!$E:$E,"–"),"")</f>
        <v>980</v>
      </c>
      <c r="E41" s="195">
        <f>IFERROR(_xlfn.XLOOKUP(A41,Aktiv!$A:$A,Aktiv!$F:$F,"–"),"")</f>
        <v>580</v>
      </c>
      <c r="F41" s="198">
        <f>IFERROR(_xlfn.XLOOKUP(A41,Aktiv!$A:$A,Aktiv!$G:$G,"–"),"")</f>
        <v>100</v>
      </c>
      <c r="G41" s="198">
        <f>IFERROR(_xlfn.XLOOKUP(A41,Aktiv!$A:$A,Aktiv!$H:$H,"–"),"")</f>
        <v>343</v>
      </c>
      <c r="H41" s="198">
        <f>IFERROR(_xlfn.XLOOKUP(A41,Aktiv!$A:$A,Aktiv!$I:$I,"–"),"")</f>
        <v>357</v>
      </c>
      <c r="I41" s="253">
        <f>IFERROR(_xlfn.XLOOKUP(A41,Aktiv!$A:$A,Aktiv!$J:$J,"–"),"")</f>
        <v>398</v>
      </c>
      <c r="J41" s="228">
        <f t="shared" si="0"/>
        <v>2.4300000000000002</v>
      </c>
      <c r="K41" s="237">
        <f t="shared" si="1"/>
        <v>2.57</v>
      </c>
      <c r="L41" s="247">
        <f t="shared" si="2"/>
        <v>2.98</v>
      </c>
      <c r="M41" s="247">
        <f t="shared" si="3"/>
        <v>4.0816326530612242E-2</v>
      </c>
      <c r="N41" s="247">
        <f t="shared" si="4"/>
        <v>0.16034985422740525</v>
      </c>
      <c r="O41" s="247">
        <f t="shared" si="5"/>
        <v>0.11484593837535013</v>
      </c>
      <c r="P41" s="253">
        <f t="shared" si="6"/>
        <v>300</v>
      </c>
    </row>
    <row r="42" spans="1:16" x14ac:dyDescent="0.25">
      <c r="A42" s="192">
        <v>3760</v>
      </c>
      <c r="B42" s="189" t="str">
        <f>IFERROR(_xlfn.XLOOKUP(A42,Aktiv!$A:$A,Aktiv!$C:$C,"–"),"")</f>
        <v>Fachboden groß</v>
      </c>
      <c r="C42" s="189" t="str">
        <f>IFERROR(_xlfn.XLOOKUP(A42,Aktiv!$A:$A,Aktiv!$D:$D,"–"),"")</f>
        <v>Fachboden groß (780x780)</v>
      </c>
      <c r="D42" s="195">
        <f>IFERROR(_xlfn.XLOOKUP(A42,Aktiv!$A:$A,Aktiv!$E:$E,"–"),"")</f>
        <v>780</v>
      </c>
      <c r="E42" s="195">
        <f>IFERROR(_xlfn.XLOOKUP(A42,Aktiv!$A:$A,Aktiv!$F:$F,"–"),"")</f>
        <v>780</v>
      </c>
      <c r="F42" s="198" t="str">
        <f>IFERROR(_xlfn.XLOOKUP(A42,Aktiv!$A:$A,Aktiv!$G:$G,"–"),"")</f>
        <v>-</v>
      </c>
      <c r="G42" s="198" t="str">
        <f>IFERROR(_xlfn.XLOOKUP(A42,Aktiv!$A:$A,Aktiv!$H:$H,"–"),"")</f>
        <v>-</v>
      </c>
      <c r="H42" s="198" t="str">
        <f>IFERROR(_xlfn.XLOOKUP(A42,Aktiv!$A:$A,Aktiv!$I:$I,"–"),"")</f>
        <v>-</v>
      </c>
      <c r="I42" s="253" t="str">
        <f>IFERROR(_xlfn.XLOOKUP(A42,Aktiv!$A:$A,Aktiv!$J:$J,"–"),"")</f>
        <v>-</v>
      </c>
      <c r="J42" s="228" t="str">
        <f t="shared" si="0"/>
        <v>–</v>
      </c>
      <c r="K42" s="238" t="str">
        <f t="shared" si="1"/>
        <v>–</v>
      </c>
      <c r="L42" s="247" t="str">
        <f t="shared" si="2"/>
        <v>–</v>
      </c>
      <c r="M42" s="247" t="str">
        <f t="shared" si="3"/>
        <v>–</v>
      </c>
      <c r="N42" s="247" t="str">
        <f t="shared" si="4"/>
        <v>–</v>
      </c>
      <c r="O42" s="247" t="str">
        <f t="shared" si="5"/>
        <v>–</v>
      </c>
      <c r="P42" s="253" t="str">
        <f t="shared" si="6"/>
        <v>–</v>
      </c>
    </row>
    <row r="43" spans="1:16" x14ac:dyDescent="0.25">
      <c r="A43" s="192">
        <v>3761</v>
      </c>
      <c r="B43" s="189" t="str">
        <f>IFERROR(_xlfn.XLOOKUP(A43,Aktiv!$A:$A,Aktiv!$C:$C,"–"),"")</f>
        <v>Fachboden groß</v>
      </c>
      <c r="C43" s="189" t="str">
        <f>IFERROR(_xlfn.XLOOKUP(A43,Aktiv!$A:$A,Aktiv!$D:$D,"–"),"")</f>
        <v>Fachboden groß (980x780)</v>
      </c>
      <c r="D43" s="195">
        <f>IFERROR(_xlfn.XLOOKUP(A43,Aktiv!$A:$A,Aktiv!$E:$E,"–"),"")</f>
        <v>980</v>
      </c>
      <c r="E43" s="195">
        <f>IFERROR(_xlfn.XLOOKUP(A43,Aktiv!$A:$A,Aktiv!$F:$F,"–"),"")</f>
        <v>780</v>
      </c>
      <c r="F43" s="198" t="str">
        <f>IFERROR(_xlfn.XLOOKUP(A43,Aktiv!$A:$A,Aktiv!$G:$G,"–"),"")</f>
        <v>-</v>
      </c>
      <c r="G43" s="198" t="str">
        <f>IFERROR(_xlfn.XLOOKUP(A43,Aktiv!$A:$A,Aktiv!$H:$H,"–"),"")</f>
        <v>-</v>
      </c>
      <c r="H43" s="198" t="str">
        <f>IFERROR(_xlfn.XLOOKUP(A43,Aktiv!$A:$A,Aktiv!$I:$I,"–"),"")</f>
        <v>-</v>
      </c>
      <c r="I43" s="253" t="str">
        <f>IFERROR(_xlfn.XLOOKUP(A43,Aktiv!$A:$A,Aktiv!$J:$J,"–"),"")</f>
        <v>-</v>
      </c>
      <c r="J43" s="228" t="str">
        <f t="shared" si="0"/>
        <v>–</v>
      </c>
      <c r="K43" s="237" t="str">
        <f t="shared" si="1"/>
        <v>–</v>
      </c>
      <c r="L43" s="247" t="str">
        <f t="shared" si="2"/>
        <v>–</v>
      </c>
      <c r="M43" s="247" t="str">
        <f t="shared" si="3"/>
        <v>–</v>
      </c>
      <c r="N43" s="247" t="str">
        <f t="shared" si="4"/>
        <v>–</v>
      </c>
      <c r="O43" s="247" t="str">
        <f t="shared" si="5"/>
        <v>–</v>
      </c>
      <c r="P43" s="253" t="str">
        <f t="shared" si="6"/>
        <v>–</v>
      </c>
    </row>
    <row r="44" spans="1:16" x14ac:dyDescent="0.25">
      <c r="A44" s="192">
        <v>3762</v>
      </c>
      <c r="B44" s="189" t="str">
        <f>IFERROR(_xlfn.XLOOKUP(A44,Aktiv!$A:$A,Aktiv!$C:$C,"–"),"")</f>
        <v>Fachboden groß</v>
      </c>
      <c r="C44" s="189" t="str">
        <f>IFERROR(_xlfn.XLOOKUP(A44,Aktiv!$A:$A,Aktiv!$D:$D,"–"),"")</f>
        <v>Fachboden groß (980x980)</v>
      </c>
      <c r="D44" s="195">
        <f>IFERROR(_xlfn.XLOOKUP(A44,Aktiv!$A:$A,Aktiv!$E:$E,"–"),"")</f>
        <v>980</v>
      </c>
      <c r="E44" s="195">
        <f>IFERROR(_xlfn.XLOOKUP(A44,Aktiv!$A:$A,Aktiv!$F:$F,"–"),"")</f>
        <v>980</v>
      </c>
      <c r="F44" s="198" t="str">
        <f>IFERROR(_xlfn.XLOOKUP(A44,Aktiv!$A:$A,Aktiv!$G:$G,"–"),"")</f>
        <v>-</v>
      </c>
      <c r="G44" s="198" t="str">
        <f>IFERROR(_xlfn.XLOOKUP(A44,Aktiv!$A:$A,Aktiv!$H:$H,"–"),"")</f>
        <v>-</v>
      </c>
      <c r="H44" s="198" t="str">
        <f>IFERROR(_xlfn.XLOOKUP(A44,Aktiv!$A:$A,Aktiv!$I:$I,"–"),"")</f>
        <v>-</v>
      </c>
      <c r="I44" s="253" t="str">
        <f>IFERROR(_xlfn.XLOOKUP(A44,Aktiv!$A:$A,Aktiv!$J:$J,"–"),"")</f>
        <v>-</v>
      </c>
      <c r="J44" s="228" t="str">
        <f t="shared" si="0"/>
        <v>–</v>
      </c>
      <c r="K44" s="237" t="str">
        <f t="shared" si="1"/>
        <v>–</v>
      </c>
      <c r="L44" s="247" t="str">
        <f t="shared" si="2"/>
        <v>–</v>
      </c>
      <c r="M44" s="247" t="str">
        <f t="shared" si="3"/>
        <v>–</v>
      </c>
      <c r="N44" s="247" t="str">
        <f t="shared" si="4"/>
        <v>–</v>
      </c>
      <c r="O44" s="247" t="str">
        <f t="shared" si="5"/>
        <v>–</v>
      </c>
      <c r="P44" s="253" t="str">
        <f t="shared" si="6"/>
        <v>–</v>
      </c>
    </row>
    <row r="45" spans="1:16" x14ac:dyDescent="0.25">
      <c r="A45" s="206">
        <v>3700</v>
      </c>
      <c r="B45" s="207" t="str">
        <f>IFERROR(_xlfn.XLOOKUP(A45,Aktiv!$A:$A,Aktiv!$C:$C,"–"),"")</f>
        <v>Fachboden klein</v>
      </c>
      <c r="C45" s="207" t="str">
        <f>IFERROR(_xlfn.XLOOKUP(A45,Aktiv!$A:$A,Aktiv!$D:$D,"–"),"")</f>
        <v>Fachboden klein (360x360)</v>
      </c>
      <c r="D45" s="208">
        <f>IFERROR(_xlfn.XLOOKUP(A45,Aktiv!$A:$A,Aktiv!$E:$E,"–"),"")</f>
        <v>360</v>
      </c>
      <c r="E45" s="208">
        <f>IFERROR(_xlfn.XLOOKUP(A45,Aktiv!$A:$A,Aktiv!$F:$F,"–"),"")</f>
        <v>360</v>
      </c>
      <c r="F45" s="209">
        <f>IFERROR(_xlfn.XLOOKUP(A45,Aktiv!$A:$A,Aktiv!$G:$G,"–"),"")</f>
        <v>25</v>
      </c>
      <c r="G45" s="209">
        <f>IFERROR(_xlfn.XLOOKUP(A45,Aktiv!$A:$A,Aktiv!$H:$H,"–"),"")</f>
        <v>103</v>
      </c>
      <c r="H45" s="209">
        <f>IFERROR(_xlfn.XLOOKUP(A45,Aktiv!$A:$A,Aktiv!$I:$I,"–"),"")</f>
        <v>120</v>
      </c>
      <c r="I45" s="254">
        <f>IFERROR(_xlfn.XLOOKUP(A45,Aktiv!$A:$A,Aktiv!$J:$J,"–"),"")</f>
        <v>145</v>
      </c>
      <c r="J45" s="229">
        <f t="shared" si="0"/>
        <v>3.12</v>
      </c>
      <c r="K45" s="239">
        <f t="shared" si="1"/>
        <v>3.8</v>
      </c>
      <c r="L45" s="248">
        <f t="shared" si="2"/>
        <v>4.8</v>
      </c>
      <c r="M45" s="248">
        <f t="shared" si="3"/>
        <v>0.1650485436893204</v>
      </c>
      <c r="N45" s="248">
        <f t="shared" si="4"/>
        <v>0.40776699029126212</v>
      </c>
      <c r="O45" s="248">
        <f t="shared" si="5"/>
        <v>0.20833333333333334</v>
      </c>
      <c r="P45" s="254">
        <f t="shared" si="6"/>
        <v>98</v>
      </c>
    </row>
    <row r="46" spans="1:16" x14ac:dyDescent="0.25">
      <c r="A46" s="193">
        <v>3701</v>
      </c>
      <c r="B46" s="190" t="str">
        <f>IFERROR(_xlfn.XLOOKUP(A46,Aktiv!$A:$A,Aktiv!$C:$C,"–"),"")</f>
        <v>Fachboden klein</v>
      </c>
      <c r="C46" s="190" t="str">
        <f>IFERROR(_xlfn.XLOOKUP(A46,Aktiv!$A:$A,Aktiv!$D:$D,"–"),"")</f>
        <v>Fachboden klein (420x360)</v>
      </c>
      <c r="D46" s="196">
        <f>IFERROR(_xlfn.XLOOKUP(A46,Aktiv!$A:$A,Aktiv!$E:$E,"–"),"")</f>
        <v>420</v>
      </c>
      <c r="E46" s="196">
        <f>IFERROR(_xlfn.XLOOKUP(A46,Aktiv!$A:$A,Aktiv!$F:$F,"–"),"")</f>
        <v>360</v>
      </c>
      <c r="F46" s="199">
        <f>IFERROR(_xlfn.XLOOKUP(A46,Aktiv!$A:$A,Aktiv!$G:$G,"–"),"")</f>
        <v>27</v>
      </c>
      <c r="G46" s="199">
        <f>IFERROR(_xlfn.XLOOKUP(A46,Aktiv!$A:$A,Aktiv!$H:$H,"–"),"")</f>
        <v>103</v>
      </c>
      <c r="H46" s="199">
        <f>IFERROR(_xlfn.XLOOKUP(A46,Aktiv!$A:$A,Aktiv!$I:$I,"–"),"")</f>
        <v>120</v>
      </c>
      <c r="I46" s="255">
        <f>IFERROR(_xlfn.XLOOKUP(A46,Aktiv!$A:$A,Aktiv!$J:$J,"–"),"")</f>
        <v>145</v>
      </c>
      <c r="J46" s="230">
        <f t="shared" si="0"/>
        <v>2.8148148148148149</v>
      </c>
      <c r="K46" s="240">
        <f t="shared" si="1"/>
        <v>3.4444444444444446</v>
      </c>
      <c r="L46" s="249">
        <f t="shared" si="2"/>
        <v>4.3703703703703702</v>
      </c>
      <c r="M46" s="249">
        <f t="shared" si="3"/>
        <v>0.1650485436893204</v>
      </c>
      <c r="N46" s="249">
        <f t="shared" si="4"/>
        <v>0.40776699029126212</v>
      </c>
      <c r="O46" s="249">
        <f t="shared" si="5"/>
        <v>0.20833333333333334</v>
      </c>
      <c r="P46" s="255">
        <f t="shared" si="6"/>
        <v>99</v>
      </c>
    </row>
    <row r="47" spans="1:16" x14ac:dyDescent="0.25">
      <c r="A47" s="193">
        <v>3702</v>
      </c>
      <c r="B47" s="190" t="str">
        <f>IFERROR(_xlfn.XLOOKUP(A47,Aktiv!$A:$A,Aktiv!$C:$C,"–"),"")</f>
        <v>Fachboden klein</v>
      </c>
      <c r="C47" s="190" t="str">
        <f>IFERROR(_xlfn.XLOOKUP(A47,Aktiv!$A:$A,Aktiv!$D:$D,"–"),"")</f>
        <v>Fachboden klein (580x360)</v>
      </c>
      <c r="D47" s="196">
        <f>IFERROR(_xlfn.XLOOKUP(A47,Aktiv!$A:$A,Aktiv!$E:$E,"–"),"")</f>
        <v>580</v>
      </c>
      <c r="E47" s="196">
        <f>IFERROR(_xlfn.XLOOKUP(A47,Aktiv!$A:$A,Aktiv!$F:$F,"–"),"")</f>
        <v>360</v>
      </c>
      <c r="F47" s="199">
        <f>IFERROR(_xlfn.XLOOKUP(A47,Aktiv!$A:$A,Aktiv!$G:$G,"–"),"")</f>
        <v>37</v>
      </c>
      <c r="G47" s="199">
        <f>IFERROR(_xlfn.XLOOKUP(A47,Aktiv!$A:$A,Aktiv!$H:$H,"–"),"")</f>
        <v>126</v>
      </c>
      <c r="H47" s="199">
        <f>IFERROR(_xlfn.XLOOKUP(A47,Aktiv!$A:$A,Aktiv!$I:$I,"–"),"")</f>
        <v>131</v>
      </c>
      <c r="I47" s="255">
        <f>IFERROR(_xlfn.XLOOKUP(A47,Aktiv!$A:$A,Aktiv!$J:$J,"–"),"")</f>
        <v>146</v>
      </c>
      <c r="J47" s="230">
        <f t="shared" si="0"/>
        <v>2.4054054054054053</v>
      </c>
      <c r="K47" s="240">
        <f t="shared" si="1"/>
        <v>2.5405405405405403</v>
      </c>
      <c r="L47" s="249">
        <f t="shared" si="2"/>
        <v>2.9459459459459461</v>
      </c>
      <c r="M47" s="249">
        <f t="shared" si="3"/>
        <v>3.968253968253968E-2</v>
      </c>
      <c r="N47" s="249">
        <f t="shared" si="4"/>
        <v>0.15873015873015872</v>
      </c>
      <c r="O47" s="249">
        <f t="shared" si="5"/>
        <v>0.11450381679389313</v>
      </c>
      <c r="P47" s="255">
        <f t="shared" si="6"/>
        <v>110</v>
      </c>
    </row>
    <row r="48" spans="1:16" x14ac:dyDescent="0.25">
      <c r="A48" s="193">
        <v>3703</v>
      </c>
      <c r="B48" s="190" t="str">
        <f>IFERROR(_xlfn.XLOOKUP(A48,Aktiv!$A:$A,Aktiv!$C:$C,"–"),"")</f>
        <v>Fachboden klein</v>
      </c>
      <c r="C48" s="190" t="str">
        <f>IFERROR(_xlfn.XLOOKUP(A48,Aktiv!$A:$A,Aktiv!$D:$D,"–"),"")</f>
        <v>Fachboden klein (780x360)</v>
      </c>
      <c r="D48" s="196">
        <f>IFERROR(_xlfn.XLOOKUP(A48,Aktiv!$A:$A,Aktiv!$E:$E,"–"),"")</f>
        <v>780</v>
      </c>
      <c r="E48" s="196">
        <f>IFERROR(_xlfn.XLOOKUP(A48,Aktiv!$A:$A,Aktiv!$F:$F,"–"),"")</f>
        <v>360</v>
      </c>
      <c r="F48" s="199">
        <f>IFERROR(_xlfn.XLOOKUP(A48,Aktiv!$A:$A,Aktiv!$G:$G,"–"),"")</f>
        <v>49</v>
      </c>
      <c r="G48" s="199">
        <f>IFERROR(_xlfn.XLOOKUP(A48,Aktiv!$A:$A,Aktiv!$H:$H,"–"),"")</f>
        <v>169</v>
      </c>
      <c r="H48" s="199">
        <f>IFERROR(_xlfn.XLOOKUP(A48,Aktiv!$A:$A,Aktiv!$I:$I,"–"),"")</f>
        <v>177</v>
      </c>
      <c r="I48" s="255">
        <f>IFERROR(_xlfn.XLOOKUP(A48,Aktiv!$A:$A,Aktiv!$J:$J,"–"),"")</f>
        <v>196</v>
      </c>
      <c r="J48" s="230">
        <f t="shared" si="0"/>
        <v>2.4489795918367347</v>
      </c>
      <c r="K48" s="241">
        <f t="shared" si="1"/>
        <v>2.6122448979591835</v>
      </c>
      <c r="L48" s="249">
        <f t="shared" si="2"/>
        <v>3</v>
      </c>
      <c r="M48" s="249">
        <f t="shared" si="3"/>
        <v>4.7337278106508875E-2</v>
      </c>
      <c r="N48" s="249">
        <f t="shared" si="4"/>
        <v>0.15976331360946747</v>
      </c>
      <c r="O48" s="249">
        <f t="shared" si="5"/>
        <v>0.10734463276836158</v>
      </c>
      <c r="P48" s="255">
        <f t="shared" si="6"/>
        <v>148</v>
      </c>
    </row>
    <row r="49" spans="1:16" x14ac:dyDescent="0.25">
      <c r="A49" s="193">
        <v>3704</v>
      </c>
      <c r="B49" s="190" t="str">
        <f>IFERROR(_xlfn.XLOOKUP(A49,Aktiv!$A:$A,Aktiv!$C:$C,"–"),"")</f>
        <v>Fachboden klein</v>
      </c>
      <c r="C49" s="190" t="str">
        <f>IFERROR(_xlfn.XLOOKUP(A49,Aktiv!$A:$A,Aktiv!$D:$D,"–"),"")</f>
        <v>Fachboden klein (980x360)</v>
      </c>
      <c r="D49" s="196">
        <f>IFERROR(_xlfn.XLOOKUP(A49,Aktiv!$A:$A,Aktiv!$E:$E,"–"),"")</f>
        <v>980</v>
      </c>
      <c r="E49" s="196">
        <f>IFERROR(_xlfn.XLOOKUP(A49,Aktiv!$A:$A,Aktiv!$F:$F,"–"),"")</f>
        <v>360</v>
      </c>
      <c r="F49" s="199">
        <f>IFERROR(_xlfn.XLOOKUP(A49,Aktiv!$A:$A,Aktiv!$G:$G,"–"),"")</f>
        <v>62</v>
      </c>
      <c r="G49" s="199">
        <f>IFERROR(_xlfn.XLOOKUP(A49,Aktiv!$A:$A,Aktiv!$H:$H,"–"),"")</f>
        <v>213</v>
      </c>
      <c r="H49" s="199">
        <f>IFERROR(_xlfn.XLOOKUP(A49,Aktiv!$A:$A,Aktiv!$I:$I,"–"),"")</f>
        <v>222</v>
      </c>
      <c r="I49" s="255">
        <f>IFERROR(_xlfn.XLOOKUP(A49,Aktiv!$A:$A,Aktiv!$J:$J,"–"),"")</f>
        <v>247</v>
      </c>
      <c r="J49" s="230">
        <f t="shared" si="0"/>
        <v>2.435483870967742</v>
      </c>
      <c r="K49" s="241">
        <f t="shared" si="1"/>
        <v>2.5806451612903225</v>
      </c>
      <c r="L49" s="249">
        <f t="shared" si="2"/>
        <v>2.9838709677419355</v>
      </c>
      <c r="M49" s="249">
        <f t="shared" si="3"/>
        <v>4.2253521126760563E-2</v>
      </c>
      <c r="N49" s="249">
        <f t="shared" si="4"/>
        <v>0.15962441314553991</v>
      </c>
      <c r="O49" s="249">
        <f t="shared" si="5"/>
        <v>0.11261261261261261</v>
      </c>
      <c r="P49" s="255">
        <f t="shared" si="6"/>
        <v>186</v>
      </c>
    </row>
    <row r="50" spans="1:16" x14ac:dyDescent="0.25">
      <c r="A50" s="193">
        <v>3705</v>
      </c>
      <c r="B50" s="190" t="str">
        <f>IFERROR(_xlfn.XLOOKUP(A50,Aktiv!$A:$A,Aktiv!$C:$C,"–"),"")</f>
        <v>Fachboden klein</v>
      </c>
      <c r="C50" s="190" t="str">
        <f>IFERROR(_xlfn.XLOOKUP(A50,Aktiv!$A:$A,Aktiv!$D:$D,"–"),"")</f>
        <v>Fachboden klein (360x580)</v>
      </c>
      <c r="D50" s="196">
        <f>IFERROR(_xlfn.XLOOKUP(A50,Aktiv!$A:$A,Aktiv!$E:$E,"–"),"")</f>
        <v>360</v>
      </c>
      <c r="E50" s="196">
        <f>IFERROR(_xlfn.XLOOKUP(A50,Aktiv!$A:$A,Aktiv!$F:$F,"–"),"")</f>
        <v>580</v>
      </c>
      <c r="F50" s="199">
        <f>IFERROR(_xlfn.XLOOKUP(A50,Aktiv!$A:$A,Aktiv!$G:$G,"–"),"")</f>
        <v>37</v>
      </c>
      <c r="G50" s="199">
        <f>IFERROR(_xlfn.XLOOKUP(A50,Aktiv!$A:$A,Aktiv!$H:$H,"–"),"")</f>
        <v>126</v>
      </c>
      <c r="H50" s="199">
        <f>IFERROR(_xlfn.XLOOKUP(A50,Aktiv!$A:$A,Aktiv!$I:$I,"–"),"")</f>
        <v>131</v>
      </c>
      <c r="I50" s="255">
        <f>IFERROR(_xlfn.XLOOKUP(A50,Aktiv!$A:$A,Aktiv!$J:$J,"–"),"")</f>
        <v>146</v>
      </c>
      <c r="J50" s="230">
        <f t="shared" si="0"/>
        <v>2.4054054054054053</v>
      </c>
      <c r="K50" s="240">
        <f t="shared" si="1"/>
        <v>2.5405405405405403</v>
      </c>
      <c r="L50" s="249">
        <f t="shared" si="2"/>
        <v>2.9459459459459461</v>
      </c>
      <c r="M50" s="249">
        <f t="shared" si="3"/>
        <v>3.968253968253968E-2</v>
      </c>
      <c r="N50" s="249">
        <f t="shared" si="4"/>
        <v>0.15873015873015872</v>
      </c>
      <c r="O50" s="249">
        <f t="shared" si="5"/>
        <v>0.11450381679389313</v>
      </c>
      <c r="P50" s="255">
        <f t="shared" si="6"/>
        <v>110</v>
      </c>
    </row>
    <row r="51" spans="1:16" x14ac:dyDescent="0.25">
      <c r="A51" s="193">
        <v>3706</v>
      </c>
      <c r="B51" s="190" t="str">
        <f>IFERROR(_xlfn.XLOOKUP(A51,Aktiv!$A:$A,Aktiv!$C:$C,"–"),"")</f>
        <v>Fachboden klein</v>
      </c>
      <c r="C51" s="190" t="str">
        <f>IFERROR(_xlfn.XLOOKUP(A51,Aktiv!$A:$A,Aktiv!$D:$D,"–"),"")</f>
        <v>Fachboden klein (420x580)</v>
      </c>
      <c r="D51" s="196">
        <f>IFERROR(_xlfn.XLOOKUP(A51,Aktiv!$A:$A,Aktiv!$E:$E,"–"),"")</f>
        <v>420</v>
      </c>
      <c r="E51" s="196">
        <f>IFERROR(_xlfn.XLOOKUP(A51,Aktiv!$A:$A,Aktiv!$F:$F,"–"),"")</f>
        <v>580</v>
      </c>
      <c r="F51" s="199">
        <f>IFERROR(_xlfn.XLOOKUP(A51,Aktiv!$A:$A,Aktiv!$G:$G,"–"),"")</f>
        <v>43</v>
      </c>
      <c r="G51" s="199">
        <f>IFERROR(_xlfn.XLOOKUP(A51,Aktiv!$A:$A,Aktiv!$H:$H,"–"),"")</f>
        <v>147</v>
      </c>
      <c r="H51" s="199">
        <f>IFERROR(_xlfn.XLOOKUP(A51,Aktiv!$A:$A,Aktiv!$I:$I,"–"),"")</f>
        <v>153</v>
      </c>
      <c r="I51" s="255">
        <f>IFERROR(_xlfn.XLOOKUP(A51,Aktiv!$A:$A,Aktiv!$J:$J,"–"),"")</f>
        <v>170</v>
      </c>
      <c r="J51" s="230">
        <f t="shared" si="0"/>
        <v>2.4186046511627906</v>
      </c>
      <c r="K51" s="241">
        <f t="shared" si="1"/>
        <v>2.558139534883721</v>
      </c>
      <c r="L51" s="249">
        <f t="shared" si="2"/>
        <v>2.9534883720930232</v>
      </c>
      <c r="M51" s="249">
        <f t="shared" si="3"/>
        <v>4.0816326530612242E-2</v>
      </c>
      <c r="N51" s="249">
        <f t="shared" si="4"/>
        <v>0.15646258503401361</v>
      </c>
      <c r="O51" s="249">
        <f t="shared" si="5"/>
        <v>0.1111111111111111</v>
      </c>
      <c r="P51" s="255">
        <f t="shared" si="6"/>
        <v>128</v>
      </c>
    </row>
    <row r="52" spans="1:16" x14ac:dyDescent="0.25">
      <c r="A52" s="193">
        <v>3707</v>
      </c>
      <c r="B52" s="190" t="str">
        <f>IFERROR(_xlfn.XLOOKUP(A52,Aktiv!$A:$A,Aktiv!$C:$C,"–"),"")</f>
        <v>Fachboden klein</v>
      </c>
      <c r="C52" s="190" t="str">
        <f>IFERROR(_xlfn.XLOOKUP(A52,Aktiv!$A:$A,Aktiv!$D:$D,"–"),"")</f>
        <v>Fachboden klein (580x580)</v>
      </c>
      <c r="D52" s="196">
        <f>IFERROR(_xlfn.XLOOKUP(A52,Aktiv!$A:$A,Aktiv!$E:$E,"–"),"")</f>
        <v>580</v>
      </c>
      <c r="E52" s="196">
        <f>IFERROR(_xlfn.XLOOKUP(A52,Aktiv!$A:$A,Aktiv!$F:$F,"–"),"")</f>
        <v>580</v>
      </c>
      <c r="F52" s="199">
        <f>IFERROR(_xlfn.XLOOKUP(A52,Aktiv!$A:$A,Aktiv!$G:$G,"–"),"")</f>
        <v>59</v>
      </c>
      <c r="G52" s="199">
        <f>IFERROR(_xlfn.XLOOKUP(A52,Aktiv!$A:$A,Aktiv!$H:$H,"–"),"")</f>
        <v>203</v>
      </c>
      <c r="H52" s="199">
        <f>IFERROR(_xlfn.XLOOKUP(A52,Aktiv!$A:$A,Aktiv!$I:$I,"–"),"")</f>
        <v>211</v>
      </c>
      <c r="I52" s="255">
        <f>IFERROR(_xlfn.XLOOKUP(A52,Aktiv!$A:$A,Aktiv!$J:$J,"–"),"")</f>
        <v>235</v>
      </c>
      <c r="J52" s="230">
        <f t="shared" si="0"/>
        <v>2.4406779661016951</v>
      </c>
      <c r="K52" s="241">
        <f t="shared" si="1"/>
        <v>2.5762711864406778</v>
      </c>
      <c r="L52" s="249">
        <f t="shared" si="2"/>
        <v>2.9830508474576272</v>
      </c>
      <c r="M52" s="249">
        <f t="shared" si="3"/>
        <v>3.9408866995073892E-2</v>
      </c>
      <c r="N52" s="249">
        <f t="shared" si="4"/>
        <v>0.15763546798029557</v>
      </c>
      <c r="O52" s="249">
        <f t="shared" si="5"/>
        <v>0.11374407582938388</v>
      </c>
      <c r="P52" s="255">
        <f t="shared" si="6"/>
        <v>177</v>
      </c>
    </row>
    <row r="53" spans="1:16" x14ac:dyDescent="0.25">
      <c r="A53" s="193">
        <v>3708</v>
      </c>
      <c r="B53" s="190" t="str">
        <f>IFERROR(_xlfn.XLOOKUP(A53,Aktiv!$A:$A,Aktiv!$C:$C,"–"),"")</f>
        <v>Fachboden klein</v>
      </c>
      <c r="C53" s="190" t="str">
        <f>IFERROR(_xlfn.XLOOKUP(A53,Aktiv!$A:$A,Aktiv!$D:$D,"–"),"")</f>
        <v>Fachboden klein (780x580)</v>
      </c>
      <c r="D53" s="196">
        <f>IFERROR(_xlfn.XLOOKUP(A53,Aktiv!$A:$A,Aktiv!$E:$E,"–"),"")</f>
        <v>780</v>
      </c>
      <c r="E53" s="196">
        <f>IFERROR(_xlfn.XLOOKUP(A53,Aktiv!$A:$A,Aktiv!$F:$F,"–"),"")</f>
        <v>580</v>
      </c>
      <c r="F53" s="199">
        <f>IFERROR(_xlfn.XLOOKUP(A53,Aktiv!$A:$A,Aktiv!$G:$G,"–"),"")</f>
        <v>80</v>
      </c>
      <c r="G53" s="199">
        <f>IFERROR(_xlfn.XLOOKUP(A53,Aktiv!$A:$A,Aktiv!$H:$H,"–"),"")</f>
        <v>273</v>
      </c>
      <c r="H53" s="199">
        <f>IFERROR(_xlfn.XLOOKUP(A53,Aktiv!$A:$A,Aktiv!$I:$I,"–"),"")</f>
        <v>284</v>
      </c>
      <c r="I53" s="255">
        <f>IFERROR(_xlfn.XLOOKUP(A53,Aktiv!$A:$A,Aktiv!$J:$J,"–"),"")</f>
        <v>316</v>
      </c>
      <c r="J53" s="230">
        <f t="shared" si="0"/>
        <v>2.4125000000000001</v>
      </c>
      <c r="K53" s="241">
        <f t="shared" si="1"/>
        <v>2.5499999999999998</v>
      </c>
      <c r="L53" s="249">
        <f t="shared" si="2"/>
        <v>2.95</v>
      </c>
      <c r="M53" s="249">
        <f t="shared" si="3"/>
        <v>4.0293040293040296E-2</v>
      </c>
      <c r="N53" s="249">
        <f t="shared" si="4"/>
        <v>0.1575091575091575</v>
      </c>
      <c r="O53" s="249">
        <f t="shared" si="5"/>
        <v>0.11267605633802817</v>
      </c>
      <c r="P53" s="255">
        <f t="shared" si="6"/>
        <v>238</v>
      </c>
    </row>
    <row r="54" spans="1:16" x14ac:dyDescent="0.25">
      <c r="A54" s="193">
        <v>3709</v>
      </c>
      <c r="B54" s="190" t="str">
        <f>IFERROR(_xlfn.XLOOKUP(A54,Aktiv!$A:$A,Aktiv!$C:$C,"–"),"")</f>
        <v>Fachboden klein</v>
      </c>
      <c r="C54" s="190" t="str">
        <f>IFERROR(_xlfn.XLOOKUP(A54,Aktiv!$A:$A,Aktiv!$D:$D,"–"),"")</f>
        <v>Fachboden klein (980x580)</v>
      </c>
      <c r="D54" s="196">
        <f>IFERROR(_xlfn.XLOOKUP(A54,Aktiv!$A:$A,Aktiv!$E:$E,"–"),"")</f>
        <v>980</v>
      </c>
      <c r="E54" s="196">
        <f>IFERROR(_xlfn.XLOOKUP(A54,Aktiv!$A:$A,Aktiv!$F:$F,"–"),"")</f>
        <v>580</v>
      </c>
      <c r="F54" s="199">
        <f>IFERROR(_xlfn.XLOOKUP(A54,Aktiv!$A:$A,Aktiv!$G:$G,"–"),"")</f>
        <v>100</v>
      </c>
      <c r="G54" s="199">
        <f>IFERROR(_xlfn.XLOOKUP(A54,Aktiv!$A:$A,Aktiv!$H:$H,"–"),"")</f>
        <v>343</v>
      </c>
      <c r="H54" s="199">
        <f>IFERROR(_xlfn.XLOOKUP(A54,Aktiv!$A:$A,Aktiv!$I:$I,"–"),"")</f>
        <v>357</v>
      </c>
      <c r="I54" s="255">
        <f>IFERROR(_xlfn.XLOOKUP(A54,Aktiv!$A:$A,Aktiv!$J:$J,"–"),"")</f>
        <v>398</v>
      </c>
      <c r="J54" s="230">
        <f t="shared" si="0"/>
        <v>2.4300000000000002</v>
      </c>
      <c r="K54" s="241">
        <f t="shared" si="1"/>
        <v>2.57</v>
      </c>
      <c r="L54" s="249">
        <f t="shared" si="2"/>
        <v>2.98</v>
      </c>
      <c r="M54" s="249">
        <f t="shared" si="3"/>
        <v>4.0816326530612242E-2</v>
      </c>
      <c r="N54" s="249">
        <f t="shared" si="4"/>
        <v>0.16034985422740525</v>
      </c>
      <c r="O54" s="249">
        <f t="shared" si="5"/>
        <v>0.11484593837535013</v>
      </c>
      <c r="P54" s="255">
        <f t="shared" si="6"/>
        <v>300</v>
      </c>
    </row>
    <row r="55" spans="1:16" x14ac:dyDescent="0.25">
      <c r="A55" s="193">
        <v>3710</v>
      </c>
      <c r="B55" s="190" t="str">
        <f>IFERROR(_xlfn.XLOOKUP(A55,Aktiv!$A:$A,Aktiv!$C:$C,"–"),"")</f>
        <v>Fachboden klein</v>
      </c>
      <c r="C55" s="190" t="str">
        <f>IFERROR(_xlfn.XLOOKUP(A55,Aktiv!$A:$A,Aktiv!$D:$D,"–"),"")</f>
        <v>Fachboden klein (780x780)</v>
      </c>
      <c r="D55" s="196">
        <f>IFERROR(_xlfn.XLOOKUP(A55,Aktiv!$A:$A,Aktiv!$E:$E,"–"),"")</f>
        <v>780</v>
      </c>
      <c r="E55" s="196">
        <f>IFERROR(_xlfn.XLOOKUP(A55,Aktiv!$A:$A,Aktiv!$F:$F,"–"),"")</f>
        <v>780</v>
      </c>
      <c r="F55" s="199" t="str">
        <f>IFERROR(_xlfn.XLOOKUP(A55,Aktiv!$A:$A,Aktiv!$G:$G,"–"),"")</f>
        <v>-</v>
      </c>
      <c r="G55" s="199" t="str">
        <f>IFERROR(_xlfn.XLOOKUP(A55,Aktiv!$A:$A,Aktiv!$H:$H,"–"),"")</f>
        <v>-</v>
      </c>
      <c r="H55" s="199" t="str">
        <f>IFERROR(_xlfn.XLOOKUP(A55,Aktiv!$A:$A,Aktiv!$I:$I,"–"),"")</f>
        <v>-</v>
      </c>
      <c r="I55" s="255" t="str">
        <f>IFERROR(_xlfn.XLOOKUP(A55,Aktiv!$A:$A,Aktiv!$J:$J,"–"),"")</f>
        <v>-</v>
      </c>
      <c r="J55" s="230" t="str">
        <f t="shared" si="0"/>
        <v>–</v>
      </c>
      <c r="K55" s="242" t="str">
        <f t="shared" si="1"/>
        <v>–</v>
      </c>
      <c r="L55" s="249" t="str">
        <f t="shared" si="2"/>
        <v>–</v>
      </c>
      <c r="M55" s="249" t="str">
        <f t="shared" si="3"/>
        <v>–</v>
      </c>
      <c r="N55" s="249" t="str">
        <f t="shared" si="4"/>
        <v>–</v>
      </c>
      <c r="O55" s="249" t="str">
        <f t="shared" si="5"/>
        <v>–</v>
      </c>
      <c r="P55" s="255" t="str">
        <f t="shared" si="6"/>
        <v>–</v>
      </c>
    </row>
    <row r="56" spans="1:16" x14ac:dyDescent="0.25">
      <c r="A56" s="193">
        <v>3711</v>
      </c>
      <c r="B56" s="190" t="str">
        <f>IFERROR(_xlfn.XLOOKUP(A56,Aktiv!$A:$A,Aktiv!$C:$C,"–"),"")</f>
        <v>Fachboden klein</v>
      </c>
      <c r="C56" s="190" t="str">
        <f>IFERROR(_xlfn.XLOOKUP(A56,Aktiv!$A:$A,Aktiv!$D:$D,"–"),"")</f>
        <v>Fachboden klein (980x780)</v>
      </c>
      <c r="D56" s="196">
        <f>IFERROR(_xlfn.XLOOKUP(A56,Aktiv!$A:$A,Aktiv!$E:$E,"–"),"")</f>
        <v>980</v>
      </c>
      <c r="E56" s="196">
        <f>IFERROR(_xlfn.XLOOKUP(A56,Aktiv!$A:$A,Aktiv!$F:$F,"–"),"")</f>
        <v>780</v>
      </c>
      <c r="F56" s="199" t="str">
        <f>IFERROR(_xlfn.XLOOKUP(A56,Aktiv!$A:$A,Aktiv!$G:$G,"–"),"")</f>
        <v>-</v>
      </c>
      <c r="G56" s="199" t="str">
        <f>IFERROR(_xlfn.XLOOKUP(A56,Aktiv!$A:$A,Aktiv!$H:$H,"–"),"")</f>
        <v>-</v>
      </c>
      <c r="H56" s="199" t="str">
        <f>IFERROR(_xlfn.XLOOKUP(A56,Aktiv!$A:$A,Aktiv!$I:$I,"–"),"")</f>
        <v>-</v>
      </c>
      <c r="I56" s="255" t="str">
        <f>IFERROR(_xlfn.XLOOKUP(A56,Aktiv!$A:$A,Aktiv!$J:$J,"–"),"")</f>
        <v>-</v>
      </c>
      <c r="J56" s="230" t="str">
        <f t="shared" si="0"/>
        <v>–</v>
      </c>
      <c r="K56" s="241" t="str">
        <f t="shared" si="1"/>
        <v>–</v>
      </c>
      <c r="L56" s="249" t="str">
        <f t="shared" si="2"/>
        <v>–</v>
      </c>
      <c r="M56" s="249" t="str">
        <f t="shared" si="3"/>
        <v>–</v>
      </c>
      <c r="N56" s="249" t="str">
        <f t="shared" si="4"/>
        <v>–</v>
      </c>
      <c r="O56" s="249" t="str">
        <f t="shared" si="5"/>
        <v>–</v>
      </c>
      <c r="P56" s="255" t="str">
        <f t="shared" si="6"/>
        <v>–</v>
      </c>
    </row>
    <row r="57" spans="1:16" x14ac:dyDescent="0.25">
      <c r="A57" s="193">
        <v>3712</v>
      </c>
      <c r="B57" s="190" t="str">
        <f>IFERROR(_xlfn.XLOOKUP(A57,Aktiv!$A:$A,Aktiv!$C:$C,"–"),"")</f>
        <v>Fachboden klein</v>
      </c>
      <c r="C57" s="190" t="str">
        <f>IFERROR(_xlfn.XLOOKUP(A57,Aktiv!$A:$A,Aktiv!$D:$D,"–"),"")</f>
        <v>Fachboden klein (980x980)</v>
      </c>
      <c r="D57" s="196">
        <f>IFERROR(_xlfn.XLOOKUP(A57,Aktiv!$A:$A,Aktiv!$E:$E,"–"),"")</f>
        <v>980</v>
      </c>
      <c r="E57" s="196">
        <f>IFERROR(_xlfn.XLOOKUP(A57,Aktiv!$A:$A,Aktiv!$F:$F,"–"),"")</f>
        <v>980</v>
      </c>
      <c r="F57" s="199" t="str">
        <f>IFERROR(_xlfn.XLOOKUP(A57,Aktiv!$A:$A,Aktiv!$G:$G,"–"),"")</f>
        <v>-</v>
      </c>
      <c r="G57" s="199" t="str">
        <f>IFERROR(_xlfn.XLOOKUP(A57,Aktiv!$A:$A,Aktiv!$H:$H,"–"),"")</f>
        <v>-</v>
      </c>
      <c r="H57" s="199" t="str">
        <f>IFERROR(_xlfn.XLOOKUP(A57,Aktiv!$A:$A,Aktiv!$I:$I,"–"),"")</f>
        <v>-</v>
      </c>
      <c r="I57" s="255" t="str">
        <f>IFERROR(_xlfn.XLOOKUP(A57,Aktiv!$A:$A,Aktiv!$J:$J,"–"),"")</f>
        <v>-</v>
      </c>
      <c r="J57" s="230" t="str">
        <f t="shared" si="0"/>
        <v>–</v>
      </c>
      <c r="K57" s="241" t="str">
        <f t="shared" si="1"/>
        <v>–</v>
      </c>
      <c r="L57" s="249" t="str">
        <f t="shared" si="2"/>
        <v>–</v>
      </c>
      <c r="M57" s="249" t="str">
        <f t="shared" si="3"/>
        <v>–</v>
      </c>
      <c r="N57" s="249" t="str">
        <f t="shared" si="4"/>
        <v>–</v>
      </c>
      <c r="O57" s="249" t="str">
        <f t="shared" si="5"/>
        <v>–</v>
      </c>
      <c r="P57" s="255" t="str">
        <f t="shared" si="6"/>
        <v>–</v>
      </c>
    </row>
    <row r="58" spans="1:16" x14ac:dyDescent="0.25">
      <c r="A58" s="202">
        <v>5000</v>
      </c>
      <c r="B58" s="203" t="str">
        <f>IFERROR(_xlfn.XLOOKUP(A58,Aktiv!$A:$A,Aktiv!$C:$C,"–"),"")</f>
        <v>Klappe</v>
      </c>
      <c r="C58" s="203" t="str">
        <f>IFERROR(_xlfn.XLOOKUP(A58,Aktiv!$A:$A,Aktiv!$D:$D,"–"),"")</f>
        <v>Klappe (420x180)</v>
      </c>
      <c r="D58" s="204">
        <f>IFERROR(_xlfn.XLOOKUP(A58,Aktiv!$A:$A,Aktiv!$E:$E,"–"),"")</f>
        <v>420</v>
      </c>
      <c r="E58" s="204">
        <f>IFERROR(_xlfn.XLOOKUP(A58,Aktiv!$A:$A,Aktiv!$F:$F,"–"),"")</f>
        <v>180</v>
      </c>
      <c r="F58" s="205">
        <f>IFERROR(_xlfn.XLOOKUP(A58,Aktiv!$A:$A,Aktiv!$G:$G,"–"),"")</f>
        <v>103</v>
      </c>
      <c r="G58" s="205">
        <f>IFERROR(_xlfn.XLOOKUP(A58,Aktiv!$A:$A,Aktiv!$H:$H,"–"),"")</f>
        <v>171</v>
      </c>
      <c r="H58" s="205">
        <f>IFERROR(_xlfn.XLOOKUP(A58,Aktiv!$A:$A,Aktiv!$I:$I,"–"),"")</f>
        <v>180</v>
      </c>
      <c r="I58" s="252">
        <f>IFERROR(_xlfn.XLOOKUP(A58,Aktiv!$A:$A,Aktiv!$J:$J,"–"),"")</f>
        <v>243</v>
      </c>
      <c r="J58" s="227">
        <f t="shared" si="0"/>
        <v>0.66019417475728159</v>
      </c>
      <c r="K58" s="235">
        <f t="shared" si="1"/>
        <v>0.74757281553398058</v>
      </c>
      <c r="L58" s="246">
        <f t="shared" si="2"/>
        <v>1.3592233009708738</v>
      </c>
      <c r="M58" s="246">
        <f t="shared" si="3"/>
        <v>5.2631578947368418E-2</v>
      </c>
      <c r="N58" s="246">
        <f t="shared" si="4"/>
        <v>0.42105263157894735</v>
      </c>
      <c r="O58" s="246">
        <f t="shared" si="5"/>
        <v>0.35</v>
      </c>
      <c r="P58" s="252">
        <f t="shared" si="6"/>
        <v>174</v>
      </c>
    </row>
    <row r="59" spans="1:16" x14ac:dyDescent="0.25">
      <c r="A59" s="192">
        <v>5001</v>
      </c>
      <c r="B59" s="189" t="str">
        <f>IFERROR(_xlfn.XLOOKUP(A59,Aktiv!$A:$A,Aktiv!$C:$C,"–"),"")</f>
        <v>Klappe</v>
      </c>
      <c r="C59" s="189" t="str">
        <f>IFERROR(_xlfn.XLOOKUP(A59,Aktiv!$A:$A,Aktiv!$D:$D,"–"),"")</f>
        <v>Klappe (420x360)</v>
      </c>
      <c r="D59" s="195">
        <f>IFERROR(_xlfn.XLOOKUP(A59,Aktiv!$A:$A,Aktiv!$E:$E,"–"),"")</f>
        <v>420</v>
      </c>
      <c r="E59" s="195">
        <f>IFERROR(_xlfn.XLOOKUP(A59,Aktiv!$A:$A,Aktiv!$F:$F,"–"),"")</f>
        <v>360</v>
      </c>
      <c r="F59" s="198">
        <f>IFERROR(_xlfn.XLOOKUP(A59,Aktiv!$A:$A,Aktiv!$G:$G,"–"),"")</f>
        <v>146</v>
      </c>
      <c r="G59" s="198">
        <f>IFERROR(_xlfn.XLOOKUP(A59,Aktiv!$A:$A,Aktiv!$H:$H,"–"),"")</f>
        <v>242</v>
      </c>
      <c r="H59" s="198">
        <f>IFERROR(_xlfn.XLOOKUP(A59,Aktiv!$A:$A,Aktiv!$I:$I,"–"),"")</f>
        <v>254</v>
      </c>
      <c r="I59" s="253">
        <f>IFERROR(_xlfn.XLOOKUP(A59,Aktiv!$A:$A,Aktiv!$J:$J,"–"),"")</f>
        <v>344</v>
      </c>
      <c r="J59" s="228">
        <f t="shared" si="0"/>
        <v>0.65753424657534243</v>
      </c>
      <c r="K59" s="236">
        <f t="shared" si="1"/>
        <v>0.73972602739726023</v>
      </c>
      <c r="L59" s="247">
        <f t="shared" si="2"/>
        <v>1.3561643835616439</v>
      </c>
      <c r="M59" s="247">
        <f t="shared" si="3"/>
        <v>4.9586776859504134E-2</v>
      </c>
      <c r="N59" s="247">
        <f t="shared" si="4"/>
        <v>0.42148760330578511</v>
      </c>
      <c r="O59" s="247">
        <f t="shared" si="5"/>
        <v>0.3543307086614173</v>
      </c>
      <c r="P59" s="253">
        <f t="shared" si="6"/>
        <v>247</v>
      </c>
    </row>
    <row r="60" spans="1:16" x14ac:dyDescent="0.25">
      <c r="A60" s="192">
        <v>5002</v>
      </c>
      <c r="B60" s="189" t="str">
        <f>IFERROR(_xlfn.XLOOKUP(A60,Aktiv!$A:$A,Aktiv!$C:$C,"–"),"")</f>
        <v>Klappe</v>
      </c>
      <c r="C60" s="189" t="str">
        <f>IFERROR(_xlfn.XLOOKUP(A60,Aktiv!$A:$A,Aktiv!$D:$D,"–"),"")</f>
        <v>Klappe (580x180)</v>
      </c>
      <c r="D60" s="195">
        <f>IFERROR(_xlfn.XLOOKUP(A60,Aktiv!$A:$A,Aktiv!$E:$E,"–"),"")</f>
        <v>580</v>
      </c>
      <c r="E60" s="195">
        <f>IFERROR(_xlfn.XLOOKUP(A60,Aktiv!$A:$A,Aktiv!$F:$F,"–"),"")</f>
        <v>180</v>
      </c>
      <c r="F60" s="198">
        <f>IFERROR(_xlfn.XLOOKUP(A60,Aktiv!$A:$A,Aktiv!$G:$G,"–"),"")</f>
        <v>122</v>
      </c>
      <c r="G60" s="198">
        <f>IFERROR(_xlfn.XLOOKUP(A60,Aktiv!$A:$A,Aktiv!$H:$H,"–"),"")</f>
        <v>201</v>
      </c>
      <c r="H60" s="198">
        <f>IFERROR(_xlfn.XLOOKUP(A60,Aktiv!$A:$A,Aktiv!$I:$I,"–"),"")</f>
        <v>211</v>
      </c>
      <c r="I60" s="253">
        <f>IFERROR(_xlfn.XLOOKUP(A60,Aktiv!$A:$A,Aktiv!$J:$J,"–"),"")</f>
        <v>285</v>
      </c>
      <c r="J60" s="228">
        <f t="shared" si="0"/>
        <v>0.64754098360655743</v>
      </c>
      <c r="K60" s="236">
        <f t="shared" si="1"/>
        <v>0.72950819672131151</v>
      </c>
      <c r="L60" s="247">
        <f t="shared" si="2"/>
        <v>1.3360655737704918</v>
      </c>
      <c r="M60" s="247">
        <f t="shared" si="3"/>
        <v>4.975124378109453E-2</v>
      </c>
      <c r="N60" s="247">
        <f t="shared" si="4"/>
        <v>0.41791044776119401</v>
      </c>
      <c r="O60" s="247">
        <f t="shared" si="5"/>
        <v>0.35071090047393366</v>
      </c>
      <c r="P60" s="253">
        <f t="shared" si="6"/>
        <v>205</v>
      </c>
    </row>
    <row r="61" spans="1:16" x14ac:dyDescent="0.25">
      <c r="A61" s="192">
        <v>5003</v>
      </c>
      <c r="B61" s="189" t="str">
        <f>IFERROR(_xlfn.XLOOKUP(A61,Aktiv!$A:$A,Aktiv!$C:$C,"–"),"")</f>
        <v>Klappe</v>
      </c>
      <c r="C61" s="189" t="str">
        <f>IFERROR(_xlfn.XLOOKUP(A61,Aktiv!$A:$A,Aktiv!$D:$D,"–"),"")</f>
        <v>Klappe (580x360)</v>
      </c>
      <c r="D61" s="195">
        <f>IFERROR(_xlfn.XLOOKUP(A61,Aktiv!$A:$A,Aktiv!$E:$E,"–"),"")</f>
        <v>580</v>
      </c>
      <c r="E61" s="195">
        <f>IFERROR(_xlfn.XLOOKUP(A61,Aktiv!$A:$A,Aktiv!$F:$F,"–"),"")</f>
        <v>360</v>
      </c>
      <c r="F61" s="198">
        <f>IFERROR(_xlfn.XLOOKUP(A61,Aktiv!$A:$A,Aktiv!$G:$G,"–"),"")</f>
        <v>172</v>
      </c>
      <c r="G61" s="198">
        <f>IFERROR(_xlfn.XLOOKUP(A61,Aktiv!$A:$A,Aktiv!$H:$H,"–"),"")</f>
        <v>284</v>
      </c>
      <c r="H61" s="198">
        <f>IFERROR(_xlfn.XLOOKUP(A61,Aktiv!$A:$A,Aktiv!$I:$I,"–"),"")</f>
        <v>299</v>
      </c>
      <c r="I61" s="253">
        <f>IFERROR(_xlfn.XLOOKUP(A61,Aktiv!$A:$A,Aktiv!$J:$J,"–"),"")</f>
        <v>404</v>
      </c>
      <c r="J61" s="228">
        <f t="shared" si="0"/>
        <v>0.65116279069767447</v>
      </c>
      <c r="K61" s="236">
        <f t="shared" si="1"/>
        <v>0.73837209302325579</v>
      </c>
      <c r="L61" s="247">
        <f t="shared" si="2"/>
        <v>1.3488372093023255</v>
      </c>
      <c r="M61" s="247">
        <f t="shared" si="3"/>
        <v>5.2816901408450703E-2</v>
      </c>
      <c r="N61" s="247">
        <f t="shared" si="4"/>
        <v>0.42253521126760563</v>
      </c>
      <c r="O61" s="247">
        <f t="shared" si="5"/>
        <v>0.3511705685618729</v>
      </c>
      <c r="P61" s="253">
        <f t="shared" si="6"/>
        <v>290</v>
      </c>
    </row>
    <row r="62" spans="1:16" x14ac:dyDescent="0.25">
      <c r="A62" s="192">
        <v>5004</v>
      </c>
      <c r="B62" s="189" t="str">
        <f>IFERROR(_xlfn.XLOOKUP(A62,Aktiv!$A:$A,Aktiv!$C:$C,"–"),"")</f>
        <v>Klappe</v>
      </c>
      <c r="C62" s="189" t="str">
        <f>IFERROR(_xlfn.XLOOKUP(A62,Aktiv!$A:$A,Aktiv!$D:$D,"–"),"")</f>
        <v>Klappe (780x180)</v>
      </c>
      <c r="D62" s="195">
        <f>IFERROR(_xlfn.XLOOKUP(A62,Aktiv!$A:$A,Aktiv!$E:$E,"–"),"")</f>
        <v>780</v>
      </c>
      <c r="E62" s="195">
        <f>IFERROR(_xlfn.XLOOKUP(A62,Aktiv!$A:$A,Aktiv!$F:$F,"–"),"")</f>
        <v>180</v>
      </c>
      <c r="F62" s="198">
        <f>IFERROR(_xlfn.XLOOKUP(A62,Aktiv!$A:$A,Aktiv!$G:$G,"–"),"")</f>
        <v>141</v>
      </c>
      <c r="G62" s="198">
        <f>IFERROR(_xlfn.XLOOKUP(A62,Aktiv!$A:$A,Aktiv!$H:$H,"–"),"")</f>
        <v>233</v>
      </c>
      <c r="H62" s="198">
        <f>IFERROR(_xlfn.XLOOKUP(A62,Aktiv!$A:$A,Aktiv!$I:$I,"–"),"")</f>
        <v>245</v>
      </c>
      <c r="I62" s="253">
        <f>IFERROR(_xlfn.XLOOKUP(A62,Aktiv!$A:$A,Aktiv!$J:$J,"–"),"")</f>
        <v>331</v>
      </c>
      <c r="J62" s="228">
        <f t="shared" si="0"/>
        <v>0.65248226950354615</v>
      </c>
      <c r="K62" s="236">
        <f t="shared" si="1"/>
        <v>0.73758865248226946</v>
      </c>
      <c r="L62" s="247">
        <f t="shared" si="2"/>
        <v>1.3475177304964538</v>
      </c>
      <c r="M62" s="247">
        <f t="shared" si="3"/>
        <v>5.1502145922746781E-2</v>
      </c>
      <c r="N62" s="247">
        <f t="shared" si="4"/>
        <v>0.42060085836909872</v>
      </c>
      <c r="O62" s="247">
        <f t="shared" si="5"/>
        <v>0.3510204081632653</v>
      </c>
      <c r="P62" s="253">
        <f t="shared" si="6"/>
        <v>238</v>
      </c>
    </row>
    <row r="63" spans="1:16" x14ac:dyDescent="0.25">
      <c r="A63" s="192">
        <v>5005</v>
      </c>
      <c r="B63" s="189" t="str">
        <f>IFERROR(_xlfn.XLOOKUP(A63,Aktiv!$A:$A,Aktiv!$C:$C,"–"),"")</f>
        <v>Klappe</v>
      </c>
      <c r="C63" s="189" t="str">
        <f>IFERROR(_xlfn.XLOOKUP(A63,Aktiv!$A:$A,Aktiv!$D:$D,"–"),"")</f>
        <v>Klappe (780x360)</v>
      </c>
      <c r="D63" s="195">
        <f>IFERROR(_xlfn.XLOOKUP(A63,Aktiv!$A:$A,Aktiv!$E:$E,"–"),"")</f>
        <v>780</v>
      </c>
      <c r="E63" s="195">
        <f>IFERROR(_xlfn.XLOOKUP(A63,Aktiv!$A:$A,Aktiv!$F:$F,"–"),"")</f>
        <v>360</v>
      </c>
      <c r="F63" s="198">
        <f>IFERROR(_xlfn.XLOOKUP(A63,Aktiv!$A:$A,Aktiv!$G:$G,"–"),"")</f>
        <v>199</v>
      </c>
      <c r="G63" s="198">
        <f>IFERROR(_xlfn.XLOOKUP(A63,Aktiv!$A:$A,Aktiv!$H:$H,"–"),"")</f>
        <v>329</v>
      </c>
      <c r="H63" s="198">
        <f>IFERROR(_xlfn.XLOOKUP(A63,Aktiv!$A:$A,Aktiv!$I:$I,"–"),"")</f>
        <v>347</v>
      </c>
      <c r="I63" s="253">
        <f>IFERROR(_xlfn.XLOOKUP(A63,Aktiv!$A:$A,Aktiv!$J:$J,"–"),"")</f>
        <v>468</v>
      </c>
      <c r="J63" s="228">
        <f t="shared" si="0"/>
        <v>0.65326633165829151</v>
      </c>
      <c r="K63" s="236">
        <f t="shared" si="1"/>
        <v>0.74371859296482412</v>
      </c>
      <c r="L63" s="247">
        <f t="shared" si="2"/>
        <v>1.3517587939698492</v>
      </c>
      <c r="M63" s="247">
        <f t="shared" si="3"/>
        <v>5.4711246200607903E-2</v>
      </c>
      <c r="N63" s="247">
        <f t="shared" si="4"/>
        <v>0.42249240121580545</v>
      </c>
      <c r="O63" s="247">
        <f t="shared" si="5"/>
        <v>0.34870317002881845</v>
      </c>
      <c r="P63" s="253">
        <f t="shared" si="6"/>
        <v>336</v>
      </c>
    </row>
    <row r="64" spans="1:16" x14ac:dyDescent="0.25">
      <c r="A64" s="192">
        <v>5006</v>
      </c>
      <c r="B64" s="189" t="str">
        <f>IFERROR(_xlfn.XLOOKUP(A64,Aktiv!$A:$A,Aktiv!$C:$C,"–"),"")</f>
        <v>Klappe</v>
      </c>
      <c r="C64" s="189" t="str">
        <f>IFERROR(_xlfn.XLOOKUP(A64,Aktiv!$A:$A,Aktiv!$D:$D,"–"),"")</f>
        <v>Klappe (980x180)</v>
      </c>
      <c r="D64" s="195">
        <f>IFERROR(_xlfn.XLOOKUP(A64,Aktiv!$A:$A,Aktiv!$E:$E,"–"),"")</f>
        <v>980</v>
      </c>
      <c r="E64" s="195">
        <f>IFERROR(_xlfn.XLOOKUP(A64,Aktiv!$A:$A,Aktiv!$F:$F,"–"),"")</f>
        <v>180</v>
      </c>
      <c r="F64" s="198">
        <f>IFERROR(_xlfn.XLOOKUP(A64,Aktiv!$A:$A,Aktiv!$G:$G,"–"),"")</f>
        <v>158</v>
      </c>
      <c r="G64" s="198">
        <f>IFERROR(_xlfn.XLOOKUP(A64,Aktiv!$A:$A,Aktiv!$H:$H,"–"),"")</f>
        <v>261</v>
      </c>
      <c r="H64" s="198">
        <f>IFERROR(_xlfn.XLOOKUP(A64,Aktiv!$A:$A,Aktiv!$I:$I,"–"),"")</f>
        <v>275</v>
      </c>
      <c r="I64" s="253">
        <f>IFERROR(_xlfn.XLOOKUP(A64,Aktiv!$A:$A,Aktiv!$J:$J,"–"),"")</f>
        <v>371</v>
      </c>
      <c r="J64" s="228">
        <f t="shared" si="0"/>
        <v>0.65189873417721522</v>
      </c>
      <c r="K64" s="236">
        <f t="shared" si="1"/>
        <v>0.740506329113924</v>
      </c>
      <c r="L64" s="247">
        <f t="shared" si="2"/>
        <v>1.3481012658227849</v>
      </c>
      <c r="M64" s="247">
        <f t="shared" si="3"/>
        <v>5.3639846743295021E-2</v>
      </c>
      <c r="N64" s="247">
        <f t="shared" si="4"/>
        <v>0.42145593869731801</v>
      </c>
      <c r="O64" s="247">
        <f t="shared" si="5"/>
        <v>0.34909090909090912</v>
      </c>
      <c r="P64" s="253">
        <f t="shared" si="6"/>
        <v>266</v>
      </c>
    </row>
    <row r="65" spans="1:16" x14ac:dyDescent="0.25">
      <c r="A65" s="192">
        <v>5007</v>
      </c>
      <c r="B65" s="189" t="str">
        <f>IFERROR(_xlfn.XLOOKUP(A65,Aktiv!$A:$A,Aktiv!$C:$C,"–"),"")</f>
        <v>Klappe</v>
      </c>
      <c r="C65" s="189" t="str">
        <f>IFERROR(_xlfn.XLOOKUP(A65,Aktiv!$A:$A,Aktiv!$D:$D,"–"),"")</f>
        <v>Klappe (980x360)</v>
      </c>
      <c r="D65" s="195">
        <f>IFERROR(_xlfn.XLOOKUP(A65,Aktiv!$A:$A,Aktiv!$E:$E,"–"),"")</f>
        <v>980</v>
      </c>
      <c r="E65" s="195">
        <f>IFERROR(_xlfn.XLOOKUP(A65,Aktiv!$A:$A,Aktiv!$F:$F,"–"),"")</f>
        <v>360</v>
      </c>
      <c r="F65" s="198">
        <f>IFERROR(_xlfn.XLOOKUP(A65,Aktiv!$A:$A,Aktiv!$G:$G,"–"),"")</f>
        <v>224</v>
      </c>
      <c r="G65" s="198">
        <f>IFERROR(_xlfn.XLOOKUP(A65,Aktiv!$A:$A,Aktiv!$H:$H,"–"),"")</f>
        <v>369</v>
      </c>
      <c r="H65" s="198">
        <f>IFERROR(_xlfn.XLOOKUP(A65,Aktiv!$A:$A,Aktiv!$I:$I,"–"),"")</f>
        <v>389</v>
      </c>
      <c r="I65" s="253">
        <f>IFERROR(_xlfn.XLOOKUP(A65,Aktiv!$A:$A,Aktiv!$J:$J,"–"),"")</f>
        <v>525</v>
      </c>
      <c r="J65" s="228">
        <f t="shared" si="0"/>
        <v>0.6473214285714286</v>
      </c>
      <c r="K65" s="236">
        <f t="shared" si="1"/>
        <v>0.7366071428571429</v>
      </c>
      <c r="L65" s="247">
        <f t="shared" si="2"/>
        <v>1.34375</v>
      </c>
      <c r="M65" s="247">
        <f t="shared" si="3"/>
        <v>5.4200542005420058E-2</v>
      </c>
      <c r="N65" s="247">
        <f t="shared" si="4"/>
        <v>0.42276422764227645</v>
      </c>
      <c r="O65" s="247">
        <f t="shared" si="5"/>
        <v>0.34961439588688947</v>
      </c>
      <c r="P65" s="253">
        <f t="shared" si="6"/>
        <v>377</v>
      </c>
    </row>
    <row r="66" spans="1:16" x14ac:dyDescent="0.25">
      <c r="A66" s="192">
        <v>5008</v>
      </c>
      <c r="B66" s="189" t="str">
        <f>IFERROR(_xlfn.XLOOKUP(A66,Aktiv!$A:$A,Aktiv!$C:$C,"–"),"")</f>
        <v>Klappe</v>
      </c>
      <c r="C66" s="189" t="str">
        <f>IFERROR(_xlfn.XLOOKUP(A66,Aktiv!$A:$A,Aktiv!$D:$D,"–"),"")</f>
        <v>Klappe (360x360)</v>
      </c>
      <c r="D66" s="195">
        <f>IFERROR(_xlfn.XLOOKUP(A66,Aktiv!$A:$A,Aktiv!$E:$E,"–"),"")</f>
        <v>360</v>
      </c>
      <c r="E66" s="195">
        <f>IFERROR(_xlfn.XLOOKUP(A66,Aktiv!$A:$A,Aktiv!$F:$F,"–"),"")</f>
        <v>360</v>
      </c>
      <c r="F66" s="198" t="str">
        <f>IFERROR(_xlfn.XLOOKUP(A66,Aktiv!$A:$A,Aktiv!$G:$G,"–"),"")</f>
        <v>-</v>
      </c>
      <c r="G66" s="198" t="str">
        <f>IFERROR(_xlfn.XLOOKUP(A66,Aktiv!$A:$A,Aktiv!$H:$H,"–"),"")</f>
        <v>-</v>
      </c>
      <c r="H66" s="198" t="str">
        <f>IFERROR(_xlfn.XLOOKUP(A66,Aktiv!$A:$A,Aktiv!$I:$I,"–"),"")</f>
        <v>-</v>
      </c>
      <c r="I66" s="253" t="str">
        <f>IFERROR(_xlfn.XLOOKUP(A66,Aktiv!$A:$A,Aktiv!$J:$J,"–"),"")</f>
        <v>-</v>
      </c>
      <c r="J66" s="228" t="str">
        <f t="shared" si="0"/>
        <v>–</v>
      </c>
      <c r="K66" s="236" t="str">
        <f t="shared" si="1"/>
        <v>–</v>
      </c>
      <c r="L66" s="247" t="str">
        <f t="shared" si="2"/>
        <v>–</v>
      </c>
      <c r="M66" s="247" t="str">
        <f t="shared" si="3"/>
        <v>–</v>
      </c>
      <c r="N66" s="247" t="str">
        <f t="shared" si="4"/>
        <v>–</v>
      </c>
      <c r="O66" s="247" t="str">
        <f t="shared" si="5"/>
        <v>–</v>
      </c>
      <c r="P66" s="253" t="str">
        <f t="shared" si="6"/>
        <v>–</v>
      </c>
    </row>
    <row r="67" spans="1:16" x14ac:dyDescent="0.25">
      <c r="A67" s="192">
        <v>5009</v>
      </c>
      <c r="B67" s="189" t="str">
        <f>IFERROR(_xlfn.XLOOKUP(A67,Aktiv!$A:$A,Aktiv!$C:$C,"–"),"")</f>
        <v>Klappe</v>
      </c>
      <c r="C67" s="189" t="str">
        <f>IFERROR(_xlfn.XLOOKUP(A67,Aktiv!$A:$A,Aktiv!$D:$D,"–"),"")</f>
        <v>Klappe (360x180)</v>
      </c>
      <c r="D67" s="195">
        <f>IFERROR(_xlfn.XLOOKUP(A67,Aktiv!$A:$A,Aktiv!$E:$E,"–"),"")</f>
        <v>360</v>
      </c>
      <c r="E67" s="195">
        <f>IFERROR(_xlfn.XLOOKUP(A67,Aktiv!$A:$A,Aktiv!$F:$F,"–"),"")</f>
        <v>180</v>
      </c>
      <c r="F67" s="198" t="str">
        <f>IFERROR(_xlfn.XLOOKUP(A67,Aktiv!$A:$A,Aktiv!$G:$G,"–"),"")</f>
        <v>-</v>
      </c>
      <c r="G67" s="198" t="str">
        <f>IFERROR(_xlfn.XLOOKUP(A67,Aktiv!$A:$A,Aktiv!$H:$H,"–"),"")</f>
        <v>-</v>
      </c>
      <c r="H67" s="198" t="str">
        <f>IFERROR(_xlfn.XLOOKUP(A67,Aktiv!$A:$A,Aktiv!$I:$I,"–"),"")</f>
        <v>-</v>
      </c>
      <c r="I67" s="253" t="str">
        <f>IFERROR(_xlfn.XLOOKUP(A67,Aktiv!$A:$A,Aktiv!$J:$J,"–"),"")</f>
        <v>-</v>
      </c>
      <c r="J67" s="228" t="str">
        <f t="shared" si="0"/>
        <v>–</v>
      </c>
      <c r="K67" s="236" t="str">
        <f t="shared" si="1"/>
        <v>–</v>
      </c>
      <c r="L67" s="247" t="str">
        <f t="shared" si="2"/>
        <v>–</v>
      </c>
      <c r="M67" s="247" t="str">
        <f t="shared" si="3"/>
        <v>–</v>
      </c>
      <c r="N67" s="247" t="str">
        <f t="shared" si="4"/>
        <v>–</v>
      </c>
      <c r="O67" s="247" t="str">
        <f t="shared" si="5"/>
        <v>–</v>
      </c>
      <c r="P67" s="253" t="str">
        <f t="shared" si="6"/>
        <v>–</v>
      </c>
    </row>
    <row r="68" spans="1:16" x14ac:dyDescent="0.25">
      <c r="A68" s="192" t="s">
        <v>220</v>
      </c>
      <c r="B68" s="189" t="str">
        <f>IFERROR(_xlfn.XLOOKUP(A68,Aktiv!$A:$A,Aktiv!$C:$C,"–"),"")</f>
        <v>Klappe</v>
      </c>
      <c r="C68" s="189" t="str">
        <f>IFERROR(_xlfn.XLOOKUP(A68,Aktiv!$A:$A,Aktiv!$D:$D,"–"),"")</f>
        <v>Klappe (980x420)</v>
      </c>
      <c r="D68" s="195">
        <f>IFERROR(_xlfn.XLOOKUP(A68,Aktiv!$A:$A,Aktiv!$E:$E,"–"),"")</f>
        <v>980</v>
      </c>
      <c r="E68" s="195">
        <f>IFERROR(_xlfn.XLOOKUP(A68,Aktiv!$A:$A,Aktiv!$F:$F,"–"),"")</f>
        <v>420</v>
      </c>
      <c r="F68" s="198" t="str">
        <f>IFERROR(_xlfn.XLOOKUP(A68,Aktiv!$A:$A,Aktiv!$G:$G,"–"),"")</f>
        <v>-</v>
      </c>
      <c r="G68" s="198" t="str">
        <f>IFERROR(_xlfn.XLOOKUP(A68,Aktiv!$A:$A,Aktiv!$H:$H,"–"),"")</f>
        <v>-</v>
      </c>
      <c r="H68" s="198" t="str">
        <f>IFERROR(_xlfn.XLOOKUP(A68,Aktiv!$A:$A,Aktiv!$I:$I,"–"),"")</f>
        <v>-</v>
      </c>
      <c r="I68" s="253" t="str">
        <f>IFERROR(_xlfn.XLOOKUP(A68,Aktiv!$A:$A,Aktiv!$J:$J,"–"),"")</f>
        <v>-</v>
      </c>
      <c r="J68" s="228" t="str">
        <f t="shared" si="0"/>
        <v>–</v>
      </c>
      <c r="K68" s="236" t="str">
        <f t="shared" si="1"/>
        <v>–</v>
      </c>
      <c r="L68" s="247" t="str">
        <f t="shared" si="2"/>
        <v>–</v>
      </c>
      <c r="M68" s="247" t="str">
        <f t="shared" si="3"/>
        <v>–</v>
      </c>
      <c r="N68" s="247" t="str">
        <f t="shared" si="4"/>
        <v>–</v>
      </c>
      <c r="O68" s="247" t="str">
        <f t="shared" si="5"/>
        <v>–</v>
      </c>
      <c r="P68" s="253" t="str">
        <f t="shared" si="6"/>
        <v>–</v>
      </c>
    </row>
    <row r="69" spans="1:16" x14ac:dyDescent="0.25">
      <c r="A69" s="206">
        <v>3800</v>
      </c>
      <c r="B69" s="207" t="str">
        <f>IFERROR(_xlfn.XLOOKUP(A69,Aktiv!$A:$A,Aktiv!$C:$C,"–"),"")</f>
        <v>Klappenboden</v>
      </c>
      <c r="C69" s="207" t="str">
        <f>IFERROR(_xlfn.XLOOKUP(A69,Aktiv!$A:$A,Aktiv!$D:$D,"–"),"")</f>
        <v>Klappenboden (360x360)</v>
      </c>
      <c r="D69" s="208">
        <f>IFERROR(_xlfn.XLOOKUP(A69,Aktiv!$A:$A,Aktiv!$E:$E,"–"),"")</f>
        <v>360</v>
      </c>
      <c r="E69" s="208">
        <f>IFERROR(_xlfn.XLOOKUP(A69,Aktiv!$A:$A,Aktiv!$F:$F,"–"),"")</f>
        <v>360</v>
      </c>
      <c r="F69" s="209">
        <f>IFERROR(_xlfn.XLOOKUP(A69,Aktiv!$A:$A,Aktiv!$G:$G,"–"),"")</f>
        <v>25</v>
      </c>
      <c r="G69" s="209">
        <f>IFERROR(_xlfn.XLOOKUP(A69,Aktiv!$A:$A,Aktiv!$H:$H,"–"),"")</f>
        <v>103</v>
      </c>
      <c r="H69" s="209">
        <f>IFERROR(_xlfn.XLOOKUP(A69,Aktiv!$A:$A,Aktiv!$I:$I,"–"),"")</f>
        <v>120</v>
      </c>
      <c r="I69" s="254">
        <f>IFERROR(_xlfn.XLOOKUP(A69,Aktiv!$A:$A,Aktiv!$J:$J,"–"),"")</f>
        <v>145</v>
      </c>
      <c r="J69" s="229">
        <f t="shared" ref="J69:J132" si="7">IFERROR(IF(OR(F69=0,G69=0,F69="",G69=""),"-",(G69-F69)/F69),"–")</f>
        <v>3.12</v>
      </c>
      <c r="K69" s="239">
        <f t="shared" ref="K69:K132" si="8">IFERROR(IF(OR(F69=0,H69=0,F69="",H69=""),"-",(H69-F69)/F69),"–")</f>
        <v>3.8</v>
      </c>
      <c r="L69" s="248">
        <f t="shared" ref="L69:L132" si="9">IFERROR(IF(OR(F69=0,I69=0,F69="",I69=""),"-",(I69-F69)/F69),"–")</f>
        <v>4.8</v>
      </c>
      <c r="M69" s="248">
        <f t="shared" ref="M69:M132" si="10">IFERROR(IF(OR(G69=0,H69=0,G69="",H69=""),"-",(H69-G69)/G69),"–")</f>
        <v>0.1650485436893204</v>
      </c>
      <c r="N69" s="248">
        <f t="shared" ref="N69:N132" si="11">IFERROR(IF(OR(G69=0,I69=0,G69="",I69=""),"-",(I69-G69)/G69),"–")</f>
        <v>0.40776699029126212</v>
      </c>
      <c r="O69" s="248">
        <f t="shared" ref="O69:O132" si="12">IFERROR(IF(OR(H69=0,I69=0,H69="",I69=""),"-",(I69-H69)/H69),"–")</f>
        <v>0.20833333333333334</v>
      </c>
      <c r="P69" s="254">
        <f t="shared" ref="P69:P132" si="13">IFERROR(ROUND(AVERAGEIF(F69:I69,"&lt;&gt;0"),0),"–")</f>
        <v>98</v>
      </c>
    </row>
    <row r="70" spans="1:16" x14ac:dyDescent="0.25">
      <c r="A70" s="193">
        <v>3801</v>
      </c>
      <c r="B70" s="190" t="str">
        <f>IFERROR(_xlfn.XLOOKUP(A70,Aktiv!$A:$A,Aktiv!$C:$C,"–"),"")</f>
        <v>Klappenboden</v>
      </c>
      <c r="C70" s="190" t="str">
        <f>IFERROR(_xlfn.XLOOKUP(A70,Aktiv!$A:$A,Aktiv!$D:$D,"–"),"")</f>
        <v>Klappenboden (420x360)</v>
      </c>
      <c r="D70" s="196">
        <f>IFERROR(_xlfn.XLOOKUP(A70,Aktiv!$A:$A,Aktiv!$E:$E,"–"),"")</f>
        <v>420</v>
      </c>
      <c r="E70" s="196">
        <f>IFERROR(_xlfn.XLOOKUP(A70,Aktiv!$A:$A,Aktiv!$F:$F,"–"),"")</f>
        <v>360</v>
      </c>
      <c r="F70" s="199">
        <f>IFERROR(_xlfn.XLOOKUP(A70,Aktiv!$A:$A,Aktiv!$G:$G,"–"),"")</f>
        <v>27</v>
      </c>
      <c r="G70" s="199">
        <f>IFERROR(_xlfn.XLOOKUP(A70,Aktiv!$A:$A,Aktiv!$H:$H,"–"),"")</f>
        <v>103</v>
      </c>
      <c r="H70" s="199">
        <f>IFERROR(_xlfn.XLOOKUP(A70,Aktiv!$A:$A,Aktiv!$I:$I,"–"),"")</f>
        <v>120</v>
      </c>
      <c r="I70" s="255">
        <f>IFERROR(_xlfn.XLOOKUP(A70,Aktiv!$A:$A,Aktiv!$J:$J,"–"),"")</f>
        <v>145</v>
      </c>
      <c r="J70" s="230">
        <f t="shared" si="7"/>
        <v>2.8148148148148149</v>
      </c>
      <c r="K70" s="240">
        <f t="shared" si="8"/>
        <v>3.4444444444444446</v>
      </c>
      <c r="L70" s="249">
        <f t="shared" si="9"/>
        <v>4.3703703703703702</v>
      </c>
      <c r="M70" s="249">
        <f t="shared" si="10"/>
        <v>0.1650485436893204</v>
      </c>
      <c r="N70" s="249">
        <f t="shared" si="11"/>
        <v>0.40776699029126212</v>
      </c>
      <c r="O70" s="249">
        <f t="shared" si="12"/>
        <v>0.20833333333333334</v>
      </c>
      <c r="P70" s="255">
        <f t="shared" si="13"/>
        <v>99</v>
      </c>
    </row>
    <row r="71" spans="1:16" x14ac:dyDescent="0.25">
      <c r="A71" s="193">
        <v>3802</v>
      </c>
      <c r="B71" s="190" t="str">
        <f>IFERROR(_xlfn.XLOOKUP(A71,Aktiv!$A:$A,Aktiv!$C:$C,"–"),"")</f>
        <v>Klappenboden</v>
      </c>
      <c r="C71" s="190" t="str">
        <f>IFERROR(_xlfn.XLOOKUP(A71,Aktiv!$A:$A,Aktiv!$D:$D,"–"),"")</f>
        <v>Klappenboden (580x360)</v>
      </c>
      <c r="D71" s="196">
        <f>IFERROR(_xlfn.XLOOKUP(A71,Aktiv!$A:$A,Aktiv!$E:$E,"–"),"")</f>
        <v>580</v>
      </c>
      <c r="E71" s="196">
        <f>IFERROR(_xlfn.XLOOKUP(A71,Aktiv!$A:$A,Aktiv!$F:$F,"–"),"")</f>
        <v>360</v>
      </c>
      <c r="F71" s="199">
        <f>IFERROR(_xlfn.XLOOKUP(A71,Aktiv!$A:$A,Aktiv!$G:$G,"–"),"")</f>
        <v>37</v>
      </c>
      <c r="G71" s="199">
        <f>IFERROR(_xlfn.XLOOKUP(A71,Aktiv!$A:$A,Aktiv!$H:$H,"–"),"")</f>
        <v>126</v>
      </c>
      <c r="H71" s="199">
        <f>IFERROR(_xlfn.XLOOKUP(A71,Aktiv!$A:$A,Aktiv!$I:$I,"–"),"")</f>
        <v>131</v>
      </c>
      <c r="I71" s="255">
        <f>IFERROR(_xlfn.XLOOKUP(A71,Aktiv!$A:$A,Aktiv!$J:$J,"–"),"")</f>
        <v>146</v>
      </c>
      <c r="J71" s="230">
        <f t="shared" si="7"/>
        <v>2.4054054054054053</v>
      </c>
      <c r="K71" s="240">
        <f t="shared" si="8"/>
        <v>2.5405405405405403</v>
      </c>
      <c r="L71" s="249">
        <f t="shared" si="9"/>
        <v>2.9459459459459461</v>
      </c>
      <c r="M71" s="249">
        <f t="shared" si="10"/>
        <v>3.968253968253968E-2</v>
      </c>
      <c r="N71" s="249">
        <f t="shared" si="11"/>
        <v>0.15873015873015872</v>
      </c>
      <c r="O71" s="249">
        <f t="shared" si="12"/>
        <v>0.11450381679389313</v>
      </c>
      <c r="P71" s="255">
        <f t="shared" si="13"/>
        <v>110</v>
      </c>
    </row>
    <row r="72" spans="1:16" x14ac:dyDescent="0.25">
      <c r="A72" s="193">
        <v>3803</v>
      </c>
      <c r="B72" s="190" t="str">
        <f>IFERROR(_xlfn.XLOOKUP(A72,Aktiv!$A:$A,Aktiv!$C:$C,"–"),"")</f>
        <v>Klappenboden</v>
      </c>
      <c r="C72" s="190" t="str">
        <f>IFERROR(_xlfn.XLOOKUP(A72,Aktiv!$A:$A,Aktiv!$D:$D,"–"),"")</f>
        <v>Klappenboden (780x360)</v>
      </c>
      <c r="D72" s="196">
        <f>IFERROR(_xlfn.XLOOKUP(A72,Aktiv!$A:$A,Aktiv!$E:$E,"–"),"")</f>
        <v>780</v>
      </c>
      <c r="E72" s="196">
        <f>IFERROR(_xlfn.XLOOKUP(A72,Aktiv!$A:$A,Aktiv!$F:$F,"–"),"")</f>
        <v>360</v>
      </c>
      <c r="F72" s="199">
        <f>IFERROR(_xlfn.XLOOKUP(A72,Aktiv!$A:$A,Aktiv!$G:$G,"–"),"")</f>
        <v>49</v>
      </c>
      <c r="G72" s="199">
        <f>IFERROR(_xlfn.XLOOKUP(A72,Aktiv!$A:$A,Aktiv!$H:$H,"–"),"")</f>
        <v>169</v>
      </c>
      <c r="H72" s="199">
        <f>IFERROR(_xlfn.XLOOKUP(A72,Aktiv!$A:$A,Aktiv!$I:$I,"–"),"")</f>
        <v>177</v>
      </c>
      <c r="I72" s="255">
        <f>IFERROR(_xlfn.XLOOKUP(A72,Aktiv!$A:$A,Aktiv!$J:$J,"–"),"")</f>
        <v>196</v>
      </c>
      <c r="J72" s="230">
        <f t="shared" si="7"/>
        <v>2.4489795918367347</v>
      </c>
      <c r="K72" s="241">
        <f t="shared" si="8"/>
        <v>2.6122448979591835</v>
      </c>
      <c r="L72" s="249">
        <f t="shared" si="9"/>
        <v>3</v>
      </c>
      <c r="M72" s="249">
        <f t="shared" si="10"/>
        <v>4.7337278106508875E-2</v>
      </c>
      <c r="N72" s="249">
        <f t="shared" si="11"/>
        <v>0.15976331360946747</v>
      </c>
      <c r="O72" s="249">
        <f t="shared" si="12"/>
        <v>0.10734463276836158</v>
      </c>
      <c r="P72" s="255">
        <f t="shared" si="13"/>
        <v>148</v>
      </c>
    </row>
    <row r="73" spans="1:16" x14ac:dyDescent="0.25">
      <c r="A73" s="193">
        <v>3804</v>
      </c>
      <c r="B73" s="190" t="str">
        <f>IFERROR(_xlfn.XLOOKUP(A73,Aktiv!$A:$A,Aktiv!$C:$C,"–"),"")</f>
        <v>Klappenboden</v>
      </c>
      <c r="C73" s="190" t="str">
        <f>IFERROR(_xlfn.XLOOKUP(A73,Aktiv!$A:$A,Aktiv!$D:$D,"–"),"")</f>
        <v>Klappenboden (980x360)</v>
      </c>
      <c r="D73" s="196">
        <f>IFERROR(_xlfn.XLOOKUP(A73,Aktiv!$A:$A,Aktiv!$E:$E,"–"),"")</f>
        <v>980</v>
      </c>
      <c r="E73" s="196">
        <f>IFERROR(_xlfn.XLOOKUP(A73,Aktiv!$A:$A,Aktiv!$F:$F,"–"),"")</f>
        <v>360</v>
      </c>
      <c r="F73" s="199">
        <f>IFERROR(_xlfn.XLOOKUP(A73,Aktiv!$A:$A,Aktiv!$G:$G,"–"),"")</f>
        <v>62</v>
      </c>
      <c r="G73" s="199">
        <f>IFERROR(_xlfn.XLOOKUP(A73,Aktiv!$A:$A,Aktiv!$H:$H,"–"),"")</f>
        <v>213</v>
      </c>
      <c r="H73" s="199">
        <f>IFERROR(_xlfn.XLOOKUP(A73,Aktiv!$A:$A,Aktiv!$I:$I,"–"),"")</f>
        <v>222</v>
      </c>
      <c r="I73" s="255">
        <f>IFERROR(_xlfn.XLOOKUP(A73,Aktiv!$A:$A,Aktiv!$J:$J,"–"),"")</f>
        <v>247</v>
      </c>
      <c r="J73" s="230">
        <f t="shared" si="7"/>
        <v>2.435483870967742</v>
      </c>
      <c r="K73" s="241">
        <f t="shared" si="8"/>
        <v>2.5806451612903225</v>
      </c>
      <c r="L73" s="249">
        <f t="shared" si="9"/>
        <v>2.9838709677419355</v>
      </c>
      <c r="M73" s="249">
        <f t="shared" si="10"/>
        <v>4.2253521126760563E-2</v>
      </c>
      <c r="N73" s="249">
        <f t="shared" si="11"/>
        <v>0.15962441314553991</v>
      </c>
      <c r="O73" s="249">
        <f t="shared" si="12"/>
        <v>0.11261261261261261</v>
      </c>
      <c r="P73" s="255">
        <f t="shared" si="13"/>
        <v>186</v>
      </c>
    </row>
    <row r="74" spans="1:16" x14ac:dyDescent="0.25">
      <c r="A74" s="193">
        <v>3805</v>
      </c>
      <c r="B74" s="190" t="str">
        <f>IFERROR(_xlfn.XLOOKUP(A74,Aktiv!$A:$A,Aktiv!$C:$C,"–"),"")</f>
        <v>Klappenboden</v>
      </c>
      <c r="C74" s="190" t="str">
        <f>IFERROR(_xlfn.XLOOKUP(A74,Aktiv!$A:$A,Aktiv!$D:$D,"–"),"")</f>
        <v>Klappenboden (360x580)</v>
      </c>
      <c r="D74" s="196">
        <f>IFERROR(_xlfn.XLOOKUP(A74,Aktiv!$A:$A,Aktiv!$E:$E,"–"),"")</f>
        <v>360</v>
      </c>
      <c r="E74" s="196">
        <f>IFERROR(_xlfn.XLOOKUP(A74,Aktiv!$A:$A,Aktiv!$F:$F,"–"),"")</f>
        <v>580</v>
      </c>
      <c r="F74" s="199">
        <f>IFERROR(_xlfn.XLOOKUP(A74,Aktiv!$A:$A,Aktiv!$G:$G,"–"),"")</f>
        <v>37</v>
      </c>
      <c r="G74" s="199">
        <f>IFERROR(_xlfn.XLOOKUP(A74,Aktiv!$A:$A,Aktiv!$H:$H,"–"),"")</f>
        <v>126</v>
      </c>
      <c r="H74" s="199">
        <f>IFERROR(_xlfn.XLOOKUP(A74,Aktiv!$A:$A,Aktiv!$I:$I,"–"),"")</f>
        <v>131</v>
      </c>
      <c r="I74" s="255">
        <f>IFERROR(_xlfn.XLOOKUP(A74,Aktiv!$A:$A,Aktiv!$J:$J,"–"),"")</f>
        <v>146</v>
      </c>
      <c r="J74" s="230">
        <f t="shared" si="7"/>
        <v>2.4054054054054053</v>
      </c>
      <c r="K74" s="240">
        <f t="shared" si="8"/>
        <v>2.5405405405405403</v>
      </c>
      <c r="L74" s="249">
        <f t="shared" si="9"/>
        <v>2.9459459459459461</v>
      </c>
      <c r="M74" s="249">
        <f t="shared" si="10"/>
        <v>3.968253968253968E-2</v>
      </c>
      <c r="N74" s="249">
        <f t="shared" si="11"/>
        <v>0.15873015873015872</v>
      </c>
      <c r="O74" s="249">
        <f t="shared" si="12"/>
        <v>0.11450381679389313</v>
      </c>
      <c r="P74" s="255">
        <f t="shared" si="13"/>
        <v>110</v>
      </c>
    </row>
    <row r="75" spans="1:16" x14ac:dyDescent="0.25">
      <c r="A75" s="193">
        <v>3806</v>
      </c>
      <c r="B75" s="190" t="str">
        <f>IFERROR(_xlfn.XLOOKUP(A75,Aktiv!$A:$A,Aktiv!$C:$C,"–"),"")</f>
        <v>Klappenboden</v>
      </c>
      <c r="C75" s="190" t="str">
        <f>IFERROR(_xlfn.XLOOKUP(A75,Aktiv!$A:$A,Aktiv!$D:$D,"–"),"")</f>
        <v>Klappenboden (420x580)</v>
      </c>
      <c r="D75" s="196">
        <f>IFERROR(_xlfn.XLOOKUP(A75,Aktiv!$A:$A,Aktiv!$E:$E,"–"),"")</f>
        <v>420</v>
      </c>
      <c r="E75" s="196">
        <f>IFERROR(_xlfn.XLOOKUP(A75,Aktiv!$A:$A,Aktiv!$F:$F,"–"),"")</f>
        <v>580</v>
      </c>
      <c r="F75" s="199">
        <f>IFERROR(_xlfn.XLOOKUP(A75,Aktiv!$A:$A,Aktiv!$G:$G,"–"),"")</f>
        <v>43</v>
      </c>
      <c r="G75" s="199">
        <f>IFERROR(_xlfn.XLOOKUP(A75,Aktiv!$A:$A,Aktiv!$H:$H,"–"),"")</f>
        <v>147</v>
      </c>
      <c r="H75" s="199">
        <f>IFERROR(_xlfn.XLOOKUP(A75,Aktiv!$A:$A,Aktiv!$I:$I,"–"),"")</f>
        <v>153</v>
      </c>
      <c r="I75" s="255">
        <f>IFERROR(_xlfn.XLOOKUP(A75,Aktiv!$A:$A,Aktiv!$J:$J,"–"),"")</f>
        <v>170</v>
      </c>
      <c r="J75" s="230">
        <f t="shared" si="7"/>
        <v>2.4186046511627906</v>
      </c>
      <c r="K75" s="241">
        <f t="shared" si="8"/>
        <v>2.558139534883721</v>
      </c>
      <c r="L75" s="249">
        <f t="shared" si="9"/>
        <v>2.9534883720930232</v>
      </c>
      <c r="M75" s="249">
        <f t="shared" si="10"/>
        <v>4.0816326530612242E-2</v>
      </c>
      <c r="N75" s="249">
        <f t="shared" si="11"/>
        <v>0.15646258503401361</v>
      </c>
      <c r="O75" s="249">
        <f t="shared" si="12"/>
        <v>0.1111111111111111</v>
      </c>
      <c r="P75" s="255">
        <f t="shared" si="13"/>
        <v>128</v>
      </c>
    </row>
    <row r="76" spans="1:16" x14ac:dyDescent="0.25">
      <c r="A76" s="193">
        <v>3807</v>
      </c>
      <c r="B76" s="190" t="str">
        <f>IFERROR(_xlfn.XLOOKUP(A76,Aktiv!$A:$A,Aktiv!$C:$C,"–"),"")</f>
        <v>Klappenboden</v>
      </c>
      <c r="C76" s="190" t="str">
        <f>IFERROR(_xlfn.XLOOKUP(A76,Aktiv!$A:$A,Aktiv!$D:$D,"–"),"")</f>
        <v>Klappenboden (580x580)</v>
      </c>
      <c r="D76" s="196">
        <f>IFERROR(_xlfn.XLOOKUP(A76,Aktiv!$A:$A,Aktiv!$E:$E,"–"),"")</f>
        <v>580</v>
      </c>
      <c r="E76" s="196">
        <f>IFERROR(_xlfn.XLOOKUP(A76,Aktiv!$A:$A,Aktiv!$F:$F,"–"),"")</f>
        <v>580</v>
      </c>
      <c r="F76" s="199">
        <f>IFERROR(_xlfn.XLOOKUP(A76,Aktiv!$A:$A,Aktiv!$G:$G,"–"),"")</f>
        <v>59</v>
      </c>
      <c r="G76" s="199">
        <f>IFERROR(_xlfn.XLOOKUP(A76,Aktiv!$A:$A,Aktiv!$H:$H,"–"),"")</f>
        <v>203</v>
      </c>
      <c r="H76" s="199">
        <f>IFERROR(_xlfn.XLOOKUP(A76,Aktiv!$A:$A,Aktiv!$I:$I,"–"),"")</f>
        <v>211</v>
      </c>
      <c r="I76" s="255">
        <f>IFERROR(_xlfn.XLOOKUP(A76,Aktiv!$A:$A,Aktiv!$J:$J,"–"),"")</f>
        <v>235</v>
      </c>
      <c r="J76" s="230">
        <f t="shared" si="7"/>
        <v>2.4406779661016951</v>
      </c>
      <c r="K76" s="241">
        <f t="shared" si="8"/>
        <v>2.5762711864406778</v>
      </c>
      <c r="L76" s="249">
        <f t="shared" si="9"/>
        <v>2.9830508474576272</v>
      </c>
      <c r="M76" s="249">
        <f t="shared" si="10"/>
        <v>3.9408866995073892E-2</v>
      </c>
      <c r="N76" s="249">
        <f t="shared" si="11"/>
        <v>0.15763546798029557</v>
      </c>
      <c r="O76" s="249">
        <f t="shared" si="12"/>
        <v>0.11374407582938388</v>
      </c>
      <c r="P76" s="255">
        <f t="shared" si="13"/>
        <v>177</v>
      </c>
    </row>
    <row r="77" spans="1:16" x14ac:dyDescent="0.25">
      <c r="A77" s="193">
        <v>3808</v>
      </c>
      <c r="B77" s="190" t="str">
        <f>IFERROR(_xlfn.XLOOKUP(A77,Aktiv!$A:$A,Aktiv!$C:$C,"–"),"")</f>
        <v>Klappenboden</v>
      </c>
      <c r="C77" s="190" t="str">
        <f>IFERROR(_xlfn.XLOOKUP(A77,Aktiv!$A:$A,Aktiv!$D:$D,"–"),"")</f>
        <v>Klappenboden (780x580)</v>
      </c>
      <c r="D77" s="196">
        <f>IFERROR(_xlfn.XLOOKUP(A77,Aktiv!$A:$A,Aktiv!$E:$E,"–"),"")</f>
        <v>780</v>
      </c>
      <c r="E77" s="196">
        <f>IFERROR(_xlfn.XLOOKUP(A77,Aktiv!$A:$A,Aktiv!$F:$F,"–"),"")</f>
        <v>580</v>
      </c>
      <c r="F77" s="199">
        <f>IFERROR(_xlfn.XLOOKUP(A77,Aktiv!$A:$A,Aktiv!$G:$G,"–"),"")</f>
        <v>80</v>
      </c>
      <c r="G77" s="199">
        <f>IFERROR(_xlfn.XLOOKUP(A77,Aktiv!$A:$A,Aktiv!$H:$H,"–"),"")</f>
        <v>273</v>
      </c>
      <c r="H77" s="199">
        <f>IFERROR(_xlfn.XLOOKUP(A77,Aktiv!$A:$A,Aktiv!$I:$I,"–"),"")</f>
        <v>284</v>
      </c>
      <c r="I77" s="255">
        <f>IFERROR(_xlfn.XLOOKUP(A77,Aktiv!$A:$A,Aktiv!$J:$J,"–"),"")</f>
        <v>316</v>
      </c>
      <c r="J77" s="230">
        <f t="shared" si="7"/>
        <v>2.4125000000000001</v>
      </c>
      <c r="K77" s="241">
        <f t="shared" si="8"/>
        <v>2.5499999999999998</v>
      </c>
      <c r="L77" s="249">
        <f t="shared" si="9"/>
        <v>2.95</v>
      </c>
      <c r="M77" s="249">
        <f t="shared" si="10"/>
        <v>4.0293040293040296E-2</v>
      </c>
      <c r="N77" s="249">
        <f t="shared" si="11"/>
        <v>0.1575091575091575</v>
      </c>
      <c r="O77" s="249">
        <f t="shared" si="12"/>
        <v>0.11267605633802817</v>
      </c>
      <c r="P77" s="255">
        <f t="shared" si="13"/>
        <v>238</v>
      </c>
    </row>
    <row r="78" spans="1:16" x14ac:dyDescent="0.25">
      <c r="A78" s="193">
        <v>3809</v>
      </c>
      <c r="B78" s="190" t="str">
        <f>IFERROR(_xlfn.XLOOKUP(A78,Aktiv!$A:$A,Aktiv!$C:$C,"–"),"")</f>
        <v>Klappenboden</v>
      </c>
      <c r="C78" s="190" t="str">
        <f>IFERROR(_xlfn.XLOOKUP(A78,Aktiv!$A:$A,Aktiv!$D:$D,"–"),"")</f>
        <v>Klappenboden (980x580)</v>
      </c>
      <c r="D78" s="196">
        <f>IFERROR(_xlfn.XLOOKUP(A78,Aktiv!$A:$A,Aktiv!$E:$E,"–"),"")</f>
        <v>980</v>
      </c>
      <c r="E78" s="196">
        <f>IFERROR(_xlfn.XLOOKUP(A78,Aktiv!$A:$A,Aktiv!$F:$F,"–"),"")</f>
        <v>580</v>
      </c>
      <c r="F78" s="199">
        <f>IFERROR(_xlfn.XLOOKUP(A78,Aktiv!$A:$A,Aktiv!$G:$G,"–"),"")</f>
        <v>100</v>
      </c>
      <c r="G78" s="199">
        <f>IFERROR(_xlfn.XLOOKUP(A78,Aktiv!$A:$A,Aktiv!$H:$H,"–"),"")</f>
        <v>343</v>
      </c>
      <c r="H78" s="199">
        <f>IFERROR(_xlfn.XLOOKUP(A78,Aktiv!$A:$A,Aktiv!$I:$I,"–"),"")</f>
        <v>357</v>
      </c>
      <c r="I78" s="255">
        <f>IFERROR(_xlfn.XLOOKUP(A78,Aktiv!$A:$A,Aktiv!$J:$J,"–"),"")</f>
        <v>398</v>
      </c>
      <c r="J78" s="230">
        <f t="shared" si="7"/>
        <v>2.4300000000000002</v>
      </c>
      <c r="K78" s="241">
        <f t="shared" si="8"/>
        <v>2.57</v>
      </c>
      <c r="L78" s="249">
        <f t="shared" si="9"/>
        <v>2.98</v>
      </c>
      <c r="M78" s="249">
        <f t="shared" si="10"/>
        <v>4.0816326530612242E-2</v>
      </c>
      <c r="N78" s="249">
        <f t="shared" si="11"/>
        <v>0.16034985422740525</v>
      </c>
      <c r="O78" s="249">
        <f t="shared" si="12"/>
        <v>0.11484593837535013</v>
      </c>
      <c r="P78" s="255">
        <f t="shared" si="13"/>
        <v>300</v>
      </c>
    </row>
    <row r="79" spans="1:16" x14ac:dyDescent="0.25">
      <c r="A79" s="193">
        <v>3810</v>
      </c>
      <c r="B79" s="190" t="str">
        <f>IFERROR(_xlfn.XLOOKUP(A79,Aktiv!$A:$A,Aktiv!$C:$C,"–"),"")</f>
        <v>Klappenboden</v>
      </c>
      <c r="C79" s="190" t="str">
        <f>IFERROR(_xlfn.XLOOKUP(A79,Aktiv!$A:$A,Aktiv!$D:$D,"–"),"")</f>
        <v>Klappenboden (420x780)</v>
      </c>
      <c r="D79" s="196">
        <f>IFERROR(_xlfn.XLOOKUP(A79,Aktiv!$A:$A,Aktiv!$E:$E,"–"),"")</f>
        <v>420</v>
      </c>
      <c r="E79" s="196">
        <f>IFERROR(_xlfn.XLOOKUP(A79,Aktiv!$A:$A,Aktiv!$F:$F,"–"),"")</f>
        <v>780</v>
      </c>
      <c r="F79" s="199" t="str">
        <f>IFERROR(_xlfn.XLOOKUP(A79,Aktiv!$A:$A,Aktiv!$G:$G,"–"),"")</f>
        <v>-</v>
      </c>
      <c r="G79" s="199" t="str">
        <f>IFERROR(_xlfn.XLOOKUP(A79,Aktiv!$A:$A,Aktiv!$H:$H,"–"),"")</f>
        <v>-</v>
      </c>
      <c r="H79" s="199" t="str">
        <f>IFERROR(_xlfn.XLOOKUP(A79,Aktiv!$A:$A,Aktiv!$I:$I,"–"),"")</f>
        <v>-</v>
      </c>
      <c r="I79" s="255" t="str">
        <f>IFERROR(_xlfn.XLOOKUP(A79,Aktiv!$A:$A,Aktiv!$J:$J,"–"),"")</f>
        <v>-</v>
      </c>
      <c r="J79" s="230" t="str">
        <f t="shared" si="7"/>
        <v>–</v>
      </c>
      <c r="K79" s="241" t="str">
        <f t="shared" si="8"/>
        <v>–</v>
      </c>
      <c r="L79" s="249" t="str">
        <f t="shared" si="9"/>
        <v>–</v>
      </c>
      <c r="M79" s="249" t="str">
        <f t="shared" si="10"/>
        <v>–</v>
      </c>
      <c r="N79" s="249" t="str">
        <f t="shared" si="11"/>
        <v>–</v>
      </c>
      <c r="O79" s="249" t="str">
        <f t="shared" si="12"/>
        <v>–</v>
      </c>
      <c r="P79" s="255" t="str">
        <f t="shared" si="13"/>
        <v>–</v>
      </c>
    </row>
    <row r="80" spans="1:16" x14ac:dyDescent="0.25">
      <c r="A80" s="193">
        <v>3811</v>
      </c>
      <c r="B80" s="190" t="str">
        <f>IFERROR(_xlfn.XLOOKUP(A80,Aktiv!$A:$A,Aktiv!$C:$C,"–"),"")</f>
        <v>Klappenboden</v>
      </c>
      <c r="C80" s="190" t="str">
        <f>IFERROR(_xlfn.XLOOKUP(A80,Aktiv!$A:$A,Aktiv!$D:$D,"–"),"")</f>
        <v>Klappenboden (420x980)</v>
      </c>
      <c r="D80" s="196">
        <f>IFERROR(_xlfn.XLOOKUP(A80,Aktiv!$A:$A,Aktiv!$E:$E,"–"),"")</f>
        <v>420</v>
      </c>
      <c r="E80" s="196">
        <f>IFERROR(_xlfn.XLOOKUP(A80,Aktiv!$A:$A,Aktiv!$F:$F,"–"),"")</f>
        <v>980</v>
      </c>
      <c r="F80" s="199" t="str">
        <f>IFERROR(_xlfn.XLOOKUP(A80,Aktiv!$A:$A,Aktiv!$G:$G,"–"),"")</f>
        <v>-</v>
      </c>
      <c r="G80" s="199" t="str">
        <f>IFERROR(_xlfn.XLOOKUP(A80,Aktiv!$A:$A,Aktiv!$H:$H,"–"),"")</f>
        <v>-</v>
      </c>
      <c r="H80" s="199" t="str">
        <f>IFERROR(_xlfn.XLOOKUP(A80,Aktiv!$A:$A,Aktiv!$I:$I,"–"),"")</f>
        <v>-</v>
      </c>
      <c r="I80" s="255" t="str">
        <f>IFERROR(_xlfn.XLOOKUP(A80,Aktiv!$A:$A,Aktiv!$J:$J,"–"),"")</f>
        <v>-</v>
      </c>
      <c r="J80" s="230" t="str">
        <f t="shared" si="7"/>
        <v>–</v>
      </c>
      <c r="K80" s="241" t="str">
        <f t="shared" si="8"/>
        <v>–</v>
      </c>
      <c r="L80" s="249" t="str">
        <f t="shared" si="9"/>
        <v>–</v>
      </c>
      <c r="M80" s="249" t="str">
        <f t="shared" si="10"/>
        <v>–</v>
      </c>
      <c r="N80" s="249" t="str">
        <f t="shared" si="11"/>
        <v>–</v>
      </c>
      <c r="O80" s="249" t="str">
        <f t="shared" si="12"/>
        <v>–</v>
      </c>
      <c r="P80" s="255" t="str">
        <f t="shared" si="13"/>
        <v>–</v>
      </c>
    </row>
    <row r="81" spans="1:16" x14ac:dyDescent="0.25">
      <c r="A81" s="193">
        <v>3812</v>
      </c>
      <c r="B81" s="190" t="str">
        <f>IFERROR(_xlfn.XLOOKUP(A81,Aktiv!$A:$A,Aktiv!$C:$C,"–"),"")</f>
        <v>Klappenboden</v>
      </c>
      <c r="C81" s="190" t="str">
        <f>IFERROR(_xlfn.XLOOKUP(A81,Aktiv!$A:$A,Aktiv!$D:$D,"–"),"")</f>
        <v>Klappenboden (780x780)</v>
      </c>
      <c r="D81" s="196">
        <f>IFERROR(_xlfn.XLOOKUP(A81,Aktiv!$A:$A,Aktiv!$E:$E,"–"),"")</f>
        <v>780</v>
      </c>
      <c r="E81" s="196">
        <f>IFERROR(_xlfn.XLOOKUP(A81,Aktiv!$A:$A,Aktiv!$F:$F,"–"),"")</f>
        <v>780</v>
      </c>
      <c r="F81" s="199" t="str">
        <f>IFERROR(_xlfn.XLOOKUP(A81,Aktiv!$A:$A,Aktiv!$G:$G,"–"),"")</f>
        <v>-</v>
      </c>
      <c r="G81" s="199" t="str">
        <f>IFERROR(_xlfn.XLOOKUP(A81,Aktiv!$A:$A,Aktiv!$H:$H,"–"),"")</f>
        <v>-</v>
      </c>
      <c r="H81" s="199" t="str">
        <f>IFERROR(_xlfn.XLOOKUP(A81,Aktiv!$A:$A,Aktiv!$I:$I,"–"),"")</f>
        <v>-</v>
      </c>
      <c r="I81" s="255" t="str">
        <f>IFERROR(_xlfn.XLOOKUP(A81,Aktiv!$A:$A,Aktiv!$J:$J,"–"),"")</f>
        <v>-</v>
      </c>
      <c r="J81" s="230" t="str">
        <f t="shared" si="7"/>
        <v>–</v>
      </c>
      <c r="K81" s="242" t="str">
        <f t="shared" si="8"/>
        <v>–</v>
      </c>
      <c r="L81" s="249" t="str">
        <f t="shared" si="9"/>
        <v>–</v>
      </c>
      <c r="M81" s="249" t="str">
        <f t="shared" si="10"/>
        <v>–</v>
      </c>
      <c r="N81" s="249" t="str">
        <f t="shared" si="11"/>
        <v>–</v>
      </c>
      <c r="O81" s="249" t="str">
        <f t="shared" si="12"/>
        <v>–</v>
      </c>
      <c r="P81" s="255" t="str">
        <f t="shared" si="13"/>
        <v>–</v>
      </c>
    </row>
    <row r="82" spans="1:16" x14ac:dyDescent="0.25">
      <c r="A82" s="193">
        <v>3813</v>
      </c>
      <c r="B82" s="190" t="str">
        <f>IFERROR(_xlfn.XLOOKUP(A82,Aktiv!$A:$A,Aktiv!$C:$C,"–"),"")</f>
        <v>Klappenboden</v>
      </c>
      <c r="C82" s="190" t="str">
        <f>IFERROR(_xlfn.XLOOKUP(A82,Aktiv!$A:$A,Aktiv!$D:$D,"–"),"")</f>
        <v>Klappenboden (780x980)</v>
      </c>
      <c r="D82" s="196">
        <f>IFERROR(_xlfn.XLOOKUP(A82,Aktiv!$A:$A,Aktiv!$E:$E,"–"),"")</f>
        <v>780</v>
      </c>
      <c r="E82" s="196">
        <f>IFERROR(_xlfn.XLOOKUP(A82,Aktiv!$A:$A,Aktiv!$F:$F,"–"),"")</f>
        <v>980</v>
      </c>
      <c r="F82" s="199" t="str">
        <f>IFERROR(_xlfn.XLOOKUP(A82,Aktiv!$A:$A,Aktiv!$G:$G,"–"),"")</f>
        <v>-</v>
      </c>
      <c r="G82" s="199" t="str">
        <f>IFERROR(_xlfn.XLOOKUP(A82,Aktiv!$A:$A,Aktiv!$H:$H,"–"),"")</f>
        <v>-</v>
      </c>
      <c r="H82" s="199" t="str">
        <f>IFERROR(_xlfn.XLOOKUP(A82,Aktiv!$A:$A,Aktiv!$I:$I,"–"),"")</f>
        <v>-</v>
      </c>
      <c r="I82" s="255" t="str">
        <f>IFERROR(_xlfn.XLOOKUP(A82,Aktiv!$A:$A,Aktiv!$J:$J,"–"),"")</f>
        <v>-</v>
      </c>
      <c r="J82" s="230" t="str">
        <f t="shared" si="7"/>
        <v>–</v>
      </c>
      <c r="K82" s="241" t="str">
        <f t="shared" si="8"/>
        <v>–</v>
      </c>
      <c r="L82" s="249" t="str">
        <f t="shared" si="9"/>
        <v>–</v>
      </c>
      <c r="M82" s="249" t="str">
        <f t="shared" si="10"/>
        <v>–</v>
      </c>
      <c r="N82" s="249" t="str">
        <f t="shared" si="11"/>
        <v>–</v>
      </c>
      <c r="O82" s="249" t="str">
        <f t="shared" si="12"/>
        <v>–</v>
      </c>
      <c r="P82" s="255" t="str">
        <f t="shared" si="13"/>
        <v>–</v>
      </c>
    </row>
    <row r="83" spans="1:16" x14ac:dyDescent="0.25">
      <c r="A83" s="193">
        <v>3814</v>
      </c>
      <c r="B83" s="190" t="str">
        <f>IFERROR(_xlfn.XLOOKUP(A83,Aktiv!$A:$A,Aktiv!$C:$C,"–"),"")</f>
        <v>Klappenboden</v>
      </c>
      <c r="C83" s="190" t="str">
        <f>IFERROR(_xlfn.XLOOKUP(A83,Aktiv!$A:$A,Aktiv!$D:$D,"–"),"")</f>
        <v>Klappenboden (980x780)</v>
      </c>
      <c r="D83" s="196">
        <f>IFERROR(_xlfn.XLOOKUP(A83,Aktiv!$A:$A,Aktiv!$E:$E,"–"),"")</f>
        <v>980</v>
      </c>
      <c r="E83" s="196">
        <f>IFERROR(_xlfn.XLOOKUP(A83,Aktiv!$A:$A,Aktiv!$F:$F,"–"),"")</f>
        <v>780</v>
      </c>
      <c r="F83" s="199" t="str">
        <f>IFERROR(_xlfn.XLOOKUP(A83,Aktiv!$A:$A,Aktiv!$G:$G,"–"),"")</f>
        <v>-</v>
      </c>
      <c r="G83" s="199" t="str">
        <f>IFERROR(_xlfn.XLOOKUP(A83,Aktiv!$A:$A,Aktiv!$H:$H,"–"),"")</f>
        <v>-</v>
      </c>
      <c r="H83" s="199" t="str">
        <f>IFERROR(_xlfn.XLOOKUP(A83,Aktiv!$A:$A,Aktiv!$I:$I,"–"),"")</f>
        <v>-</v>
      </c>
      <c r="I83" s="255" t="str">
        <f>IFERROR(_xlfn.XLOOKUP(A83,Aktiv!$A:$A,Aktiv!$J:$J,"–"),"")</f>
        <v>-</v>
      </c>
      <c r="J83" s="230" t="str">
        <f t="shared" si="7"/>
        <v>–</v>
      </c>
      <c r="K83" s="241" t="str">
        <f t="shared" si="8"/>
        <v>–</v>
      </c>
      <c r="L83" s="249" t="str">
        <f t="shared" si="9"/>
        <v>–</v>
      </c>
      <c r="M83" s="249" t="str">
        <f t="shared" si="10"/>
        <v>–</v>
      </c>
      <c r="N83" s="249" t="str">
        <f t="shared" si="11"/>
        <v>–</v>
      </c>
      <c r="O83" s="249" t="str">
        <f t="shared" si="12"/>
        <v>–</v>
      </c>
      <c r="P83" s="255" t="str">
        <f t="shared" si="13"/>
        <v>–</v>
      </c>
    </row>
    <row r="84" spans="1:16" x14ac:dyDescent="0.25">
      <c r="A84" s="193">
        <v>3815</v>
      </c>
      <c r="B84" s="190" t="str">
        <f>IFERROR(_xlfn.XLOOKUP(A84,Aktiv!$A:$A,Aktiv!$C:$C,"–"),"")</f>
        <v>Klappenboden</v>
      </c>
      <c r="C84" s="190" t="str">
        <f>IFERROR(_xlfn.XLOOKUP(A84,Aktiv!$A:$A,Aktiv!$D:$D,"–"),"")</f>
        <v>Klappenboden (980x980)</v>
      </c>
      <c r="D84" s="196">
        <f>IFERROR(_xlfn.XLOOKUP(A84,Aktiv!$A:$A,Aktiv!$E:$E,"–"),"")</f>
        <v>980</v>
      </c>
      <c r="E84" s="196">
        <f>IFERROR(_xlfn.XLOOKUP(A84,Aktiv!$A:$A,Aktiv!$F:$F,"–"),"")</f>
        <v>980</v>
      </c>
      <c r="F84" s="199" t="str">
        <f>IFERROR(_xlfn.XLOOKUP(A84,Aktiv!$A:$A,Aktiv!$G:$G,"–"),"")</f>
        <v>-</v>
      </c>
      <c r="G84" s="199" t="str">
        <f>IFERROR(_xlfn.XLOOKUP(A84,Aktiv!$A:$A,Aktiv!$H:$H,"–"),"")</f>
        <v>-</v>
      </c>
      <c r="H84" s="199" t="str">
        <f>IFERROR(_xlfn.XLOOKUP(A84,Aktiv!$A:$A,Aktiv!$I:$I,"–"),"")</f>
        <v>-</v>
      </c>
      <c r="I84" s="255" t="str">
        <f>IFERROR(_xlfn.XLOOKUP(A84,Aktiv!$A:$A,Aktiv!$J:$J,"–"),"")</f>
        <v>-</v>
      </c>
      <c r="J84" s="230" t="str">
        <f t="shared" si="7"/>
        <v>–</v>
      </c>
      <c r="K84" s="241" t="str">
        <f t="shared" si="8"/>
        <v>–</v>
      </c>
      <c r="L84" s="249" t="str">
        <f t="shared" si="9"/>
        <v>–</v>
      </c>
      <c r="M84" s="249" t="str">
        <f t="shared" si="10"/>
        <v>–</v>
      </c>
      <c r="N84" s="249" t="str">
        <f t="shared" si="11"/>
        <v>–</v>
      </c>
      <c r="O84" s="249" t="str">
        <f t="shared" si="12"/>
        <v>–</v>
      </c>
      <c r="P84" s="255" t="str">
        <f t="shared" si="13"/>
        <v>–</v>
      </c>
    </row>
    <row r="85" spans="1:16" x14ac:dyDescent="0.25">
      <c r="A85" s="202">
        <v>3300</v>
      </c>
      <c r="B85" s="203" t="str">
        <f>IFERROR(_xlfn.XLOOKUP(A85,Aktiv!$A:$A,Aktiv!$C:$C,"–"),"")</f>
        <v>Rücken</v>
      </c>
      <c r="C85" s="203" t="str">
        <f>IFERROR(_xlfn.XLOOKUP(A85,Aktiv!$A:$A,Aktiv!$D:$D,"–"),"")</f>
        <v>Rücken (360x180)</v>
      </c>
      <c r="D85" s="204">
        <f>IFERROR(_xlfn.XLOOKUP(A85,Aktiv!$A:$A,Aktiv!$E:$E,"–"),"")</f>
        <v>360</v>
      </c>
      <c r="E85" s="204">
        <f>IFERROR(_xlfn.XLOOKUP(A85,Aktiv!$A:$A,Aktiv!$F:$F,"–"),"")</f>
        <v>180</v>
      </c>
      <c r="F85" s="205">
        <f>IFERROR(_xlfn.XLOOKUP(A85,Aktiv!$A:$A,Aktiv!$G:$G,"–"),"")</f>
        <v>25</v>
      </c>
      <c r="G85" s="205">
        <f>IFERROR(_xlfn.XLOOKUP(A85,Aktiv!$A:$A,Aktiv!$H:$H,"–"),"")</f>
        <v>103</v>
      </c>
      <c r="H85" s="205">
        <f>IFERROR(_xlfn.XLOOKUP(A85,Aktiv!$A:$A,Aktiv!$I:$I,"–"),"")</f>
        <v>120</v>
      </c>
      <c r="I85" s="252">
        <f>IFERROR(_xlfn.XLOOKUP(A85,Aktiv!$A:$A,Aktiv!$J:$J,"–"),"")</f>
        <v>145</v>
      </c>
      <c r="J85" s="227">
        <f t="shared" si="7"/>
        <v>3.12</v>
      </c>
      <c r="K85" s="235">
        <f t="shared" si="8"/>
        <v>3.8</v>
      </c>
      <c r="L85" s="246">
        <f t="shared" si="9"/>
        <v>4.8</v>
      </c>
      <c r="M85" s="246">
        <f t="shared" si="10"/>
        <v>0.1650485436893204</v>
      </c>
      <c r="N85" s="246">
        <f t="shared" si="11"/>
        <v>0.40776699029126212</v>
      </c>
      <c r="O85" s="246">
        <f t="shared" si="12"/>
        <v>0.20833333333333334</v>
      </c>
      <c r="P85" s="252">
        <f t="shared" si="13"/>
        <v>98</v>
      </c>
    </row>
    <row r="86" spans="1:16" x14ac:dyDescent="0.25">
      <c r="A86" s="192">
        <v>3301</v>
      </c>
      <c r="B86" s="189" t="str">
        <f>IFERROR(_xlfn.XLOOKUP(A86,Aktiv!$A:$A,Aktiv!$C:$C,"–"),"")</f>
        <v>Rücken</v>
      </c>
      <c r="C86" s="189" t="str">
        <f>IFERROR(_xlfn.XLOOKUP(A86,Aktiv!$A:$A,Aktiv!$D:$D,"–"),"")</f>
        <v>Rücken (420x180)</v>
      </c>
      <c r="D86" s="195">
        <f>IFERROR(_xlfn.XLOOKUP(A86,Aktiv!$A:$A,Aktiv!$E:$E,"–"),"")</f>
        <v>420</v>
      </c>
      <c r="E86" s="195">
        <f>IFERROR(_xlfn.XLOOKUP(A86,Aktiv!$A:$A,Aktiv!$F:$F,"–"),"")</f>
        <v>180</v>
      </c>
      <c r="F86" s="198">
        <f>IFERROR(_xlfn.XLOOKUP(A86,Aktiv!$A:$A,Aktiv!$G:$G,"–"),"")</f>
        <v>25</v>
      </c>
      <c r="G86" s="198">
        <f>IFERROR(_xlfn.XLOOKUP(A86,Aktiv!$A:$A,Aktiv!$H:$H,"–"),"")</f>
        <v>103</v>
      </c>
      <c r="H86" s="198">
        <f>IFERROR(_xlfn.XLOOKUP(A86,Aktiv!$A:$A,Aktiv!$I:$I,"–"),"")</f>
        <v>120</v>
      </c>
      <c r="I86" s="253">
        <f>IFERROR(_xlfn.XLOOKUP(A86,Aktiv!$A:$A,Aktiv!$J:$J,"–"),"")</f>
        <v>145</v>
      </c>
      <c r="J86" s="228">
        <f t="shared" si="7"/>
        <v>3.12</v>
      </c>
      <c r="K86" s="236">
        <f t="shared" si="8"/>
        <v>3.8</v>
      </c>
      <c r="L86" s="247">
        <f t="shared" si="9"/>
        <v>4.8</v>
      </c>
      <c r="M86" s="247">
        <f t="shared" si="10"/>
        <v>0.1650485436893204</v>
      </c>
      <c r="N86" s="247">
        <f t="shared" si="11"/>
        <v>0.40776699029126212</v>
      </c>
      <c r="O86" s="247">
        <f t="shared" si="12"/>
        <v>0.20833333333333334</v>
      </c>
      <c r="P86" s="253">
        <f t="shared" si="13"/>
        <v>98</v>
      </c>
    </row>
    <row r="87" spans="1:16" x14ac:dyDescent="0.25">
      <c r="A87" s="192">
        <v>3302</v>
      </c>
      <c r="B87" s="189" t="str">
        <f>IFERROR(_xlfn.XLOOKUP(A87,Aktiv!$A:$A,Aktiv!$C:$C,"–"),"")</f>
        <v>Rücken</v>
      </c>
      <c r="C87" s="189" t="str">
        <f>IFERROR(_xlfn.XLOOKUP(A87,Aktiv!$A:$A,Aktiv!$D:$D,"–"),"")</f>
        <v>Rücken (580x180)</v>
      </c>
      <c r="D87" s="195">
        <f>IFERROR(_xlfn.XLOOKUP(A87,Aktiv!$A:$A,Aktiv!$E:$E,"–"),"")</f>
        <v>580</v>
      </c>
      <c r="E87" s="195">
        <f>IFERROR(_xlfn.XLOOKUP(A87,Aktiv!$A:$A,Aktiv!$F:$F,"–"),"")</f>
        <v>180</v>
      </c>
      <c r="F87" s="198">
        <f>IFERROR(_xlfn.XLOOKUP(A87,Aktiv!$A:$A,Aktiv!$G:$G,"–"),"")</f>
        <v>25</v>
      </c>
      <c r="G87" s="198">
        <f>IFERROR(_xlfn.XLOOKUP(A87,Aktiv!$A:$A,Aktiv!$H:$H,"–"),"")</f>
        <v>103</v>
      </c>
      <c r="H87" s="198">
        <f>IFERROR(_xlfn.XLOOKUP(A87,Aktiv!$A:$A,Aktiv!$I:$I,"–"),"")</f>
        <v>120</v>
      </c>
      <c r="I87" s="253">
        <f>IFERROR(_xlfn.XLOOKUP(A87,Aktiv!$A:$A,Aktiv!$J:$J,"–"),"")</f>
        <v>145</v>
      </c>
      <c r="J87" s="228">
        <f t="shared" si="7"/>
        <v>3.12</v>
      </c>
      <c r="K87" s="236">
        <f t="shared" si="8"/>
        <v>3.8</v>
      </c>
      <c r="L87" s="247">
        <f t="shared" si="9"/>
        <v>4.8</v>
      </c>
      <c r="M87" s="247">
        <f t="shared" si="10"/>
        <v>0.1650485436893204</v>
      </c>
      <c r="N87" s="247">
        <f t="shared" si="11"/>
        <v>0.40776699029126212</v>
      </c>
      <c r="O87" s="247">
        <f t="shared" si="12"/>
        <v>0.20833333333333334</v>
      </c>
      <c r="P87" s="253">
        <f t="shared" si="13"/>
        <v>98</v>
      </c>
    </row>
    <row r="88" spans="1:16" x14ac:dyDescent="0.25">
      <c r="A88" s="192">
        <v>3303</v>
      </c>
      <c r="B88" s="189" t="str">
        <f>IFERROR(_xlfn.XLOOKUP(A88,Aktiv!$A:$A,Aktiv!$C:$C,"–"),"")</f>
        <v>Rücken</v>
      </c>
      <c r="C88" s="189" t="str">
        <f>IFERROR(_xlfn.XLOOKUP(A88,Aktiv!$A:$A,Aktiv!$D:$D,"–"),"")</f>
        <v>Rücken (780x180)</v>
      </c>
      <c r="D88" s="195">
        <f>IFERROR(_xlfn.XLOOKUP(A88,Aktiv!$A:$A,Aktiv!$E:$E,"–"),"")</f>
        <v>780</v>
      </c>
      <c r="E88" s="195">
        <f>IFERROR(_xlfn.XLOOKUP(A88,Aktiv!$A:$A,Aktiv!$F:$F,"–"),"")</f>
        <v>180</v>
      </c>
      <c r="F88" s="198">
        <f>IFERROR(_xlfn.XLOOKUP(A88,Aktiv!$A:$A,Aktiv!$G:$G,"–"),"")</f>
        <v>25</v>
      </c>
      <c r="G88" s="198">
        <f>IFERROR(_xlfn.XLOOKUP(A88,Aktiv!$A:$A,Aktiv!$H:$H,"–"),"")</f>
        <v>103</v>
      </c>
      <c r="H88" s="198">
        <f>IFERROR(_xlfn.XLOOKUP(A88,Aktiv!$A:$A,Aktiv!$I:$I,"–"),"")</f>
        <v>120</v>
      </c>
      <c r="I88" s="253">
        <f>IFERROR(_xlfn.XLOOKUP(A88,Aktiv!$A:$A,Aktiv!$J:$J,"–"),"")</f>
        <v>145</v>
      </c>
      <c r="J88" s="228">
        <f t="shared" si="7"/>
        <v>3.12</v>
      </c>
      <c r="K88" s="236">
        <f t="shared" si="8"/>
        <v>3.8</v>
      </c>
      <c r="L88" s="247">
        <f t="shared" si="9"/>
        <v>4.8</v>
      </c>
      <c r="M88" s="247">
        <f t="shared" si="10"/>
        <v>0.1650485436893204</v>
      </c>
      <c r="N88" s="247">
        <f t="shared" si="11"/>
        <v>0.40776699029126212</v>
      </c>
      <c r="O88" s="247">
        <f t="shared" si="12"/>
        <v>0.20833333333333334</v>
      </c>
      <c r="P88" s="253">
        <f t="shared" si="13"/>
        <v>98</v>
      </c>
    </row>
    <row r="89" spans="1:16" x14ac:dyDescent="0.25">
      <c r="A89" s="192">
        <v>3304</v>
      </c>
      <c r="B89" s="189" t="str">
        <f>IFERROR(_xlfn.XLOOKUP(A89,Aktiv!$A:$A,Aktiv!$C:$C,"–"),"")</f>
        <v>Rücken</v>
      </c>
      <c r="C89" s="189" t="str">
        <f>IFERROR(_xlfn.XLOOKUP(A89,Aktiv!$A:$A,Aktiv!$D:$D,"–"),"")</f>
        <v>Rücken (980x180)</v>
      </c>
      <c r="D89" s="195">
        <f>IFERROR(_xlfn.XLOOKUP(A89,Aktiv!$A:$A,Aktiv!$E:$E,"–"),"")</f>
        <v>980</v>
      </c>
      <c r="E89" s="195">
        <f>IFERROR(_xlfn.XLOOKUP(A89,Aktiv!$A:$A,Aktiv!$F:$F,"–"),"")</f>
        <v>180</v>
      </c>
      <c r="F89" s="198">
        <f>IFERROR(_xlfn.XLOOKUP(A89,Aktiv!$A:$A,Aktiv!$G:$G,"–"),"")</f>
        <v>31</v>
      </c>
      <c r="G89" s="198">
        <f>IFERROR(_xlfn.XLOOKUP(A89,Aktiv!$A:$A,Aktiv!$H:$H,"–"),"")</f>
        <v>106</v>
      </c>
      <c r="H89" s="198">
        <f>IFERROR(_xlfn.XLOOKUP(A89,Aktiv!$A:$A,Aktiv!$I:$I,"–"),"")</f>
        <v>120</v>
      </c>
      <c r="I89" s="253">
        <f>IFERROR(_xlfn.XLOOKUP(A89,Aktiv!$A:$A,Aktiv!$J:$J,"–"),"")</f>
        <v>145</v>
      </c>
      <c r="J89" s="228">
        <f t="shared" si="7"/>
        <v>2.4193548387096775</v>
      </c>
      <c r="K89" s="237">
        <f t="shared" si="8"/>
        <v>2.870967741935484</v>
      </c>
      <c r="L89" s="247">
        <f t="shared" si="9"/>
        <v>3.6774193548387095</v>
      </c>
      <c r="M89" s="247">
        <f t="shared" si="10"/>
        <v>0.13207547169811321</v>
      </c>
      <c r="N89" s="247">
        <f t="shared" si="11"/>
        <v>0.36792452830188677</v>
      </c>
      <c r="O89" s="247">
        <f t="shared" si="12"/>
        <v>0.20833333333333334</v>
      </c>
      <c r="P89" s="253">
        <f t="shared" si="13"/>
        <v>101</v>
      </c>
    </row>
    <row r="90" spans="1:16" x14ac:dyDescent="0.25">
      <c r="A90" s="192">
        <v>3305</v>
      </c>
      <c r="B90" s="189" t="str">
        <f>IFERROR(_xlfn.XLOOKUP(A90,Aktiv!$A:$A,Aktiv!$C:$C,"–"),"")</f>
        <v>Rücken</v>
      </c>
      <c r="C90" s="189" t="str">
        <f>IFERROR(_xlfn.XLOOKUP(A90,Aktiv!$A:$A,Aktiv!$D:$D,"–"),"")</f>
        <v>Rücken (360x360)</v>
      </c>
      <c r="D90" s="195">
        <f>IFERROR(_xlfn.XLOOKUP(A90,Aktiv!$A:$A,Aktiv!$E:$E,"–"),"")</f>
        <v>360</v>
      </c>
      <c r="E90" s="195">
        <f>IFERROR(_xlfn.XLOOKUP(A90,Aktiv!$A:$A,Aktiv!$F:$F,"–"),"")</f>
        <v>360</v>
      </c>
      <c r="F90" s="198">
        <f>IFERROR(_xlfn.XLOOKUP(A90,Aktiv!$A:$A,Aktiv!$G:$G,"–"),"")</f>
        <v>25</v>
      </c>
      <c r="G90" s="198">
        <f>IFERROR(_xlfn.XLOOKUP(A90,Aktiv!$A:$A,Aktiv!$H:$H,"–"),"")</f>
        <v>103</v>
      </c>
      <c r="H90" s="198">
        <f>IFERROR(_xlfn.XLOOKUP(A90,Aktiv!$A:$A,Aktiv!$I:$I,"–"),"")</f>
        <v>120</v>
      </c>
      <c r="I90" s="253">
        <f>IFERROR(_xlfn.XLOOKUP(A90,Aktiv!$A:$A,Aktiv!$J:$J,"–"),"")</f>
        <v>145</v>
      </c>
      <c r="J90" s="228">
        <f t="shared" si="7"/>
        <v>3.12</v>
      </c>
      <c r="K90" s="236">
        <f t="shared" si="8"/>
        <v>3.8</v>
      </c>
      <c r="L90" s="247">
        <f t="shared" si="9"/>
        <v>4.8</v>
      </c>
      <c r="M90" s="247">
        <f t="shared" si="10"/>
        <v>0.1650485436893204</v>
      </c>
      <c r="N90" s="247">
        <f t="shared" si="11"/>
        <v>0.40776699029126212</v>
      </c>
      <c r="O90" s="247">
        <f t="shared" si="12"/>
        <v>0.20833333333333334</v>
      </c>
      <c r="P90" s="253">
        <f t="shared" si="13"/>
        <v>98</v>
      </c>
    </row>
    <row r="91" spans="1:16" x14ac:dyDescent="0.25">
      <c r="A91" s="192">
        <v>3306</v>
      </c>
      <c r="B91" s="189" t="str">
        <f>IFERROR(_xlfn.XLOOKUP(A91,Aktiv!$A:$A,Aktiv!$C:$C,"–"),"")</f>
        <v>Rücken</v>
      </c>
      <c r="C91" s="189" t="str">
        <f>IFERROR(_xlfn.XLOOKUP(A91,Aktiv!$A:$A,Aktiv!$D:$D,"–"),"")</f>
        <v>Rücken (420x360)</v>
      </c>
      <c r="D91" s="195">
        <f>IFERROR(_xlfn.XLOOKUP(A91,Aktiv!$A:$A,Aktiv!$E:$E,"–"),"")</f>
        <v>420</v>
      </c>
      <c r="E91" s="195">
        <f>IFERROR(_xlfn.XLOOKUP(A91,Aktiv!$A:$A,Aktiv!$F:$F,"–"),"")</f>
        <v>360</v>
      </c>
      <c r="F91" s="198">
        <f>IFERROR(_xlfn.XLOOKUP(A91,Aktiv!$A:$A,Aktiv!$G:$G,"–"),"")</f>
        <v>27</v>
      </c>
      <c r="G91" s="198">
        <f>IFERROR(_xlfn.XLOOKUP(A91,Aktiv!$A:$A,Aktiv!$H:$H,"–"),"")</f>
        <v>103</v>
      </c>
      <c r="H91" s="198">
        <f>IFERROR(_xlfn.XLOOKUP(A91,Aktiv!$A:$A,Aktiv!$I:$I,"–"),"")</f>
        <v>120</v>
      </c>
      <c r="I91" s="253">
        <f>IFERROR(_xlfn.XLOOKUP(A91,Aktiv!$A:$A,Aktiv!$J:$J,"–"),"")</f>
        <v>145</v>
      </c>
      <c r="J91" s="228">
        <f t="shared" si="7"/>
        <v>2.8148148148148149</v>
      </c>
      <c r="K91" s="236">
        <f t="shared" si="8"/>
        <v>3.4444444444444446</v>
      </c>
      <c r="L91" s="247">
        <f t="shared" si="9"/>
        <v>4.3703703703703702</v>
      </c>
      <c r="M91" s="247">
        <f t="shared" si="10"/>
        <v>0.1650485436893204</v>
      </c>
      <c r="N91" s="247">
        <f t="shared" si="11"/>
        <v>0.40776699029126212</v>
      </c>
      <c r="O91" s="247">
        <f t="shared" si="12"/>
        <v>0.20833333333333334</v>
      </c>
      <c r="P91" s="253">
        <f t="shared" si="13"/>
        <v>99</v>
      </c>
    </row>
    <row r="92" spans="1:16" x14ac:dyDescent="0.25">
      <c r="A92" s="192">
        <v>3307</v>
      </c>
      <c r="B92" s="189" t="str">
        <f>IFERROR(_xlfn.XLOOKUP(A92,Aktiv!$A:$A,Aktiv!$C:$C,"–"),"")</f>
        <v>Rücken</v>
      </c>
      <c r="C92" s="189" t="str">
        <f>IFERROR(_xlfn.XLOOKUP(A92,Aktiv!$A:$A,Aktiv!$D:$D,"–"),"")</f>
        <v>Rücken (580x360)</v>
      </c>
      <c r="D92" s="195">
        <f>IFERROR(_xlfn.XLOOKUP(A92,Aktiv!$A:$A,Aktiv!$E:$E,"–"),"")</f>
        <v>580</v>
      </c>
      <c r="E92" s="195">
        <f>IFERROR(_xlfn.XLOOKUP(A92,Aktiv!$A:$A,Aktiv!$F:$F,"–"),"")</f>
        <v>360</v>
      </c>
      <c r="F92" s="198">
        <f>IFERROR(_xlfn.XLOOKUP(A92,Aktiv!$A:$A,Aktiv!$G:$G,"–"),"")</f>
        <v>37</v>
      </c>
      <c r="G92" s="198">
        <f>IFERROR(_xlfn.XLOOKUP(A92,Aktiv!$A:$A,Aktiv!$H:$H,"–"),"")</f>
        <v>126</v>
      </c>
      <c r="H92" s="198">
        <f>IFERROR(_xlfn.XLOOKUP(A92,Aktiv!$A:$A,Aktiv!$I:$I,"–"),"")</f>
        <v>131</v>
      </c>
      <c r="I92" s="253">
        <f>IFERROR(_xlfn.XLOOKUP(A92,Aktiv!$A:$A,Aktiv!$J:$J,"–"),"")</f>
        <v>146</v>
      </c>
      <c r="J92" s="228">
        <f t="shared" si="7"/>
        <v>2.4054054054054053</v>
      </c>
      <c r="K92" s="236">
        <f t="shared" si="8"/>
        <v>2.5405405405405403</v>
      </c>
      <c r="L92" s="247">
        <f t="shared" si="9"/>
        <v>2.9459459459459461</v>
      </c>
      <c r="M92" s="247">
        <f t="shared" si="10"/>
        <v>3.968253968253968E-2</v>
      </c>
      <c r="N92" s="247">
        <f t="shared" si="11"/>
        <v>0.15873015873015872</v>
      </c>
      <c r="O92" s="247">
        <f t="shared" si="12"/>
        <v>0.11450381679389313</v>
      </c>
      <c r="P92" s="253">
        <f t="shared" si="13"/>
        <v>110</v>
      </c>
    </row>
    <row r="93" spans="1:16" x14ac:dyDescent="0.25">
      <c r="A93" s="192">
        <v>3308</v>
      </c>
      <c r="B93" s="189" t="str">
        <f>IFERROR(_xlfn.XLOOKUP(A93,Aktiv!$A:$A,Aktiv!$C:$C,"–"),"")</f>
        <v>Rücken</v>
      </c>
      <c r="C93" s="189" t="str">
        <f>IFERROR(_xlfn.XLOOKUP(A93,Aktiv!$A:$A,Aktiv!$D:$D,"–"),"")</f>
        <v>Rücken (780x360)</v>
      </c>
      <c r="D93" s="195">
        <f>IFERROR(_xlfn.XLOOKUP(A93,Aktiv!$A:$A,Aktiv!$E:$E,"–"),"")</f>
        <v>780</v>
      </c>
      <c r="E93" s="195">
        <f>IFERROR(_xlfn.XLOOKUP(A93,Aktiv!$A:$A,Aktiv!$F:$F,"–"),"")</f>
        <v>360</v>
      </c>
      <c r="F93" s="198">
        <f>IFERROR(_xlfn.XLOOKUP(A93,Aktiv!$A:$A,Aktiv!$G:$G,"–"),"")</f>
        <v>49</v>
      </c>
      <c r="G93" s="198">
        <f>IFERROR(_xlfn.XLOOKUP(A93,Aktiv!$A:$A,Aktiv!$H:$H,"–"),"")</f>
        <v>169</v>
      </c>
      <c r="H93" s="198">
        <f>IFERROR(_xlfn.XLOOKUP(A93,Aktiv!$A:$A,Aktiv!$I:$I,"–"),"")</f>
        <v>177</v>
      </c>
      <c r="I93" s="253">
        <f>IFERROR(_xlfn.XLOOKUP(A93,Aktiv!$A:$A,Aktiv!$J:$J,"–"),"")</f>
        <v>196</v>
      </c>
      <c r="J93" s="228">
        <f t="shared" si="7"/>
        <v>2.4489795918367347</v>
      </c>
      <c r="K93" s="237">
        <f t="shared" si="8"/>
        <v>2.6122448979591835</v>
      </c>
      <c r="L93" s="247">
        <f t="shared" si="9"/>
        <v>3</v>
      </c>
      <c r="M93" s="247">
        <f t="shared" si="10"/>
        <v>4.7337278106508875E-2</v>
      </c>
      <c r="N93" s="247">
        <f t="shared" si="11"/>
        <v>0.15976331360946747</v>
      </c>
      <c r="O93" s="247">
        <f t="shared" si="12"/>
        <v>0.10734463276836158</v>
      </c>
      <c r="P93" s="253">
        <f t="shared" si="13"/>
        <v>148</v>
      </c>
    </row>
    <row r="94" spans="1:16" x14ac:dyDescent="0.25">
      <c r="A94" s="192">
        <v>3309</v>
      </c>
      <c r="B94" s="189" t="str">
        <f>IFERROR(_xlfn.XLOOKUP(A94,Aktiv!$A:$A,Aktiv!$C:$C,"–"),"")</f>
        <v>Rücken</v>
      </c>
      <c r="C94" s="189" t="str">
        <f>IFERROR(_xlfn.XLOOKUP(A94,Aktiv!$A:$A,Aktiv!$D:$D,"–"),"")</f>
        <v>Rücken (980x360)</v>
      </c>
      <c r="D94" s="195">
        <f>IFERROR(_xlfn.XLOOKUP(A94,Aktiv!$A:$A,Aktiv!$E:$E,"–"),"")</f>
        <v>980</v>
      </c>
      <c r="E94" s="195">
        <f>IFERROR(_xlfn.XLOOKUP(A94,Aktiv!$A:$A,Aktiv!$F:$F,"–"),"")</f>
        <v>360</v>
      </c>
      <c r="F94" s="198">
        <f>IFERROR(_xlfn.XLOOKUP(A94,Aktiv!$A:$A,Aktiv!$G:$G,"–"),"")</f>
        <v>62</v>
      </c>
      <c r="G94" s="198">
        <f>IFERROR(_xlfn.XLOOKUP(A94,Aktiv!$A:$A,Aktiv!$H:$H,"–"),"")</f>
        <v>213</v>
      </c>
      <c r="H94" s="198">
        <f>IFERROR(_xlfn.XLOOKUP(A94,Aktiv!$A:$A,Aktiv!$I:$I,"–"),"")</f>
        <v>222</v>
      </c>
      <c r="I94" s="253">
        <f>IFERROR(_xlfn.XLOOKUP(A94,Aktiv!$A:$A,Aktiv!$J:$J,"–"),"")</f>
        <v>247</v>
      </c>
      <c r="J94" s="228">
        <f t="shared" si="7"/>
        <v>2.435483870967742</v>
      </c>
      <c r="K94" s="237">
        <f t="shared" si="8"/>
        <v>2.5806451612903225</v>
      </c>
      <c r="L94" s="247">
        <f t="shared" si="9"/>
        <v>2.9838709677419355</v>
      </c>
      <c r="M94" s="247">
        <f t="shared" si="10"/>
        <v>4.2253521126760563E-2</v>
      </c>
      <c r="N94" s="247">
        <f t="shared" si="11"/>
        <v>0.15962441314553991</v>
      </c>
      <c r="O94" s="247">
        <f t="shared" si="12"/>
        <v>0.11261261261261261</v>
      </c>
      <c r="P94" s="253">
        <f t="shared" si="13"/>
        <v>186</v>
      </c>
    </row>
    <row r="95" spans="1:16" x14ac:dyDescent="0.25">
      <c r="A95" s="192">
        <v>3310</v>
      </c>
      <c r="B95" s="189" t="str">
        <f>IFERROR(_xlfn.XLOOKUP(A95,Aktiv!$A:$A,Aktiv!$C:$C,"–"),"")</f>
        <v>Rücken</v>
      </c>
      <c r="C95" s="189" t="str">
        <f>IFERROR(_xlfn.XLOOKUP(A95,Aktiv!$A:$A,Aktiv!$D:$D,"–"),"")</f>
        <v>Rücken (360x720)</v>
      </c>
      <c r="D95" s="195">
        <f>IFERROR(_xlfn.XLOOKUP(A95,Aktiv!$A:$A,Aktiv!$E:$E,"–"),"")</f>
        <v>360</v>
      </c>
      <c r="E95" s="195">
        <f>IFERROR(_xlfn.XLOOKUP(A95,Aktiv!$A:$A,Aktiv!$F:$F,"–"),"")</f>
        <v>720</v>
      </c>
      <c r="F95" s="198">
        <f>IFERROR(_xlfn.XLOOKUP(A95,Aktiv!$A:$A,Aktiv!$G:$G,"–"),"")</f>
        <v>46</v>
      </c>
      <c r="G95" s="198">
        <f>IFERROR(_xlfn.XLOOKUP(A95,Aktiv!$A:$A,Aktiv!$H:$H,"–"),"")</f>
        <v>156</v>
      </c>
      <c r="H95" s="198">
        <f>IFERROR(_xlfn.XLOOKUP(A95,Aktiv!$A:$A,Aktiv!$I:$I,"–"),"")</f>
        <v>163</v>
      </c>
      <c r="I95" s="253">
        <f>IFERROR(_xlfn.XLOOKUP(A95,Aktiv!$A:$A,Aktiv!$J:$J,"–"),"")</f>
        <v>181</v>
      </c>
      <c r="J95" s="228">
        <f t="shared" si="7"/>
        <v>2.3913043478260869</v>
      </c>
      <c r="K95" s="236">
        <f t="shared" si="8"/>
        <v>2.5434782608695654</v>
      </c>
      <c r="L95" s="247">
        <f t="shared" si="9"/>
        <v>2.9347826086956523</v>
      </c>
      <c r="M95" s="247">
        <f t="shared" si="10"/>
        <v>4.4871794871794872E-2</v>
      </c>
      <c r="N95" s="247">
        <f t="shared" si="11"/>
        <v>0.16025641025641027</v>
      </c>
      <c r="O95" s="247">
        <f t="shared" si="12"/>
        <v>0.11042944785276074</v>
      </c>
      <c r="P95" s="253">
        <f t="shared" si="13"/>
        <v>137</v>
      </c>
    </row>
    <row r="96" spans="1:16" x14ac:dyDescent="0.25">
      <c r="A96" s="192">
        <v>3311</v>
      </c>
      <c r="B96" s="189" t="str">
        <f>IFERROR(_xlfn.XLOOKUP(A96,Aktiv!$A:$A,Aktiv!$C:$C,"–"),"")</f>
        <v>Rücken</v>
      </c>
      <c r="C96" s="189" t="str">
        <f>IFERROR(_xlfn.XLOOKUP(A96,Aktiv!$A:$A,Aktiv!$D:$D,"–"),"")</f>
        <v>Rücken (420x720)</v>
      </c>
      <c r="D96" s="195">
        <f>IFERROR(_xlfn.XLOOKUP(A96,Aktiv!$A:$A,Aktiv!$E:$E,"–"),"")</f>
        <v>420</v>
      </c>
      <c r="E96" s="195">
        <f>IFERROR(_xlfn.XLOOKUP(A96,Aktiv!$A:$A,Aktiv!$F:$F,"–"),"")</f>
        <v>720</v>
      </c>
      <c r="F96" s="198">
        <f>IFERROR(_xlfn.XLOOKUP(A96,Aktiv!$A:$A,Aktiv!$G:$G,"–"),"")</f>
        <v>53</v>
      </c>
      <c r="G96" s="198">
        <f>IFERROR(_xlfn.XLOOKUP(A96,Aktiv!$A:$A,Aktiv!$H:$H,"–"),"")</f>
        <v>182</v>
      </c>
      <c r="H96" s="198">
        <f>IFERROR(_xlfn.XLOOKUP(A96,Aktiv!$A:$A,Aktiv!$I:$I,"–"),"")</f>
        <v>190</v>
      </c>
      <c r="I96" s="253">
        <f>IFERROR(_xlfn.XLOOKUP(A96,Aktiv!$A:$A,Aktiv!$J:$J,"–"),"")</f>
        <v>212</v>
      </c>
      <c r="J96" s="228">
        <f t="shared" si="7"/>
        <v>2.4339622641509435</v>
      </c>
      <c r="K96" s="237">
        <f t="shared" si="8"/>
        <v>2.5849056603773586</v>
      </c>
      <c r="L96" s="247">
        <f t="shared" si="9"/>
        <v>3</v>
      </c>
      <c r="M96" s="247">
        <f t="shared" si="10"/>
        <v>4.3956043956043959E-2</v>
      </c>
      <c r="N96" s="247">
        <f t="shared" si="11"/>
        <v>0.16483516483516483</v>
      </c>
      <c r="O96" s="247">
        <f t="shared" si="12"/>
        <v>0.11578947368421053</v>
      </c>
      <c r="P96" s="253">
        <f t="shared" si="13"/>
        <v>159</v>
      </c>
    </row>
    <row r="97" spans="1:16" x14ac:dyDescent="0.25">
      <c r="A97" s="192">
        <v>3312</v>
      </c>
      <c r="B97" s="189" t="str">
        <f>IFERROR(_xlfn.XLOOKUP(A97,Aktiv!$A:$A,Aktiv!$C:$C,"–"),"")</f>
        <v>Rücken</v>
      </c>
      <c r="C97" s="189" t="str">
        <f>IFERROR(_xlfn.XLOOKUP(A97,Aktiv!$A:$A,Aktiv!$D:$D,"–"),"")</f>
        <v>Rücken (580x720)</v>
      </c>
      <c r="D97" s="195">
        <f>IFERROR(_xlfn.XLOOKUP(A97,Aktiv!$A:$A,Aktiv!$E:$E,"–"),"")</f>
        <v>580</v>
      </c>
      <c r="E97" s="195">
        <f>IFERROR(_xlfn.XLOOKUP(A97,Aktiv!$A:$A,Aktiv!$F:$F,"–"),"")</f>
        <v>720</v>
      </c>
      <c r="F97" s="198">
        <f>IFERROR(_xlfn.XLOOKUP(A97,Aktiv!$A:$A,Aktiv!$G:$G,"–"),"")</f>
        <v>73</v>
      </c>
      <c r="G97" s="198">
        <f>IFERROR(_xlfn.XLOOKUP(A97,Aktiv!$A:$A,Aktiv!$H:$H,"–"),"")</f>
        <v>252</v>
      </c>
      <c r="H97" s="198">
        <f>IFERROR(_xlfn.XLOOKUP(A97,Aktiv!$A:$A,Aktiv!$I:$I,"–"),"")</f>
        <v>262</v>
      </c>
      <c r="I97" s="253">
        <f>IFERROR(_xlfn.XLOOKUP(A97,Aktiv!$A:$A,Aktiv!$J:$J,"–"),"")</f>
        <v>292</v>
      </c>
      <c r="J97" s="228">
        <f t="shared" si="7"/>
        <v>2.452054794520548</v>
      </c>
      <c r="K97" s="237">
        <f t="shared" si="8"/>
        <v>2.5890410958904111</v>
      </c>
      <c r="L97" s="247">
        <f t="shared" si="9"/>
        <v>3</v>
      </c>
      <c r="M97" s="247">
        <f t="shared" si="10"/>
        <v>3.968253968253968E-2</v>
      </c>
      <c r="N97" s="247">
        <f t="shared" si="11"/>
        <v>0.15873015873015872</v>
      </c>
      <c r="O97" s="247">
        <f t="shared" si="12"/>
        <v>0.11450381679389313</v>
      </c>
      <c r="P97" s="253">
        <f t="shared" si="13"/>
        <v>220</v>
      </c>
    </row>
    <row r="98" spans="1:16" x14ac:dyDescent="0.25">
      <c r="A98" s="192">
        <v>3313</v>
      </c>
      <c r="B98" s="189" t="str">
        <f>IFERROR(_xlfn.XLOOKUP(A98,Aktiv!$A:$A,Aktiv!$C:$C,"–"),"")</f>
        <v>Rücken</v>
      </c>
      <c r="C98" s="189" t="str">
        <f>IFERROR(_xlfn.XLOOKUP(A98,Aktiv!$A:$A,Aktiv!$D:$D,"–"),"")</f>
        <v>Rücken (780x720)</v>
      </c>
      <c r="D98" s="195">
        <f>IFERROR(_xlfn.XLOOKUP(A98,Aktiv!$A:$A,Aktiv!$E:$E,"–"),"")</f>
        <v>780</v>
      </c>
      <c r="E98" s="195">
        <f>IFERROR(_xlfn.XLOOKUP(A98,Aktiv!$A:$A,Aktiv!$F:$F,"–"),"")</f>
        <v>720</v>
      </c>
      <c r="F98" s="198">
        <f>IFERROR(_xlfn.XLOOKUP(A98,Aktiv!$A:$A,Aktiv!$G:$G,"–"),"")</f>
        <v>99</v>
      </c>
      <c r="G98" s="198">
        <f>IFERROR(_xlfn.XLOOKUP(A98,Aktiv!$A:$A,Aktiv!$H:$H,"–"),"")</f>
        <v>339</v>
      </c>
      <c r="H98" s="198">
        <f>IFERROR(_xlfn.XLOOKUP(A98,Aktiv!$A:$A,Aktiv!$I:$I,"–"),"")</f>
        <v>353</v>
      </c>
      <c r="I98" s="253">
        <f>IFERROR(_xlfn.XLOOKUP(A98,Aktiv!$A:$A,Aktiv!$J:$J,"–"),"")</f>
        <v>393</v>
      </c>
      <c r="J98" s="228">
        <f t="shared" si="7"/>
        <v>2.4242424242424243</v>
      </c>
      <c r="K98" s="237">
        <f t="shared" si="8"/>
        <v>2.5656565656565657</v>
      </c>
      <c r="L98" s="247">
        <f t="shared" si="9"/>
        <v>2.9696969696969697</v>
      </c>
      <c r="M98" s="247">
        <f t="shared" si="10"/>
        <v>4.1297935103244837E-2</v>
      </c>
      <c r="N98" s="247">
        <f t="shared" si="11"/>
        <v>0.15929203539823009</v>
      </c>
      <c r="O98" s="247">
        <f t="shared" si="12"/>
        <v>0.11331444759206799</v>
      </c>
      <c r="P98" s="253">
        <f t="shared" si="13"/>
        <v>296</v>
      </c>
    </row>
    <row r="99" spans="1:16" x14ac:dyDescent="0.25">
      <c r="A99" s="192">
        <v>3314</v>
      </c>
      <c r="B99" s="189" t="str">
        <f>IFERROR(_xlfn.XLOOKUP(A99,Aktiv!$A:$A,Aktiv!$C:$C,"–"),"")</f>
        <v>Rücken</v>
      </c>
      <c r="C99" s="189" t="str">
        <f>IFERROR(_xlfn.XLOOKUP(A99,Aktiv!$A:$A,Aktiv!$D:$D,"–"),"")</f>
        <v>Rücken (980x720)</v>
      </c>
      <c r="D99" s="195">
        <f>IFERROR(_xlfn.XLOOKUP(A99,Aktiv!$A:$A,Aktiv!$E:$E,"–"),"")</f>
        <v>980</v>
      </c>
      <c r="E99" s="195">
        <f>IFERROR(_xlfn.XLOOKUP(A99,Aktiv!$A:$A,Aktiv!$F:$F,"–"),"")</f>
        <v>720</v>
      </c>
      <c r="F99" s="198">
        <f>IFERROR(_xlfn.XLOOKUP(A99,Aktiv!$A:$A,Aktiv!$G:$G,"–"),"")</f>
        <v>124</v>
      </c>
      <c r="G99" s="198">
        <f>IFERROR(_xlfn.XLOOKUP(A99,Aktiv!$A:$A,Aktiv!$H:$H,"–"),"")</f>
        <v>426</v>
      </c>
      <c r="H99" s="198">
        <f>IFERROR(_xlfn.XLOOKUP(A99,Aktiv!$A:$A,Aktiv!$I:$I,"–"),"")</f>
        <v>444</v>
      </c>
      <c r="I99" s="253">
        <f>IFERROR(_xlfn.XLOOKUP(A99,Aktiv!$A:$A,Aktiv!$J:$J,"–"),"")</f>
        <v>494</v>
      </c>
      <c r="J99" s="228">
        <f t="shared" si="7"/>
        <v>2.435483870967742</v>
      </c>
      <c r="K99" s="237">
        <f t="shared" si="8"/>
        <v>2.5806451612903225</v>
      </c>
      <c r="L99" s="247">
        <f t="shared" si="9"/>
        <v>2.9838709677419355</v>
      </c>
      <c r="M99" s="247">
        <f t="shared" si="10"/>
        <v>4.2253521126760563E-2</v>
      </c>
      <c r="N99" s="247">
        <f t="shared" si="11"/>
        <v>0.15962441314553991</v>
      </c>
      <c r="O99" s="247">
        <f t="shared" si="12"/>
        <v>0.11261261261261261</v>
      </c>
      <c r="P99" s="253">
        <f t="shared" si="13"/>
        <v>372</v>
      </c>
    </row>
    <row r="100" spans="1:16" x14ac:dyDescent="0.25">
      <c r="A100" s="192">
        <v>3315</v>
      </c>
      <c r="B100" s="189" t="str">
        <f>IFERROR(_xlfn.XLOOKUP(A100,Aktiv!$A:$A,Aktiv!$C:$C,"–"),"")</f>
        <v>Rücken</v>
      </c>
      <c r="C100" s="189" t="str">
        <f>IFERROR(_xlfn.XLOOKUP(A100,Aktiv!$A:$A,Aktiv!$D:$D,"–"),"")</f>
        <v>Rücken (360x1080)</v>
      </c>
      <c r="D100" s="195">
        <f>IFERROR(_xlfn.XLOOKUP(A100,Aktiv!$A:$A,Aktiv!$E:$E,"–"),"")</f>
        <v>360</v>
      </c>
      <c r="E100" s="195">
        <f>IFERROR(_xlfn.XLOOKUP(A100,Aktiv!$A:$A,Aktiv!$F:$F,"–"),"")</f>
        <v>1080</v>
      </c>
      <c r="F100" s="198">
        <f>IFERROR(_xlfn.XLOOKUP(A100,Aktiv!$A:$A,Aktiv!$G:$G,"–"),"")</f>
        <v>68</v>
      </c>
      <c r="G100" s="198">
        <f>IFERROR(_xlfn.XLOOKUP(A100,Aktiv!$A:$A,Aktiv!$H:$H,"–"),"")</f>
        <v>235</v>
      </c>
      <c r="H100" s="198">
        <f>IFERROR(_xlfn.XLOOKUP(A100,Aktiv!$A:$A,Aktiv!$I:$I,"–"),"")</f>
        <v>244</v>
      </c>
      <c r="I100" s="253">
        <f>IFERROR(_xlfn.XLOOKUP(A100,Aktiv!$A:$A,Aktiv!$J:$J,"–"),"")</f>
        <v>272</v>
      </c>
      <c r="J100" s="228">
        <f t="shared" si="7"/>
        <v>2.4558823529411766</v>
      </c>
      <c r="K100" s="237">
        <f t="shared" si="8"/>
        <v>2.5882352941176472</v>
      </c>
      <c r="L100" s="247">
        <f t="shared" si="9"/>
        <v>3</v>
      </c>
      <c r="M100" s="247">
        <f t="shared" si="10"/>
        <v>3.8297872340425532E-2</v>
      </c>
      <c r="N100" s="247">
        <f t="shared" si="11"/>
        <v>0.1574468085106383</v>
      </c>
      <c r="O100" s="247">
        <f t="shared" si="12"/>
        <v>0.11475409836065574</v>
      </c>
      <c r="P100" s="253">
        <f t="shared" si="13"/>
        <v>205</v>
      </c>
    </row>
    <row r="101" spans="1:16" x14ac:dyDescent="0.25">
      <c r="A101" s="192">
        <v>3316</v>
      </c>
      <c r="B101" s="189" t="str">
        <f>IFERROR(_xlfn.XLOOKUP(A101,Aktiv!$A:$A,Aktiv!$C:$C,"–"),"")</f>
        <v>Rücken</v>
      </c>
      <c r="C101" s="189" t="str">
        <f>IFERROR(_xlfn.XLOOKUP(A101,Aktiv!$A:$A,Aktiv!$D:$D,"–"),"")</f>
        <v>Rücken (420x1080)</v>
      </c>
      <c r="D101" s="195">
        <f>IFERROR(_xlfn.XLOOKUP(A101,Aktiv!$A:$A,Aktiv!$E:$E,"–"),"")</f>
        <v>420</v>
      </c>
      <c r="E101" s="195">
        <f>IFERROR(_xlfn.XLOOKUP(A101,Aktiv!$A:$A,Aktiv!$F:$F,"–"),"")</f>
        <v>1080</v>
      </c>
      <c r="F101" s="198">
        <f>IFERROR(_xlfn.XLOOKUP(A101,Aktiv!$A:$A,Aktiv!$G:$G,"–"),"")</f>
        <v>80</v>
      </c>
      <c r="G101" s="198">
        <f>IFERROR(_xlfn.XLOOKUP(A101,Aktiv!$A:$A,Aktiv!$H:$H,"–"),"")</f>
        <v>274</v>
      </c>
      <c r="H101" s="198">
        <f>IFERROR(_xlfn.XLOOKUP(A101,Aktiv!$A:$A,Aktiv!$I:$I,"–"),"")</f>
        <v>285</v>
      </c>
      <c r="I101" s="253">
        <f>IFERROR(_xlfn.XLOOKUP(A101,Aktiv!$A:$A,Aktiv!$J:$J,"–"),"")</f>
        <v>317</v>
      </c>
      <c r="J101" s="228">
        <f t="shared" si="7"/>
        <v>2.4249999999999998</v>
      </c>
      <c r="K101" s="237">
        <f t="shared" si="8"/>
        <v>2.5625</v>
      </c>
      <c r="L101" s="247">
        <f t="shared" si="9"/>
        <v>2.9624999999999999</v>
      </c>
      <c r="M101" s="247">
        <f t="shared" si="10"/>
        <v>4.0145985401459854E-2</v>
      </c>
      <c r="N101" s="247">
        <f t="shared" si="11"/>
        <v>0.15693430656934307</v>
      </c>
      <c r="O101" s="247">
        <f t="shared" si="12"/>
        <v>0.11228070175438597</v>
      </c>
      <c r="P101" s="253">
        <f t="shared" si="13"/>
        <v>239</v>
      </c>
    </row>
    <row r="102" spans="1:16" x14ac:dyDescent="0.25">
      <c r="A102" s="192">
        <v>3317</v>
      </c>
      <c r="B102" s="189" t="str">
        <f>IFERROR(_xlfn.XLOOKUP(A102,Aktiv!$A:$A,Aktiv!$C:$C,"–"),"")</f>
        <v>Rücken</v>
      </c>
      <c r="C102" s="189" t="str">
        <f>IFERROR(_xlfn.XLOOKUP(A102,Aktiv!$A:$A,Aktiv!$D:$D,"–"),"")</f>
        <v>Rücken (580x1080)</v>
      </c>
      <c r="D102" s="195">
        <f>IFERROR(_xlfn.XLOOKUP(A102,Aktiv!$A:$A,Aktiv!$E:$E,"–"),"")</f>
        <v>580</v>
      </c>
      <c r="E102" s="195">
        <f>IFERROR(_xlfn.XLOOKUP(A102,Aktiv!$A:$A,Aktiv!$F:$F,"–"),"")</f>
        <v>1080</v>
      </c>
      <c r="F102" s="198">
        <f>IFERROR(_xlfn.XLOOKUP(A102,Aktiv!$A:$A,Aktiv!$G:$G,"–"),"")</f>
        <v>110</v>
      </c>
      <c r="G102" s="198">
        <f>IFERROR(_xlfn.XLOOKUP(A102,Aktiv!$A:$A,Aktiv!$H:$H,"–"),"")</f>
        <v>378</v>
      </c>
      <c r="H102" s="198">
        <f>IFERROR(_xlfn.XLOOKUP(A102,Aktiv!$A:$A,Aktiv!$I:$I,"–"),"")</f>
        <v>394</v>
      </c>
      <c r="I102" s="253">
        <f>IFERROR(_xlfn.XLOOKUP(A102,Aktiv!$A:$A,Aktiv!$J:$J,"–"),"")</f>
        <v>438</v>
      </c>
      <c r="J102" s="228">
        <f t="shared" si="7"/>
        <v>2.4363636363636365</v>
      </c>
      <c r="K102" s="237">
        <f t="shared" si="8"/>
        <v>2.581818181818182</v>
      </c>
      <c r="L102" s="247">
        <f t="shared" si="9"/>
        <v>2.9818181818181819</v>
      </c>
      <c r="M102" s="247">
        <f t="shared" si="10"/>
        <v>4.2328042328042326E-2</v>
      </c>
      <c r="N102" s="247">
        <f t="shared" si="11"/>
        <v>0.15873015873015872</v>
      </c>
      <c r="O102" s="247">
        <f t="shared" si="12"/>
        <v>0.1116751269035533</v>
      </c>
      <c r="P102" s="253">
        <f t="shared" si="13"/>
        <v>330</v>
      </c>
    </row>
    <row r="103" spans="1:16" x14ac:dyDescent="0.25">
      <c r="A103" s="192">
        <v>3318</v>
      </c>
      <c r="B103" s="189" t="str">
        <f>IFERROR(_xlfn.XLOOKUP(A103,Aktiv!$A:$A,Aktiv!$C:$C,"–"),"")</f>
        <v>Rücken</v>
      </c>
      <c r="C103" s="189" t="str">
        <f>IFERROR(_xlfn.XLOOKUP(A103,Aktiv!$A:$A,Aktiv!$D:$D,"–"),"")</f>
        <v>Rücken (780x1080)</v>
      </c>
      <c r="D103" s="195">
        <f>IFERROR(_xlfn.XLOOKUP(A103,Aktiv!$A:$A,Aktiv!$E:$E,"–"),"")</f>
        <v>780</v>
      </c>
      <c r="E103" s="195">
        <f>IFERROR(_xlfn.XLOOKUP(A103,Aktiv!$A:$A,Aktiv!$F:$F,"–"),"")</f>
        <v>1080</v>
      </c>
      <c r="F103" s="198">
        <f>IFERROR(_xlfn.XLOOKUP(A103,Aktiv!$A:$A,Aktiv!$G:$G,"–"),"")</f>
        <v>148</v>
      </c>
      <c r="G103" s="198">
        <f>IFERROR(_xlfn.XLOOKUP(A103,Aktiv!$A:$A,Aktiv!$H:$H,"–"),"")</f>
        <v>508</v>
      </c>
      <c r="H103" s="198">
        <f>IFERROR(_xlfn.XLOOKUP(A103,Aktiv!$A:$A,Aktiv!$I:$I,"–"),"")</f>
        <v>530</v>
      </c>
      <c r="I103" s="253">
        <f>IFERROR(_xlfn.XLOOKUP(A103,Aktiv!$A:$A,Aktiv!$J:$J,"–"),"")</f>
        <v>589</v>
      </c>
      <c r="J103" s="228">
        <f t="shared" si="7"/>
        <v>2.4324324324324325</v>
      </c>
      <c r="K103" s="237">
        <f t="shared" si="8"/>
        <v>2.5810810810810811</v>
      </c>
      <c r="L103" s="247">
        <f t="shared" si="9"/>
        <v>2.9797297297297298</v>
      </c>
      <c r="M103" s="247">
        <f t="shared" si="10"/>
        <v>4.3307086614173228E-2</v>
      </c>
      <c r="N103" s="247">
        <f t="shared" si="11"/>
        <v>0.15944881889763779</v>
      </c>
      <c r="O103" s="247">
        <f t="shared" si="12"/>
        <v>0.11132075471698114</v>
      </c>
      <c r="P103" s="253">
        <f t="shared" si="13"/>
        <v>444</v>
      </c>
    </row>
    <row r="104" spans="1:16" x14ac:dyDescent="0.25">
      <c r="A104" s="192">
        <v>3319</v>
      </c>
      <c r="B104" s="189" t="str">
        <f>IFERROR(_xlfn.XLOOKUP(A104,Aktiv!$A:$A,Aktiv!$C:$C,"–"),"")</f>
        <v>Rücken</v>
      </c>
      <c r="C104" s="189" t="str">
        <f>IFERROR(_xlfn.XLOOKUP(A104,Aktiv!$A:$A,Aktiv!$D:$D,"–"),"")</f>
        <v>Rücken (980x1080)</v>
      </c>
      <c r="D104" s="195">
        <f>IFERROR(_xlfn.XLOOKUP(A104,Aktiv!$A:$A,Aktiv!$E:$E,"–"),"")</f>
        <v>980</v>
      </c>
      <c r="E104" s="195">
        <f>IFERROR(_xlfn.XLOOKUP(A104,Aktiv!$A:$A,Aktiv!$F:$F,"–"),"")</f>
        <v>1080</v>
      </c>
      <c r="F104" s="198">
        <f>IFERROR(_xlfn.XLOOKUP(A104,Aktiv!$A:$A,Aktiv!$G:$G,"–"),"")</f>
        <v>186</v>
      </c>
      <c r="G104" s="198">
        <f>IFERROR(_xlfn.XLOOKUP(A104,Aktiv!$A:$A,Aktiv!$H:$H,"–"),"")</f>
        <v>639</v>
      </c>
      <c r="H104" s="198">
        <f>IFERROR(_xlfn.XLOOKUP(A104,Aktiv!$A:$A,Aktiv!$I:$I,"–"),"")</f>
        <v>665</v>
      </c>
      <c r="I104" s="253">
        <f>IFERROR(_xlfn.XLOOKUP(A104,Aktiv!$A:$A,Aktiv!$J:$J,"–"),"")</f>
        <v>740</v>
      </c>
      <c r="J104" s="228">
        <f t="shared" si="7"/>
        <v>2.435483870967742</v>
      </c>
      <c r="K104" s="237">
        <f t="shared" si="8"/>
        <v>2.575268817204301</v>
      </c>
      <c r="L104" s="247">
        <f t="shared" si="9"/>
        <v>2.978494623655914</v>
      </c>
      <c r="M104" s="247">
        <f t="shared" si="10"/>
        <v>4.0688575899843503E-2</v>
      </c>
      <c r="N104" s="247">
        <f t="shared" si="11"/>
        <v>0.15805946791862285</v>
      </c>
      <c r="O104" s="247">
        <f t="shared" si="12"/>
        <v>0.11278195488721804</v>
      </c>
      <c r="P104" s="253">
        <f t="shared" si="13"/>
        <v>558</v>
      </c>
    </row>
    <row r="105" spans="1:16" x14ac:dyDescent="0.25">
      <c r="A105" s="192">
        <v>3320</v>
      </c>
      <c r="B105" s="189" t="str">
        <f>IFERROR(_xlfn.XLOOKUP(A105,Aktiv!$A:$A,Aktiv!$C:$C,"–"),"")</f>
        <v>Rücken</v>
      </c>
      <c r="C105" s="189" t="str">
        <f>IFERROR(_xlfn.XLOOKUP(A105,Aktiv!$A:$A,Aktiv!$D:$D,"–"),"")</f>
        <v>Rücken (360x1440)</v>
      </c>
      <c r="D105" s="195">
        <f>IFERROR(_xlfn.XLOOKUP(A105,Aktiv!$A:$A,Aktiv!$E:$E,"–"),"")</f>
        <v>360</v>
      </c>
      <c r="E105" s="195">
        <f>IFERROR(_xlfn.XLOOKUP(A105,Aktiv!$A:$A,Aktiv!$F:$F,"–"),"")</f>
        <v>1440</v>
      </c>
      <c r="F105" s="198">
        <f>IFERROR(_xlfn.XLOOKUP(A105,Aktiv!$A:$A,Aktiv!$G:$G,"–"),"")</f>
        <v>91</v>
      </c>
      <c r="G105" s="198">
        <f>IFERROR(_xlfn.XLOOKUP(A105,Aktiv!$A:$A,Aktiv!$H:$H,"–"),"")</f>
        <v>313</v>
      </c>
      <c r="H105" s="198">
        <f>IFERROR(_xlfn.XLOOKUP(A105,Aktiv!$A:$A,Aktiv!$I:$I,"–"),"")</f>
        <v>326</v>
      </c>
      <c r="I105" s="253">
        <f>IFERROR(_xlfn.XLOOKUP(A105,Aktiv!$A:$A,Aktiv!$J:$J,"–"),"")</f>
        <v>363</v>
      </c>
      <c r="J105" s="228">
        <f t="shared" si="7"/>
        <v>2.4395604395604398</v>
      </c>
      <c r="K105" s="236">
        <f t="shared" si="8"/>
        <v>2.5824175824175826</v>
      </c>
      <c r="L105" s="247">
        <f t="shared" si="9"/>
        <v>2.9890109890109891</v>
      </c>
      <c r="M105" s="247">
        <f t="shared" si="10"/>
        <v>4.1533546325878593E-2</v>
      </c>
      <c r="N105" s="247">
        <f t="shared" si="11"/>
        <v>0.15974440894568689</v>
      </c>
      <c r="O105" s="247">
        <f t="shared" si="12"/>
        <v>0.11349693251533742</v>
      </c>
      <c r="P105" s="253">
        <f t="shared" si="13"/>
        <v>273</v>
      </c>
    </row>
    <row r="106" spans="1:16" x14ac:dyDescent="0.25">
      <c r="A106" s="192">
        <v>3321</v>
      </c>
      <c r="B106" s="189" t="str">
        <f>IFERROR(_xlfn.XLOOKUP(A106,Aktiv!$A:$A,Aktiv!$C:$C,"–"),"")</f>
        <v>Rücken</v>
      </c>
      <c r="C106" s="189" t="str">
        <f>IFERROR(_xlfn.XLOOKUP(A106,Aktiv!$A:$A,Aktiv!$D:$D,"–"),"")</f>
        <v>Rücken (420x1440)</v>
      </c>
      <c r="D106" s="195">
        <f>IFERROR(_xlfn.XLOOKUP(A106,Aktiv!$A:$A,Aktiv!$E:$E,"–"),"")</f>
        <v>420</v>
      </c>
      <c r="E106" s="195">
        <f>IFERROR(_xlfn.XLOOKUP(A106,Aktiv!$A:$A,Aktiv!$F:$F,"–"),"")</f>
        <v>1440</v>
      </c>
      <c r="F106" s="198">
        <f>IFERROR(_xlfn.XLOOKUP(A106,Aktiv!$A:$A,Aktiv!$G:$G,"–"),"")</f>
        <v>106</v>
      </c>
      <c r="G106" s="198">
        <f>IFERROR(_xlfn.XLOOKUP(A106,Aktiv!$A:$A,Aktiv!$H:$H,"–"),"")</f>
        <v>365</v>
      </c>
      <c r="H106" s="198">
        <f>IFERROR(_xlfn.XLOOKUP(A106,Aktiv!$A:$A,Aktiv!$I:$I,"–"),"")</f>
        <v>380</v>
      </c>
      <c r="I106" s="253">
        <f>IFERROR(_xlfn.XLOOKUP(A106,Aktiv!$A:$A,Aktiv!$J:$J,"–"),"")</f>
        <v>423</v>
      </c>
      <c r="J106" s="228">
        <f t="shared" si="7"/>
        <v>2.4433962264150941</v>
      </c>
      <c r="K106" s="236">
        <f t="shared" si="8"/>
        <v>2.5849056603773586</v>
      </c>
      <c r="L106" s="247">
        <f t="shared" si="9"/>
        <v>2.9905660377358489</v>
      </c>
      <c r="M106" s="247">
        <f t="shared" si="10"/>
        <v>4.1095890410958902E-2</v>
      </c>
      <c r="N106" s="247">
        <f t="shared" si="11"/>
        <v>0.15890410958904111</v>
      </c>
      <c r="O106" s="247">
        <f t="shared" si="12"/>
        <v>0.11315789473684211</v>
      </c>
      <c r="P106" s="253">
        <f t="shared" si="13"/>
        <v>319</v>
      </c>
    </row>
    <row r="107" spans="1:16" x14ac:dyDescent="0.25">
      <c r="A107" s="192">
        <v>3322</v>
      </c>
      <c r="B107" s="189" t="str">
        <f>IFERROR(_xlfn.XLOOKUP(A107,Aktiv!$A:$A,Aktiv!$C:$C,"–"),"")</f>
        <v>Rücken</v>
      </c>
      <c r="C107" s="189" t="str">
        <f>IFERROR(_xlfn.XLOOKUP(A107,Aktiv!$A:$A,Aktiv!$D:$D,"–"),"")</f>
        <v>Rücken (580x1440)</v>
      </c>
      <c r="D107" s="195">
        <f>IFERROR(_xlfn.XLOOKUP(A107,Aktiv!$A:$A,Aktiv!$E:$E,"–"),"")</f>
        <v>580</v>
      </c>
      <c r="E107" s="195">
        <f>IFERROR(_xlfn.XLOOKUP(A107,Aktiv!$A:$A,Aktiv!$F:$F,"–"),"")</f>
        <v>1440</v>
      </c>
      <c r="F107" s="198">
        <f>IFERROR(_xlfn.XLOOKUP(A107,Aktiv!$A:$A,Aktiv!$G:$G,"–"),"")</f>
        <v>147</v>
      </c>
      <c r="G107" s="198">
        <f>IFERROR(_xlfn.XLOOKUP(A107,Aktiv!$A:$A,Aktiv!$H:$H,"–"),"")</f>
        <v>504</v>
      </c>
      <c r="H107" s="198">
        <f>IFERROR(_xlfn.XLOOKUP(A107,Aktiv!$A:$A,Aktiv!$I:$I,"–"),"")</f>
        <v>525</v>
      </c>
      <c r="I107" s="253">
        <f>IFERROR(_xlfn.XLOOKUP(A107,Aktiv!$A:$A,Aktiv!$J:$J,"–"),"")</f>
        <v>584</v>
      </c>
      <c r="J107" s="228">
        <f t="shared" si="7"/>
        <v>2.4285714285714284</v>
      </c>
      <c r="K107" s="236">
        <f t="shared" si="8"/>
        <v>2.5714285714285716</v>
      </c>
      <c r="L107" s="247">
        <f t="shared" si="9"/>
        <v>2.9727891156462585</v>
      </c>
      <c r="M107" s="247">
        <f t="shared" si="10"/>
        <v>4.1666666666666664E-2</v>
      </c>
      <c r="N107" s="247">
        <f t="shared" si="11"/>
        <v>0.15873015873015872</v>
      </c>
      <c r="O107" s="247">
        <f t="shared" si="12"/>
        <v>0.11238095238095239</v>
      </c>
      <c r="P107" s="253">
        <f t="shared" si="13"/>
        <v>440</v>
      </c>
    </row>
    <row r="108" spans="1:16" x14ac:dyDescent="0.25">
      <c r="A108" s="192">
        <v>3323</v>
      </c>
      <c r="B108" s="189" t="str">
        <f>IFERROR(_xlfn.XLOOKUP(A108,Aktiv!$A:$A,Aktiv!$C:$C,"–"),"")</f>
        <v>Rücken</v>
      </c>
      <c r="C108" s="189" t="str">
        <f>IFERROR(_xlfn.XLOOKUP(A108,Aktiv!$A:$A,Aktiv!$D:$D,"–"),"")</f>
        <v>Rücken (780x1440)</v>
      </c>
      <c r="D108" s="195">
        <f>IFERROR(_xlfn.XLOOKUP(A108,Aktiv!$A:$A,Aktiv!$E:$E,"–"),"")</f>
        <v>780</v>
      </c>
      <c r="E108" s="195">
        <f>IFERROR(_xlfn.XLOOKUP(A108,Aktiv!$A:$A,Aktiv!$F:$F,"–"),"")</f>
        <v>1440</v>
      </c>
      <c r="F108" s="198">
        <f>IFERROR(_xlfn.XLOOKUP(A108,Aktiv!$A:$A,Aktiv!$G:$G,"–"),"")</f>
        <v>198</v>
      </c>
      <c r="G108" s="198">
        <f>IFERROR(_xlfn.XLOOKUP(A108,Aktiv!$A:$A,Aktiv!$H:$H,"–"),"")</f>
        <v>678</v>
      </c>
      <c r="H108" s="198">
        <f>IFERROR(_xlfn.XLOOKUP(A108,Aktiv!$A:$A,Aktiv!$I:$I,"–"),"")</f>
        <v>706</v>
      </c>
      <c r="I108" s="253">
        <f>IFERROR(_xlfn.XLOOKUP(A108,Aktiv!$A:$A,Aktiv!$J:$J,"–"),"")</f>
        <v>786</v>
      </c>
      <c r="J108" s="228">
        <f t="shared" si="7"/>
        <v>2.4242424242424243</v>
      </c>
      <c r="K108" s="236">
        <f t="shared" si="8"/>
        <v>2.5656565656565657</v>
      </c>
      <c r="L108" s="247">
        <f t="shared" si="9"/>
        <v>2.9696969696969697</v>
      </c>
      <c r="M108" s="247">
        <f t="shared" si="10"/>
        <v>4.1297935103244837E-2</v>
      </c>
      <c r="N108" s="247">
        <f t="shared" si="11"/>
        <v>0.15929203539823009</v>
      </c>
      <c r="O108" s="247">
        <f t="shared" si="12"/>
        <v>0.11331444759206799</v>
      </c>
      <c r="P108" s="253">
        <f t="shared" si="13"/>
        <v>592</v>
      </c>
    </row>
    <row r="109" spans="1:16" x14ac:dyDescent="0.25">
      <c r="A109" s="192">
        <v>3324</v>
      </c>
      <c r="B109" s="189" t="str">
        <f>IFERROR(_xlfn.XLOOKUP(A109,Aktiv!$A:$A,Aktiv!$C:$C,"–"),"")</f>
        <v>Rücken</v>
      </c>
      <c r="C109" s="189" t="str">
        <f>IFERROR(_xlfn.XLOOKUP(A109,Aktiv!$A:$A,Aktiv!$D:$D,"–"),"")</f>
        <v>Rücken (980x1440)</v>
      </c>
      <c r="D109" s="195">
        <f>IFERROR(_xlfn.XLOOKUP(A109,Aktiv!$A:$A,Aktiv!$E:$E,"–"),"")</f>
        <v>980</v>
      </c>
      <c r="E109" s="195">
        <f>IFERROR(_xlfn.XLOOKUP(A109,Aktiv!$A:$A,Aktiv!$F:$F,"–"),"")</f>
        <v>1440</v>
      </c>
      <c r="F109" s="198">
        <f>IFERROR(_xlfn.XLOOKUP(A109,Aktiv!$A:$A,Aktiv!$G:$G,"–"),"")</f>
        <v>248</v>
      </c>
      <c r="G109" s="198">
        <f>IFERROR(_xlfn.XLOOKUP(A109,Aktiv!$A:$A,Aktiv!$H:$H,"–"),"")</f>
        <v>852</v>
      </c>
      <c r="H109" s="198">
        <f>IFERROR(_xlfn.XLOOKUP(A109,Aktiv!$A:$A,Aktiv!$I:$I,"–"),"")</f>
        <v>887</v>
      </c>
      <c r="I109" s="253">
        <f>IFERROR(_xlfn.XLOOKUP(A109,Aktiv!$A:$A,Aktiv!$J:$J,"–"),"")</f>
        <v>987</v>
      </c>
      <c r="J109" s="228">
        <f t="shared" si="7"/>
        <v>2.435483870967742</v>
      </c>
      <c r="K109" s="236">
        <f t="shared" si="8"/>
        <v>2.5766129032258065</v>
      </c>
      <c r="L109" s="247">
        <f t="shared" si="9"/>
        <v>2.9798387096774195</v>
      </c>
      <c r="M109" s="247">
        <f t="shared" si="10"/>
        <v>4.1079812206572773E-2</v>
      </c>
      <c r="N109" s="247">
        <f t="shared" si="11"/>
        <v>0.15845070422535212</v>
      </c>
      <c r="O109" s="247">
        <f t="shared" si="12"/>
        <v>0.11273957158962795</v>
      </c>
      <c r="P109" s="253">
        <f t="shared" si="13"/>
        <v>744</v>
      </c>
    </row>
    <row r="110" spans="1:16" x14ac:dyDescent="0.25">
      <c r="A110" s="192">
        <v>3325</v>
      </c>
      <c r="B110" s="189" t="str">
        <f>IFERROR(_xlfn.XLOOKUP(A110,Aktiv!$A:$A,Aktiv!$C:$C,"–"),"")</f>
        <v>Rücken</v>
      </c>
      <c r="C110" s="189" t="str">
        <f>IFERROR(_xlfn.XLOOKUP(A110,Aktiv!$A:$A,Aktiv!$D:$D,"–"),"")</f>
        <v>Rücken (360x1800)</v>
      </c>
      <c r="D110" s="195">
        <f>IFERROR(_xlfn.XLOOKUP(A110,Aktiv!$A:$A,Aktiv!$E:$E,"–"),"")</f>
        <v>360</v>
      </c>
      <c r="E110" s="195">
        <f>IFERROR(_xlfn.XLOOKUP(A110,Aktiv!$A:$A,Aktiv!$F:$F,"–"),"")</f>
        <v>1800</v>
      </c>
      <c r="F110" s="198">
        <f>IFERROR(_xlfn.XLOOKUP(A110,Aktiv!$A:$A,Aktiv!$G:$G,"–"),"")</f>
        <v>114</v>
      </c>
      <c r="G110" s="198">
        <f>IFERROR(_xlfn.XLOOKUP(A110,Aktiv!$A:$A,Aktiv!$H:$H,"–"),"")</f>
        <v>391</v>
      </c>
      <c r="H110" s="198">
        <f>IFERROR(_xlfn.XLOOKUP(A110,Aktiv!$A:$A,Aktiv!$I:$I,"–"),"")</f>
        <v>407</v>
      </c>
      <c r="I110" s="253">
        <f>IFERROR(_xlfn.XLOOKUP(A110,Aktiv!$A:$A,Aktiv!$J:$J,"–"),"")</f>
        <v>453</v>
      </c>
      <c r="J110" s="228">
        <f t="shared" si="7"/>
        <v>2.4298245614035086</v>
      </c>
      <c r="K110" s="236">
        <f t="shared" si="8"/>
        <v>2.5701754385964914</v>
      </c>
      <c r="L110" s="247">
        <f t="shared" si="9"/>
        <v>2.9736842105263159</v>
      </c>
      <c r="M110" s="247">
        <f t="shared" si="10"/>
        <v>4.0920716112531973E-2</v>
      </c>
      <c r="N110" s="247">
        <f t="shared" si="11"/>
        <v>0.15856777493606139</v>
      </c>
      <c r="O110" s="247">
        <f t="shared" si="12"/>
        <v>0.11302211302211303</v>
      </c>
      <c r="P110" s="253">
        <f t="shared" si="13"/>
        <v>341</v>
      </c>
    </row>
    <row r="111" spans="1:16" x14ac:dyDescent="0.25">
      <c r="A111" s="192">
        <v>3326</v>
      </c>
      <c r="B111" s="189" t="str">
        <f>IFERROR(_xlfn.XLOOKUP(A111,Aktiv!$A:$A,Aktiv!$C:$C,"–"),"")</f>
        <v>Rücken</v>
      </c>
      <c r="C111" s="189" t="str">
        <f>IFERROR(_xlfn.XLOOKUP(A111,Aktiv!$A:$A,Aktiv!$D:$D,"–"),"")</f>
        <v>Rücken (420x1800)</v>
      </c>
      <c r="D111" s="195">
        <f>IFERROR(_xlfn.XLOOKUP(A111,Aktiv!$A:$A,Aktiv!$E:$E,"–"),"")</f>
        <v>420</v>
      </c>
      <c r="E111" s="195">
        <f>IFERROR(_xlfn.XLOOKUP(A111,Aktiv!$A:$A,Aktiv!$F:$F,"–"),"")</f>
        <v>1800</v>
      </c>
      <c r="F111" s="198">
        <f>IFERROR(_xlfn.XLOOKUP(A111,Aktiv!$A:$A,Aktiv!$G:$G,"–"),"")</f>
        <v>133</v>
      </c>
      <c r="G111" s="198">
        <f>IFERROR(_xlfn.XLOOKUP(A111,Aktiv!$A:$A,Aktiv!$H:$H,"–"),"")</f>
        <v>456</v>
      </c>
      <c r="H111" s="198">
        <f>IFERROR(_xlfn.XLOOKUP(A111,Aktiv!$A:$A,Aktiv!$I:$I,"–"),"")</f>
        <v>475</v>
      </c>
      <c r="I111" s="253">
        <f>IFERROR(_xlfn.XLOOKUP(A111,Aktiv!$A:$A,Aktiv!$J:$J,"–"),"")</f>
        <v>529</v>
      </c>
      <c r="J111" s="228">
        <f t="shared" si="7"/>
        <v>2.4285714285714284</v>
      </c>
      <c r="K111" s="236">
        <f t="shared" si="8"/>
        <v>2.5714285714285716</v>
      </c>
      <c r="L111" s="247">
        <f t="shared" si="9"/>
        <v>2.9774436090225564</v>
      </c>
      <c r="M111" s="247">
        <f t="shared" si="10"/>
        <v>4.1666666666666664E-2</v>
      </c>
      <c r="N111" s="247">
        <f t="shared" si="11"/>
        <v>0.16008771929824561</v>
      </c>
      <c r="O111" s="247">
        <f t="shared" si="12"/>
        <v>0.11368421052631579</v>
      </c>
      <c r="P111" s="253">
        <f t="shared" si="13"/>
        <v>398</v>
      </c>
    </row>
    <row r="112" spans="1:16" x14ac:dyDescent="0.25">
      <c r="A112" s="192">
        <v>3327</v>
      </c>
      <c r="B112" s="189" t="str">
        <f>IFERROR(_xlfn.XLOOKUP(A112,Aktiv!$A:$A,Aktiv!$C:$C,"–"),"")</f>
        <v>Rücken</v>
      </c>
      <c r="C112" s="189" t="str">
        <f>IFERROR(_xlfn.XLOOKUP(A112,Aktiv!$A:$A,Aktiv!$D:$D,"–"),"")</f>
        <v>Rücken (580x1800)</v>
      </c>
      <c r="D112" s="195">
        <f>IFERROR(_xlfn.XLOOKUP(A112,Aktiv!$A:$A,Aktiv!$E:$E,"–"),"")</f>
        <v>580</v>
      </c>
      <c r="E112" s="195">
        <f>IFERROR(_xlfn.XLOOKUP(A112,Aktiv!$A:$A,Aktiv!$F:$F,"–"),"")</f>
        <v>1800</v>
      </c>
      <c r="F112" s="198">
        <f>IFERROR(_xlfn.XLOOKUP(A112,Aktiv!$A:$A,Aktiv!$G:$G,"–"),"")</f>
        <v>184</v>
      </c>
      <c r="G112" s="198">
        <f>IFERROR(_xlfn.XLOOKUP(A112,Aktiv!$A:$A,Aktiv!$H:$H,"–"),"")</f>
        <v>630</v>
      </c>
      <c r="H112" s="198">
        <f>IFERROR(_xlfn.XLOOKUP(A112,Aktiv!$A:$A,Aktiv!$I:$I,"–"),"")</f>
        <v>656</v>
      </c>
      <c r="I112" s="253">
        <f>IFERROR(_xlfn.XLOOKUP(A112,Aktiv!$A:$A,Aktiv!$J:$J,"–"),"")</f>
        <v>730</v>
      </c>
      <c r="J112" s="228">
        <f t="shared" si="7"/>
        <v>2.4239130434782608</v>
      </c>
      <c r="K112" s="236">
        <f t="shared" si="8"/>
        <v>2.5652173913043477</v>
      </c>
      <c r="L112" s="247">
        <f t="shared" si="9"/>
        <v>2.9673913043478262</v>
      </c>
      <c r="M112" s="247">
        <f t="shared" si="10"/>
        <v>4.1269841269841269E-2</v>
      </c>
      <c r="N112" s="247">
        <f t="shared" si="11"/>
        <v>0.15873015873015872</v>
      </c>
      <c r="O112" s="247">
        <f t="shared" si="12"/>
        <v>0.11280487804878049</v>
      </c>
      <c r="P112" s="253">
        <f t="shared" si="13"/>
        <v>550</v>
      </c>
    </row>
    <row r="113" spans="1:16" x14ac:dyDescent="0.25">
      <c r="A113" s="192">
        <v>3328</v>
      </c>
      <c r="B113" s="189" t="str">
        <f>IFERROR(_xlfn.XLOOKUP(A113,Aktiv!$A:$A,Aktiv!$C:$C,"–"),"")</f>
        <v>Rücken</v>
      </c>
      <c r="C113" s="189" t="str">
        <f>IFERROR(_xlfn.XLOOKUP(A113,Aktiv!$A:$A,Aktiv!$D:$D,"–"),"")</f>
        <v>Rücken (780x1800)</v>
      </c>
      <c r="D113" s="195">
        <f>IFERROR(_xlfn.XLOOKUP(A113,Aktiv!$A:$A,Aktiv!$E:$E,"–"),"")</f>
        <v>780</v>
      </c>
      <c r="E113" s="195">
        <f>IFERROR(_xlfn.XLOOKUP(A113,Aktiv!$A:$A,Aktiv!$F:$F,"–"),"")</f>
        <v>1800</v>
      </c>
      <c r="F113" s="198" t="str">
        <f>IFERROR(_xlfn.XLOOKUP(A113,Aktiv!$A:$A,Aktiv!$G:$G,"–"),"")</f>
        <v>-</v>
      </c>
      <c r="G113" s="198" t="str">
        <f>IFERROR(_xlfn.XLOOKUP(A113,Aktiv!$A:$A,Aktiv!$H:$H,"–"),"")</f>
        <v>-</v>
      </c>
      <c r="H113" s="198" t="str">
        <f>IFERROR(_xlfn.XLOOKUP(A113,Aktiv!$A:$A,Aktiv!$I:$I,"–"),"")</f>
        <v>-</v>
      </c>
      <c r="I113" s="253" t="str">
        <f>IFERROR(_xlfn.XLOOKUP(A113,Aktiv!$A:$A,Aktiv!$J:$J,"–"),"")</f>
        <v>-</v>
      </c>
      <c r="J113" s="228" t="str">
        <f t="shared" si="7"/>
        <v>–</v>
      </c>
      <c r="K113" s="236" t="str">
        <f t="shared" si="8"/>
        <v>–</v>
      </c>
      <c r="L113" s="247" t="str">
        <f t="shared" si="9"/>
        <v>–</v>
      </c>
      <c r="M113" s="247" t="str">
        <f t="shared" si="10"/>
        <v>–</v>
      </c>
      <c r="N113" s="247" t="str">
        <f t="shared" si="11"/>
        <v>–</v>
      </c>
      <c r="O113" s="247" t="str">
        <f t="shared" si="12"/>
        <v>–</v>
      </c>
      <c r="P113" s="253" t="str">
        <f t="shared" si="13"/>
        <v>–</v>
      </c>
    </row>
    <row r="114" spans="1:16" x14ac:dyDescent="0.25">
      <c r="A114" s="192">
        <v>3329</v>
      </c>
      <c r="B114" s="189" t="str">
        <f>IFERROR(_xlfn.XLOOKUP(A114,Aktiv!$A:$A,Aktiv!$C:$C,"–"),"")</f>
        <v>Rücken</v>
      </c>
      <c r="C114" s="189" t="str">
        <f>IFERROR(_xlfn.XLOOKUP(A114,Aktiv!$A:$A,Aktiv!$D:$D,"–"),"")</f>
        <v>Rücken (980x1800)</v>
      </c>
      <c r="D114" s="195">
        <f>IFERROR(_xlfn.XLOOKUP(A114,Aktiv!$A:$A,Aktiv!$E:$E,"–"),"")</f>
        <v>980</v>
      </c>
      <c r="E114" s="195">
        <f>IFERROR(_xlfn.XLOOKUP(A114,Aktiv!$A:$A,Aktiv!$F:$F,"–"),"")</f>
        <v>1800</v>
      </c>
      <c r="F114" s="198" t="str">
        <f>IFERROR(_xlfn.XLOOKUP(A114,Aktiv!$A:$A,Aktiv!$G:$G,"–"),"")</f>
        <v>-</v>
      </c>
      <c r="G114" s="198" t="str">
        <f>IFERROR(_xlfn.XLOOKUP(A114,Aktiv!$A:$A,Aktiv!$H:$H,"–"),"")</f>
        <v>-</v>
      </c>
      <c r="H114" s="198" t="str">
        <f>IFERROR(_xlfn.XLOOKUP(A114,Aktiv!$A:$A,Aktiv!$I:$I,"–"),"")</f>
        <v>-</v>
      </c>
      <c r="I114" s="253" t="str">
        <f>IFERROR(_xlfn.XLOOKUP(A114,Aktiv!$A:$A,Aktiv!$J:$J,"–"),"")</f>
        <v>-</v>
      </c>
      <c r="J114" s="228" t="str">
        <f t="shared" si="7"/>
        <v>–</v>
      </c>
      <c r="K114" s="236" t="str">
        <f t="shared" si="8"/>
        <v>–</v>
      </c>
      <c r="L114" s="247" t="str">
        <f t="shared" si="9"/>
        <v>–</v>
      </c>
      <c r="M114" s="247" t="str">
        <f t="shared" si="10"/>
        <v>–</v>
      </c>
      <c r="N114" s="247" t="str">
        <f t="shared" si="11"/>
        <v>–</v>
      </c>
      <c r="O114" s="247" t="str">
        <f t="shared" si="12"/>
        <v>–</v>
      </c>
      <c r="P114" s="253" t="str">
        <f t="shared" si="13"/>
        <v>–</v>
      </c>
    </row>
    <row r="115" spans="1:16" x14ac:dyDescent="0.25">
      <c r="A115" s="206">
        <v>5300</v>
      </c>
      <c r="B115" s="207" t="str">
        <f>IFERROR(_xlfn.XLOOKUP(A115,Aktiv!$A:$A,Aktiv!$C:$C,"–"),"")</f>
        <v>Schublade</v>
      </c>
      <c r="C115" s="207" t="str">
        <f>IFERROR(_xlfn.XLOOKUP(A115,Aktiv!$A:$A,Aktiv!$D:$D,"–"),"")</f>
        <v>Schublade (420x180)</v>
      </c>
      <c r="D115" s="208">
        <f>IFERROR(_xlfn.XLOOKUP(A115,Aktiv!$A:$A,Aktiv!$E:$E,"–"),"")</f>
        <v>420</v>
      </c>
      <c r="E115" s="208">
        <f>IFERROR(_xlfn.XLOOKUP(A115,Aktiv!$A:$A,Aktiv!$F:$F,"–"),"")</f>
        <v>180</v>
      </c>
      <c r="F115" s="209">
        <f>IFERROR(_xlfn.XLOOKUP(A115,Aktiv!$A:$A,Aktiv!$G:$G,"–"),"")</f>
        <v>299</v>
      </c>
      <c r="G115" s="209">
        <f>IFERROR(_xlfn.XLOOKUP(A115,Aktiv!$A:$A,Aktiv!$H:$H,"–"),"")</f>
        <v>355</v>
      </c>
      <c r="H115" s="209">
        <f>IFERROR(_xlfn.XLOOKUP(A115,Aktiv!$A:$A,Aktiv!$I:$I,"–"),"")</f>
        <v>386</v>
      </c>
      <c r="I115" s="254" t="str">
        <f>IFERROR(_xlfn.XLOOKUP(A115,Aktiv!$A:$A,Aktiv!$J:$J,"–"),"")</f>
        <v>-</v>
      </c>
      <c r="J115" s="231">
        <f t="shared" si="7"/>
        <v>0.18729096989966554</v>
      </c>
      <c r="K115" s="239">
        <f t="shared" si="8"/>
        <v>0.29096989966555181</v>
      </c>
      <c r="L115" s="248" t="str">
        <f t="shared" si="9"/>
        <v>–</v>
      </c>
      <c r="M115" s="248">
        <f t="shared" si="10"/>
        <v>8.7323943661971826E-2</v>
      </c>
      <c r="N115" s="248" t="str">
        <f t="shared" si="11"/>
        <v>–</v>
      </c>
      <c r="O115" s="248" t="str">
        <f t="shared" si="12"/>
        <v>–</v>
      </c>
      <c r="P115" s="254">
        <f t="shared" si="13"/>
        <v>347</v>
      </c>
    </row>
    <row r="116" spans="1:16" x14ac:dyDescent="0.25">
      <c r="A116" s="193">
        <v>5301</v>
      </c>
      <c r="B116" s="190" t="str">
        <f>IFERROR(_xlfn.XLOOKUP(A116,Aktiv!$A:$A,Aktiv!$C:$C,"–"),"")</f>
        <v>Schublade</v>
      </c>
      <c r="C116" s="190" t="str">
        <f>IFERROR(_xlfn.XLOOKUP(A116,Aktiv!$A:$A,Aktiv!$D:$D,"–"),"")</f>
        <v>Schublade (420x360)</v>
      </c>
      <c r="D116" s="196">
        <f>IFERROR(_xlfn.XLOOKUP(A116,Aktiv!$A:$A,Aktiv!$E:$E,"–"),"")</f>
        <v>420</v>
      </c>
      <c r="E116" s="196">
        <f>IFERROR(_xlfn.XLOOKUP(A116,Aktiv!$A:$A,Aktiv!$F:$F,"–"),"")</f>
        <v>360</v>
      </c>
      <c r="F116" s="199">
        <f>IFERROR(_xlfn.XLOOKUP(A116,Aktiv!$A:$A,Aktiv!$G:$G,"–"),"")</f>
        <v>320</v>
      </c>
      <c r="G116" s="199">
        <f>IFERROR(_xlfn.XLOOKUP(A116,Aktiv!$A:$A,Aktiv!$H:$H,"–"),"")</f>
        <v>381</v>
      </c>
      <c r="H116" s="199">
        <f>IFERROR(_xlfn.XLOOKUP(A116,Aktiv!$A:$A,Aktiv!$I:$I,"–"),"")</f>
        <v>414</v>
      </c>
      <c r="I116" s="255" t="str">
        <f>IFERROR(_xlfn.XLOOKUP(A116,Aktiv!$A:$A,Aktiv!$J:$J,"–"),"")</f>
        <v>-</v>
      </c>
      <c r="J116" s="230">
        <f t="shared" si="7"/>
        <v>0.19062499999999999</v>
      </c>
      <c r="K116" s="241">
        <f t="shared" si="8"/>
        <v>0.29375000000000001</v>
      </c>
      <c r="L116" s="249" t="str">
        <f t="shared" si="9"/>
        <v>–</v>
      </c>
      <c r="M116" s="249">
        <f t="shared" si="10"/>
        <v>8.6614173228346455E-2</v>
      </c>
      <c r="N116" s="249" t="str">
        <f t="shared" si="11"/>
        <v>–</v>
      </c>
      <c r="O116" s="249" t="str">
        <f t="shared" si="12"/>
        <v>–</v>
      </c>
      <c r="P116" s="255">
        <f t="shared" si="13"/>
        <v>372</v>
      </c>
    </row>
    <row r="117" spans="1:16" x14ac:dyDescent="0.25">
      <c r="A117" s="193">
        <v>5302</v>
      </c>
      <c r="B117" s="190" t="str">
        <f>IFERROR(_xlfn.XLOOKUP(A117,Aktiv!$A:$A,Aktiv!$C:$C,"–"),"")</f>
        <v>Schublade</v>
      </c>
      <c r="C117" s="190" t="str">
        <f>IFERROR(_xlfn.XLOOKUP(A117,Aktiv!$A:$A,Aktiv!$D:$D,"–"),"")</f>
        <v>Schublade (580x180)</v>
      </c>
      <c r="D117" s="196">
        <f>IFERROR(_xlfn.XLOOKUP(A117,Aktiv!$A:$A,Aktiv!$E:$E,"–"),"")</f>
        <v>580</v>
      </c>
      <c r="E117" s="196">
        <f>IFERROR(_xlfn.XLOOKUP(A117,Aktiv!$A:$A,Aktiv!$F:$F,"–"),"")</f>
        <v>180</v>
      </c>
      <c r="F117" s="199">
        <f>IFERROR(_xlfn.XLOOKUP(A117,Aktiv!$A:$A,Aktiv!$G:$G,"–"),"")</f>
        <v>309</v>
      </c>
      <c r="G117" s="199">
        <f>IFERROR(_xlfn.XLOOKUP(A117,Aktiv!$A:$A,Aktiv!$H:$H,"–"),"")</f>
        <v>367</v>
      </c>
      <c r="H117" s="199">
        <f>IFERROR(_xlfn.XLOOKUP(A117,Aktiv!$A:$A,Aktiv!$I:$I,"–"),"")</f>
        <v>399</v>
      </c>
      <c r="I117" s="255" t="str">
        <f>IFERROR(_xlfn.XLOOKUP(A117,Aktiv!$A:$A,Aktiv!$J:$J,"–"),"")</f>
        <v>-</v>
      </c>
      <c r="J117" s="230">
        <f t="shared" si="7"/>
        <v>0.18770226537216828</v>
      </c>
      <c r="K117" s="241">
        <f t="shared" si="8"/>
        <v>0.29126213592233008</v>
      </c>
      <c r="L117" s="249" t="str">
        <f t="shared" si="9"/>
        <v>–</v>
      </c>
      <c r="M117" s="249">
        <f t="shared" si="10"/>
        <v>8.7193460490463212E-2</v>
      </c>
      <c r="N117" s="249" t="str">
        <f t="shared" si="11"/>
        <v>–</v>
      </c>
      <c r="O117" s="249" t="str">
        <f t="shared" si="12"/>
        <v>–</v>
      </c>
      <c r="P117" s="255">
        <f t="shared" si="13"/>
        <v>358</v>
      </c>
    </row>
    <row r="118" spans="1:16" x14ac:dyDescent="0.25">
      <c r="A118" s="193">
        <v>5303</v>
      </c>
      <c r="B118" s="190" t="str">
        <f>IFERROR(_xlfn.XLOOKUP(A118,Aktiv!$A:$A,Aktiv!$C:$C,"–"),"")</f>
        <v>Schublade</v>
      </c>
      <c r="C118" s="190" t="str">
        <f>IFERROR(_xlfn.XLOOKUP(A118,Aktiv!$A:$A,Aktiv!$D:$D,"–"),"")</f>
        <v>Schublade (580x360)</v>
      </c>
      <c r="D118" s="196">
        <f>IFERROR(_xlfn.XLOOKUP(A118,Aktiv!$A:$A,Aktiv!$E:$E,"–"),"")</f>
        <v>580</v>
      </c>
      <c r="E118" s="196">
        <f>IFERROR(_xlfn.XLOOKUP(A118,Aktiv!$A:$A,Aktiv!$F:$F,"–"),"")</f>
        <v>360</v>
      </c>
      <c r="F118" s="199">
        <f>IFERROR(_xlfn.XLOOKUP(A118,Aktiv!$A:$A,Aktiv!$G:$G,"–"),"")</f>
        <v>331</v>
      </c>
      <c r="G118" s="199">
        <f>IFERROR(_xlfn.XLOOKUP(A118,Aktiv!$A:$A,Aktiv!$H:$H,"–"),"")</f>
        <v>393</v>
      </c>
      <c r="H118" s="199">
        <f>IFERROR(_xlfn.XLOOKUP(A118,Aktiv!$A:$A,Aktiv!$I:$I,"–"),"")</f>
        <v>428</v>
      </c>
      <c r="I118" s="255" t="str">
        <f>IFERROR(_xlfn.XLOOKUP(A118,Aktiv!$A:$A,Aktiv!$J:$J,"–"),"")</f>
        <v>-</v>
      </c>
      <c r="J118" s="230">
        <f t="shared" si="7"/>
        <v>0.18731117824773413</v>
      </c>
      <c r="K118" s="241">
        <f t="shared" si="8"/>
        <v>0.29305135951661632</v>
      </c>
      <c r="L118" s="249" t="str">
        <f t="shared" si="9"/>
        <v>–</v>
      </c>
      <c r="M118" s="249">
        <f t="shared" si="10"/>
        <v>8.9058524173027995E-2</v>
      </c>
      <c r="N118" s="249" t="str">
        <f t="shared" si="11"/>
        <v>–</v>
      </c>
      <c r="O118" s="249" t="str">
        <f t="shared" si="12"/>
        <v>–</v>
      </c>
      <c r="P118" s="255">
        <f t="shared" si="13"/>
        <v>384</v>
      </c>
    </row>
    <row r="119" spans="1:16" x14ac:dyDescent="0.25">
      <c r="A119" s="193">
        <v>5304</v>
      </c>
      <c r="B119" s="190" t="str">
        <f>IFERROR(_xlfn.XLOOKUP(A119,Aktiv!$A:$A,Aktiv!$C:$C,"–"),"")</f>
        <v>Schublade</v>
      </c>
      <c r="C119" s="190" t="str">
        <f>IFERROR(_xlfn.XLOOKUP(A119,Aktiv!$A:$A,Aktiv!$D:$D,"–"),"")</f>
        <v>Schublade (780x180)</v>
      </c>
      <c r="D119" s="196">
        <f>IFERROR(_xlfn.XLOOKUP(A119,Aktiv!$A:$A,Aktiv!$E:$E,"–"),"")</f>
        <v>780</v>
      </c>
      <c r="E119" s="196">
        <f>IFERROR(_xlfn.XLOOKUP(A119,Aktiv!$A:$A,Aktiv!$F:$F,"–"),"")</f>
        <v>180</v>
      </c>
      <c r="F119" s="199">
        <f>IFERROR(_xlfn.XLOOKUP(A119,Aktiv!$A:$A,Aktiv!$G:$G,"–"),"")</f>
        <v>318</v>
      </c>
      <c r="G119" s="199">
        <f>IFERROR(_xlfn.XLOOKUP(A119,Aktiv!$A:$A,Aktiv!$H:$H,"–"),"")</f>
        <v>378</v>
      </c>
      <c r="H119" s="199">
        <f>IFERROR(_xlfn.XLOOKUP(A119,Aktiv!$A:$A,Aktiv!$I:$I,"–"),"")</f>
        <v>411</v>
      </c>
      <c r="I119" s="255" t="str">
        <f>IFERROR(_xlfn.XLOOKUP(A119,Aktiv!$A:$A,Aktiv!$J:$J,"–"),"")</f>
        <v>-</v>
      </c>
      <c r="J119" s="230">
        <f t="shared" si="7"/>
        <v>0.18867924528301888</v>
      </c>
      <c r="K119" s="241">
        <f t="shared" si="8"/>
        <v>0.29245283018867924</v>
      </c>
      <c r="L119" s="249" t="str">
        <f t="shared" si="9"/>
        <v>–</v>
      </c>
      <c r="M119" s="249">
        <f t="shared" si="10"/>
        <v>8.7301587301587297E-2</v>
      </c>
      <c r="N119" s="249" t="str">
        <f t="shared" si="11"/>
        <v>–</v>
      </c>
      <c r="O119" s="249" t="str">
        <f t="shared" si="12"/>
        <v>–</v>
      </c>
      <c r="P119" s="255">
        <f t="shared" si="13"/>
        <v>369</v>
      </c>
    </row>
    <row r="120" spans="1:16" x14ac:dyDescent="0.25">
      <c r="A120" s="193">
        <v>5305</v>
      </c>
      <c r="B120" s="190" t="str">
        <f>IFERROR(_xlfn.XLOOKUP(A120,Aktiv!$A:$A,Aktiv!$C:$C,"–"),"")</f>
        <v>Schublade</v>
      </c>
      <c r="C120" s="190" t="str">
        <f>IFERROR(_xlfn.XLOOKUP(A120,Aktiv!$A:$A,Aktiv!$D:$D,"–"),"")</f>
        <v>Schublade (780x360)</v>
      </c>
      <c r="D120" s="196">
        <f>IFERROR(_xlfn.XLOOKUP(A120,Aktiv!$A:$A,Aktiv!$E:$E,"–"),"")</f>
        <v>780</v>
      </c>
      <c r="E120" s="196">
        <f>IFERROR(_xlfn.XLOOKUP(A120,Aktiv!$A:$A,Aktiv!$F:$F,"–"),"")</f>
        <v>360</v>
      </c>
      <c r="F120" s="199">
        <f>IFERROR(_xlfn.XLOOKUP(A120,Aktiv!$A:$A,Aktiv!$G:$G,"–"),"")</f>
        <v>341</v>
      </c>
      <c r="G120" s="199">
        <f>IFERROR(_xlfn.XLOOKUP(A120,Aktiv!$A:$A,Aktiv!$H:$H,"–"),"")</f>
        <v>405</v>
      </c>
      <c r="H120" s="199">
        <f>IFERROR(_xlfn.XLOOKUP(A120,Aktiv!$A:$A,Aktiv!$I:$I,"–"),"")</f>
        <v>441</v>
      </c>
      <c r="I120" s="255" t="str">
        <f>IFERROR(_xlfn.XLOOKUP(A120,Aktiv!$A:$A,Aktiv!$J:$J,"–"),"")</f>
        <v>-</v>
      </c>
      <c r="J120" s="230">
        <f t="shared" si="7"/>
        <v>0.18768328445747801</v>
      </c>
      <c r="K120" s="241">
        <f t="shared" si="8"/>
        <v>0.2932551319648094</v>
      </c>
      <c r="L120" s="249" t="str">
        <f t="shared" si="9"/>
        <v>–</v>
      </c>
      <c r="M120" s="249">
        <f t="shared" si="10"/>
        <v>8.8888888888888892E-2</v>
      </c>
      <c r="N120" s="249" t="str">
        <f t="shared" si="11"/>
        <v>–</v>
      </c>
      <c r="O120" s="249" t="str">
        <f t="shared" si="12"/>
        <v>–</v>
      </c>
      <c r="P120" s="255">
        <f t="shared" si="13"/>
        <v>396</v>
      </c>
    </row>
    <row r="121" spans="1:16" x14ac:dyDescent="0.25">
      <c r="A121" s="193">
        <v>5306</v>
      </c>
      <c r="B121" s="190" t="str">
        <f>IFERROR(_xlfn.XLOOKUP(A121,Aktiv!$A:$A,Aktiv!$C:$C,"–"),"")</f>
        <v>Schublade</v>
      </c>
      <c r="C121" s="190" t="str">
        <f>IFERROR(_xlfn.XLOOKUP(A121,Aktiv!$A:$A,Aktiv!$D:$D,"–"),"")</f>
        <v>Schublade (980x180)</v>
      </c>
      <c r="D121" s="196">
        <f>IFERROR(_xlfn.XLOOKUP(A121,Aktiv!$A:$A,Aktiv!$E:$E,"–"),"")</f>
        <v>980</v>
      </c>
      <c r="E121" s="196">
        <f>IFERROR(_xlfn.XLOOKUP(A121,Aktiv!$A:$A,Aktiv!$F:$F,"–"),"")</f>
        <v>180</v>
      </c>
      <c r="F121" s="199">
        <f>IFERROR(_xlfn.XLOOKUP(A121,Aktiv!$A:$A,Aktiv!$G:$G,"–"),"")</f>
        <v>325</v>
      </c>
      <c r="G121" s="199">
        <f>IFERROR(_xlfn.XLOOKUP(A121,Aktiv!$A:$A,Aktiv!$H:$H,"–"),"")</f>
        <v>386</v>
      </c>
      <c r="H121" s="199">
        <f>IFERROR(_xlfn.XLOOKUP(A121,Aktiv!$A:$A,Aktiv!$I:$I,"–"),"")</f>
        <v>421</v>
      </c>
      <c r="I121" s="255" t="str">
        <f>IFERROR(_xlfn.XLOOKUP(A121,Aktiv!$A:$A,Aktiv!$J:$J,"–"),"")</f>
        <v>-</v>
      </c>
      <c r="J121" s="230">
        <f t="shared" si="7"/>
        <v>0.18769230769230769</v>
      </c>
      <c r="K121" s="241">
        <f t="shared" si="8"/>
        <v>0.29538461538461541</v>
      </c>
      <c r="L121" s="249" t="str">
        <f t="shared" si="9"/>
        <v>–</v>
      </c>
      <c r="M121" s="249">
        <f t="shared" si="10"/>
        <v>9.0673575129533682E-2</v>
      </c>
      <c r="N121" s="249" t="str">
        <f t="shared" si="11"/>
        <v>–</v>
      </c>
      <c r="O121" s="249" t="str">
        <f t="shared" si="12"/>
        <v>–</v>
      </c>
      <c r="P121" s="255">
        <f t="shared" si="13"/>
        <v>377</v>
      </c>
    </row>
    <row r="122" spans="1:16" x14ac:dyDescent="0.25">
      <c r="A122" s="193">
        <v>5307</v>
      </c>
      <c r="B122" s="190" t="str">
        <f>IFERROR(_xlfn.XLOOKUP(A122,Aktiv!$A:$A,Aktiv!$C:$C,"–"),"")</f>
        <v>Schublade</v>
      </c>
      <c r="C122" s="190" t="str">
        <f>IFERROR(_xlfn.XLOOKUP(A122,Aktiv!$A:$A,Aktiv!$D:$D,"–"),"")</f>
        <v>Schublade (980x360)</v>
      </c>
      <c r="D122" s="196">
        <f>IFERROR(_xlfn.XLOOKUP(A122,Aktiv!$A:$A,Aktiv!$E:$E,"–"),"")</f>
        <v>980</v>
      </c>
      <c r="E122" s="196">
        <f>IFERROR(_xlfn.XLOOKUP(A122,Aktiv!$A:$A,Aktiv!$F:$F,"–"),"")</f>
        <v>360</v>
      </c>
      <c r="F122" s="199">
        <f>IFERROR(_xlfn.XLOOKUP(A122,Aktiv!$A:$A,Aktiv!$G:$G,"–"),"")</f>
        <v>349</v>
      </c>
      <c r="G122" s="199">
        <f>IFERROR(_xlfn.XLOOKUP(A122,Aktiv!$A:$A,Aktiv!$H:$H,"–"),"")</f>
        <v>414</v>
      </c>
      <c r="H122" s="199">
        <f>IFERROR(_xlfn.XLOOKUP(A122,Aktiv!$A:$A,Aktiv!$I:$I,"–"),"")</f>
        <v>451</v>
      </c>
      <c r="I122" s="255" t="str">
        <f>IFERROR(_xlfn.XLOOKUP(A122,Aktiv!$A:$A,Aktiv!$J:$J,"–"),"")</f>
        <v>-</v>
      </c>
      <c r="J122" s="230">
        <f t="shared" si="7"/>
        <v>0.18624641833810887</v>
      </c>
      <c r="K122" s="241">
        <f t="shared" si="8"/>
        <v>0.29226361031518627</v>
      </c>
      <c r="L122" s="249" t="str">
        <f t="shared" si="9"/>
        <v>–</v>
      </c>
      <c r="M122" s="249">
        <f t="shared" si="10"/>
        <v>8.9371980676328497E-2</v>
      </c>
      <c r="N122" s="249" t="str">
        <f t="shared" si="11"/>
        <v>–</v>
      </c>
      <c r="O122" s="249" t="str">
        <f t="shared" si="12"/>
        <v>–</v>
      </c>
      <c r="P122" s="255">
        <f t="shared" si="13"/>
        <v>405</v>
      </c>
    </row>
    <row r="123" spans="1:16" x14ac:dyDescent="0.25">
      <c r="A123" s="193" t="s">
        <v>258</v>
      </c>
      <c r="B123" s="190" t="str">
        <f>IFERROR(_xlfn.XLOOKUP(A123,Aktiv!$A:$A,Aktiv!$C:$C,"–"),"")</f>
        <v>Schublade</v>
      </c>
      <c r="C123" s="190" t="str">
        <f>IFERROR(_xlfn.XLOOKUP(A123,Aktiv!$A:$A,Aktiv!$D:$D,"–"),"")</f>
        <v>Schublade (420x134)</v>
      </c>
      <c r="D123" s="196">
        <f>IFERROR(_xlfn.XLOOKUP(A123,Aktiv!$A:$A,Aktiv!$E:$E,"–"),"")</f>
        <v>420</v>
      </c>
      <c r="E123" s="196">
        <f>IFERROR(_xlfn.XLOOKUP(A123,Aktiv!$A:$A,Aktiv!$F:$F,"–"),"")</f>
        <v>134</v>
      </c>
      <c r="F123" s="199" t="str">
        <f>IFERROR(_xlfn.XLOOKUP(A123,Aktiv!$A:$A,Aktiv!$G:$G,"–"),"")</f>
        <v>-</v>
      </c>
      <c r="G123" s="199" t="str">
        <f>IFERROR(_xlfn.XLOOKUP(A123,Aktiv!$A:$A,Aktiv!$H:$H,"–"),"")</f>
        <v>-</v>
      </c>
      <c r="H123" s="199" t="str">
        <f>IFERROR(_xlfn.XLOOKUP(A123,Aktiv!$A:$A,Aktiv!$I:$I,"–"),"")</f>
        <v>-</v>
      </c>
      <c r="I123" s="255" t="str">
        <f>IFERROR(_xlfn.XLOOKUP(A123,Aktiv!$A:$A,Aktiv!$J:$J,"–"),"")</f>
        <v>-</v>
      </c>
      <c r="J123" s="230" t="str">
        <f t="shared" si="7"/>
        <v>–</v>
      </c>
      <c r="K123" s="241" t="str">
        <f t="shared" si="8"/>
        <v>–</v>
      </c>
      <c r="L123" s="249" t="str">
        <f t="shared" si="9"/>
        <v>–</v>
      </c>
      <c r="M123" s="249" t="str">
        <f t="shared" si="10"/>
        <v>–</v>
      </c>
      <c r="N123" s="249" t="str">
        <f t="shared" si="11"/>
        <v>–</v>
      </c>
      <c r="O123" s="249" t="str">
        <f t="shared" si="12"/>
        <v>–</v>
      </c>
      <c r="P123" s="255" t="str">
        <f t="shared" si="13"/>
        <v>–</v>
      </c>
    </row>
    <row r="124" spans="1:16" x14ac:dyDescent="0.25">
      <c r="A124" s="193" t="s">
        <v>260</v>
      </c>
      <c r="B124" s="190" t="str">
        <f>IFERROR(_xlfn.XLOOKUP(A124,Aktiv!$A:$A,Aktiv!$C:$C,"–"),"")</f>
        <v>Schublade</v>
      </c>
      <c r="C124" s="190" t="str">
        <f>IFERROR(_xlfn.XLOOKUP(A124,Aktiv!$A:$A,Aktiv!$D:$D,"–"),"")</f>
        <v>Schublade (420x220)</v>
      </c>
      <c r="D124" s="196">
        <f>IFERROR(_xlfn.XLOOKUP(A124,Aktiv!$A:$A,Aktiv!$E:$E,"–"),"")</f>
        <v>420</v>
      </c>
      <c r="E124" s="196">
        <f>IFERROR(_xlfn.XLOOKUP(A124,Aktiv!$A:$A,Aktiv!$F:$F,"–"),"")</f>
        <v>220</v>
      </c>
      <c r="F124" s="199" t="str">
        <f>IFERROR(_xlfn.XLOOKUP(A124,Aktiv!$A:$A,Aktiv!$G:$G,"–"),"")</f>
        <v>-</v>
      </c>
      <c r="G124" s="199" t="str">
        <f>IFERROR(_xlfn.XLOOKUP(A124,Aktiv!$A:$A,Aktiv!$H:$H,"–"),"")</f>
        <v>-</v>
      </c>
      <c r="H124" s="199" t="str">
        <f>IFERROR(_xlfn.XLOOKUP(A124,Aktiv!$A:$A,Aktiv!$I:$I,"–"),"")</f>
        <v>-</v>
      </c>
      <c r="I124" s="255" t="str">
        <f>IFERROR(_xlfn.XLOOKUP(A124,Aktiv!$A:$A,Aktiv!$J:$J,"–"),"")</f>
        <v>-</v>
      </c>
      <c r="J124" s="230" t="str">
        <f t="shared" si="7"/>
        <v>–</v>
      </c>
      <c r="K124" s="241" t="str">
        <f t="shared" si="8"/>
        <v>–</v>
      </c>
      <c r="L124" s="249" t="str">
        <f t="shared" si="9"/>
        <v>–</v>
      </c>
      <c r="M124" s="249" t="str">
        <f t="shared" si="10"/>
        <v>–</v>
      </c>
      <c r="N124" s="249" t="str">
        <f t="shared" si="11"/>
        <v>–</v>
      </c>
      <c r="O124" s="249" t="str">
        <f t="shared" si="12"/>
        <v>–</v>
      </c>
      <c r="P124" s="255" t="str">
        <f t="shared" si="13"/>
        <v>–</v>
      </c>
    </row>
    <row r="125" spans="1:16" x14ac:dyDescent="0.25">
      <c r="A125" s="193" t="s">
        <v>262</v>
      </c>
      <c r="B125" s="190" t="str">
        <f>IFERROR(_xlfn.XLOOKUP(A125,Aktiv!$A:$A,Aktiv!$C:$C,"–"),"")</f>
        <v>Schublade</v>
      </c>
      <c r="C125" s="190" t="str">
        <f>IFERROR(_xlfn.XLOOKUP(A125,Aktiv!$A:$A,Aktiv!$D:$D,"–"),"")</f>
        <v>Schublade (412x121)</v>
      </c>
      <c r="D125" s="196">
        <f>IFERROR(_xlfn.XLOOKUP(A125,Aktiv!$A:$A,Aktiv!$E:$E,"–"),"")</f>
        <v>412</v>
      </c>
      <c r="E125" s="196">
        <f>IFERROR(_xlfn.XLOOKUP(A125,Aktiv!$A:$A,Aktiv!$F:$F,"–"),"")</f>
        <v>121</v>
      </c>
      <c r="F125" s="199" t="str">
        <f>IFERROR(_xlfn.XLOOKUP(A125,Aktiv!$A:$A,Aktiv!$G:$G,"–"),"")</f>
        <v>-</v>
      </c>
      <c r="G125" s="199" t="str">
        <f>IFERROR(_xlfn.XLOOKUP(A125,Aktiv!$A:$A,Aktiv!$H:$H,"–"),"")</f>
        <v>-</v>
      </c>
      <c r="H125" s="199" t="str">
        <f>IFERROR(_xlfn.XLOOKUP(A125,Aktiv!$A:$A,Aktiv!$I:$I,"–"),"")</f>
        <v>-</v>
      </c>
      <c r="I125" s="255" t="str">
        <f>IFERROR(_xlfn.XLOOKUP(A125,Aktiv!$A:$A,Aktiv!$J:$J,"–"),"")</f>
        <v>-</v>
      </c>
      <c r="J125" s="230" t="str">
        <f t="shared" si="7"/>
        <v>–</v>
      </c>
      <c r="K125" s="241" t="str">
        <f t="shared" si="8"/>
        <v>–</v>
      </c>
      <c r="L125" s="249" t="str">
        <f t="shared" si="9"/>
        <v>–</v>
      </c>
      <c r="M125" s="249" t="str">
        <f t="shared" si="10"/>
        <v>–</v>
      </c>
      <c r="N125" s="249" t="str">
        <f t="shared" si="11"/>
        <v>–</v>
      </c>
      <c r="O125" s="249" t="str">
        <f t="shared" si="12"/>
        <v>–</v>
      </c>
      <c r="P125" s="255" t="str">
        <f t="shared" si="13"/>
        <v>–</v>
      </c>
    </row>
    <row r="126" spans="1:16" x14ac:dyDescent="0.25">
      <c r="A126" s="193" t="s">
        <v>264</v>
      </c>
      <c r="B126" s="190" t="str">
        <f>IFERROR(_xlfn.XLOOKUP(A126,Aktiv!$A:$A,Aktiv!$C:$C,"–"),"")</f>
        <v>Schublade</v>
      </c>
      <c r="C126" s="190" t="str">
        <f>IFERROR(_xlfn.XLOOKUP(A126,Aktiv!$A:$A,Aktiv!$D:$D,"–"),"")</f>
        <v>Schublade (412x400)</v>
      </c>
      <c r="D126" s="196">
        <f>IFERROR(_xlfn.XLOOKUP(A126,Aktiv!$A:$A,Aktiv!$E:$E,"–"),"")</f>
        <v>412</v>
      </c>
      <c r="E126" s="196">
        <f>IFERROR(_xlfn.XLOOKUP(A126,Aktiv!$A:$A,Aktiv!$F:$F,"–"),"")</f>
        <v>400</v>
      </c>
      <c r="F126" s="199" t="str">
        <f>IFERROR(_xlfn.XLOOKUP(A126,Aktiv!$A:$A,Aktiv!$G:$G,"–"),"")</f>
        <v>-</v>
      </c>
      <c r="G126" s="199" t="str">
        <f>IFERROR(_xlfn.XLOOKUP(A126,Aktiv!$A:$A,Aktiv!$H:$H,"–"),"")</f>
        <v>-</v>
      </c>
      <c r="H126" s="199" t="str">
        <f>IFERROR(_xlfn.XLOOKUP(A126,Aktiv!$A:$A,Aktiv!$I:$I,"–"),"")</f>
        <v>-</v>
      </c>
      <c r="I126" s="255" t="str">
        <f>IFERROR(_xlfn.XLOOKUP(A126,Aktiv!$A:$A,Aktiv!$J:$J,"–"),"")</f>
        <v>-</v>
      </c>
      <c r="J126" s="230" t="str">
        <f t="shared" si="7"/>
        <v>–</v>
      </c>
      <c r="K126" s="241" t="str">
        <f t="shared" si="8"/>
        <v>–</v>
      </c>
      <c r="L126" s="249" t="str">
        <f t="shared" si="9"/>
        <v>–</v>
      </c>
      <c r="M126" s="249" t="str">
        <f t="shared" si="10"/>
        <v>–</v>
      </c>
      <c r="N126" s="249" t="str">
        <f t="shared" si="11"/>
        <v>–</v>
      </c>
      <c r="O126" s="249" t="str">
        <f t="shared" si="12"/>
        <v>–</v>
      </c>
      <c r="P126" s="255" t="str">
        <f t="shared" si="13"/>
        <v>–</v>
      </c>
    </row>
    <row r="127" spans="1:16" x14ac:dyDescent="0.25">
      <c r="A127" s="193" t="s">
        <v>266</v>
      </c>
      <c r="B127" s="190" t="str">
        <f>IFERROR(_xlfn.XLOOKUP(A127,Aktiv!$A:$A,Aktiv!$C:$C,"–"),"")</f>
        <v>Schublade</v>
      </c>
      <c r="C127" s="190" t="str">
        <f>IFERROR(_xlfn.XLOOKUP(A127,Aktiv!$A:$A,Aktiv!$D:$D,"–"),"")</f>
        <v>Schublade (420x145)</v>
      </c>
      <c r="D127" s="196">
        <f>IFERROR(_xlfn.XLOOKUP(A127,Aktiv!$A:$A,Aktiv!$E:$E,"–"),"")</f>
        <v>420</v>
      </c>
      <c r="E127" s="196">
        <f>IFERROR(_xlfn.XLOOKUP(A127,Aktiv!$A:$A,Aktiv!$F:$F,"–"),"")</f>
        <v>145</v>
      </c>
      <c r="F127" s="199" t="str">
        <f>IFERROR(_xlfn.XLOOKUP(A127,Aktiv!$A:$A,Aktiv!$G:$G,"–"),"")</f>
        <v>-</v>
      </c>
      <c r="G127" s="199" t="str">
        <f>IFERROR(_xlfn.XLOOKUP(A127,Aktiv!$A:$A,Aktiv!$H:$H,"–"),"")</f>
        <v>-</v>
      </c>
      <c r="H127" s="199" t="str">
        <f>IFERROR(_xlfn.XLOOKUP(A127,Aktiv!$A:$A,Aktiv!$I:$I,"–"),"")</f>
        <v>-</v>
      </c>
      <c r="I127" s="255" t="str">
        <f>IFERROR(_xlfn.XLOOKUP(A127,Aktiv!$A:$A,Aktiv!$J:$J,"–"),"")</f>
        <v>-</v>
      </c>
      <c r="J127" s="230" t="str">
        <f t="shared" si="7"/>
        <v>–</v>
      </c>
      <c r="K127" s="241" t="str">
        <f t="shared" si="8"/>
        <v>–</v>
      </c>
      <c r="L127" s="249" t="str">
        <f t="shared" si="9"/>
        <v>–</v>
      </c>
      <c r="M127" s="249" t="str">
        <f t="shared" si="10"/>
        <v>–</v>
      </c>
      <c r="N127" s="249" t="str">
        <f t="shared" si="11"/>
        <v>–</v>
      </c>
      <c r="O127" s="249" t="str">
        <f t="shared" si="12"/>
        <v>–</v>
      </c>
      <c r="P127" s="255" t="str">
        <f t="shared" si="13"/>
        <v>–</v>
      </c>
    </row>
    <row r="128" spans="1:16" x14ac:dyDescent="0.25">
      <c r="A128" s="193" t="s">
        <v>268</v>
      </c>
      <c r="B128" s="190" t="str">
        <f>IFERROR(_xlfn.XLOOKUP(A128,Aktiv!$A:$A,Aktiv!$C:$C,"–"),"")</f>
        <v>Schublade</v>
      </c>
      <c r="C128" s="190" t="str">
        <f>IFERROR(_xlfn.XLOOKUP(A128,Aktiv!$A:$A,Aktiv!$D:$D,"–"),"")</f>
        <v>Schublade (420x293)</v>
      </c>
      <c r="D128" s="196">
        <f>IFERROR(_xlfn.XLOOKUP(A128,Aktiv!$A:$A,Aktiv!$E:$E,"–"),"")</f>
        <v>420</v>
      </c>
      <c r="E128" s="196">
        <f>IFERROR(_xlfn.XLOOKUP(A128,Aktiv!$A:$A,Aktiv!$F:$F,"–"),"")</f>
        <v>293</v>
      </c>
      <c r="F128" s="199" t="str">
        <f>IFERROR(_xlfn.XLOOKUP(A128,Aktiv!$A:$A,Aktiv!$G:$G,"–"),"")</f>
        <v>-</v>
      </c>
      <c r="G128" s="199" t="str">
        <f>IFERROR(_xlfn.XLOOKUP(A128,Aktiv!$A:$A,Aktiv!$H:$H,"–"),"")</f>
        <v>-</v>
      </c>
      <c r="H128" s="199" t="str">
        <f>IFERROR(_xlfn.XLOOKUP(A128,Aktiv!$A:$A,Aktiv!$I:$I,"–"),"")</f>
        <v>-</v>
      </c>
      <c r="I128" s="255" t="str">
        <f>IFERROR(_xlfn.XLOOKUP(A128,Aktiv!$A:$A,Aktiv!$J:$J,"–"),"")</f>
        <v>-</v>
      </c>
      <c r="J128" s="230" t="str">
        <f t="shared" si="7"/>
        <v>–</v>
      </c>
      <c r="K128" s="241" t="str">
        <f t="shared" si="8"/>
        <v>–</v>
      </c>
      <c r="L128" s="249" t="str">
        <f t="shared" si="9"/>
        <v>–</v>
      </c>
      <c r="M128" s="249" t="str">
        <f t="shared" si="10"/>
        <v>–</v>
      </c>
      <c r="N128" s="249" t="str">
        <f t="shared" si="11"/>
        <v>–</v>
      </c>
      <c r="O128" s="249" t="str">
        <f t="shared" si="12"/>
        <v>–</v>
      </c>
      <c r="P128" s="255" t="str">
        <f t="shared" si="13"/>
        <v>–</v>
      </c>
    </row>
    <row r="129" spans="1:16" x14ac:dyDescent="0.25">
      <c r="A129" s="193" t="s">
        <v>270</v>
      </c>
      <c r="B129" s="190" t="str">
        <f>IFERROR(_xlfn.XLOOKUP(A129,Aktiv!$A:$A,Aktiv!$C:$C,"–"),"")</f>
        <v>Schublade</v>
      </c>
      <c r="C129" s="190" t="str">
        <f>IFERROR(_xlfn.XLOOKUP(A129,Aktiv!$A:$A,Aktiv!$D:$D,"–"),"")</f>
        <v>Schublade (420x67)</v>
      </c>
      <c r="D129" s="196">
        <f>IFERROR(_xlfn.XLOOKUP(A129,Aktiv!$A:$A,Aktiv!$E:$E,"–"),"")</f>
        <v>420</v>
      </c>
      <c r="E129" s="196">
        <f>IFERROR(_xlfn.XLOOKUP(A129,Aktiv!$A:$A,Aktiv!$F:$F,"–"),"")</f>
        <v>67</v>
      </c>
      <c r="F129" s="199" t="str">
        <f>IFERROR(_xlfn.XLOOKUP(A129,Aktiv!$A:$A,Aktiv!$G:$G,"–"),"")</f>
        <v>-</v>
      </c>
      <c r="G129" s="199" t="str">
        <f>IFERROR(_xlfn.XLOOKUP(A129,Aktiv!$A:$A,Aktiv!$H:$H,"–"),"")</f>
        <v>-</v>
      </c>
      <c r="H129" s="199" t="str">
        <f>IFERROR(_xlfn.XLOOKUP(A129,Aktiv!$A:$A,Aktiv!$I:$I,"–"),"")</f>
        <v>-</v>
      </c>
      <c r="I129" s="255" t="str">
        <f>IFERROR(_xlfn.XLOOKUP(A129,Aktiv!$A:$A,Aktiv!$J:$J,"–"),"")</f>
        <v>-</v>
      </c>
      <c r="J129" s="230" t="str">
        <f t="shared" si="7"/>
        <v>–</v>
      </c>
      <c r="K129" s="241" t="str">
        <f t="shared" si="8"/>
        <v>–</v>
      </c>
      <c r="L129" s="249" t="str">
        <f t="shared" si="9"/>
        <v>–</v>
      </c>
      <c r="M129" s="249" t="str">
        <f t="shared" si="10"/>
        <v>–</v>
      </c>
      <c r="N129" s="249" t="str">
        <f t="shared" si="11"/>
        <v>–</v>
      </c>
      <c r="O129" s="249" t="str">
        <f t="shared" si="12"/>
        <v>–</v>
      </c>
      <c r="P129" s="255" t="str">
        <f t="shared" si="13"/>
        <v>–</v>
      </c>
    </row>
    <row r="130" spans="1:16" x14ac:dyDescent="0.25">
      <c r="A130" s="193" t="s">
        <v>272</v>
      </c>
      <c r="B130" s="190" t="str">
        <f>IFERROR(_xlfn.XLOOKUP(A130,Aktiv!$A:$A,Aktiv!$C:$C,"–"),"")</f>
        <v>Schublade</v>
      </c>
      <c r="C130" s="190" t="str">
        <f>IFERROR(_xlfn.XLOOKUP(A130,Aktiv!$A:$A,Aktiv!$D:$D,"–"),"")</f>
        <v>Schublade (420x142)</v>
      </c>
      <c r="D130" s="196">
        <f>IFERROR(_xlfn.XLOOKUP(A130,Aktiv!$A:$A,Aktiv!$E:$E,"–"),"")</f>
        <v>420</v>
      </c>
      <c r="E130" s="196">
        <f>IFERROR(_xlfn.XLOOKUP(A130,Aktiv!$A:$A,Aktiv!$F:$F,"–"),"")</f>
        <v>142</v>
      </c>
      <c r="F130" s="199" t="str">
        <f>IFERROR(_xlfn.XLOOKUP(A130,Aktiv!$A:$A,Aktiv!$G:$G,"–"),"")</f>
        <v>-</v>
      </c>
      <c r="G130" s="199" t="str">
        <f>IFERROR(_xlfn.XLOOKUP(A130,Aktiv!$A:$A,Aktiv!$H:$H,"–"),"")</f>
        <v>-</v>
      </c>
      <c r="H130" s="199" t="str">
        <f>IFERROR(_xlfn.XLOOKUP(A130,Aktiv!$A:$A,Aktiv!$I:$I,"–"),"")</f>
        <v>-</v>
      </c>
      <c r="I130" s="255" t="str">
        <f>IFERROR(_xlfn.XLOOKUP(A130,Aktiv!$A:$A,Aktiv!$J:$J,"–"),"")</f>
        <v>-</v>
      </c>
      <c r="J130" s="230" t="str">
        <f t="shared" si="7"/>
        <v>–</v>
      </c>
      <c r="K130" s="241" t="str">
        <f t="shared" si="8"/>
        <v>–</v>
      </c>
      <c r="L130" s="249" t="str">
        <f t="shared" si="9"/>
        <v>–</v>
      </c>
      <c r="M130" s="249" t="str">
        <f t="shared" si="10"/>
        <v>–</v>
      </c>
      <c r="N130" s="249" t="str">
        <f t="shared" si="11"/>
        <v>–</v>
      </c>
      <c r="O130" s="249" t="str">
        <f t="shared" si="12"/>
        <v>–</v>
      </c>
      <c r="P130" s="255" t="str">
        <f t="shared" si="13"/>
        <v>–</v>
      </c>
    </row>
    <row r="131" spans="1:16" x14ac:dyDescent="0.25">
      <c r="A131" s="193" t="s">
        <v>274</v>
      </c>
      <c r="B131" s="190" t="str">
        <f>IFERROR(_xlfn.XLOOKUP(A131,Aktiv!$A:$A,Aktiv!$C:$C,"–"),"")</f>
        <v>Schublade</v>
      </c>
      <c r="C131" s="190" t="str">
        <f>IFERROR(_xlfn.XLOOKUP(A131,Aktiv!$A:$A,Aktiv!$D:$D,"–"),"")</f>
        <v>Schublade (420x280)</v>
      </c>
      <c r="D131" s="196">
        <f>IFERROR(_xlfn.XLOOKUP(A131,Aktiv!$A:$A,Aktiv!$E:$E,"–"),"")</f>
        <v>420</v>
      </c>
      <c r="E131" s="196">
        <f>IFERROR(_xlfn.XLOOKUP(A131,Aktiv!$A:$A,Aktiv!$F:$F,"–"),"")</f>
        <v>280</v>
      </c>
      <c r="F131" s="199" t="str">
        <f>IFERROR(_xlfn.XLOOKUP(A131,Aktiv!$A:$A,Aktiv!$G:$G,"–"),"")</f>
        <v>-</v>
      </c>
      <c r="G131" s="199" t="str">
        <f>IFERROR(_xlfn.XLOOKUP(A131,Aktiv!$A:$A,Aktiv!$H:$H,"–"),"")</f>
        <v>-</v>
      </c>
      <c r="H131" s="199" t="str">
        <f>IFERROR(_xlfn.XLOOKUP(A131,Aktiv!$A:$A,Aktiv!$I:$I,"–"),"")</f>
        <v>-</v>
      </c>
      <c r="I131" s="255" t="str">
        <f>IFERROR(_xlfn.XLOOKUP(A131,Aktiv!$A:$A,Aktiv!$J:$J,"–"),"")</f>
        <v>-</v>
      </c>
      <c r="J131" s="230" t="str">
        <f t="shared" si="7"/>
        <v>–</v>
      </c>
      <c r="K131" s="241" t="str">
        <f t="shared" si="8"/>
        <v>–</v>
      </c>
      <c r="L131" s="249" t="str">
        <f t="shared" si="9"/>
        <v>–</v>
      </c>
      <c r="M131" s="249" t="str">
        <f t="shared" si="10"/>
        <v>–</v>
      </c>
      <c r="N131" s="249" t="str">
        <f t="shared" si="11"/>
        <v>–</v>
      </c>
      <c r="O131" s="249" t="str">
        <f t="shared" si="12"/>
        <v>–</v>
      </c>
      <c r="P131" s="255" t="str">
        <f t="shared" si="13"/>
        <v>–</v>
      </c>
    </row>
    <row r="132" spans="1:16" x14ac:dyDescent="0.25">
      <c r="A132" s="193" t="s">
        <v>276</v>
      </c>
      <c r="B132" s="190" t="str">
        <f>IFERROR(_xlfn.XLOOKUP(A132,Aktiv!$A:$A,Aktiv!$C:$C,"–"),"")</f>
        <v>Schublade</v>
      </c>
      <c r="C132" s="190" t="str">
        <f>IFERROR(_xlfn.XLOOKUP(A132,Aktiv!$A:$A,Aktiv!$D:$D,"–"),"")</f>
        <v>Schublade (420x141)</v>
      </c>
      <c r="D132" s="196">
        <f>IFERROR(_xlfn.XLOOKUP(A132,Aktiv!$A:$A,Aktiv!$E:$E,"–"),"")</f>
        <v>420</v>
      </c>
      <c r="E132" s="196">
        <f>IFERROR(_xlfn.XLOOKUP(A132,Aktiv!$A:$A,Aktiv!$F:$F,"–"),"")</f>
        <v>141</v>
      </c>
      <c r="F132" s="199" t="str">
        <f>IFERROR(_xlfn.XLOOKUP(A132,Aktiv!$A:$A,Aktiv!$G:$G,"–"),"")</f>
        <v>-</v>
      </c>
      <c r="G132" s="199" t="str">
        <f>IFERROR(_xlfn.XLOOKUP(A132,Aktiv!$A:$A,Aktiv!$H:$H,"–"),"")</f>
        <v>-</v>
      </c>
      <c r="H132" s="199" t="str">
        <f>IFERROR(_xlfn.XLOOKUP(A132,Aktiv!$A:$A,Aktiv!$I:$I,"–"),"")</f>
        <v>-</v>
      </c>
      <c r="I132" s="255" t="str">
        <f>IFERROR(_xlfn.XLOOKUP(A132,Aktiv!$A:$A,Aktiv!$J:$J,"–"),"")</f>
        <v>-</v>
      </c>
      <c r="J132" s="230" t="str">
        <f t="shared" si="7"/>
        <v>–</v>
      </c>
      <c r="K132" s="241" t="str">
        <f t="shared" si="8"/>
        <v>–</v>
      </c>
      <c r="L132" s="249" t="str">
        <f t="shared" si="9"/>
        <v>–</v>
      </c>
      <c r="M132" s="249" t="str">
        <f t="shared" si="10"/>
        <v>–</v>
      </c>
      <c r="N132" s="249" t="str">
        <f t="shared" si="11"/>
        <v>–</v>
      </c>
      <c r="O132" s="249" t="str">
        <f t="shared" si="12"/>
        <v>–</v>
      </c>
      <c r="P132" s="255" t="str">
        <f t="shared" si="13"/>
        <v>–</v>
      </c>
    </row>
    <row r="133" spans="1:16" x14ac:dyDescent="0.25">
      <c r="A133" s="193" t="s">
        <v>255</v>
      </c>
      <c r="B133" s="190" t="str">
        <f>IFERROR(_xlfn.XLOOKUP(A133,Aktiv!$A:$A,Aktiv!$C:$C,"–"),"")</f>
        <v>Schublade</v>
      </c>
      <c r="C133" s="190" t="str">
        <f>IFERROR(_xlfn.XLOOKUP(A133,Aktiv!$A:$A,Aktiv!$D:$D,"–"),"")</f>
        <v>Schublade (780x180)</v>
      </c>
      <c r="D133" s="196">
        <f>IFERROR(_xlfn.XLOOKUP(A133,Aktiv!$A:$A,Aktiv!$E:$E,"–"),"")</f>
        <v>780</v>
      </c>
      <c r="E133" s="196">
        <f>IFERROR(_xlfn.XLOOKUP(A133,Aktiv!$A:$A,Aktiv!$F:$F,"–"),"")</f>
        <v>180</v>
      </c>
      <c r="F133" s="199">
        <f>IFERROR(_xlfn.XLOOKUP(A133,Aktiv!$A:$A,Aktiv!$G:$G,"–"),"")</f>
        <v>318</v>
      </c>
      <c r="G133" s="199">
        <f>IFERROR(_xlfn.XLOOKUP(A133,Aktiv!$A:$A,Aktiv!$H:$H,"–"),"")</f>
        <v>378</v>
      </c>
      <c r="H133" s="199">
        <f>IFERROR(_xlfn.XLOOKUP(A133,Aktiv!$A:$A,Aktiv!$I:$I,"–"),"")</f>
        <v>411</v>
      </c>
      <c r="I133" s="255" t="str">
        <f>IFERROR(_xlfn.XLOOKUP(A133,Aktiv!$A:$A,Aktiv!$J:$J,"–"),"")</f>
        <v>-</v>
      </c>
      <c r="J133" s="230">
        <f t="shared" ref="J133:J196" si="14">IFERROR(IF(OR(F133=0,G133=0,F133="",G133=""),"-",(G133-F133)/F133),"–")</f>
        <v>0.18867924528301888</v>
      </c>
      <c r="K133" s="241">
        <f t="shared" ref="K133:K196" si="15">IFERROR(IF(OR(F133=0,H133=0,F133="",H133=""),"-",(H133-F133)/F133),"–")</f>
        <v>0.29245283018867924</v>
      </c>
      <c r="L133" s="249" t="str">
        <f t="shared" ref="L133:L196" si="16">IFERROR(IF(OR(F133=0,I133=0,F133="",I133=""),"-",(I133-F133)/F133),"–")</f>
        <v>–</v>
      </c>
      <c r="M133" s="249">
        <f t="shared" ref="M133:M196" si="17">IFERROR(IF(OR(G133=0,H133=0,G133="",H133=""),"-",(H133-G133)/G133),"–")</f>
        <v>8.7301587301587297E-2</v>
      </c>
      <c r="N133" s="249" t="str">
        <f t="shared" ref="N133:N196" si="18">IFERROR(IF(OR(G133=0,I133=0,G133="",I133=""),"-",(I133-G133)/G133),"–")</f>
        <v>–</v>
      </c>
      <c r="O133" s="249" t="str">
        <f t="shared" ref="O133:O196" si="19">IFERROR(IF(OR(H133=0,I133=0,H133="",I133=""),"-",(I133-H133)/H133),"–")</f>
        <v>–</v>
      </c>
      <c r="P133" s="255">
        <f t="shared" ref="P133:P196" si="20">IFERROR(ROUND(AVERAGEIF(F133:I133,"&lt;&gt;0"),0),"–")</f>
        <v>369</v>
      </c>
    </row>
    <row r="134" spans="1:16" x14ac:dyDescent="0.25">
      <c r="A134" s="202">
        <v>5400</v>
      </c>
      <c r="B134" s="203" t="str">
        <f>IFERROR(_xlfn.XLOOKUP(A134,Aktiv!$A:$A,Aktiv!$C:$C,"–"),"")</f>
        <v>Schublade LB 1</v>
      </c>
      <c r="C134" s="203" t="str">
        <f>IFERROR(_xlfn.XLOOKUP(A134,Aktiv!$A:$A,Aktiv!$D:$D,"–"),"")</f>
        <v>Schublade LB 1 (420x180)</v>
      </c>
      <c r="D134" s="204">
        <f>IFERROR(_xlfn.XLOOKUP(A134,Aktiv!$A:$A,Aktiv!$E:$E,"–"),"")</f>
        <v>420</v>
      </c>
      <c r="E134" s="204">
        <f>IFERROR(_xlfn.XLOOKUP(A134,Aktiv!$A:$A,Aktiv!$F:$F,"–"),"")</f>
        <v>180</v>
      </c>
      <c r="F134" s="205">
        <f>IFERROR(_xlfn.XLOOKUP(A134,Aktiv!$A:$A,Aktiv!$G:$G,"–"),"")</f>
        <v>299</v>
      </c>
      <c r="G134" s="205">
        <f>IFERROR(_xlfn.XLOOKUP(A134,Aktiv!$A:$A,Aktiv!$H:$H,"–"),"")</f>
        <v>355</v>
      </c>
      <c r="H134" s="205">
        <f>IFERROR(_xlfn.XLOOKUP(A134,Aktiv!$A:$A,Aktiv!$I:$I,"–"),"")</f>
        <v>386</v>
      </c>
      <c r="I134" s="252" t="str">
        <f>IFERROR(_xlfn.XLOOKUP(A134,Aktiv!$A:$A,Aktiv!$J:$J,"–"),"")</f>
        <v>-</v>
      </c>
      <c r="J134" s="232">
        <f t="shared" si="14"/>
        <v>0.18729096989966554</v>
      </c>
      <c r="K134" s="243">
        <f t="shared" si="15"/>
        <v>0.29096989966555181</v>
      </c>
      <c r="L134" s="246" t="str">
        <f t="shared" si="16"/>
        <v>–</v>
      </c>
      <c r="M134" s="246">
        <f t="shared" si="17"/>
        <v>8.7323943661971826E-2</v>
      </c>
      <c r="N134" s="246" t="str">
        <f t="shared" si="18"/>
        <v>–</v>
      </c>
      <c r="O134" s="246" t="str">
        <f t="shared" si="19"/>
        <v>–</v>
      </c>
      <c r="P134" s="252">
        <f t="shared" si="20"/>
        <v>347</v>
      </c>
    </row>
    <row r="135" spans="1:16" x14ac:dyDescent="0.25">
      <c r="A135" s="192">
        <v>5401</v>
      </c>
      <c r="B135" s="189" t="str">
        <f>IFERROR(_xlfn.XLOOKUP(A135,Aktiv!$A:$A,Aktiv!$C:$C,"–"),"")</f>
        <v>Schublade LB 1</v>
      </c>
      <c r="C135" s="189" t="str">
        <f>IFERROR(_xlfn.XLOOKUP(A135,Aktiv!$A:$A,Aktiv!$D:$D,"–"),"")</f>
        <v>Schublade LB 1 (420x360)</v>
      </c>
      <c r="D135" s="195">
        <f>IFERROR(_xlfn.XLOOKUP(A135,Aktiv!$A:$A,Aktiv!$E:$E,"–"),"")</f>
        <v>420</v>
      </c>
      <c r="E135" s="195">
        <f>IFERROR(_xlfn.XLOOKUP(A135,Aktiv!$A:$A,Aktiv!$F:$F,"–"),"")</f>
        <v>360</v>
      </c>
      <c r="F135" s="198">
        <f>IFERROR(_xlfn.XLOOKUP(A135,Aktiv!$A:$A,Aktiv!$G:$G,"–"),"")</f>
        <v>320</v>
      </c>
      <c r="G135" s="198">
        <f>IFERROR(_xlfn.XLOOKUP(A135,Aktiv!$A:$A,Aktiv!$H:$H,"–"),"")</f>
        <v>381</v>
      </c>
      <c r="H135" s="198">
        <f>IFERROR(_xlfn.XLOOKUP(A135,Aktiv!$A:$A,Aktiv!$I:$I,"–"),"")</f>
        <v>414</v>
      </c>
      <c r="I135" s="253" t="str">
        <f>IFERROR(_xlfn.XLOOKUP(A135,Aktiv!$A:$A,Aktiv!$J:$J,"–"),"")</f>
        <v>-</v>
      </c>
      <c r="J135" s="228">
        <f t="shared" si="14"/>
        <v>0.19062499999999999</v>
      </c>
      <c r="K135" s="237">
        <f t="shared" si="15"/>
        <v>0.29375000000000001</v>
      </c>
      <c r="L135" s="247" t="str">
        <f t="shared" si="16"/>
        <v>–</v>
      </c>
      <c r="M135" s="247">
        <f t="shared" si="17"/>
        <v>8.6614173228346455E-2</v>
      </c>
      <c r="N135" s="247" t="str">
        <f t="shared" si="18"/>
        <v>–</v>
      </c>
      <c r="O135" s="247" t="str">
        <f t="shared" si="19"/>
        <v>–</v>
      </c>
      <c r="P135" s="253">
        <f t="shared" si="20"/>
        <v>372</v>
      </c>
    </row>
    <row r="136" spans="1:16" x14ac:dyDescent="0.25">
      <c r="A136" s="192">
        <v>5402</v>
      </c>
      <c r="B136" s="189" t="str">
        <f>IFERROR(_xlfn.XLOOKUP(A136,Aktiv!$A:$A,Aktiv!$C:$C,"–"),"")</f>
        <v>Schublade LB 1</v>
      </c>
      <c r="C136" s="189" t="str">
        <f>IFERROR(_xlfn.XLOOKUP(A136,Aktiv!$A:$A,Aktiv!$D:$D,"–"),"")</f>
        <v>Schublade LB 1 (580x180)</v>
      </c>
      <c r="D136" s="195">
        <f>IFERROR(_xlfn.XLOOKUP(A136,Aktiv!$A:$A,Aktiv!$E:$E,"–"),"")</f>
        <v>580</v>
      </c>
      <c r="E136" s="195">
        <f>IFERROR(_xlfn.XLOOKUP(A136,Aktiv!$A:$A,Aktiv!$F:$F,"–"),"")</f>
        <v>180</v>
      </c>
      <c r="F136" s="198">
        <f>IFERROR(_xlfn.XLOOKUP(A136,Aktiv!$A:$A,Aktiv!$G:$G,"–"),"")</f>
        <v>309</v>
      </c>
      <c r="G136" s="198">
        <f>IFERROR(_xlfn.XLOOKUP(A136,Aktiv!$A:$A,Aktiv!$H:$H,"–"),"")</f>
        <v>367</v>
      </c>
      <c r="H136" s="198">
        <f>IFERROR(_xlfn.XLOOKUP(A136,Aktiv!$A:$A,Aktiv!$I:$I,"–"),"")</f>
        <v>399</v>
      </c>
      <c r="I136" s="253" t="str">
        <f>IFERROR(_xlfn.XLOOKUP(A136,Aktiv!$A:$A,Aktiv!$J:$J,"–"),"")</f>
        <v>-</v>
      </c>
      <c r="J136" s="228">
        <f t="shared" si="14"/>
        <v>0.18770226537216828</v>
      </c>
      <c r="K136" s="237">
        <f t="shared" si="15"/>
        <v>0.29126213592233008</v>
      </c>
      <c r="L136" s="247" t="str">
        <f t="shared" si="16"/>
        <v>–</v>
      </c>
      <c r="M136" s="247">
        <f t="shared" si="17"/>
        <v>8.7193460490463212E-2</v>
      </c>
      <c r="N136" s="247" t="str">
        <f t="shared" si="18"/>
        <v>–</v>
      </c>
      <c r="O136" s="247" t="str">
        <f t="shared" si="19"/>
        <v>–</v>
      </c>
      <c r="P136" s="253">
        <f t="shared" si="20"/>
        <v>358</v>
      </c>
    </row>
    <row r="137" spans="1:16" x14ac:dyDescent="0.25">
      <c r="A137" s="192">
        <v>5403</v>
      </c>
      <c r="B137" s="189" t="str">
        <f>IFERROR(_xlfn.XLOOKUP(A137,Aktiv!$A:$A,Aktiv!$C:$C,"–"),"")</f>
        <v>Schublade LB 1</v>
      </c>
      <c r="C137" s="189" t="str">
        <f>IFERROR(_xlfn.XLOOKUP(A137,Aktiv!$A:$A,Aktiv!$D:$D,"–"),"")</f>
        <v>Schublade LB 1 (580x360)</v>
      </c>
      <c r="D137" s="195">
        <f>IFERROR(_xlfn.XLOOKUP(A137,Aktiv!$A:$A,Aktiv!$E:$E,"–"),"")</f>
        <v>580</v>
      </c>
      <c r="E137" s="195">
        <f>IFERROR(_xlfn.XLOOKUP(A137,Aktiv!$A:$A,Aktiv!$F:$F,"–"),"")</f>
        <v>360</v>
      </c>
      <c r="F137" s="198">
        <f>IFERROR(_xlfn.XLOOKUP(A137,Aktiv!$A:$A,Aktiv!$G:$G,"–"),"")</f>
        <v>331</v>
      </c>
      <c r="G137" s="198">
        <f>IFERROR(_xlfn.XLOOKUP(A137,Aktiv!$A:$A,Aktiv!$H:$H,"–"),"")</f>
        <v>393</v>
      </c>
      <c r="H137" s="198">
        <f>IFERROR(_xlfn.XLOOKUP(A137,Aktiv!$A:$A,Aktiv!$I:$I,"–"),"")</f>
        <v>428</v>
      </c>
      <c r="I137" s="253" t="str">
        <f>IFERROR(_xlfn.XLOOKUP(A137,Aktiv!$A:$A,Aktiv!$J:$J,"–"),"")</f>
        <v>-</v>
      </c>
      <c r="J137" s="228">
        <f t="shared" si="14"/>
        <v>0.18731117824773413</v>
      </c>
      <c r="K137" s="237">
        <f t="shared" si="15"/>
        <v>0.29305135951661632</v>
      </c>
      <c r="L137" s="247" t="str">
        <f t="shared" si="16"/>
        <v>–</v>
      </c>
      <c r="M137" s="247">
        <f t="shared" si="17"/>
        <v>8.9058524173027995E-2</v>
      </c>
      <c r="N137" s="247" t="str">
        <f t="shared" si="18"/>
        <v>–</v>
      </c>
      <c r="O137" s="247" t="str">
        <f t="shared" si="19"/>
        <v>–</v>
      </c>
      <c r="P137" s="253">
        <f t="shared" si="20"/>
        <v>384</v>
      </c>
    </row>
    <row r="138" spans="1:16" x14ac:dyDescent="0.25">
      <c r="A138" s="192">
        <v>5404</v>
      </c>
      <c r="B138" s="189" t="str">
        <f>IFERROR(_xlfn.XLOOKUP(A138,Aktiv!$A:$A,Aktiv!$C:$C,"–"),"")</f>
        <v>Schublade LB 1</v>
      </c>
      <c r="C138" s="189" t="str">
        <f>IFERROR(_xlfn.XLOOKUP(A138,Aktiv!$A:$A,Aktiv!$D:$D,"–"),"")</f>
        <v>Schublade LB 1 (780x180)</v>
      </c>
      <c r="D138" s="195">
        <f>IFERROR(_xlfn.XLOOKUP(A138,Aktiv!$A:$A,Aktiv!$E:$E,"–"),"")</f>
        <v>780</v>
      </c>
      <c r="E138" s="195">
        <f>IFERROR(_xlfn.XLOOKUP(A138,Aktiv!$A:$A,Aktiv!$F:$F,"–"),"")</f>
        <v>180</v>
      </c>
      <c r="F138" s="198">
        <f>IFERROR(_xlfn.XLOOKUP(A138,Aktiv!$A:$A,Aktiv!$G:$G,"–"),"")</f>
        <v>318</v>
      </c>
      <c r="G138" s="198">
        <f>IFERROR(_xlfn.XLOOKUP(A138,Aktiv!$A:$A,Aktiv!$H:$H,"–"),"")</f>
        <v>378</v>
      </c>
      <c r="H138" s="198">
        <f>IFERROR(_xlfn.XLOOKUP(A138,Aktiv!$A:$A,Aktiv!$I:$I,"–"),"")</f>
        <v>411</v>
      </c>
      <c r="I138" s="253" t="str">
        <f>IFERROR(_xlfn.XLOOKUP(A138,Aktiv!$A:$A,Aktiv!$J:$J,"–"),"")</f>
        <v>-</v>
      </c>
      <c r="J138" s="228">
        <f t="shared" si="14"/>
        <v>0.18867924528301888</v>
      </c>
      <c r="K138" s="237">
        <f t="shared" si="15"/>
        <v>0.29245283018867924</v>
      </c>
      <c r="L138" s="247" t="str">
        <f t="shared" si="16"/>
        <v>–</v>
      </c>
      <c r="M138" s="247">
        <f t="shared" si="17"/>
        <v>8.7301587301587297E-2</v>
      </c>
      <c r="N138" s="247" t="str">
        <f t="shared" si="18"/>
        <v>–</v>
      </c>
      <c r="O138" s="247" t="str">
        <f t="shared" si="19"/>
        <v>–</v>
      </c>
      <c r="P138" s="253">
        <f t="shared" si="20"/>
        <v>369</v>
      </c>
    </row>
    <row r="139" spans="1:16" x14ac:dyDescent="0.25">
      <c r="A139" s="192">
        <v>5405</v>
      </c>
      <c r="B139" s="189" t="str">
        <f>IFERROR(_xlfn.XLOOKUP(A139,Aktiv!$A:$A,Aktiv!$C:$C,"–"),"")</f>
        <v>Schublade LB 1</v>
      </c>
      <c r="C139" s="189" t="str">
        <f>IFERROR(_xlfn.XLOOKUP(A139,Aktiv!$A:$A,Aktiv!$D:$D,"–"),"")</f>
        <v>Schublade LB 1 (780x360)</v>
      </c>
      <c r="D139" s="195">
        <f>IFERROR(_xlfn.XLOOKUP(A139,Aktiv!$A:$A,Aktiv!$E:$E,"–"),"")</f>
        <v>780</v>
      </c>
      <c r="E139" s="195">
        <f>IFERROR(_xlfn.XLOOKUP(A139,Aktiv!$A:$A,Aktiv!$F:$F,"–"),"")</f>
        <v>360</v>
      </c>
      <c r="F139" s="198">
        <f>IFERROR(_xlfn.XLOOKUP(A139,Aktiv!$A:$A,Aktiv!$G:$G,"–"),"")</f>
        <v>341</v>
      </c>
      <c r="G139" s="198">
        <f>IFERROR(_xlfn.XLOOKUP(A139,Aktiv!$A:$A,Aktiv!$H:$H,"–"),"")</f>
        <v>405</v>
      </c>
      <c r="H139" s="198">
        <f>IFERROR(_xlfn.XLOOKUP(A139,Aktiv!$A:$A,Aktiv!$I:$I,"–"),"")</f>
        <v>441</v>
      </c>
      <c r="I139" s="253" t="str">
        <f>IFERROR(_xlfn.XLOOKUP(A139,Aktiv!$A:$A,Aktiv!$J:$J,"–"),"")</f>
        <v>-</v>
      </c>
      <c r="J139" s="228">
        <f t="shared" si="14"/>
        <v>0.18768328445747801</v>
      </c>
      <c r="K139" s="237">
        <f t="shared" si="15"/>
        <v>0.2932551319648094</v>
      </c>
      <c r="L139" s="247" t="str">
        <f t="shared" si="16"/>
        <v>–</v>
      </c>
      <c r="M139" s="247">
        <f t="shared" si="17"/>
        <v>8.8888888888888892E-2</v>
      </c>
      <c r="N139" s="247" t="str">
        <f t="shared" si="18"/>
        <v>–</v>
      </c>
      <c r="O139" s="247" t="str">
        <f t="shared" si="19"/>
        <v>–</v>
      </c>
      <c r="P139" s="253">
        <f t="shared" si="20"/>
        <v>396</v>
      </c>
    </row>
    <row r="140" spans="1:16" x14ac:dyDescent="0.25">
      <c r="A140" s="192">
        <v>5406</v>
      </c>
      <c r="B140" s="189" t="str">
        <f>IFERROR(_xlfn.XLOOKUP(A140,Aktiv!$A:$A,Aktiv!$C:$C,"–"),"")</f>
        <v>Schublade LB 1</v>
      </c>
      <c r="C140" s="189" t="str">
        <f>IFERROR(_xlfn.XLOOKUP(A140,Aktiv!$A:$A,Aktiv!$D:$D,"–"),"")</f>
        <v>Schublade LB 1 (980x180)</v>
      </c>
      <c r="D140" s="195">
        <f>IFERROR(_xlfn.XLOOKUP(A140,Aktiv!$A:$A,Aktiv!$E:$E,"–"),"")</f>
        <v>980</v>
      </c>
      <c r="E140" s="195">
        <f>IFERROR(_xlfn.XLOOKUP(A140,Aktiv!$A:$A,Aktiv!$F:$F,"–"),"")</f>
        <v>180</v>
      </c>
      <c r="F140" s="198">
        <f>IFERROR(_xlfn.XLOOKUP(A140,Aktiv!$A:$A,Aktiv!$G:$G,"–"),"")</f>
        <v>325</v>
      </c>
      <c r="G140" s="198">
        <f>IFERROR(_xlfn.XLOOKUP(A140,Aktiv!$A:$A,Aktiv!$H:$H,"–"),"")</f>
        <v>386</v>
      </c>
      <c r="H140" s="198">
        <f>IFERROR(_xlfn.XLOOKUP(A140,Aktiv!$A:$A,Aktiv!$I:$I,"–"),"")</f>
        <v>421</v>
      </c>
      <c r="I140" s="253" t="str">
        <f>IFERROR(_xlfn.XLOOKUP(A140,Aktiv!$A:$A,Aktiv!$J:$J,"–"),"")</f>
        <v>-</v>
      </c>
      <c r="J140" s="228">
        <f t="shared" si="14"/>
        <v>0.18769230769230769</v>
      </c>
      <c r="K140" s="237">
        <f t="shared" si="15"/>
        <v>0.29538461538461541</v>
      </c>
      <c r="L140" s="247" t="str">
        <f t="shared" si="16"/>
        <v>–</v>
      </c>
      <c r="M140" s="247">
        <f t="shared" si="17"/>
        <v>9.0673575129533682E-2</v>
      </c>
      <c r="N140" s="247" t="str">
        <f t="shared" si="18"/>
        <v>–</v>
      </c>
      <c r="O140" s="247" t="str">
        <f t="shared" si="19"/>
        <v>–</v>
      </c>
      <c r="P140" s="253">
        <f t="shared" si="20"/>
        <v>377</v>
      </c>
    </row>
    <row r="141" spans="1:16" x14ac:dyDescent="0.25">
      <c r="A141" s="192">
        <v>5407</v>
      </c>
      <c r="B141" s="189" t="str">
        <f>IFERROR(_xlfn.XLOOKUP(A141,Aktiv!$A:$A,Aktiv!$C:$C,"–"),"")</f>
        <v>Schublade LB 1</v>
      </c>
      <c r="C141" s="189" t="str">
        <f>IFERROR(_xlfn.XLOOKUP(A141,Aktiv!$A:$A,Aktiv!$D:$D,"–"),"")</f>
        <v>Schublade LB 1 (980x360)</v>
      </c>
      <c r="D141" s="195">
        <f>IFERROR(_xlfn.XLOOKUP(A141,Aktiv!$A:$A,Aktiv!$E:$E,"–"),"")</f>
        <v>980</v>
      </c>
      <c r="E141" s="195">
        <f>IFERROR(_xlfn.XLOOKUP(A141,Aktiv!$A:$A,Aktiv!$F:$F,"–"),"")</f>
        <v>360</v>
      </c>
      <c r="F141" s="198">
        <f>IFERROR(_xlfn.XLOOKUP(A141,Aktiv!$A:$A,Aktiv!$G:$G,"–"),"")</f>
        <v>349</v>
      </c>
      <c r="G141" s="198">
        <f>IFERROR(_xlfn.XLOOKUP(A141,Aktiv!$A:$A,Aktiv!$H:$H,"–"),"")</f>
        <v>414</v>
      </c>
      <c r="H141" s="198">
        <f>IFERROR(_xlfn.XLOOKUP(A141,Aktiv!$A:$A,Aktiv!$I:$I,"–"),"")</f>
        <v>451</v>
      </c>
      <c r="I141" s="253" t="str">
        <f>IFERROR(_xlfn.XLOOKUP(A141,Aktiv!$A:$A,Aktiv!$J:$J,"–"),"")</f>
        <v>-</v>
      </c>
      <c r="J141" s="228">
        <f t="shared" si="14"/>
        <v>0.18624641833810887</v>
      </c>
      <c r="K141" s="237">
        <f t="shared" si="15"/>
        <v>0.29226361031518627</v>
      </c>
      <c r="L141" s="247" t="str">
        <f t="shared" si="16"/>
        <v>–</v>
      </c>
      <c r="M141" s="247">
        <f t="shared" si="17"/>
        <v>8.9371980676328497E-2</v>
      </c>
      <c r="N141" s="247" t="str">
        <f t="shared" si="18"/>
        <v>–</v>
      </c>
      <c r="O141" s="247" t="str">
        <f t="shared" si="19"/>
        <v>–</v>
      </c>
      <c r="P141" s="253">
        <f t="shared" si="20"/>
        <v>405</v>
      </c>
    </row>
    <row r="142" spans="1:16" x14ac:dyDescent="0.25">
      <c r="A142" s="206">
        <v>5500</v>
      </c>
      <c r="B142" s="207" t="str">
        <f>IFERROR(_xlfn.XLOOKUP(A142,Aktiv!$A:$A,Aktiv!$C:$C,"–"),"")</f>
        <v>Schublade LB 2</v>
      </c>
      <c r="C142" s="207" t="str">
        <f>IFERROR(_xlfn.XLOOKUP(A142,Aktiv!$A:$A,Aktiv!$D:$D,"–"),"")</f>
        <v>Schublade LB 2 (420x180)</v>
      </c>
      <c r="D142" s="208">
        <f>IFERROR(_xlfn.XLOOKUP(A142,Aktiv!$A:$A,Aktiv!$E:$E,"–"),"")</f>
        <v>420</v>
      </c>
      <c r="E142" s="208">
        <f>IFERROR(_xlfn.XLOOKUP(A142,Aktiv!$A:$A,Aktiv!$F:$F,"–"),"")</f>
        <v>180</v>
      </c>
      <c r="F142" s="209">
        <f>IFERROR(_xlfn.XLOOKUP(A142,Aktiv!$A:$A,Aktiv!$G:$G,"–"),"")</f>
        <v>299</v>
      </c>
      <c r="G142" s="209">
        <f>IFERROR(_xlfn.XLOOKUP(A142,Aktiv!$A:$A,Aktiv!$H:$H,"–"),"")</f>
        <v>355</v>
      </c>
      <c r="H142" s="209">
        <f>IFERROR(_xlfn.XLOOKUP(A142,Aktiv!$A:$A,Aktiv!$I:$I,"–"),"")</f>
        <v>386</v>
      </c>
      <c r="I142" s="254" t="str">
        <f>IFERROR(_xlfn.XLOOKUP(A142,Aktiv!$A:$A,Aktiv!$J:$J,"–"),"")</f>
        <v>-</v>
      </c>
      <c r="J142" s="233">
        <f t="shared" si="14"/>
        <v>0.18729096989966554</v>
      </c>
      <c r="K142" s="244">
        <f t="shared" si="15"/>
        <v>0.29096989966555181</v>
      </c>
      <c r="L142" s="248" t="str">
        <f t="shared" si="16"/>
        <v>–</v>
      </c>
      <c r="M142" s="248">
        <f t="shared" si="17"/>
        <v>8.7323943661971826E-2</v>
      </c>
      <c r="N142" s="248" t="str">
        <f t="shared" si="18"/>
        <v>–</v>
      </c>
      <c r="O142" s="248" t="str">
        <f t="shared" si="19"/>
        <v>–</v>
      </c>
      <c r="P142" s="254">
        <f t="shared" si="20"/>
        <v>347</v>
      </c>
    </row>
    <row r="143" spans="1:16" x14ac:dyDescent="0.25">
      <c r="A143" s="193">
        <v>5501</v>
      </c>
      <c r="B143" s="190" t="str">
        <f>IFERROR(_xlfn.XLOOKUP(A143,Aktiv!$A:$A,Aktiv!$C:$C,"–"),"")</f>
        <v>Schublade LB 2</v>
      </c>
      <c r="C143" s="190" t="str">
        <f>IFERROR(_xlfn.XLOOKUP(A143,Aktiv!$A:$A,Aktiv!$D:$D,"–"),"")</f>
        <v>Schublade LB 2 (420x360)</v>
      </c>
      <c r="D143" s="196">
        <f>IFERROR(_xlfn.XLOOKUP(A143,Aktiv!$A:$A,Aktiv!$E:$E,"–"),"")</f>
        <v>420</v>
      </c>
      <c r="E143" s="196">
        <f>IFERROR(_xlfn.XLOOKUP(A143,Aktiv!$A:$A,Aktiv!$F:$F,"–"),"")</f>
        <v>360</v>
      </c>
      <c r="F143" s="199">
        <f>IFERROR(_xlfn.XLOOKUP(A143,Aktiv!$A:$A,Aktiv!$G:$G,"–"),"")</f>
        <v>320</v>
      </c>
      <c r="G143" s="199">
        <f>IFERROR(_xlfn.XLOOKUP(A143,Aktiv!$A:$A,Aktiv!$H:$H,"–"),"")</f>
        <v>381</v>
      </c>
      <c r="H143" s="199">
        <f>IFERROR(_xlfn.XLOOKUP(A143,Aktiv!$A:$A,Aktiv!$I:$I,"–"),"")</f>
        <v>414</v>
      </c>
      <c r="I143" s="255" t="str">
        <f>IFERROR(_xlfn.XLOOKUP(A143,Aktiv!$A:$A,Aktiv!$J:$J,"–"),"")</f>
        <v>-</v>
      </c>
      <c r="J143" s="230">
        <f t="shared" si="14"/>
        <v>0.19062499999999999</v>
      </c>
      <c r="K143" s="241">
        <f t="shared" si="15"/>
        <v>0.29375000000000001</v>
      </c>
      <c r="L143" s="249" t="str">
        <f t="shared" si="16"/>
        <v>–</v>
      </c>
      <c r="M143" s="249">
        <f t="shared" si="17"/>
        <v>8.6614173228346455E-2</v>
      </c>
      <c r="N143" s="249" t="str">
        <f t="shared" si="18"/>
        <v>–</v>
      </c>
      <c r="O143" s="249" t="str">
        <f t="shared" si="19"/>
        <v>–</v>
      </c>
      <c r="P143" s="255">
        <f t="shared" si="20"/>
        <v>372</v>
      </c>
    </row>
    <row r="144" spans="1:16" x14ac:dyDescent="0.25">
      <c r="A144" s="193">
        <v>5502</v>
      </c>
      <c r="B144" s="190" t="str">
        <f>IFERROR(_xlfn.XLOOKUP(A144,Aktiv!$A:$A,Aktiv!$C:$C,"–"),"")</f>
        <v>Schublade LB 2</v>
      </c>
      <c r="C144" s="190" t="str">
        <f>IFERROR(_xlfn.XLOOKUP(A144,Aktiv!$A:$A,Aktiv!$D:$D,"–"),"")</f>
        <v>Schublade LB 2 (580x180)</v>
      </c>
      <c r="D144" s="196">
        <f>IFERROR(_xlfn.XLOOKUP(A144,Aktiv!$A:$A,Aktiv!$E:$E,"–"),"")</f>
        <v>580</v>
      </c>
      <c r="E144" s="196">
        <f>IFERROR(_xlfn.XLOOKUP(A144,Aktiv!$A:$A,Aktiv!$F:$F,"–"),"")</f>
        <v>180</v>
      </c>
      <c r="F144" s="199">
        <f>IFERROR(_xlfn.XLOOKUP(A144,Aktiv!$A:$A,Aktiv!$G:$G,"–"),"")</f>
        <v>309</v>
      </c>
      <c r="G144" s="199">
        <f>IFERROR(_xlfn.XLOOKUP(A144,Aktiv!$A:$A,Aktiv!$H:$H,"–"),"")</f>
        <v>367</v>
      </c>
      <c r="H144" s="199">
        <f>IFERROR(_xlfn.XLOOKUP(A144,Aktiv!$A:$A,Aktiv!$I:$I,"–"),"")</f>
        <v>399</v>
      </c>
      <c r="I144" s="255" t="str">
        <f>IFERROR(_xlfn.XLOOKUP(A144,Aktiv!$A:$A,Aktiv!$J:$J,"–"),"")</f>
        <v>-</v>
      </c>
      <c r="J144" s="230">
        <f t="shared" si="14"/>
        <v>0.18770226537216828</v>
      </c>
      <c r="K144" s="241">
        <f t="shared" si="15"/>
        <v>0.29126213592233008</v>
      </c>
      <c r="L144" s="249" t="str">
        <f t="shared" si="16"/>
        <v>–</v>
      </c>
      <c r="M144" s="249">
        <f t="shared" si="17"/>
        <v>8.7193460490463212E-2</v>
      </c>
      <c r="N144" s="249" t="str">
        <f t="shared" si="18"/>
        <v>–</v>
      </c>
      <c r="O144" s="249" t="str">
        <f t="shared" si="19"/>
        <v>–</v>
      </c>
      <c r="P144" s="255">
        <f t="shared" si="20"/>
        <v>358</v>
      </c>
    </row>
    <row r="145" spans="1:16" x14ac:dyDescent="0.25">
      <c r="A145" s="193">
        <v>5503</v>
      </c>
      <c r="B145" s="190" t="str">
        <f>IFERROR(_xlfn.XLOOKUP(A145,Aktiv!$A:$A,Aktiv!$C:$C,"–"),"")</f>
        <v>Schublade LB 2</v>
      </c>
      <c r="C145" s="190" t="str">
        <f>IFERROR(_xlfn.XLOOKUP(A145,Aktiv!$A:$A,Aktiv!$D:$D,"–"),"")</f>
        <v>Schublade LB 2 (580x360)</v>
      </c>
      <c r="D145" s="196">
        <f>IFERROR(_xlfn.XLOOKUP(A145,Aktiv!$A:$A,Aktiv!$E:$E,"–"),"")</f>
        <v>580</v>
      </c>
      <c r="E145" s="196">
        <f>IFERROR(_xlfn.XLOOKUP(A145,Aktiv!$A:$A,Aktiv!$F:$F,"–"),"")</f>
        <v>360</v>
      </c>
      <c r="F145" s="199">
        <f>IFERROR(_xlfn.XLOOKUP(A145,Aktiv!$A:$A,Aktiv!$G:$G,"–"),"")</f>
        <v>331</v>
      </c>
      <c r="G145" s="199">
        <f>IFERROR(_xlfn.XLOOKUP(A145,Aktiv!$A:$A,Aktiv!$H:$H,"–"),"")</f>
        <v>393</v>
      </c>
      <c r="H145" s="199">
        <f>IFERROR(_xlfn.XLOOKUP(A145,Aktiv!$A:$A,Aktiv!$I:$I,"–"),"")</f>
        <v>428</v>
      </c>
      <c r="I145" s="255" t="str">
        <f>IFERROR(_xlfn.XLOOKUP(A145,Aktiv!$A:$A,Aktiv!$J:$J,"–"),"")</f>
        <v>-</v>
      </c>
      <c r="J145" s="230">
        <f t="shared" si="14"/>
        <v>0.18731117824773413</v>
      </c>
      <c r="K145" s="241">
        <f t="shared" si="15"/>
        <v>0.29305135951661632</v>
      </c>
      <c r="L145" s="249" t="str">
        <f t="shared" si="16"/>
        <v>–</v>
      </c>
      <c r="M145" s="249">
        <f t="shared" si="17"/>
        <v>8.9058524173027995E-2</v>
      </c>
      <c r="N145" s="249" t="str">
        <f t="shared" si="18"/>
        <v>–</v>
      </c>
      <c r="O145" s="249" t="str">
        <f t="shared" si="19"/>
        <v>–</v>
      </c>
      <c r="P145" s="255">
        <f t="shared" si="20"/>
        <v>384</v>
      </c>
    </row>
    <row r="146" spans="1:16" x14ac:dyDescent="0.25">
      <c r="A146" s="193">
        <v>5504</v>
      </c>
      <c r="B146" s="190" t="str">
        <f>IFERROR(_xlfn.XLOOKUP(A146,Aktiv!$A:$A,Aktiv!$C:$C,"–"),"")</f>
        <v>Schublade LB 2</v>
      </c>
      <c r="C146" s="190" t="str">
        <f>IFERROR(_xlfn.XLOOKUP(A146,Aktiv!$A:$A,Aktiv!$D:$D,"–"),"")</f>
        <v>Schublade LB 2 (780x180)</v>
      </c>
      <c r="D146" s="196">
        <f>IFERROR(_xlfn.XLOOKUP(A146,Aktiv!$A:$A,Aktiv!$E:$E,"–"),"")</f>
        <v>780</v>
      </c>
      <c r="E146" s="196">
        <f>IFERROR(_xlfn.XLOOKUP(A146,Aktiv!$A:$A,Aktiv!$F:$F,"–"),"")</f>
        <v>180</v>
      </c>
      <c r="F146" s="199">
        <f>IFERROR(_xlfn.XLOOKUP(A146,Aktiv!$A:$A,Aktiv!$G:$G,"–"),"")</f>
        <v>318</v>
      </c>
      <c r="G146" s="199">
        <f>IFERROR(_xlfn.XLOOKUP(A146,Aktiv!$A:$A,Aktiv!$H:$H,"–"),"")</f>
        <v>378</v>
      </c>
      <c r="H146" s="199">
        <f>IFERROR(_xlfn.XLOOKUP(A146,Aktiv!$A:$A,Aktiv!$I:$I,"–"),"")</f>
        <v>411</v>
      </c>
      <c r="I146" s="255" t="str">
        <f>IFERROR(_xlfn.XLOOKUP(A146,Aktiv!$A:$A,Aktiv!$J:$J,"–"),"")</f>
        <v>-</v>
      </c>
      <c r="J146" s="230">
        <f t="shared" si="14"/>
        <v>0.18867924528301888</v>
      </c>
      <c r="K146" s="241">
        <f t="shared" si="15"/>
        <v>0.29245283018867924</v>
      </c>
      <c r="L146" s="249" t="str">
        <f t="shared" si="16"/>
        <v>–</v>
      </c>
      <c r="M146" s="249">
        <f t="shared" si="17"/>
        <v>8.7301587301587297E-2</v>
      </c>
      <c r="N146" s="249" t="str">
        <f t="shared" si="18"/>
        <v>–</v>
      </c>
      <c r="O146" s="249" t="str">
        <f t="shared" si="19"/>
        <v>–</v>
      </c>
      <c r="P146" s="255">
        <f t="shared" si="20"/>
        <v>369</v>
      </c>
    </row>
    <row r="147" spans="1:16" x14ac:dyDescent="0.25">
      <c r="A147" s="193">
        <v>5505</v>
      </c>
      <c r="B147" s="190" t="str">
        <f>IFERROR(_xlfn.XLOOKUP(A147,Aktiv!$A:$A,Aktiv!$C:$C,"–"),"")</f>
        <v>Schublade LB 2</v>
      </c>
      <c r="C147" s="190" t="str">
        <f>IFERROR(_xlfn.XLOOKUP(A147,Aktiv!$A:$A,Aktiv!$D:$D,"–"),"")</f>
        <v>Schublade LB 2 (780x360)</v>
      </c>
      <c r="D147" s="196">
        <f>IFERROR(_xlfn.XLOOKUP(A147,Aktiv!$A:$A,Aktiv!$E:$E,"–"),"")</f>
        <v>780</v>
      </c>
      <c r="E147" s="196">
        <f>IFERROR(_xlfn.XLOOKUP(A147,Aktiv!$A:$A,Aktiv!$F:$F,"–"),"")</f>
        <v>360</v>
      </c>
      <c r="F147" s="199">
        <f>IFERROR(_xlfn.XLOOKUP(A147,Aktiv!$A:$A,Aktiv!$G:$G,"–"),"")</f>
        <v>341</v>
      </c>
      <c r="G147" s="199">
        <f>IFERROR(_xlfn.XLOOKUP(A147,Aktiv!$A:$A,Aktiv!$H:$H,"–"),"")</f>
        <v>405</v>
      </c>
      <c r="H147" s="199">
        <f>IFERROR(_xlfn.XLOOKUP(A147,Aktiv!$A:$A,Aktiv!$I:$I,"–"),"")</f>
        <v>441</v>
      </c>
      <c r="I147" s="255" t="str">
        <f>IFERROR(_xlfn.XLOOKUP(A147,Aktiv!$A:$A,Aktiv!$J:$J,"–"),"")</f>
        <v>-</v>
      </c>
      <c r="J147" s="230">
        <f t="shared" si="14"/>
        <v>0.18768328445747801</v>
      </c>
      <c r="K147" s="241">
        <f t="shared" si="15"/>
        <v>0.2932551319648094</v>
      </c>
      <c r="L147" s="249" t="str">
        <f t="shared" si="16"/>
        <v>–</v>
      </c>
      <c r="M147" s="249">
        <f t="shared" si="17"/>
        <v>8.8888888888888892E-2</v>
      </c>
      <c r="N147" s="249" t="str">
        <f t="shared" si="18"/>
        <v>–</v>
      </c>
      <c r="O147" s="249" t="str">
        <f t="shared" si="19"/>
        <v>–</v>
      </c>
      <c r="P147" s="255">
        <f t="shared" si="20"/>
        <v>396</v>
      </c>
    </row>
    <row r="148" spans="1:16" x14ac:dyDescent="0.25">
      <c r="A148" s="193">
        <v>5506</v>
      </c>
      <c r="B148" s="190" t="str">
        <f>IFERROR(_xlfn.XLOOKUP(A148,Aktiv!$A:$A,Aktiv!$C:$C,"–"),"")</f>
        <v>Schublade LB 2</v>
      </c>
      <c r="C148" s="190" t="str">
        <f>IFERROR(_xlfn.XLOOKUP(A148,Aktiv!$A:$A,Aktiv!$D:$D,"–"),"")</f>
        <v>Schublade LB 2 (980x180)</v>
      </c>
      <c r="D148" s="196">
        <f>IFERROR(_xlfn.XLOOKUP(A148,Aktiv!$A:$A,Aktiv!$E:$E,"–"),"")</f>
        <v>980</v>
      </c>
      <c r="E148" s="196">
        <f>IFERROR(_xlfn.XLOOKUP(A148,Aktiv!$A:$A,Aktiv!$F:$F,"–"),"")</f>
        <v>180</v>
      </c>
      <c r="F148" s="199">
        <f>IFERROR(_xlfn.XLOOKUP(A148,Aktiv!$A:$A,Aktiv!$G:$G,"–"),"")</f>
        <v>325</v>
      </c>
      <c r="G148" s="199">
        <f>IFERROR(_xlfn.XLOOKUP(A148,Aktiv!$A:$A,Aktiv!$H:$H,"–"),"")</f>
        <v>386</v>
      </c>
      <c r="H148" s="199">
        <f>IFERROR(_xlfn.XLOOKUP(A148,Aktiv!$A:$A,Aktiv!$I:$I,"–"),"")</f>
        <v>421</v>
      </c>
      <c r="I148" s="255" t="str">
        <f>IFERROR(_xlfn.XLOOKUP(A148,Aktiv!$A:$A,Aktiv!$J:$J,"–"),"")</f>
        <v>-</v>
      </c>
      <c r="J148" s="230">
        <f t="shared" si="14"/>
        <v>0.18769230769230769</v>
      </c>
      <c r="K148" s="241">
        <f t="shared" si="15"/>
        <v>0.29538461538461541</v>
      </c>
      <c r="L148" s="249" t="str">
        <f t="shared" si="16"/>
        <v>–</v>
      </c>
      <c r="M148" s="249">
        <f t="shared" si="17"/>
        <v>9.0673575129533682E-2</v>
      </c>
      <c r="N148" s="249" t="str">
        <f t="shared" si="18"/>
        <v>–</v>
      </c>
      <c r="O148" s="249" t="str">
        <f t="shared" si="19"/>
        <v>–</v>
      </c>
      <c r="P148" s="255">
        <f t="shared" si="20"/>
        <v>377</v>
      </c>
    </row>
    <row r="149" spans="1:16" x14ac:dyDescent="0.25">
      <c r="A149" s="193">
        <v>5507</v>
      </c>
      <c r="B149" s="190" t="str">
        <f>IFERROR(_xlfn.XLOOKUP(A149,Aktiv!$A:$A,Aktiv!$C:$C,"–"),"")</f>
        <v>Schublade LB 2</v>
      </c>
      <c r="C149" s="190" t="str">
        <f>IFERROR(_xlfn.XLOOKUP(A149,Aktiv!$A:$A,Aktiv!$D:$D,"–"),"")</f>
        <v>Schublade LB 2 (980x360)</v>
      </c>
      <c r="D149" s="196">
        <f>IFERROR(_xlfn.XLOOKUP(A149,Aktiv!$A:$A,Aktiv!$E:$E,"–"),"")</f>
        <v>980</v>
      </c>
      <c r="E149" s="196">
        <f>IFERROR(_xlfn.XLOOKUP(A149,Aktiv!$A:$A,Aktiv!$F:$F,"–"),"")</f>
        <v>360</v>
      </c>
      <c r="F149" s="199">
        <f>IFERROR(_xlfn.XLOOKUP(A149,Aktiv!$A:$A,Aktiv!$G:$G,"–"),"")</f>
        <v>349</v>
      </c>
      <c r="G149" s="199">
        <f>IFERROR(_xlfn.XLOOKUP(A149,Aktiv!$A:$A,Aktiv!$H:$H,"–"),"")</f>
        <v>414</v>
      </c>
      <c r="H149" s="199">
        <f>IFERROR(_xlfn.XLOOKUP(A149,Aktiv!$A:$A,Aktiv!$I:$I,"–"),"")</f>
        <v>451</v>
      </c>
      <c r="I149" s="255" t="str">
        <f>IFERROR(_xlfn.XLOOKUP(A149,Aktiv!$A:$A,Aktiv!$J:$J,"–"),"")</f>
        <v>-</v>
      </c>
      <c r="J149" s="230">
        <f t="shared" si="14"/>
        <v>0.18624641833810887</v>
      </c>
      <c r="K149" s="241">
        <f t="shared" si="15"/>
        <v>0.29226361031518627</v>
      </c>
      <c r="L149" s="249" t="str">
        <f t="shared" si="16"/>
        <v>–</v>
      </c>
      <c r="M149" s="249">
        <f t="shared" si="17"/>
        <v>8.9371980676328497E-2</v>
      </c>
      <c r="N149" s="249" t="str">
        <f t="shared" si="18"/>
        <v>–</v>
      </c>
      <c r="O149" s="249" t="str">
        <f t="shared" si="19"/>
        <v>–</v>
      </c>
      <c r="P149" s="255">
        <f t="shared" si="20"/>
        <v>405</v>
      </c>
    </row>
    <row r="150" spans="1:16" x14ac:dyDescent="0.25">
      <c r="A150" s="202">
        <v>3100</v>
      </c>
      <c r="B150" s="203" t="str">
        <f>IFERROR(_xlfn.XLOOKUP(A150,Aktiv!$A:$A,Aktiv!$C:$C,"–"),"")</f>
        <v>Seite außen</v>
      </c>
      <c r="C150" s="203" t="str">
        <f>IFERROR(_xlfn.XLOOKUP(A150,Aktiv!$A:$A,Aktiv!$D:$D,"–"),"")</f>
        <v>Seite außen (360x180)</v>
      </c>
      <c r="D150" s="204">
        <f>IFERROR(_xlfn.XLOOKUP(A150,Aktiv!$A:$A,Aktiv!$E:$E,"–"),"")</f>
        <v>360</v>
      </c>
      <c r="E150" s="204">
        <f>IFERROR(_xlfn.XLOOKUP(A150,Aktiv!$A:$A,Aktiv!$F:$F,"–"),"")</f>
        <v>180</v>
      </c>
      <c r="F150" s="205">
        <f>IFERROR(_xlfn.XLOOKUP(A150,Aktiv!$A:$A,Aktiv!$G:$G,"–"),"")</f>
        <v>25</v>
      </c>
      <c r="G150" s="205">
        <f>IFERROR(_xlfn.XLOOKUP(A150,Aktiv!$A:$A,Aktiv!$H:$H,"–"),"")</f>
        <v>103</v>
      </c>
      <c r="H150" s="205">
        <f>IFERROR(_xlfn.XLOOKUP(A150,Aktiv!$A:$A,Aktiv!$I:$I,"–"),"")</f>
        <v>120</v>
      </c>
      <c r="I150" s="252">
        <f>IFERROR(_xlfn.XLOOKUP(A150,Aktiv!$A:$A,Aktiv!$J:$J,"–"),"")</f>
        <v>145</v>
      </c>
      <c r="J150" s="227">
        <f t="shared" si="14"/>
        <v>3.12</v>
      </c>
      <c r="K150" s="235">
        <f t="shared" si="15"/>
        <v>3.8</v>
      </c>
      <c r="L150" s="246">
        <f t="shared" si="16"/>
        <v>4.8</v>
      </c>
      <c r="M150" s="246">
        <f t="shared" si="17"/>
        <v>0.1650485436893204</v>
      </c>
      <c r="N150" s="246">
        <f t="shared" si="18"/>
        <v>0.40776699029126212</v>
      </c>
      <c r="O150" s="246">
        <f t="shared" si="19"/>
        <v>0.20833333333333334</v>
      </c>
      <c r="P150" s="252">
        <f t="shared" si="20"/>
        <v>98</v>
      </c>
    </row>
    <row r="151" spans="1:16" x14ac:dyDescent="0.25">
      <c r="A151" s="192">
        <v>3101</v>
      </c>
      <c r="B151" s="189" t="str">
        <f>IFERROR(_xlfn.XLOOKUP(A151,Aktiv!$A:$A,Aktiv!$C:$C,"–"),"")</f>
        <v>Seite außen</v>
      </c>
      <c r="C151" s="189" t="str">
        <f>IFERROR(_xlfn.XLOOKUP(A151,Aktiv!$A:$A,Aktiv!$D:$D,"–"),"")</f>
        <v>Seite außen (360x360)</v>
      </c>
      <c r="D151" s="195">
        <f>IFERROR(_xlfn.XLOOKUP(A151,Aktiv!$A:$A,Aktiv!$E:$E,"–"),"")</f>
        <v>360</v>
      </c>
      <c r="E151" s="195">
        <f>IFERROR(_xlfn.XLOOKUP(A151,Aktiv!$A:$A,Aktiv!$F:$F,"–"),"")</f>
        <v>360</v>
      </c>
      <c r="F151" s="198">
        <f>IFERROR(_xlfn.XLOOKUP(A151,Aktiv!$A:$A,Aktiv!$G:$G,"–"),"")</f>
        <v>25</v>
      </c>
      <c r="G151" s="198">
        <f>IFERROR(_xlfn.XLOOKUP(A151,Aktiv!$A:$A,Aktiv!$H:$H,"–"),"")</f>
        <v>103</v>
      </c>
      <c r="H151" s="198">
        <f>IFERROR(_xlfn.XLOOKUP(A151,Aktiv!$A:$A,Aktiv!$I:$I,"–"),"")</f>
        <v>120</v>
      </c>
      <c r="I151" s="253">
        <f>IFERROR(_xlfn.XLOOKUP(A151,Aktiv!$A:$A,Aktiv!$J:$J,"–"),"")</f>
        <v>145</v>
      </c>
      <c r="J151" s="228">
        <f t="shared" si="14"/>
        <v>3.12</v>
      </c>
      <c r="K151" s="236">
        <f t="shared" si="15"/>
        <v>3.8</v>
      </c>
      <c r="L151" s="247">
        <f t="shared" si="16"/>
        <v>4.8</v>
      </c>
      <c r="M151" s="247">
        <f t="shared" si="17"/>
        <v>0.1650485436893204</v>
      </c>
      <c r="N151" s="247">
        <f t="shared" si="18"/>
        <v>0.40776699029126212</v>
      </c>
      <c r="O151" s="247">
        <f t="shared" si="19"/>
        <v>0.20833333333333334</v>
      </c>
      <c r="P151" s="253">
        <f t="shared" si="20"/>
        <v>98</v>
      </c>
    </row>
    <row r="152" spans="1:16" x14ac:dyDescent="0.25">
      <c r="A152" s="192">
        <v>3102</v>
      </c>
      <c r="B152" s="189" t="str">
        <f>IFERROR(_xlfn.XLOOKUP(A152,Aktiv!$A:$A,Aktiv!$C:$C,"–"),"")</f>
        <v>Seite außen</v>
      </c>
      <c r="C152" s="189" t="str">
        <f>IFERROR(_xlfn.XLOOKUP(A152,Aktiv!$A:$A,Aktiv!$D:$D,"–"),"")</f>
        <v>Seite außen (360x720)</v>
      </c>
      <c r="D152" s="195">
        <f>IFERROR(_xlfn.XLOOKUP(A152,Aktiv!$A:$A,Aktiv!$E:$E,"–"),"")</f>
        <v>360</v>
      </c>
      <c r="E152" s="195">
        <f>IFERROR(_xlfn.XLOOKUP(A152,Aktiv!$A:$A,Aktiv!$F:$F,"–"),"")</f>
        <v>720</v>
      </c>
      <c r="F152" s="198">
        <f>IFERROR(_xlfn.XLOOKUP(A152,Aktiv!$A:$A,Aktiv!$G:$G,"–"),"")</f>
        <v>46</v>
      </c>
      <c r="G152" s="198">
        <f>IFERROR(_xlfn.XLOOKUP(A152,Aktiv!$A:$A,Aktiv!$H:$H,"–"),"")</f>
        <v>156</v>
      </c>
      <c r="H152" s="198">
        <f>IFERROR(_xlfn.XLOOKUP(A152,Aktiv!$A:$A,Aktiv!$I:$I,"–"),"")</f>
        <v>163</v>
      </c>
      <c r="I152" s="253">
        <f>IFERROR(_xlfn.XLOOKUP(A152,Aktiv!$A:$A,Aktiv!$J:$J,"–"),"")</f>
        <v>181</v>
      </c>
      <c r="J152" s="228">
        <f t="shared" si="14"/>
        <v>2.3913043478260869</v>
      </c>
      <c r="K152" s="236">
        <f t="shared" si="15"/>
        <v>2.5434782608695654</v>
      </c>
      <c r="L152" s="247">
        <f t="shared" si="16"/>
        <v>2.9347826086956523</v>
      </c>
      <c r="M152" s="247">
        <f t="shared" si="17"/>
        <v>4.4871794871794872E-2</v>
      </c>
      <c r="N152" s="247">
        <f t="shared" si="18"/>
        <v>0.16025641025641027</v>
      </c>
      <c r="O152" s="247">
        <f t="shared" si="19"/>
        <v>0.11042944785276074</v>
      </c>
      <c r="P152" s="253">
        <f t="shared" si="20"/>
        <v>137</v>
      </c>
    </row>
    <row r="153" spans="1:16" x14ac:dyDescent="0.25">
      <c r="A153" s="192">
        <v>3103</v>
      </c>
      <c r="B153" s="189" t="str">
        <f>IFERROR(_xlfn.XLOOKUP(A153,Aktiv!$A:$A,Aktiv!$C:$C,"–"),"")</f>
        <v>Seite außen</v>
      </c>
      <c r="C153" s="189" t="str">
        <f>IFERROR(_xlfn.XLOOKUP(A153,Aktiv!$A:$A,Aktiv!$D:$D,"–"),"")</f>
        <v>Seite außen (360x1080)</v>
      </c>
      <c r="D153" s="195">
        <f>IFERROR(_xlfn.XLOOKUP(A153,Aktiv!$A:$A,Aktiv!$E:$E,"–"),"")</f>
        <v>360</v>
      </c>
      <c r="E153" s="195">
        <f>IFERROR(_xlfn.XLOOKUP(A153,Aktiv!$A:$A,Aktiv!$F:$F,"–"),"")</f>
        <v>1080</v>
      </c>
      <c r="F153" s="198">
        <f>IFERROR(_xlfn.XLOOKUP(A153,Aktiv!$A:$A,Aktiv!$G:$G,"–"),"")</f>
        <v>68</v>
      </c>
      <c r="G153" s="198">
        <f>IFERROR(_xlfn.XLOOKUP(A153,Aktiv!$A:$A,Aktiv!$H:$H,"–"),"")</f>
        <v>235</v>
      </c>
      <c r="H153" s="198">
        <f>IFERROR(_xlfn.XLOOKUP(A153,Aktiv!$A:$A,Aktiv!$I:$I,"–"),"")</f>
        <v>244</v>
      </c>
      <c r="I153" s="253">
        <f>IFERROR(_xlfn.XLOOKUP(A153,Aktiv!$A:$A,Aktiv!$J:$J,"–"),"")</f>
        <v>272</v>
      </c>
      <c r="J153" s="228">
        <f t="shared" si="14"/>
        <v>2.4558823529411766</v>
      </c>
      <c r="K153" s="237">
        <f t="shared" si="15"/>
        <v>2.5882352941176472</v>
      </c>
      <c r="L153" s="247">
        <f t="shared" si="16"/>
        <v>3</v>
      </c>
      <c r="M153" s="247">
        <f t="shared" si="17"/>
        <v>3.8297872340425532E-2</v>
      </c>
      <c r="N153" s="247">
        <f t="shared" si="18"/>
        <v>0.1574468085106383</v>
      </c>
      <c r="O153" s="247">
        <f t="shared" si="19"/>
        <v>0.11475409836065574</v>
      </c>
      <c r="P153" s="253">
        <f t="shared" si="20"/>
        <v>205</v>
      </c>
    </row>
    <row r="154" spans="1:16" x14ac:dyDescent="0.25">
      <c r="A154" s="192">
        <v>3104</v>
      </c>
      <c r="B154" s="189" t="str">
        <f>IFERROR(_xlfn.XLOOKUP(A154,Aktiv!$A:$A,Aktiv!$C:$C,"–"),"")</f>
        <v>Seite außen</v>
      </c>
      <c r="C154" s="189" t="str">
        <f>IFERROR(_xlfn.XLOOKUP(A154,Aktiv!$A:$A,Aktiv!$D:$D,"–"),"")</f>
        <v>Seite außen (360x1440)</v>
      </c>
      <c r="D154" s="195">
        <f>IFERROR(_xlfn.XLOOKUP(A154,Aktiv!$A:$A,Aktiv!$E:$E,"–"),"")</f>
        <v>360</v>
      </c>
      <c r="E154" s="195">
        <f>IFERROR(_xlfn.XLOOKUP(A154,Aktiv!$A:$A,Aktiv!$F:$F,"–"),"")</f>
        <v>1440</v>
      </c>
      <c r="F154" s="198">
        <f>IFERROR(_xlfn.XLOOKUP(A154,Aktiv!$A:$A,Aktiv!$G:$G,"–"),"")</f>
        <v>91</v>
      </c>
      <c r="G154" s="198">
        <f>IFERROR(_xlfn.XLOOKUP(A154,Aktiv!$A:$A,Aktiv!$H:$H,"–"),"")</f>
        <v>313</v>
      </c>
      <c r="H154" s="198">
        <f>IFERROR(_xlfn.XLOOKUP(A154,Aktiv!$A:$A,Aktiv!$I:$I,"–"),"")</f>
        <v>326</v>
      </c>
      <c r="I154" s="253">
        <f>IFERROR(_xlfn.XLOOKUP(A154,Aktiv!$A:$A,Aktiv!$J:$J,"–"),"")</f>
        <v>363</v>
      </c>
      <c r="J154" s="228">
        <f t="shared" si="14"/>
        <v>2.4395604395604398</v>
      </c>
      <c r="K154" s="236">
        <f t="shared" si="15"/>
        <v>2.5824175824175826</v>
      </c>
      <c r="L154" s="247">
        <f t="shared" si="16"/>
        <v>2.9890109890109891</v>
      </c>
      <c r="M154" s="247">
        <f t="shared" si="17"/>
        <v>4.1533546325878593E-2</v>
      </c>
      <c r="N154" s="247">
        <f t="shared" si="18"/>
        <v>0.15974440894568689</v>
      </c>
      <c r="O154" s="247">
        <f t="shared" si="19"/>
        <v>0.11349693251533742</v>
      </c>
      <c r="P154" s="253">
        <f t="shared" si="20"/>
        <v>273</v>
      </c>
    </row>
    <row r="155" spans="1:16" x14ac:dyDescent="0.25">
      <c r="A155" s="192">
        <v>3105</v>
      </c>
      <c r="B155" s="189" t="str">
        <f>IFERROR(_xlfn.XLOOKUP(A155,Aktiv!$A:$A,Aktiv!$C:$C,"–"),"")</f>
        <v>Seite außen</v>
      </c>
      <c r="C155" s="189" t="str">
        <f>IFERROR(_xlfn.XLOOKUP(A155,Aktiv!$A:$A,Aktiv!$D:$D,"–"),"")</f>
        <v>Seite außen (360x1800)</v>
      </c>
      <c r="D155" s="195">
        <f>IFERROR(_xlfn.XLOOKUP(A155,Aktiv!$A:$A,Aktiv!$E:$E,"–"),"")</f>
        <v>360</v>
      </c>
      <c r="E155" s="195">
        <f>IFERROR(_xlfn.XLOOKUP(A155,Aktiv!$A:$A,Aktiv!$F:$F,"–"),"")</f>
        <v>1800</v>
      </c>
      <c r="F155" s="198">
        <f>IFERROR(_xlfn.XLOOKUP(A155,Aktiv!$A:$A,Aktiv!$G:$G,"–"),"")</f>
        <v>114</v>
      </c>
      <c r="G155" s="198">
        <f>IFERROR(_xlfn.XLOOKUP(A155,Aktiv!$A:$A,Aktiv!$H:$H,"–"),"")</f>
        <v>391</v>
      </c>
      <c r="H155" s="198">
        <f>IFERROR(_xlfn.XLOOKUP(A155,Aktiv!$A:$A,Aktiv!$I:$I,"–"),"")</f>
        <v>407</v>
      </c>
      <c r="I155" s="253">
        <f>IFERROR(_xlfn.XLOOKUP(A155,Aktiv!$A:$A,Aktiv!$J:$J,"–"),"")</f>
        <v>453</v>
      </c>
      <c r="J155" s="228">
        <f t="shared" si="14"/>
        <v>2.4298245614035086</v>
      </c>
      <c r="K155" s="236">
        <f t="shared" si="15"/>
        <v>2.5701754385964914</v>
      </c>
      <c r="L155" s="247">
        <f t="shared" si="16"/>
        <v>2.9736842105263159</v>
      </c>
      <c r="M155" s="247">
        <f t="shared" si="17"/>
        <v>4.0920716112531973E-2</v>
      </c>
      <c r="N155" s="247">
        <f t="shared" si="18"/>
        <v>0.15856777493606139</v>
      </c>
      <c r="O155" s="247">
        <f t="shared" si="19"/>
        <v>0.11302211302211303</v>
      </c>
      <c r="P155" s="253">
        <f t="shared" si="20"/>
        <v>341</v>
      </c>
    </row>
    <row r="156" spans="1:16" x14ac:dyDescent="0.25">
      <c r="A156" s="192">
        <v>3106</v>
      </c>
      <c r="B156" s="189" t="str">
        <f>IFERROR(_xlfn.XLOOKUP(A156,Aktiv!$A:$A,Aktiv!$C:$C,"–"),"")</f>
        <v>Seite außen</v>
      </c>
      <c r="C156" s="189" t="str">
        <f>IFERROR(_xlfn.XLOOKUP(A156,Aktiv!$A:$A,Aktiv!$D:$D,"–"),"")</f>
        <v>Seite außen (580x180)</v>
      </c>
      <c r="D156" s="195">
        <f>IFERROR(_xlfn.XLOOKUP(A156,Aktiv!$A:$A,Aktiv!$E:$E,"–"),"")</f>
        <v>580</v>
      </c>
      <c r="E156" s="195">
        <f>IFERROR(_xlfn.XLOOKUP(A156,Aktiv!$A:$A,Aktiv!$F:$F,"–"),"")</f>
        <v>180</v>
      </c>
      <c r="F156" s="198">
        <f>IFERROR(_xlfn.XLOOKUP(A156,Aktiv!$A:$A,Aktiv!$G:$G,"–"),"")</f>
        <v>25</v>
      </c>
      <c r="G156" s="198">
        <f>IFERROR(_xlfn.XLOOKUP(A156,Aktiv!$A:$A,Aktiv!$H:$H,"–"),"")</f>
        <v>103</v>
      </c>
      <c r="H156" s="198">
        <f>IFERROR(_xlfn.XLOOKUP(A156,Aktiv!$A:$A,Aktiv!$I:$I,"–"),"")</f>
        <v>120</v>
      </c>
      <c r="I156" s="253">
        <f>IFERROR(_xlfn.XLOOKUP(A156,Aktiv!$A:$A,Aktiv!$J:$J,"–"),"")</f>
        <v>145</v>
      </c>
      <c r="J156" s="228">
        <f t="shared" si="14"/>
        <v>3.12</v>
      </c>
      <c r="K156" s="236">
        <f t="shared" si="15"/>
        <v>3.8</v>
      </c>
      <c r="L156" s="247">
        <f t="shared" si="16"/>
        <v>4.8</v>
      </c>
      <c r="M156" s="247">
        <f t="shared" si="17"/>
        <v>0.1650485436893204</v>
      </c>
      <c r="N156" s="247">
        <f t="shared" si="18"/>
        <v>0.40776699029126212</v>
      </c>
      <c r="O156" s="247">
        <f t="shared" si="19"/>
        <v>0.20833333333333334</v>
      </c>
      <c r="P156" s="253">
        <f t="shared" si="20"/>
        <v>98</v>
      </c>
    </row>
    <row r="157" spans="1:16" x14ac:dyDescent="0.25">
      <c r="A157" s="192">
        <v>3107</v>
      </c>
      <c r="B157" s="189" t="str">
        <f>IFERROR(_xlfn.XLOOKUP(A157,Aktiv!$A:$A,Aktiv!$C:$C,"–"),"")</f>
        <v>Seite außen</v>
      </c>
      <c r="C157" s="189" t="str">
        <f>IFERROR(_xlfn.XLOOKUP(A157,Aktiv!$A:$A,Aktiv!$D:$D,"–"),"")</f>
        <v>Seite außen (580x360)</v>
      </c>
      <c r="D157" s="195">
        <f>IFERROR(_xlfn.XLOOKUP(A157,Aktiv!$A:$A,Aktiv!$E:$E,"–"),"")</f>
        <v>580</v>
      </c>
      <c r="E157" s="195">
        <f>IFERROR(_xlfn.XLOOKUP(A157,Aktiv!$A:$A,Aktiv!$F:$F,"–"),"")</f>
        <v>360</v>
      </c>
      <c r="F157" s="198">
        <f>IFERROR(_xlfn.XLOOKUP(A157,Aktiv!$A:$A,Aktiv!$G:$G,"–"),"")</f>
        <v>37</v>
      </c>
      <c r="G157" s="198">
        <f>IFERROR(_xlfn.XLOOKUP(A157,Aktiv!$A:$A,Aktiv!$H:$H,"–"),"")</f>
        <v>126</v>
      </c>
      <c r="H157" s="198">
        <f>IFERROR(_xlfn.XLOOKUP(A157,Aktiv!$A:$A,Aktiv!$I:$I,"–"),"")</f>
        <v>131</v>
      </c>
      <c r="I157" s="253">
        <f>IFERROR(_xlfn.XLOOKUP(A157,Aktiv!$A:$A,Aktiv!$J:$J,"–"),"")</f>
        <v>146</v>
      </c>
      <c r="J157" s="228">
        <f t="shared" si="14"/>
        <v>2.4054054054054053</v>
      </c>
      <c r="K157" s="236">
        <f t="shared" si="15"/>
        <v>2.5405405405405403</v>
      </c>
      <c r="L157" s="247">
        <f t="shared" si="16"/>
        <v>2.9459459459459461</v>
      </c>
      <c r="M157" s="247">
        <f t="shared" si="17"/>
        <v>3.968253968253968E-2</v>
      </c>
      <c r="N157" s="247">
        <f t="shared" si="18"/>
        <v>0.15873015873015872</v>
      </c>
      <c r="O157" s="247">
        <f t="shared" si="19"/>
        <v>0.11450381679389313</v>
      </c>
      <c r="P157" s="253">
        <f t="shared" si="20"/>
        <v>110</v>
      </c>
    </row>
    <row r="158" spans="1:16" x14ac:dyDescent="0.25">
      <c r="A158" s="192">
        <v>3108</v>
      </c>
      <c r="B158" s="189" t="str">
        <f>IFERROR(_xlfn.XLOOKUP(A158,Aktiv!$A:$A,Aktiv!$C:$C,"–"),"")</f>
        <v>Seite außen</v>
      </c>
      <c r="C158" s="189" t="str">
        <f>IFERROR(_xlfn.XLOOKUP(A158,Aktiv!$A:$A,Aktiv!$D:$D,"–"),"")</f>
        <v>Seite außen (580x720)</v>
      </c>
      <c r="D158" s="195">
        <f>IFERROR(_xlfn.XLOOKUP(A158,Aktiv!$A:$A,Aktiv!$E:$E,"–"),"")</f>
        <v>580</v>
      </c>
      <c r="E158" s="195">
        <f>IFERROR(_xlfn.XLOOKUP(A158,Aktiv!$A:$A,Aktiv!$F:$F,"–"),"")</f>
        <v>720</v>
      </c>
      <c r="F158" s="198">
        <f>IFERROR(_xlfn.XLOOKUP(A158,Aktiv!$A:$A,Aktiv!$G:$G,"–"),"")</f>
        <v>73</v>
      </c>
      <c r="G158" s="198">
        <f>IFERROR(_xlfn.XLOOKUP(A158,Aktiv!$A:$A,Aktiv!$H:$H,"–"),"")</f>
        <v>252</v>
      </c>
      <c r="H158" s="198">
        <f>IFERROR(_xlfn.XLOOKUP(A158,Aktiv!$A:$A,Aktiv!$I:$I,"–"),"")</f>
        <v>262</v>
      </c>
      <c r="I158" s="253">
        <f>IFERROR(_xlfn.XLOOKUP(A158,Aktiv!$A:$A,Aktiv!$J:$J,"–"),"")</f>
        <v>292</v>
      </c>
      <c r="J158" s="228">
        <f t="shared" si="14"/>
        <v>2.452054794520548</v>
      </c>
      <c r="K158" s="237">
        <f t="shared" si="15"/>
        <v>2.5890410958904111</v>
      </c>
      <c r="L158" s="247">
        <f t="shared" si="16"/>
        <v>3</v>
      </c>
      <c r="M158" s="247">
        <f t="shared" si="17"/>
        <v>3.968253968253968E-2</v>
      </c>
      <c r="N158" s="247">
        <f t="shared" si="18"/>
        <v>0.15873015873015872</v>
      </c>
      <c r="O158" s="247">
        <f t="shared" si="19"/>
        <v>0.11450381679389313</v>
      </c>
      <c r="P158" s="253">
        <f t="shared" si="20"/>
        <v>220</v>
      </c>
    </row>
    <row r="159" spans="1:16" x14ac:dyDescent="0.25">
      <c r="A159" s="192">
        <v>3109</v>
      </c>
      <c r="B159" s="189" t="str">
        <f>IFERROR(_xlfn.XLOOKUP(A159,Aktiv!$A:$A,Aktiv!$C:$C,"–"),"")</f>
        <v>Seite außen</v>
      </c>
      <c r="C159" s="189" t="str">
        <f>IFERROR(_xlfn.XLOOKUP(A159,Aktiv!$A:$A,Aktiv!$D:$D,"–"),"")</f>
        <v>Seite außen (580x1080)</v>
      </c>
      <c r="D159" s="195">
        <f>IFERROR(_xlfn.XLOOKUP(A159,Aktiv!$A:$A,Aktiv!$E:$E,"–"),"")</f>
        <v>580</v>
      </c>
      <c r="E159" s="195">
        <f>IFERROR(_xlfn.XLOOKUP(A159,Aktiv!$A:$A,Aktiv!$F:$F,"–"),"")</f>
        <v>1080</v>
      </c>
      <c r="F159" s="198">
        <f>IFERROR(_xlfn.XLOOKUP(A159,Aktiv!$A:$A,Aktiv!$G:$G,"–"),"")</f>
        <v>110</v>
      </c>
      <c r="G159" s="198">
        <f>IFERROR(_xlfn.XLOOKUP(A159,Aktiv!$A:$A,Aktiv!$H:$H,"–"),"")</f>
        <v>378</v>
      </c>
      <c r="H159" s="198">
        <f>IFERROR(_xlfn.XLOOKUP(A159,Aktiv!$A:$A,Aktiv!$I:$I,"–"),"")</f>
        <v>394</v>
      </c>
      <c r="I159" s="253">
        <f>IFERROR(_xlfn.XLOOKUP(A159,Aktiv!$A:$A,Aktiv!$J:$J,"–"),"")</f>
        <v>438</v>
      </c>
      <c r="J159" s="228">
        <f t="shared" si="14"/>
        <v>2.4363636363636365</v>
      </c>
      <c r="K159" s="237">
        <f t="shared" si="15"/>
        <v>2.581818181818182</v>
      </c>
      <c r="L159" s="247">
        <f t="shared" si="16"/>
        <v>2.9818181818181819</v>
      </c>
      <c r="M159" s="247">
        <f t="shared" si="17"/>
        <v>4.2328042328042326E-2</v>
      </c>
      <c r="N159" s="247">
        <f t="shared" si="18"/>
        <v>0.15873015873015872</v>
      </c>
      <c r="O159" s="247">
        <f t="shared" si="19"/>
        <v>0.1116751269035533</v>
      </c>
      <c r="P159" s="253">
        <f t="shared" si="20"/>
        <v>330</v>
      </c>
    </row>
    <row r="160" spans="1:16" x14ac:dyDescent="0.25">
      <c r="A160" s="192">
        <v>3110</v>
      </c>
      <c r="B160" s="189" t="str">
        <f>IFERROR(_xlfn.XLOOKUP(A160,Aktiv!$A:$A,Aktiv!$C:$C,"–"),"")</f>
        <v>Seite außen</v>
      </c>
      <c r="C160" s="189" t="str">
        <f>IFERROR(_xlfn.XLOOKUP(A160,Aktiv!$A:$A,Aktiv!$D:$D,"–"),"")</f>
        <v>Seite außen (580x1440)</v>
      </c>
      <c r="D160" s="195">
        <f>IFERROR(_xlfn.XLOOKUP(A160,Aktiv!$A:$A,Aktiv!$E:$E,"–"),"")</f>
        <v>580</v>
      </c>
      <c r="E160" s="195">
        <f>IFERROR(_xlfn.XLOOKUP(A160,Aktiv!$A:$A,Aktiv!$F:$F,"–"),"")</f>
        <v>1440</v>
      </c>
      <c r="F160" s="198">
        <f>IFERROR(_xlfn.XLOOKUP(A160,Aktiv!$A:$A,Aktiv!$G:$G,"–"),"")</f>
        <v>147</v>
      </c>
      <c r="G160" s="198">
        <f>IFERROR(_xlfn.XLOOKUP(A160,Aktiv!$A:$A,Aktiv!$H:$H,"–"),"")</f>
        <v>504</v>
      </c>
      <c r="H160" s="198">
        <f>IFERROR(_xlfn.XLOOKUP(A160,Aktiv!$A:$A,Aktiv!$I:$I,"–"),"")</f>
        <v>525</v>
      </c>
      <c r="I160" s="253">
        <f>IFERROR(_xlfn.XLOOKUP(A160,Aktiv!$A:$A,Aktiv!$J:$J,"–"),"")</f>
        <v>584</v>
      </c>
      <c r="J160" s="228">
        <f t="shared" si="14"/>
        <v>2.4285714285714284</v>
      </c>
      <c r="K160" s="236">
        <f t="shared" si="15"/>
        <v>2.5714285714285716</v>
      </c>
      <c r="L160" s="247">
        <f t="shared" si="16"/>
        <v>2.9727891156462585</v>
      </c>
      <c r="M160" s="247">
        <f t="shared" si="17"/>
        <v>4.1666666666666664E-2</v>
      </c>
      <c r="N160" s="247">
        <f t="shared" si="18"/>
        <v>0.15873015873015872</v>
      </c>
      <c r="O160" s="247">
        <f t="shared" si="19"/>
        <v>0.11238095238095239</v>
      </c>
      <c r="P160" s="253">
        <f t="shared" si="20"/>
        <v>440</v>
      </c>
    </row>
    <row r="161" spans="1:16" x14ac:dyDescent="0.25">
      <c r="A161" s="192">
        <v>3111</v>
      </c>
      <c r="B161" s="189" t="str">
        <f>IFERROR(_xlfn.XLOOKUP(A161,Aktiv!$A:$A,Aktiv!$C:$C,"–"),"")</f>
        <v>Seite außen</v>
      </c>
      <c r="C161" s="189" t="str">
        <f>IFERROR(_xlfn.XLOOKUP(A161,Aktiv!$A:$A,Aktiv!$D:$D,"–"),"")</f>
        <v>Seite außen (580x1800)</v>
      </c>
      <c r="D161" s="195">
        <f>IFERROR(_xlfn.XLOOKUP(A161,Aktiv!$A:$A,Aktiv!$E:$E,"–"),"")</f>
        <v>580</v>
      </c>
      <c r="E161" s="195">
        <f>IFERROR(_xlfn.XLOOKUP(A161,Aktiv!$A:$A,Aktiv!$F:$F,"–"),"")</f>
        <v>1800</v>
      </c>
      <c r="F161" s="198">
        <f>IFERROR(_xlfn.XLOOKUP(A161,Aktiv!$A:$A,Aktiv!$G:$G,"–"),"")</f>
        <v>184</v>
      </c>
      <c r="G161" s="198">
        <f>IFERROR(_xlfn.XLOOKUP(A161,Aktiv!$A:$A,Aktiv!$H:$H,"–"),"")</f>
        <v>630</v>
      </c>
      <c r="H161" s="198">
        <f>IFERROR(_xlfn.XLOOKUP(A161,Aktiv!$A:$A,Aktiv!$I:$I,"–"),"")</f>
        <v>656</v>
      </c>
      <c r="I161" s="253">
        <f>IFERROR(_xlfn.XLOOKUP(A161,Aktiv!$A:$A,Aktiv!$J:$J,"–"),"")</f>
        <v>730</v>
      </c>
      <c r="J161" s="228">
        <f t="shared" si="14"/>
        <v>2.4239130434782608</v>
      </c>
      <c r="K161" s="236">
        <f t="shared" si="15"/>
        <v>2.5652173913043477</v>
      </c>
      <c r="L161" s="247">
        <f t="shared" si="16"/>
        <v>2.9673913043478262</v>
      </c>
      <c r="M161" s="247">
        <f t="shared" si="17"/>
        <v>4.1269841269841269E-2</v>
      </c>
      <c r="N161" s="247">
        <f t="shared" si="18"/>
        <v>0.15873015873015872</v>
      </c>
      <c r="O161" s="247">
        <f t="shared" si="19"/>
        <v>0.11280487804878049</v>
      </c>
      <c r="P161" s="253">
        <f t="shared" si="20"/>
        <v>550</v>
      </c>
    </row>
    <row r="162" spans="1:16" x14ac:dyDescent="0.25">
      <c r="A162" s="192">
        <v>3112</v>
      </c>
      <c r="B162" s="189" t="str">
        <f>IFERROR(_xlfn.XLOOKUP(A162,Aktiv!$A:$A,Aktiv!$C:$C,"–"),"")</f>
        <v>Seite außen</v>
      </c>
      <c r="C162" s="189" t="str">
        <f>IFERROR(_xlfn.XLOOKUP(A162,Aktiv!$A:$A,Aktiv!$D:$D,"–"),"")</f>
        <v>Seite außen (180x780)</v>
      </c>
      <c r="D162" s="195">
        <f>IFERROR(_xlfn.XLOOKUP(A162,Aktiv!$A:$A,Aktiv!$E:$E,"–"),"")</f>
        <v>180</v>
      </c>
      <c r="E162" s="195">
        <f>IFERROR(_xlfn.XLOOKUP(A162,Aktiv!$A:$A,Aktiv!$F:$F,"–"),"")</f>
        <v>780</v>
      </c>
      <c r="F162" s="198">
        <f>IFERROR(_xlfn.XLOOKUP(A162,Aktiv!$A:$A,Aktiv!$G:$G,"–"),"")</f>
        <v>25</v>
      </c>
      <c r="G162" s="198">
        <f>IFERROR(_xlfn.XLOOKUP(A162,Aktiv!$A:$A,Aktiv!$H:$H,"–"),"")</f>
        <v>103</v>
      </c>
      <c r="H162" s="198">
        <f>IFERROR(_xlfn.XLOOKUP(A162,Aktiv!$A:$A,Aktiv!$I:$I,"–"),"")</f>
        <v>120</v>
      </c>
      <c r="I162" s="253">
        <f>IFERROR(_xlfn.XLOOKUP(A162,Aktiv!$A:$A,Aktiv!$J:$J,"–"),"")</f>
        <v>145</v>
      </c>
      <c r="J162" s="228">
        <f t="shared" si="14"/>
        <v>3.12</v>
      </c>
      <c r="K162" s="236">
        <f t="shared" si="15"/>
        <v>3.8</v>
      </c>
      <c r="L162" s="247">
        <f t="shared" si="16"/>
        <v>4.8</v>
      </c>
      <c r="M162" s="247">
        <f t="shared" si="17"/>
        <v>0.1650485436893204</v>
      </c>
      <c r="N162" s="247">
        <f t="shared" si="18"/>
        <v>0.40776699029126212</v>
      </c>
      <c r="O162" s="247">
        <f t="shared" si="19"/>
        <v>0.20833333333333334</v>
      </c>
      <c r="P162" s="253">
        <f t="shared" si="20"/>
        <v>98</v>
      </c>
    </row>
    <row r="163" spans="1:16" x14ac:dyDescent="0.25">
      <c r="A163" s="192">
        <v>3113</v>
      </c>
      <c r="B163" s="189" t="str">
        <f>IFERROR(_xlfn.XLOOKUP(A163,Aktiv!$A:$A,Aktiv!$C:$C,"–"),"")</f>
        <v>Seite außen</v>
      </c>
      <c r="C163" s="189" t="str">
        <f>IFERROR(_xlfn.XLOOKUP(A163,Aktiv!$A:$A,Aktiv!$D:$D,"–"),"")</f>
        <v>Seite außen (180x980)</v>
      </c>
      <c r="D163" s="195">
        <f>IFERROR(_xlfn.XLOOKUP(A163,Aktiv!$A:$A,Aktiv!$E:$E,"–"),"")</f>
        <v>180</v>
      </c>
      <c r="E163" s="195">
        <f>IFERROR(_xlfn.XLOOKUP(A163,Aktiv!$A:$A,Aktiv!$F:$F,"–"),"")</f>
        <v>980</v>
      </c>
      <c r="F163" s="198">
        <f>IFERROR(_xlfn.XLOOKUP(A163,Aktiv!$A:$A,Aktiv!$G:$G,"–"),"")</f>
        <v>31</v>
      </c>
      <c r="G163" s="198">
        <f>IFERROR(_xlfn.XLOOKUP(A163,Aktiv!$A:$A,Aktiv!$H:$H,"–"),"")</f>
        <v>106</v>
      </c>
      <c r="H163" s="198">
        <f>IFERROR(_xlfn.XLOOKUP(A163,Aktiv!$A:$A,Aktiv!$I:$I,"–"),"")</f>
        <v>120</v>
      </c>
      <c r="I163" s="253">
        <f>IFERROR(_xlfn.XLOOKUP(A163,Aktiv!$A:$A,Aktiv!$J:$J,"–"),"")</f>
        <v>145</v>
      </c>
      <c r="J163" s="228">
        <f t="shared" si="14"/>
        <v>2.4193548387096775</v>
      </c>
      <c r="K163" s="237">
        <f t="shared" si="15"/>
        <v>2.870967741935484</v>
      </c>
      <c r="L163" s="247">
        <f t="shared" si="16"/>
        <v>3.6774193548387095</v>
      </c>
      <c r="M163" s="247">
        <f t="shared" si="17"/>
        <v>0.13207547169811321</v>
      </c>
      <c r="N163" s="247">
        <f t="shared" si="18"/>
        <v>0.36792452830188677</v>
      </c>
      <c r="O163" s="247">
        <f t="shared" si="19"/>
        <v>0.20833333333333334</v>
      </c>
      <c r="P163" s="253">
        <f t="shared" si="20"/>
        <v>101</v>
      </c>
    </row>
    <row r="164" spans="1:16" x14ac:dyDescent="0.25">
      <c r="A164" s="192">
        <v>3114</v>
      </c>
      <c r="B164" s="189" t="str">
        <f>IFERROR(_xlfn.XLOOKUP(A164,Aktiv!$A:$A,Aktiv!$C:$C,"–"),"")</f>
        <v>Seite außen</v>
      </c>
      <c r="C164" s="189" t="str">
        <f>IFERROR(_xlfn.XLOOKUP(A164,Aktiv!$A:$A,Aktiv!$D:$D,"–"),"")</f>
        <v>Seite außen (360x780)</v>
      </c>
      <c r="D164" s="195">
        <f>IFERROR(_xlfn.XLOOKUP(A164,Aktiv!$A:$A,Aktiv!$E:$E,"–"),"")</f>
        <v>360</v>
      </c>
      <c r="E164" s="195">
        <f>IFERROR(_xlfn.XLOOKUP(A164,Aktiv!$A:$A,Aktiv!$F:$F,"–"),"")</f>
        <v>780</v>
      </c>
      <c r="F164" s="198">
        <f>IFERROR(_xlfn.XLOOKUP(A164,Aktiv!$A:$A,Aktiv!$G:$G,"–"),"")</f>
        <v>49</v>
      </c>
      <c r="G164" s="198">
        <f>IFERROR(_xlfn.XLOOKUP(A164,Aktiv!$A:$A,Aktiv!$H:$H,"–"),"")</f>
        <v>169</v>
      </c>
      <c r="H164" s="198">
        <f>IFERROR(_xlfn.XLOOKUP(A164,Aktiv!$A:$A,Aktiv!$I:$I,"–"),"")</f>
        <v>177</v>
      </c>
      <c r="I164" s="253">
        <f>IFERROR(_xlfn.XLOOKUP(A164,Aktiv!$A:$A,Aktiv!$J:$J,"–"),"")</f>
        <v>196</v>
      </c>
      <c r="J164" s="228">
        <f t="shared" si="14"/>
        <v>2.4489795918367347</v>
      </c>
      <c r="K164" s="237">
        <f t="shared" si="15"/>
        <v>2.6122448979591835</v>
      </c>
      <c r="L164" s="247">
        <f t="shared" si="16"/>
        <v>3</v>
      </c>
      <c r="M164" s="247">
        <f t="shared" si="17"/>
        <v>4.7337278106508875E-2</v>
      </c>
      <c r="N164" s="247">
        <f t="shared" si="18"/>
        <v>0.15976331360946747</v>
      </c>
      <c r="O164" s="247">
        <f t="shared" si="19"/>
        <v>0.10734463276836158</v>
      </c>
      <c r="P164" s="253">
        <f t="shared" si="20"/>
        <v>148</v>
      </c>
    </row>
    <row r="165" spans="1:16" x14ac:dyDescent="0.25">
      <c r="A165" s="192">
        <v>3115</v>
      </c>
      <c r="B165" s="189" t="str">
        <f>IFERROR(_xlfn.XLOOKUP(A165,Aktiv!$A:$A,Aktiv!$C:$C,"–"),"")</f>
        <v>Seite außen</v>
      </c>
      <c r="C165" s="189" t="str">
        <f>IFERROR(_xlfn.XLOOKUP(A165,Aktiv!$A:$A,Aktiv!$D:$D,"–"),"")</f>
        <v>Seite außen (360x980)</v>
      </c>
      <c r="D165" s="195">
        <f>IFERROR(_xlfn.XLOOKUP(A165,Aktiv!$A:$A,Aktiv!$E:$E,"–"),"")</f>
        <v>360</v>
      </c>
      <c r="E165" s="195">
        <f>IFERROR(_xlfn.XLOOKUP(A165,Aktiv!$A:$A,Aktiv!$F:$F,"–"),"")</f>
        <v>980</v>
      </c>
      <c r="F165" s="198">
        <f>IFERROR(_xlfn.XLOOKUP(A165,Aktiv!$A:$A,Aktiv!$G:$G,"–"),"")</f>
        <v>62</v>
      </c>
      <c r="G165" s="198">
        <f>IFERROR(_xlfn.XLOOKUP(A165,Aktiv!$A:$A,Aktiv!$H:$H,"–"),"")</f>
        <v>213</v>
      </c>
      <c r="H165" s="198">
        <f>IFERROR(_xlfn.XLOOKUP(A165,Aktiv!$A:$A,Aktiv!$I:$I,"–"),"")</f>
        <v>222</v>
      </c>
      <c r="I165" s="253">
        <f>IFERROR(_xlfn.XLOOKUP(A165,Aktiv!$A:$A,Aktiv!$J:$J,"–"),"")</f>
        <v>247</v>
      </c>
      <c r="J165" s="228">
        <f t="shared" si="14"/>
        <v>2.435483870967742</v>
      </c>
      <c r="K165" s="237">
        <f t="shared" si="15"/>
        <v>2.5806451612903225</v>
      </c>
      <c r="L165" s="247">
        <f t="shared" si="16"/>
        <v>2.9838709677419355</v>
      </c>
      <c r="M165" s="247">
        <f t="shared" si="17"/>
        <v>4.2253521126760563E-2</v>
      </c>
      <c r="N165" s="247">
        <f t="shared" si="18"/>
        <v>0.15962441314553991</v>
      </c>
      <c r="O165" s="247">
        <f t="shared" si="19"/>
        <v>0.11261261261261261</v>
      </c>
      <c r="P165" s="253">
        <f t="shared" si="20"/>
        <v>186</v>
      </c>
    </row>
    <row r="166" spans="1:16" x14ac:dyDescent="0.25">
      <c r="A166" s="192">
        <v>3116</v>
      </c>
      <c r="B166" s="189" t="str">
        <f>IFERROR(_xlfn.XLOOKUP(A166,Aktiv!$A:$A,Aktiv!$C:$C,"–"),"")</f>
        <v>Seite außen</v>
      </c>
      <c r="C166" s="189" t="str">
        <f>IFERROR(_xlfn.XLOOKUP(A166,Aktiv!$A:$A,Aktiv!$D:$D,"–"),"")</f>
        <v>Seite außen (720x780)</v>
      </c>
      <c r="D166" s="195">
        <f>IFERROR(_xlfn.XLOOKUP(A166,Aktiv!$A:$A,Aktiv!$E:$E,"–"),"")</f>
        <v>720</v>
      </c>
      <c r="E166" s="195">
        <f>IFERROR(_xlfn.XLOOKUP(A166,Aktiv!$A:$A,Aktiv!$F:$F,"–"),"")</f>
        <v>780</v>
      </c>
      <c r="F166" s="198">
        <f>IFERROR(_xlfn.XLOOKUP(A166,Aktiv!$A:$A,Aktiv!$G:$G,"–"),"")</f>
        <v>99</v>
      </c>
      <c r="G166" s="198">
        <f>IFERROR(_xlfn.XLOOKUP(A166,Aktiv!$A:$A,Aktiv!$H:$H,"–"),"")</f>
        <v>339</v>
      </c>
      <c r="H166" s="198">
        <f>IFERROR(_xlfn.XLOOKUP(A166,Aktiv!$A:$A,Aktiv!$I:$I,"–"),"")</f>
        <v>353</v>
      </c>
      <c r="I166" s="253">
        <f>IFERROR(_xlfn.XLOOKUP(A166,Aktiv!$A:$A,Aktiv!$J:$J,"–"),"")</f>
        <v>393</v>
      </c>
      <c r="J166" s="228">
        <f t="shared" si="14"/>
        <v>2.4242424242424243</v>
      </c>
      <c r="K166" s="237">
        <f t="shared" si="15"/>
        <v>2.5656565656565657</v>
      </c>
      <c r="L166" s="247">
        <f t="shared" si="16"/>
        <v>2.9696969696969697</v>
      </c>
      <c r="M166" s="247">
        <f t="shared" si="17"/>
        <v>4.1297935103244837E-2</v>
      </c>
      <c r="N166" s="247">
        <f t="shared" si="18"/>
        <v>0.15929203539823009</v>
      </c>
      <c r="O166" s="247">
        <f t="shared" si="19"/>
        <v>0.11331444759206799</v>
      </c>
      <c r="P166" s="253">
        <f t="shared" si="20"/>
        <v>296</v>
      </c>
    </row>
    <row r="167" spans="1:16" x14ac:dyDescent="0.25">
      <c r="A167" s="192">
        <v>3117</v>
      </c>
      <c r="B167" s="189" t="str">
        <f>IFERROR(_xlfn.XLOOKUP(A167,Aktiv!$A:$A,Aktiv!$C:$C,"–"),"")</f>
        <v>Seite außen</v>
      </c>
      <c r="C167" s="189" t="str">
        <f>IFERROR(_xlfn.XLOOKUP(A167,Aktiv!$A:$A,Aktiv!$D:$D,"–"),"")</f>
        <v>Seite außen (720x980)</v>
      </c>
      <c r="D167" s="195">
        <f>IFERROR(_xlfn.XLOOKUP(A167,Aktiv!$A:$A,Aktiv!$E:$E,"–"),"")</f>
        <v>720</v>
      </c>
      <c r="E167" s="195">
        <f>IFERROR(_xlfn.XLOOKUP(A167,Aktiv!$A:$A,Aktiv!$F:$F,"–"),"")</f>
        <v>980</v>
      </c>
      <c r="F167" s="198">
        <f>IFERROR(_xlfn.XLOOKUP(A167,Aktiv!$A:$A,Aktiv!$G:$G,"–"),"")</f>
        <v>124</v>
      </c>
      <c r="G167" s="198">
        <f>IFERROR(_xlfn.XLOOKUP(A167,Aktiv!$A:$A,Aktiv!$H:$H,"–"),"")</f>
        <v>426</v>
      </c>
      <c r="H167" s="198">
        <f>IFERROR(_xlfn.XLOOKUP(A167,Aktiv!$A:$A,Aktiv!$I:$I,"–"),"")</f>
        <v>444</v>
      </c>
      <c r="I167" s="253">
        <f>IFERROR(_xlfn.XLOOKUP(A167,Aktiv!$A:$A,Aktiv!$J:$J,"–"),"")</f>
        <v>494</v>
      </c>
      <c r="J167" s="228">
        <f t="shared" si="14"/>
        <v>2.435483870967742</v>
      </c>
      <c r="K167" s="237">
        <f t="shared" si="15"/>
        <v>2.5806451612903225</v>
      </c>
      <c r="L167" s="247">
        <f t="shared" si="16"/>
        <v>2.9838709677419355</v>
      </c>
      <c r="M167" s="247">
        <f t="shared" si="17"/>
        <v>4.2253521126760563E-2</v>
      </c>
      <c r="N167" s="247">
        <f t="shared" si="18"/>
        <v>0.15962441314553991</v>
      </c>
      <c r="O167" s="247">
        <f t="shared" si="19"/>
        <v>0.11261261261261261</v>
      </c>
      <c r="P167" s="253">
        <f t="shared" si="20"/>
        <v>372</v>
      </c>
    </row>
    <row r="168" spans="1:16" x14ac:dyDescent="0.25">
      <c r="A168" s="192">
        <v>3118</v>
      </c>
      <c r="B168" s="189" t="str">
        <f>IFERROR(_xlfn.XLOOKUP(A168,Aktiv!$A:$A,Aktiv!$C:$C,"–"),"")</f>
        <v>Seite außen</v>
      </c>
      <c r="C168" s="189" t="str">
        <f>IFERROR(_xlfn.XLOOKUP(A168,Aktiv!$A:$A,Aktiv!$D:$D,"–"),"")</f>
        <v>Seite außen (1080x780)</v>
      </c>
      <c r="D168" s="195">
        <f>IFERROR(_xlfn.XLOOKUP(A168,Aktiv!$A:$A,Aktiv!$E:$E,"–"),"")</f>
        <v>1080</v>
      </c>
      <c r="E168" s="195">
        <f>IFERROR(_xlfn.XLOOKUP(A168,Aktiv!$A:$A,Aktiv!$F:$F,"–"),"")</f>
        <v>780</v>
      </c>
      <c r="F168" s="198">
        <f>IFERROR(_xlfn.XLOOKUP(A168,Aktiv!$A:$A,Aktiv!$G:$G,"–"),"")</f>
        <v>148</v>
      </c>
      <c r="G168" s="198">
        <f>IFERROR(_xlfn.XLOOKUP(A168,Aktiv!$A:$A,Aktiv!$H:$H,"–"),"")</f>
        <v>508</v>
      </c>
      <c r="H168" s="198">
        <f>IFERROR(_xlfn.XLOOKUP(A168,Aktiv!$A:$A,Aktiv!$I:$I,"–"),"")</f>
        <v>530</v>
      </c>
      <c r="I168" s="253" t="str">
        <f>IFERROR(_xlfn.XLOOKUP(A168,Aktiv!$A:$A,Aktiv!$J:$J,"–"),"")</f>
        <v>-</v>
      </c>
      <c r="J168" s="228">
        <f t="shared" si="14"/>
        <v>2.4324324324324325</v>
      </c>
      <c r="K168" s="237">
        <f t="shared" si="15"/>
        <v>2.5810810810810811</v>
      </c>
      <c r="L168" s="247" t="str">
        <f t="shared" si="16"/>
        <v>–</v>
      </c>
      <c r="M168" s="247">
        <f t="shared" si="17"/>
        <v>4.3307086614173228E-2</v>
      </c>
      <c r="N168" s="247" t="str">
        <f t="shared" si="18"/>
        <v>–</v>
      </c>
      <c r="O168" s="247" t="str">
        <f t="shared" si="19"/>
        <v>–</v>
      </c>
      <c r="P168" s="253">
        <f t="shared" si="20"/>
        <v>395</v>
      </c>
    </row>
    <row r="169" spans="1:16" x14ac:dyDescent="0.25">
      <c r="A169" s="192">
        <v>3119</v>
      </c>
      <c r="B169" s="189" t="str">
        <f>IFERROR(_xlfn.XLOOKUP(A169,Aktiv!$A:$A,Aktiv!$C:$C,"–"),"")</f>
        <v>Seite außen</v>
      </c>
      <c r="C169" s="189" t="str">
        <f>IFERROR(_xlfn.XLOOKUP(A169,Aktiv!$A:$A,Aktiv!$D:$D,"–"),"")</f>
        <v>Seite außen (1080x980)</v>
      </c>
      <c r="D169" s="195">
        <f>IFERROR(_xlfn.XLOOKUP(A169,Aktiv!$A:$A,Aktiv!$E:$E,"–"),"")</f>
        <v>1080</v>
      </c>
      <c r="E169" s="195">
        <f>IFERROR(_xlfn.XLOOKUP(A169,Aktiv!$A:$A,Aktiv!$F:$F,"–"),"")</f>
        <v>980</v>
      </c>
      <c r="F169" s="198">
        <f>IFERROR(_xlfn.XLOOKUP(A169,Aktiv!$A:$A,Aktiv!$G:$G,"–"),"")</f>
        <v>186</v>
      </c>
      <c r="G169" s="198">
        <f>IFERROR(_xlfn.XLOOKUP(A169,Aktiv!$A:$A,Aktiv!$H:$H,"–"),"")</f>
        <v>639</v>
      </c>
      <c r="H169" s="198">
        <f>IFERROR(_xlfn.XLOOKUP(A169,Aktiv!$A:$A,Aktiv!$I:$I,"–"),"")</f>
        <v>665</v>
      </c>
      <c r="I169" s="253" t="str">
        <f>IFERROR(_xlfn.XLOOKUP(A169,Aktiv!$A:$A,Aktiv!$J:$J,"–"),"")</f>
        <v>-</v>
      </c>
      <c r="J169" s="228">
        <f t="shared" si="14"/>
        <v>2.435483870967742</v>
      </c>
      <c r="K169" s="237">
        <f t="shared" si="15"/>
        <v>2.575268817204301</v>
      </c>
      <c r="L169" s="247" t="str">
        <f t="shared" si="16"/>
        <v>–</v>
      </c>
      <c r="M169" s="247">
        <f t="shared" si="17"/>
        <v>4.0688575899843503E-2</v>
      </c>
      <c r="N169" s="247" t="str">
        <f t="shared" si="18"/>
        <v>–</v>
      </c>
      <c r="O169" s="247" t="str">
        <f t="shared" si="19"/>
        <v>–</v>
      </c>
      <c r="P169" s="253">
        <f t="shared" si="20"/>
        <v>497</v>
      </c>
    </row>
    <row r="170" spans="1:16" x14ac:dyDescent="0.25">
      <c r="A170" s="192">
        <v>3120</v>
      </c>
      <c r="B170" s="189" t="str">
        <f>IFERROR(_xlfn.XLOOKUP(A170,Aktiv!$A:$A,Aktiv!$C:$C,"–"),"")</f>
        <v>Seite außen</v>
      </c>
      <c r="C170" s="189" t="str">
        <f>IFERROR(_xlfn.XLOOKUP(A170,Aktiv!$A:$A,Aktiv!$D:$D,"–"),"")</f>
        <v>Seite außen (1440x780)</v>
      </c>
      <c r="D170" s="195">
        <f>IFERROR(_xlfn.XLOOKUP(A170,Aktiv!$A:$A,Aktiv!$E:$E,"–"),"")</f>
        <v>1440</v>
      </c>
      <c r="E170" s="195">
        <f>IFERROR(_xlfn.XLOOKUP(A170,Aktiv!$A:$A,Aktiv!$F:$F,"–"),"")</f>
        <v>780</v>
      </c>
      <c r="F170" s="198">
        <f>IFERROR(_xlfn.XLOOKUP(A170,Aktiv!$A:$A,Aktiv!$G:$G,"–"),"")</f>
        <v>198</v>
      </c>
      <c r="G170" s="198">
        <f>IFERROR(_xlfn.XLOOKUP(A170,Aktiv!$A:$A,Aktiv!$H:$H,"–"),"")</f>
        <v>678</v>
      </c>
      <c r="H170" s="198">
        <f>IFERROR(_xlfn.XLOOKUP(A170,Aktiv!$A:$A,Aktiv!$I:$I,"–"),"")</f>
        <v>706</v>
      </c>
      <c r="I170" s="253" t="str">
        <f>IFERROR(_xlfn.XLOOKUP(A170,Aktiv!$A:$A,Aktiv!$J:$J,"–"),"")</f>
        <v>-</v>
      </c>
      <c r="J170" s="228">
        <f t="shared" si="14"/>
        <v>2.4242424242424243</v>
      </c>
      <c r="K170" s="236">
        <f t="shared" si="15"/>
        <v>2.5656565656565657</v>
      </c>
      <c r="L170" s="247" t="str">
        <f t="shared" si="16"/>
        <v>–</v>
      </c>
      <c r="M170" s="247">
        <f t="shared" si="17"/>
        <v>4.1297935103244837E-2</v>
      </c>
      <c r="N170" s="247" t="str">
        <f t="shared" si="18"/>
        <v>–</v>
      </c>
      <c r="O170" s="247" t="str">
        <f t="shared" si="19"/>
        <v>–</v>
      </c>
      <c r="P170" s="253">
        <f t="shared" si="20"/>
        <v>527</v>
      </c>
    </row>
    <row r="171" spans="1:16" x14ac:dyDescent="0.25">
      <c r="A171" s="192">
        <v>3121</v>
      </c>
      <c r="B171" s="189" t="str">
        <f>IFERROR(_xlfn.XLOOKUP(A171,Aktiv!$A:$A,Aktiv!$C:$C,"–"),"")</f>
        <v>Seite außen</v>
      </c>
      <c r="C171" s="189" t="str">
        <f>IFERROR(_xlfn.XLOOKUP(A171,Aktiv!$A:$A,Aktiv!$D:$D,"–"),"")</f>
        <v>Seite außen (1440x980)</v>
      </c>
      <c r="D171" s="195">
        <f>IFERROR(_xlfn.XLOOKUP(A171,Aktiv!$A:$A,Aktiv!$E:$E,"–"),"")</f>
        <v>1440</v>
      </c>
      <c r="E171" s="195">
        <f>IFERROR(_xlfn.XLOOKUP(A171,Aktiv!$A:$A,Aktiv!$F:$F,"–"),"")</f>
        <v>980</v>
      </c>
      <c r="F171" s="198">
        <f>IFERROR(_xlfn.XLOOKUP(A171,Aktiv!$A:$A,Aktiv!$G:$G,"–"),"")</f>
        <v>248</v>
      </c>
      <c r="G171" s="198">
        <f>IFERROR(_xlfn.XLOOKUP(A171,Aktiv!$A:$A,Aktiv!$H:$H,"–"),"")</f>
        <v>852</v>
      </c>
      <c r="H171" s="198">
        <f>IFERROR(_xlfn.XLOOKUP(A171,Aktiv!$A:$A,Aktiv!$I:$I,"–"),"")</f>
        <v>887</v>
      </c>
      <c r="I171" s="253" t="str">
        <f>IFERROR(_xlfn.XLOOKUP(A171,Aktiv!$A:$A,Aktiv!$J:$J,"–"),"")</f>
        <v>-</v>
      </c>
      <c r="J171" s="228">
        <f t="shared" si="14"/>
        <v>2.435483870967742</v>
      </c>
      <c r="K171" s="236">
        <f t="shared" si="15"/>
        <v>2.5766129032258065</v>
      </c>
      <c r="L171" s="247" t="str">
        <f t="shared" si="16"/>
        <v>–</v>
      </c>
      <c r="M171" s="247">
        <f t="shared" si="17"/>
        <v>4.1079812206572773E-2</v>
      </c>
      <c r="N171" s="247" t="str">
        <f t="shared" si="18"/>
        <v>–</v>
      </c>
      <c r="O171" s="247" t="str">
        <f t="shared" si="19"/>
        <v>–</v>
      </c>
      <c r="P171" s="253">
        <f t="shared" si="20"/>
        <v>662</v>
      </c>
    </row>
    <row r="172" spans="1:16" x14ac:dyDescent="0.25">
      <c r="A172" s="192">
        <v>3122</v>
      </c>
      <c r="B172" s="189" t="str">
        <f>IFERROR(_xlfn.XLOOKUP(A172,Aktiv!$A:$A,Aktiv!$C:$C,"–"),"")</f>
        <v>Seite außen</v>
      </c>
      <c r="C172" s="189" t="str">
        <f>IFERROR(_xlfn.XLOOKUP(A172,Aktiv!$A:$A,Aktiv!$D:$D,"–"),"")</f>
        <v>Seite außen (1800x780)</v>
      </c>
      <c r="D172" s="195">
        <f>IFERROR(_xlfn.XLOOKUP(A172,Aktiv!$A:$A,Aktiv!$E:$E,"–"),"")</f>
        <v>1800</v>
      </c>
      <c r="E172" s="195">
        <f>IFERROR(_xlfn.XLOOKUP(A172,Aktiv!$A:$A,Aktiv!$F:$F,"–"),"")</f>
        <v>780</v>
      </c>
      <c r="F172" s="198">
        <f>IFERROR(_xlfn.XLOOKUP(A172,Aktiv!$A:$A,Aktiv!$G:$G,"–"),"")</f>
        <v>247</v>
      </c>
      <c r="G172" s="198">
        <f>IFERROR(_xlfn.XLOOKUP(A172,Aktiv!$A:$A,Aktiv!$H:$H,"–"),"")</f>
        <v>847</v>
      </c>
      <c r="H172" s="198">
        <f>IFERROR(_xlfn.XLOOKUP(A172,Aktiv!$A:$A,Aktiv!$I:$I,"–"),"")</f>
        <v>883</v>
      </c>
      <c r="I172" s="253" t="str">
        <f>IFERROR(_xlfn.XLOOKUP(A172,Aktiv!$A:$A,Aktiv!$J:$J,"–"),"")</f>
        <v>-</v>
      </c>
      <c r="J172" s="228">
        <f t="shared" si="14"/>
        <v>2.42914979757085</v>
      </c>
      <c r="K172" s="236">
        <f t="shared" si="15"/>
        <v>2.5748987854251011</v>
      </c>
      <c r="L172" s="247" t="str">
        <f t="shared" si="16"/>
        <v>–</v>
      </c>
      <c r="M172" s="247">
        <f t="shared" si="17"/>
        <v>4.2502951593860687E-2</v>
      </c>
      <c r="N172" s="247" t="str">
        <f t="shared" si="18"/>
        <v>–</v>
      </c>
      <c r="O172" s="247" t="str">
        <f t="shared" si="19"/>
        <v>–</v>
      </c>
      <c r="P172" s="253">
        <f t="shared" si="20"/>
        <v>659</v>
      </c>
    </row>
    <row r="173" spans="1:16" x14ac:dyDescent="0.25">
      <c r="A173" s="192">
        <v>3123</v>
      </c>
      <c r="B173" s="189" t="str">
        <f>IFERROR(_xlfn.XLOOKUP(A173,Aktiv!$A:$A,Aktiv!$C:$C,"–"),"")</f>
        <v>Seite außen</v>
      </c>
      <c r="C173" s="189" t="str">
        <f>IFERROR(_xlfn.XLOOKUP(A173,Aktiv!$A:$A,Aktiv!$D:$D,"–"),"")</f>
        <v>Seite außen (1800x980)</v>
      </c>
      <c r="D173" s="195">
        <f>IFERROR(_xlfn.XLOOKUP(A173,Aktiv!$A:$A,Aktiv!$E:$E,"–"),"")</f>
        <v>1800</v>
      </c>
      <c r="E173" s="195">
        <f>IFERROR(_xlfn.XLOOKUP(A173,Aktiv!$A:$A,Aktiv!$F:$F,"–"),"")</f>
        <v>980</v>
      </c>
      <c r="F173" s="198">
        <f>IFERROR(_xlfn.XLOOKUP(A173,Aktiv!$A:$A,Aktiv!$G:$G,"–"),"")</f>
        <v>310</v>
      </c>
      <c r="G173" s="198">
        <f>IFERROR(_xlfn.XLOOKUP(A173,Aktiv!$A:$A,Aktiv!$H:$H,"–"),"")</f>
        <v>1064</v>
      </c>
      <c r="H173" s="198">
        <f>IFERROR(_xlfn.XLOOKUP(A173,Aktiv!$A:$A,Aktiv!$I:$I,"–"),"")</f>
        <v>1109</v>
      </c>
      <c r="I173" s="253" t="str">
        <f>IFERROR(_xlfn.XLOOKUP(A173,Aktiv!$A:$A,Aktiv!$J:$J,"–"),"")</f>
        <v>-</v>
      </c>
      <c r="J173" s="228">
        <f t="shared" si="14"/>
        <v>2.4322580645161289</v>
      </c>
      <c r="K173" s="236">
        <f t="shared" si="15"/>
        <v>2.5774193548387099</v>
      </c>
      <c r="L173" s="247" t="str">
        <f t="shared" si="16"/>
        <v>–</v>
      </c>
      <c r="M173" s="247">
        <f t="shared" si="17"/>
        <v>4.2293233082706765E-2</v>
      </c>
      <c r="N173" s="247" t="str">
        <f t="shared" si="18"/>
        <v>–</v>
      </c>
      <c r="O173" s="247" t="str">
        <f t="shared" si="19"/>
        <v>–</v>
      </c>
      <c r="P173" s="253">
        <f t="shared" si="20"/>
        <v>828</v>
      </c>
    </row>
    <row r="174" spans="1:16" x14ac:dyDescent="0.25">
      <c r="A174" s="192">
        <v>3124</v>
      </c>
      <c r="B174" s="189" t="str">
        <f>IFERROR(_xlfn.XLOOKUP(A174,Aktiv!$A:$A,Aktiv!$C:$C,"–"),"")</f>
        <v>Seite außen</v>
      </c>
      <c r="C174" s="189" t="str">
        <f>IFERROR(_xlfn.XLOOKUP(A174,Aktiv!$A:$A,Aktiv!$D:$D,"–"),"")</f>
        <v>Seite außen (580x580)</v>
      </c>
      <c r="D174" s="195">
        <f>IFERROR(_xlfn.XLOOKUP(A174,Aktiv!$A:$A,Aktiv!$E:$E,"–"),"")</f>
        <v>580</v>
      </c>
      <c r="E174" s="195">
        <f>IFERROR(_xlfn.XLOOKUP(A174,Aktiv!$A:$A,Aktiv!$F:$F,"–"),"")</f>
        <v>580</v>
      </c>
      <c r="F174" s="198">
        <f>IFERROR(_xlfn.XLOOKUP(A174,Aktiv!$A:$A,Aktiv!$G:$G,"–"),"")</f>
        <v>59</v>
      </c>
      <c r="G174" s="198">
        <f>IFERROR(_xlfn.XLOOKUP(A174,Aktiv!$A:$A,Aktiv!$H:$H,"–"),"")</f>
        <v>203</v>
      </c>
      <c r="H174" s="198">
        <f>IFERROR(_xlfn.XLOOKUP(A174,Aktiv!$A:$A,Aktiv!$I:$I,"–"),"")</f>
        <v>211</v>
      </c>
      <c r="I174" s="253" t="str">
        <f>IFERROR(_xlfn.XLOOKUP(A174,Aktiv!$A:$A,Aktiv!$J:$J,"–"),"")</f>
        <v>-</v>
      </c>
      <c r="J174" s="228">
        <f t="shared" si="14"/>
        <v>2.4406779661016951</v>
      </c>
      <c r="K174" s="237">
        <f t="shared" si="15"/>
        <v>2.5762711864406778</v>
      </c>
      <c r="L174" s="247" t="str">
        <f t="shared" si="16"/>
        <v>–</v>
      </c>
      <c r="M174" s="247">
        <f t="shared" si="17"/>
        <v>3.9408866995073892E-2</v>
      </c>
      <c r="N174" s="247" t="str">
        <f t="shared" si="18"/>
        <v>–</v>
      </c>
      <c r="O174" s="247" t="str">
        <f t="shared" si="19"/>
        <v>–</v>
      </c>
      <c r="P174" s="253">
        <f t="shared" si="20"/>
        <v>158</v>
      </c>
    </row>
    <row r="175" spans="1:16" x14ac:dyDescent="0.25">
      <c r="A175" s="192" t="s">
        <v>53</v>
      </c>
      <c r="B175" s="189" t="str">
        <f>IFERROR(_xlfn.XLOOKUP(A175,Aktiv!$A:$A,Aktiv!$C:$C,"–"),"")</f>
        <v>Seite außen</v>
      </c>
      <c r="C175" s="189" t="str">
        <f>IFERROR(_xlfn.XLOOKUP(A175,Aktiv!$A:$A,Aktiv!$D:$D,"–"),"")</f>
        <v>Seite außen (660x360)</v>
      </c>
      <c r="D175" s="195">
        <f>IFERROR(_xlfn.XLOOKUP(A175,Aktiv!$A:$A,Aktiv!$E:$E,"–"),"")</f>
        <v>660</v>
      </c>
      <c r="E175" s="195">
        <f>IFERROR(_xlfn.XLOOKUP(A175,Aktiv!$A:$A,Aktiv!$F:$F,"–"),"")</f>
        <v>360</v>
      </c>
      <c r="F175" s="198">
        <f>IFERROR(_xlfn.XLOOKUP(A175,Aktiv!$A:$A,Aktiv!$G:$G,"–"),"")</f>
        <v>42</v>
      </c>
      <c r="G175" s="198">
        <f>IFERROR(_xlfn.XLOOKUP(A175,Aktiv!$A:$A,Aktiv!$H:$H,"–"),"")</f>
        <v>143</v>
      </c>
      <c r="H175" s="198">
        <f>IFERROR(_xlfn.XLOOKUP(A175,Aktiv!$A:$A,Aktiv!$I:$I,"–"),"")</f>
        <v>149</v>
      </c>
      <c r="I175" s="253" t="str">
        <f>IFERROR(_xlfn.XLOOKUP(A175,Aktiv!$A:$A,Aktiv!$J:$J,"–"),"")</f>
        <v>-</v>
      </c>
      <c r="J175" s="228">
        <f t="shared" si="14"/>
        <v>2.4047619047619047</v>
      </c>
      <c r="K175" s="237">
        <f t="shared" si="15"/>
        <v>2.5476190476190474</v>
      </c>
      <c r="L175" s="247" t="str">
        <f t="shared" si="16"/>
        <v>–</v>
      </c>
      <c r="M175" s="247">
        <f t="shared" si="17"/>
        <v>4.195804195804196E-2</v>
      </c>
      <c r="N175" s="247" t="str">
        <f t="shared" si="18"/>
        <v>–</v>
      </c>
      <c r="O175" s="247" t="str">
        <f t="shared" si="19"/>
        <v>–</v>
      </c>
      <c r="P175" s="253">
        <f t="shared" si="20"/>
        <v>111</v>
      </c>
    </row>
    <row r="176" spans="1:16" x14ac:dyDescent="0.25">
      <c r="A176" s="206">
        <v>3200</v>
      </c>
      <c r="B176" s="207" t="str">
        <f>IFERROR(_xlfn.XLOOKUP(A176,Aktiv!$A:$A,Aktiv!$C:$C,"–"),"")</f>
        <v>Seite außen SY32</v>
      </c>
      <c r="C176" s="207" t="str">
        <f>IFERROR(_xlfn.XLOOKUP(A176,Aktiv!$A:$A,Aktiv!$D:$D,"–"),"")</f>
        <v>Seite außen SY32 (360x360)</v>
      </c>
      <c r="D176" s="208">
        <f>IFERROR(_xlfn.XLOOKUP(A176,Aktiv!$A:$A,Aktiv!$E:$E,"–"),"")</f>
        <v>360</v>
      </c>
      <c r="E176" s="208">
        <f>IFERROR(_xlfn.XLOOKUP(A176,Aktiv!$A:$A,Aktiv!$F:$F,"–"),"")</f>
        <v>360</v>
      </c>
      <c r="F176" s="209">
        <f>IFERROR(_xlfn.XLOOKUP(A176,Aktiv!$A:$A,Aktiv!$G:$G,"–"),"")</f>
        <v>25</v>
      </c>
      <c r="G176" s="209">
        <f>IFERROR(_xlfn.XLOOKUP(A176,Aktiv!$A:$A,Aktiv!$H:$H,"–"),"")</f>
        <v>103</v>
      </c>
      <c r="H176" s="209">
        <f>IFERROR(_xlfn.XLOOKUP(A176,Aktiv!$A:$A,Aktiv!$I:$I,"–"),"")</f>
        <v>120</v>
      </c>
      <c r="I176" s="254">
        <f>IFERROR(_xlfn.XLOOKUP(A176,Aktiv!$A:$A,Aktiv!$J:$J,"–"),"")</f>
        <v>145</v>
      </c>
      <c r="J176" s="229">
        <f t="shared" si="14"/>
        <v>3.12</v>
      </c>
      <c r="K176" s="239">
        <f t="shared" si="15"/>
        <v>3.8</v>
      </c>
      <c r="L176" s="248">
        <f t="shared" si="16"/>
        <v>4.8</v>
      </c>
      <c r="M176" s="248">
        <f t="shared" si="17"/>
        <v>0.1650485436893204</v>
      </c>
      <c r="N176" s="248">
        <f t="shared" si="18"/>
        <v>0.40776699029126212</v>
      </c>
      <c r="O176" s="248">
        <f t="shared" si="19"/>
        <v>0.20833333333333334</v>
      </c>
      <c r="P176" s="254">
        <f t="shared" si="20"/>
        <v>98</v>
      </c>
    </row>
    <row r="177" spans="1:16" x14ac:dyDescent="0.25">
      <c r="A177" s="193">
        <v>3201</v>
      </c>
      <c r="B177" s="190" t="str">
        <f>IFERROR(_xlfn.XLOOKUP(A177,Aktiv!$A:$A,Aktiv!$C:$C,"–"),"")</f>
        <v>Seite außen SY32</v>
      </c>
      <c r="C177" s="190" t="str">
        <f>IFERROR(_xlfn.XLOOKUP(A177,Aktiv!$A:$A,Aktiv!$D:$D,"–"),"")</f>
        <v>Seite außen SY32 (360x720)</v>
      </c>
      <c r="D177" s="196">
        <f>IFERROR(_xlfn.XLOOKUP(A177,Aktiv!$A:$A,Aktiv!$E:$E,"–"),"")</f>
        <v>360</v>
      </c>
      <c r="E177" s="196">
        <f>IFERROR(_xlfn.XLOOKUP(A177,Aktiv!$A:$A,Aktiv!$F:$F,"–"),"")</f>
        <v>720</v>
      </c>
      <c r="F177" s="199">
        <f>IFERROR(_xlfn.XLOOKUP(A177,Aktiv!$A:$A,Aktiv!$G:$G,"–"),"")</f>
        <v>46</v>
      </c>
      <c r="G177" s="199">
        <f>IFERROR(_xlfn.XLOOKUP(A177,Aktiv!$A:$A,Aktiv!$H:$H,"–"),"")</f>
        <v>156</v>
      </c>
      <c r="H177" s="199">
        <f>IFERROR(_xlfn.XLOOKUP(A177,Aktiv!$A:$A,Aktiv!$I:$I,"–"),"")</f>
        <v>163</v>
      </c>
      <c r="I177" s="255">
        <f>IFERROR(_xlfn.XLOOKUP(A177,Aktiv!$A:$A,Aktiv!$J:$J,"–"),"")</f>
        <v>181</v>
      </c>
      <c r="J177" s="230">
        <f t="shared" si="14"/>
        <v>2.3913043478260869</v>
      </c>
      <c r="K177" s="240">
        <f t="shared" si="15"/>
        <v>2.5434782608695654</v>
      </c>
      <c r="L177" s="249">
        <f t="shared" si="16"/>
        <v>2.9347826086956523</v>
      </c>
      <c r="M177" s="249">
        <f t="shared" si="17"/>
        <v>4.4871794871794872E-2</v>
      </c>
      <c r="N177" s="249">
        <f t="shared" si="18"/>
        <v>0.16025641025641027</v>
      </c>
      <c r="O177" s="249">
        <f t="shared" si="19"/>
        <v>0.11042944785276074</v>
      </c>
      <c r="P177" s="255">
        <f t="shared" si="20"/>
        <v>137</v>
      </c>
    </row>
    <row r="178" spans="1:16" x14ac:dyDescent="0.25">
      <c r="A178" s="193">
        <v>3202</v>
      </c>
      <c r="B178" s="190" t="str">
        <f>IFERROR(_xlfn.XLOOKUP(A178,Aktiv!$A:$A,Aktiv!$C:$C,"–"),"")</f>
        <v>Seite außen SY32</v>
      </c>
      <c r="C178" s="190" t="str">
        <f>IFERROR(_xlfn.XLOOKUP(A178,Aktiv!$A:$A,Aktiv!$D:$D,"–"),"")</f>
        <v>Seite außen SY32 (360x1080)</v>
      </c>
      <c r="D178" s="196">
        <f>IFERROR(_xlfn.XLOOKUP(A178,Aktiv!$A:$A,Aktiv!$E:$E,"–"),"")</f>
        <v>360</v>
      </c>
      <c r="E178" s="196">
        <f>IFERROR(_xlfn.XLOOKUP(A178,Aktiv!$A:$A,Aktiv!$F:$F,"–"),"")</f>
        <v>1080</v>
      </c>
      <c r="F178" s="199">
        <f>IFERROR(_xlfn.XLOOKUP(A178,Aktiv!$A:$A,Aktiv!$G:$G,"–"),"")</f>
        <v>68</v>
      </c>
      <c r="G178" s="199">
        <f>IFERROR(_xlfn.XLOOKUP(A178,Aktiv!$A:$A,Aktiv!$H:$H,"–"),"")</f>
        <v>235</v>
      </c>
      <c r="H178" s="199">
        <f>IFERROR(_xlfn.XLOOKUP(A178,Aktiv!$A:$A,Aktiv!$I:$I,"–"),"")</f>
        <v>244</v>
      </c>
      <c r="I178" s="255">
        <f>IFERROR(_xlfn.XLOOKUP(A178,Aktiv!$A:$A,Aktiv!$J:$J,"–"),"")</f>
        <v>272</v>
      </c>
      <c r="J178" s="230">
        <f t="shared" si="14"/>
        <v>2.4558823529411766</v>
      </c>
      <c r="K178" s="241">
        <f t="shared" si="15"/>
        <v>2.5882352941176472</v>
      </c>
      <c r="L178" s="249">
        <f t="shared" si="16"/>
        <v>3</v>
      </c>
      <c r="M178" s="249">
        <f t="shared" si="17"/>
        <v>3.8297872340425532E-2</v>
      </c>
      <c r="N178" s="249">
        <f t="shared" si="18"/>
        <v>0.1574468085106383</v>
      </c>
      <c r="O178" s="249">
        <f t="shared" si="19"/>
        <v>0.11475409836065574</v>
      </c>
      <c r="P178" s="255">
        <f t="shared" si="20"/>
        <v>205</v>
      </c>
    </row>
    <row r="179" spans="1:16" x14ac:dyDescent="0.25">
      <c r="A179" s="193">
        <v>3203</v>
      </c>
      <c r="B179" s="190" t="str">
        <f>IFERROR(_xlfn.XLOOKUP(A179,Aktiv!$A:$A,Aktiv!$C:$C,"–"),"")</f>
        <v>Seite außen SY32</v>
      </c>
      <c r="C179" s="190" t="str">
        <f>IFERROR(_xlfn.XLOOKUP(A179,Aktiv!$A:$A,Aktiv!$D:$D,"–"),"")</f>
        <v>Seite außen SY32 (360x1440)</v>
      </c>
      <c r="D179" s="196">
        <f>IFERROR(_xlfn.XLOOKUP(A179,Aktiv!$A:$A,Aktiv!$E:$E,"–"),"")</f>
        <v>360</v>
      </c>
      <c r="E179" s="196">
        <f>IFERROR(_xlfn.XLOOKUP(A179,Aktiv!$A:$A,Aktiv!$F:$F,"–"),"")</f>
        <v>1440</v>
      </c>
      <c r="F179" s="199">
        <f>IFERROR(_xlfn.XLOOKUP(A179,Aktiv!$A:$A,Aktiv!$G:$G,"–"),"")</f>
        <v>91</v>
      </c>
      <c r="G179" s="199">
        <f>IFERROR(_xlfn.XLOOKUP(A179,Aktiv!$A:$A,Aktiv!$H:$H,"–"),"")</f>
        <v>313</v>
      </c>
      <c r="H179" s="199">
        <f>IFERROR(_xlfn.XLOOKUP(A179,Aktiv!$A:$A,Aktiv!$I:$I,"–"),"")</f>
        <v>326</v>
      </c>
      <c r="I179" s="255">
        <f>IFERROR(_xlfn.XLOOKUP(A179,Aktiv!$A:$A,Aktiv!$J:$J,"–"),"")</f>
        <v>363</v>
      </c>
      <c r="J179" s="230">
        <f t="shared" si="14"/>
        <v>2.4395604395604398</v>
      </c>
      <c r="K179" s="240">
        <f t="shared" si="15"/>
        <v>2.5824175824175826</v>
      </c>
      <c r="L179" s="249">
        <f t="shared" si="16"/>
        <v>2.9890109890109891</v>
      </c>
      <c r="M179" s="249">
        <f t="shared" si="17"/>
        <v>4.1533546325878593E-2</v>
      </c>
      <c r="N179" s="249">
        <f t="shared" si="18"/>
        <v>0.15974440894568689</v>
      </c>
      <c r="O179" s="249">
        <f t="shared" si="19"/>
        <v>0.11349693251533742</v>
      </c>
      <c r="P179" s="255">
        <f t="shared" si="20"/>
        <v>273</v>
      </c>
    </row>
    <row r="180" spans="1:16" x14ac:dyDescent="0.25">
      <c r="A180" s="193">
        <v>3204</v>
      </c>
      <c r="B180" s="190" t="str">
        <f>IFERROR(_xlfn.XLOOKUP(A180,Aktiv!$A:$A,Aktiv!$C:$C,"–"),"")</f>
        <v>Seite außen SY32</v>
      </c>
      <c r="C180" s="190" t="str">
        <f>IFERROR(_xlfn.XLOOKUP(A180,Aktiv!$A:$A,Aktiv!$D:$D,"–"),"")</f>
        <v>Seite außen SY32 (360x1800)</v>
      </c>
      <c r="D180" s="196">
        <f>IFERROR(_xlfn.XLOOKUP(A180,Aktiv!$A:$A,Aktiv!$E:$E,"–"),"")</f>
        <v>360</v>
      </c>
      <c r="E180" s="196">
        <f>IFERROR(_xlfn.XLOOKUP(A180,Aktiv!$A:$A,Aktiv!$F:$F,"–"),"")</f>
        <v>1800</v>
      </c>
      <c r="F180" s="199">
        <f>IFERROR(_xlfn.XLOOKUP(A180,Aktiv!$A:$A,Aktiv!$G:$G,"–"),"")</f>
        <v>114</v>
      </c>
      <c r="G180" s="199">
        <f>IFERROR(_xlfn.XLOOKUP(A180,Aktiv!$A:$A,Aktiv!$H:$H,"–"),"")</f>
        <v>391</v>
      </c>
      <c r="H180" s="199">
        <f>IFERROR(_xlfn.XLOOKUP(A180,Aktiv!$A:$A,Aktiv!$I:$I,"–"),"")</f>
        <v>407</v>
      </c>
      <c r="I180" s="255">
        <f>IFERROR(_xlfn.XLOOKUP(A180,Aktiv!$A:$A,Aktiv!$J:$J,"–"),"")</f>
        <v>453</v>
      </c>
      <c r="J180" s="230">
        <f t="shared" si="14"/>
        <v>2.4298245614035086</v>
      </c>
      <c r="K180" s="240">
        <f t="shared" si="15"/>
        <v>2.5701754385964914</v>
      </c>
      <c r="L180" s="249">
        <f t="shared" si="16"/>
        <v>2.9736842105263159</v>
      </c>
      <c r="M180" s="249">
        <f t="shared" si="17"/>
        <v>4.0920716112531973E-2</v>
      </c>
      <c r="N180" s="249">
        <f t="shared" si="18"/>
        <v>0.15856777493606139</v>
      </c>
      <c r="O180" s="249">
        <f t="shared" si="19"/>
        <v>0.11302211302211303</v>
      </c>
      <c r="P180" s="255">
        <f t="shared" si="20"/>
        <v>341</v>
      </c>
    </row>
    <row r="181" spans="1:16" x14ac:dyDescent="0.25">
      <c r="A181" s="193">
        <v>3205</v>
      </c>
      <c r="B181" s="190" t="str">
        <f>IFERROR(_xlfn.XLOOKUP(A181,Aktiv!$A:$A,Aktiv!$C:$C,"–"),"")</f>
        <v>Seite außen SY32</v>
      </c>
      <c r="C181" s="190" t="str">
        <f>IFERROR(_xlfn.XLOOKUP(A181,Aktiv!$A:$A,Aktiv!$D:$D,"–"),"")</f>
        <v>Seite außen SY32 (580x360)</v>
      </c>
      <c r="D181" s="196">
        <f>IFERROR(_xlfn.XLOOKUP(A181,Aktiv!$A:$A,Aktiv!$E:$E,"–"),"")</f>
        <v>580</v>
      </c>
      <c r="E181" s="196">
        <f>IFERROR(_xlfn.XLOOKUP(A181,Aktiv!$A:$A,Aktiv!$F:$F,"–"),"")</f>
        <v>360</v>
      </c>
      <c r="F181" s="199">
        <f>IFERROR(_xlfn.XLOOKUP(A181,Aktiv!$A:$A,Aktiv!$G:$G,"–"),"")</f>
        <v>37</v>
      </c>
      <c r="G181" s="199">
        <f>IFERROR(_xlfn.XLOOKUP(A181,Aktiv!$A:$A,Aktiv!$H:$H,"–"),"")</f>
        <v>126</v>
      </c>
      <c r="H181" s="199">
        <f>IFERROR(_xlfn.XLOOKUP(A181,Aktiv!$A:$A,Aktiv!$I:$I,"–"),"")</f>
        <v>131</v>
      </c>
      <c r="I181" s="255">
        <f>IFERROR(_xlfn.XLOOKUP(A181,Aktiv!$A:$A,Aktiv!$J:$J,"–"),"")</f>
        <v>146</v>
      </c>
      <c r="J181" s="230">
        <f t="shared" si="14"/>
        <v>2.4054054054054053</v>
      </c>
      <c r="K181" s="240">
        <f t="shared" si="15"/>
        <v>2.5405405405405403</v>
      </c>
      <c r="L181" s="249">
        <f t="shared" si="16"/>
        <v>2.9459459459459461</v>
      </c>
      <c r="M181" s="249">
        <f t="shared" si="17"/>
        <v>3.968253968253968E-2</v>
      </c>
      <c r="N181" s="249">
        <f t="shared" si="18"/>
        <v>0.15873015873015872</v>
      </c>
      <c r="O181" s="249">
        <f t="shared" si="19"/>
        <v>0.11450381679389313</v>
      </c>
      <c r="P181" s="255">
        <f t="shared" si="20"/>
        <v>110</v>
      </c>
    </row>
    <row r="182" spans="1:16" x14ac:dyDescent="0.25">
      <c r="A182" s="193">
        <v>3206</v>
      </c>
      <c r="B182" s="190" t="str">
        <f>IFERROR(_xlfn.XLOOKUP(A182,Aktiv!$A:$A,Aktiv!$C:$C,"–"),"")</f>
        <v>Seite außen SY32</v>
      </c>
      <c r="C182" s="190" t="str">
        <f>IFERROR(_xlfn.XLOOKUP(A182,Aktiv!$A:$A,Aktiv!$D:$D,"–"),"")</f>
        <v>Seite außen SY32 (580x720)</v>
      </c>
      <c r="D182" s="196">
        <f>IFERROR(_xlfn.XLOOKUP(A182,Aktiv!$A:$A,Aktiv!$E:$E,"–"),"")</f>
        <v>580</v>
      </c>
      <c r="E182" s="196">
        <f>IFERROR(_xlfn.XLOOKUP(A182,Aktiv!$A:$A,Aktiv!$F:$F,"–"),"")</f>
        <v>720</v>
      </c>
      <c r="F182" s="199">
        <f>IFERROR(_xlfn.XLOOKUP(A182,Aktiv!$A:$A,Aktiv!$G:$G,"–"),"")</f>
        <v>73</v>
      </c>
      <c r="G182" s="199">
        <f>IFERROR(_xlfn.XLOOKUP(A182,Aktiv!$A:$A,Aktiv!$H:$H,"–"),"")</f>
        <v>252</v>
      </c>
      <c r="H182" s="199">
        <f>IFERROR(_xlfn.XLOOKUP(A182,Aktiv!$A:$A,Aktiv!$I:$I,"–"),"")</f>
        <v>262</v>
      </c>
      <c r="I182" s="255">
        <f>IFERROR(_xlfn.XLOOKUP(A182,Aktiv!$A:$A,Aktiv!$J:$J,"–"),"")</f>
        <v>292</v>
      </c>
      <c r="J182" s="230">
        <f t="shared" si="14"/>
        <v>2.452054794520548</v>
      </c>
      <c r="K182" s="241">
        <f t="shared" si="15"/>
        <v>2.5890410958904111</v>
      </c>
      <c r="L182" s="249">
        <f t="shared" si="16"/>
        <v>3</v>
      </c>
      <c r="M182" s="249">
        <f t="shared" si="17"/>
        <v>3.968253968253968E-2</v>
      </c>
      <c r="N182" s="249">
        <f t="shared" si="18"/>
        <v>0.15873015873015872</v>
      </c>
      <c r="O182" s="249">
        <f t="shared" si="19"/>
        <v>0.11450381679389313</v>
      </c>
      <c r="P182" s="255">
        <f t="shared" si="20"/>
        <v>220</v>
      </c>
    </row>
    <row r="183" spans="1:16" x14ac:dyDescent="0.25">
      <c r="A183" s="193">
        <v>3207</v>
      </c>
      <c r="B183" s="190" t="str">
        <f>IFERROR(_xlfn.XLOOKUP(A183,Aktiv!$A:$A,Aktiv!$C:$C,"–"),"")</f>
        <v>Seite außen SY32</v>
      </c>
      <c r="C183" s="190" t="str">
        <f>IFERROR(_xlfn.XLOOKUP(A183,Aktiv!$A:$A,Aktiv!$D:$D,"–"),"")</f>
        <v>Seite außen SY32 (580x1080)</v>
      </c>
      <c r="D183" s="196">
        <f>IFERROR(_xlfn.XLOOKUP(A183,Aktiv!$A:$A,Aktiv!$E:$E,"–"),"")</f>
        <v>580</v>
      </c>
      <c r="E183" s="196">
        <f>IFERROR(_xlfn.XLOOKUP(A183,Aktiv!$A:$A,Aktiv!$F:$F,"–"),"")</f>
        <v>1080</v>
      </c>
      <c r="F183" s="199">
        <f>IFERROR(_xlfn.XLOOKUP(A183,Aktiv!$A:$A,Aktiv!$G:$G,"–"),"")</f>
        <v>110</v>
      </c>
      <c r="G183" s="199">
        <f>IFERROR(_xlfn.XLOOKUP(A183,Aktiv!$A:$A,Aktiv!$H:$H,"–"),"")</f>
        <v>378</v>
      </c>
      <c r="H183" s="199">
        <f>IFERROR(_xlfn.XLOOKUP(A183,Aktiv!$A:$A,Aktiv!$I:$I,"–"),"")</f>
        <v>394</v>
      </c>
      <c r="I183" s="255">
        <f>IFERROR(_xlfn.XLOOKUP(A183,Aktiv!$A:$A,Aktiv!$J:$J,"–"),"")</f>
        <v>438</v>
      </c>
      <c r="J183" s="230">
        <f t="shared" si="14"/>
        <v>2.4363636363636365</v>
      </c>
      <c r="K183" s="241">
        <f t="shared" si="15"/>
        <v>2.581818181818182</v>
      </c>
      <c r="L183" s="249">
        <f t="shared" si="16"/>
        <v>2.9818181818181819</v>
      </c>
      <c r="M183" s="249">
        <f t="shared" si="17"/>
        <v>4.2328042328042326E-2</v>
      </c>
      <c r="N183" s="249">
        <f t="shared" si="18"/>
        <v>0.15873015873015872</v>
      </c>
      <c r="O183" s="249">
        <f t="shared" si="19"/>
        <v>0.1116751269035533</v>
      </c>
      <c r="P183" s="255">
        <f t="shared" si="20"/>
        <v>330</v>
      </c>
    </row>
    <row r="184" spans="1:16" x14ac:dyDescent="0.25">
      <c r="A184" s="193">
        <v>3208</v>
      </c>
      <c r="B184" s="190" t="str">
        <f>IFERROR(_xlfn.XLOOKUP(A184,Aktiv!$A:$A,Aktiv!$C:$C,"–"),"")</f>
        <v>Seite außen SY32</v>
      </c>
      <c r="C184" s="190" t="str">
        <f>IFERROR(_xlfn.XLOOKUP(A184,Aktiv!$A:$A,Aktiv!$D:$D,"–"),"")</f>
        <v>Seite außen SY32 (580x1440)</v>
      </c>
      <c r="D184" s="196">
        <f>IFERROR(_xlfn.XLOOKUP(A184,Aktiv!$A:$A,Aktiv!$E:$E,"–"),"")</f>
        <v>580</v>
      </c>
      <c r="E184" s="196">
        <f>IFERROR(_xlfn.XLOOKUP(A184,Aktiv!$A:$A,Aktiv!$F:$F,"–"),"")</f>
        <v>1440</v>
      </c>
      <c r="F184" s="199">
        <f>IFERROR(_xlfn.XLOOKUP(A184,Aktiv!$A:$A,Aktiv!$G:$G,"–"),"")</f>
        <v>147</v>
      </c>
      <c r="G184" s="199">
        <f>IFERROR(_xlfn.XLOOKUP(A184,Aktiv!$A:$A,Aktiv!$H:$H,"–"),"")</f>
        <v>504</v>
      </c>
      <c r="H184" s="199">
        <f>IFERROR(_xlfn.XLOOKUP(A184,Aktiv!$A:$A,Aktiv!$I:$I,"–"),"")</f>
        <v>525</v>
      </c>
      <c r="I184" s="255">
        <f>IFERROR(_xlfn.XLOOKUP(A184,Aktiv!$A:$A,Aktiv!$J:$J,"–"),"")</f>
        <v>584</v>
      </c>
      <c r="J184" s="230">
        <f t="shared" si="14"/>
        <v>2.4285714285714284</v>
      </c>
      <c r="K184" s="240">
        <f t="shared" si="15"/>
        <v>2.5714285714285716</v>
      </c>
      <c r="L184" s="249">
        <f t="shared" si="16"/>
        <v>2.9727891156462585</v>
      </c>
      <c r="M184" s="249">
        <f t="shared" si="17"/>
        <v>4.1666666666666664E-2</v>
      </c>
      <c r="N184" s="249">
        <f t="shared" si="18"/>
        <v>0.15873015873015872</v>
      </c>
      <c r="O184" s="249">
        <f t="shared" si="19"/>
        <v>0.11238095238095239</v>
      </c>
      <c r="P184" s="255">
        <f t="shared" si="20"/>
        <v>440</v>
      </c>
    </row>
    <row r="185" spans="1:16" x14ac:dyDescent="0.25">
      <c r="A185" s="193">
        <v>3209</v>
      </c>
      <c r="B185" s="190" t="str">
        <f>IFERROR(_xlfn.XLOOKUP(A185,Aktiv!$A:$A,Aktiv!$C:$C,"–"),"")</f>
        <v>Seite außen SY32</v>
      </c>
      <c r="C185" s="190" t="str">
        <f>IFERROR(_xlfn.XLOOKUP(A185,Aktiv!$A:$A,Aktiv!$D:$D,"–"),"")</f>
        <v>Seite außen SY32 (580x1800)</v>
      </c>
      <c r="D185" s="196">
        <f>IFERROR(_xlfn.XLOOKUP(A185,Aktiv!$A:$A,Aktiv!$E:$E,"–"),"")</f>
        <v>580</v>
      </c>
      <c r="E185" s="196">
        <f>IFERROR(_xlfn.XLOOKUP(A185,Aktiv!$A:$A,Aktiv!$F:$F,"–"),"")</f>
        <v>1800</v>
      </c>
      <c r="F185" s="199">
        <f>IFERROR(_xlfn.XLOOKUP(A185,Aktiv!$A:$A,Aktiv!$G:$G,"–"),"")</f>
        <v>184</v>
      </c>
      <c r="G185" s="199">
        <f>IFERROR(_xlfn.XLOOKUP(A185,Aktiv!$A:$A,Aktiv!$H:$H,"–"),"")</f>
        <v>630</v>
      </c>
      <c r="H185" s="199">
        <f>IFERROR(_xlfn.XLOOKUP(A185,Aktiv!$A:$A,Aktiv!$I:$I,"–"),"")</f>
        <v>656</v>
      </c>
      <c r="I185" s="255">
        <f>IFERROR(_xlfn.XLOOKUP(A185,Aktiv!$A:$A,Aktiv!$J:$J,"–"),"")</f>
        <v>730</v>
      </c>
      <c r="J185" s="230">
        <f t="shared" si="14"/>
        <v>2.4239130434782608</v>
      </c>
      <c r="K185" s="240">
        <f t="shared" si="15"/>
        <v>2.5652173913043477</v>
      </c>
      <c r="L185" s="249">
        <f t="shared" si="16"/>
        <v>2.9673913043478262</v>
      </c>
      <c r="M185" s="249">
        <f t="shared" si="17"/>
        <v>4.1269841269841269E-2</v>
      </c>
      <c r="N185" s="249">
        <f t="shared" si="18"/>
        <v>0.15873015873015872</v>
      </c>
      <c r="O185" s="249">
        <f t="shared" si="19"/>
        <v>0.11280487804878049</v>
      </c>
      <c r="P185" s="255">
        <f t="shared" si="20"/>
        <v>550</v>
      </c>
    </row>
    <row r="186" spans="1:16" x14ac:dyDescent="0.25">
      <c r="A186" s="193">
        <v>3210</v>
      </c>
      <c r="B186" s="190" t="str">
        <f>IFERROR(_xlfn.XLOOKUP(A186,Aktiv!$A:$A,Aktiv!$C:$C,"–"),"")</f>
        <v>Seite außen SY32</v>
      </c>
      <c r="C186" s="190" t="str">
        <f>IFERROR(_xlfn.XLOOKUP(A186,Aktiv!$A:$A,Aktiv!$D:$D,"–"),"")</f>
        <v>Seite außen SY32 (180x780)</v>
      </c>
      <c r="D186" s="196">
        <f>IFERROR(_xlfn.XLOOKUP(A186,Aktiv!$A:$A,Aktiv!$E:$E,"–"),"")</f>
        <v>180</v>
      </c>
      <c r="E186" s="196">
        <f>IFERROR(_xlfn.XLOOKUP(A186,Aktiv!$A:$A,Aktiv!$F:$F,"–"),"")</f>
        <v>780</v>
      </c>
      <c r="F186" s="199">
        <f>IFERROR(_xlfn.XLOOKUP(A186,Aktiv!$A:$A,Aktiv!$G:$G,"–"),"")</f>
        <v>25</v>
      </c>
      <c r="G186" s="199">
        <f>IFERROR(_xlfn.XLOOKUP(A186,Aktiv!$A:$A,Aktiv!$H:$H,"–"),"")</f>
        <v>103</v>
      </c>
      <c r="H186" s="199">
        <f>IFERROR(_xlfn.XLOOKUP(A186,Aktiv!$A:$A,Aktiv!$I:$I,"–"),"")</f>
        <v>120</v>
      </c>
      <c r="I186" s="255">
        <f>IFERROR(_xlfn.XLOOKUP(A186,Aktiv!$A:$A,Aktiv!$J:$J,"–"),"")</f>
        <v>145</v>
      </c>
      <c r="J186" s="230">
        <f t="shared" si="14"/>
        <v>3.12</v>
      </c>
      <c r="K186" s="240">
        <f t="shared" si="15"/>
        <v>3.8</v>
      </c>
      <c r="L186" s="249">
        <f t="shared" si="16"/>
        <v>4.8</v>
      </c>
      <c r="M186" s="249">
        <f t="shared" si="17"/>
        <v>0.1650485436893204</v>
      </c>
      <c r="N186" s="249">
        <f t="shared" si="18"/>
        <v>0.40776699029126212</v>
      </c>
      <c r="O186" s="249">
        <f t="shared" si="19"/>
        <v>0.20833333333333334</v>
      </c>
      <c r="P186" s="255">
        <f t="shared" si="20"/>
        <v>98</v>
      </c>
    </row>
    <row r="187" spans="1:16" x14ac:dyDescent="0.25">
      <c r="A187" s="193">
        <v>3211</v>
      </c>
      <c r="B187" s="190" t="str">
        <f>IFERROR(_xlfn.XLOOKUP(A187,Aktiv!$A:$A,Aktiv!$C:$C,"–"),"")</f>
        <v>Seite außen SY32</v>
      </c>
      <c r="C187" s="190" t="str">
        <f>IFERROR(_xlfn.XLOOKUP(A187,Aktiv!$A:$A,Aktiv!$D:$D,"–"),"")</f>
        <v>Seite außen SY32 (180x980)</v>
      </c>
      <c r="D187" s="196">
        <f>IFERROR(_xlfn.XLOOKUP(A187,Aktiv!$A:$A,Aktiv!$E:$E,"–"),"")</f>
        <v>180</v>
      </c>
      <c r="E187" s="196">
        <f>IFERROR(_xlfn.XLOOKUP(A187,Aktiv!$A:$A,Aktiv!$F:$F,"–"),"")</f>
        <v>980</v>
      </c>
      <c r="F187" s="199">
        <f>IFERROR(_xlfn.XLOOKUP(A187,Aktiv!$A:$A,Aktiv!$G:$G,"–"),"")</f>
        <v>31</v>
      </c>
      <c r="G187" s="199">
        <f>IFERROR(_xlfn.XLOOKUP(A187,Aktiv!$A:$A,Aktiv!$H:$H,"–"),"")</f>
        <v>106</v>
      </c>
      <c r="H187" s="199">
        <f>IFERROR(_xlfn.XLOOKUP(A187,Aktiv!$A:$A,Aktiv!$I:$I,"–"),"")</f>
        <v>120</v>
      </c>
      <c r="I187" s="255">
        <f>IFERROR(_xlfn.XLOOKUP(A187,Aktiv!$A:$A,Aktiv!$J:$J,"–"),"")</f>
        <v>145</v>
      </c>
      <c r="J187" s="230">
        <f t="shared" si="14"/>
        <v>2.4193548387096775</v>
      </c>
      <c r="K187" s="241">
        <f t="shared" si="15"/>
        <v>2.870967741935484</v>
      </c>
      <c r="L187" s="249">
        <f t="shared" si="16"/>
        <v>3.6774193548387095</v>
      </c>
      <c r="M187" s="249">
        <f t="shared" si="17"/>
        <v>0.13207547169811321</v>
      </c>
      <c r="N187" s="249">
        <f t="shared" si="18"/>
        <v>0.36792452830188677</v>
      </c>
      <c r="O187" s="249">
        <f t="shared" si="19"/>
        <v>0.20833333333333334</v>
      </c>
      <c r="P187" s="255">
        <f t="shared" si="20"/>
        <v>101</v>
      </c>
    </row>
    <row r="188" spans="1:16" x14ac:dyDescent="0.25">
      <c r="A188" s="193">
        <v>3212</v>
      </c>
      <c r="B188" s="190" t="str">
        <f>IFERROR(_xlfn.XLOOKUP(A188,Aktiv!$A:$A,Aktiv!$C:$C,"–"),"")</f>
        <v>Seite außen SY32</v>
      </c>
      <c r="C188" s="190" t="str">
        <f>IFERROR(_xlfn.XLOOKUP(A188,Aktiv!$A:$A,Aktiv!$D:$D,"–"),"")</f>
        <v>Seite außen SY32 (360x780)</v>
      </c>
      <c r="D188" s="196">
        <f>IFERROR(_xlfn.XLOOKUP(A188,Aktiv!$A:$A,Aktiv!$E:$E,"–"),"")</f>
        <v>360</v>
      </c>
      <c r="E188" s="196">
        <f>IFERROR(_xlfn.XLOOKUP(A188,Aktiv!$A:$A,Aktiv!$F:$F,"–"),"")</f>
        <v>780</v>
      </c>
      <c r="F188" s="199">
        <f>IFERROR(_xlfn.XLOOKUP(A188,Aktiv!$A:$A,Aktiv!$G:$G,"–"),"")</f>
        <v>49</v>
      </c>
      <c r="G188" s="199">
        <f>IFERROR(_xlfn.XLOOKUP(A188,Aktiv!$A:$A,Aktiv!$H:$H,"–"),"")</f>
        <v>169</v>
      </c>
      <c r="H188" s="199">
        <f>IFERROR(_xlfn.XLOOKUP(A188,Aktiv!$A:$A,Aktiv!$I:$I,"–"),"")</f>
        <v>177</v>
      </c>
      <c r="I188" s="255">
        <f>IFERROR(_xlfn.XLOOKUP(A188,Aktiv!$A:$A,Aktiv!$J:$J,"–"),"")</f>
        <v>196</v>
      </c>
      <c r="J188" s="230">
        <f t="shared" si="14"/>
        <v>2.4489795918367347</v>
      </c>
      <c r="K188" s="241">
        <f t="shared" si="15"/>
        <v>2.6122448979591835</v>
      </c>
      <c r="L188" s="249">
        <f t="shared" si="16"/>
        <v>3</v>
      </c>
      <c r="M188" s="249">
        <f t="shared" si="17"/>
        <v>4.7337278106508875E-2</v>
      </c>
      <c r="N188" s="249">
        <f t="shared" si="18"/>
        <v>0.15976331360946747</v>
      </c>
      <c r="O188" s="249">
        <f t="shared" si="19"/>
        <v>0.10734463276836158</v>
      </c>
      <c r="P188" s="255">
        <f t="shared" si="20"/>
        <v>148</v>
      </c>
    </row>
    <row r="189" spans="1:16" x14ac:dyDescent="0.25">
      <c r="A189" s="193">
        <v>3213</v>
      </c>
      <c r="B189" s="190" t="str">
        <f>IFERROR(_xlfn.XLOOKUP(A189,Aktiv!$A:$A,Aktiv!$C:$C,"–"),"")</f>
        <v>Seite außen SY32</v>
      </c>
      <c r="C189" s="190" t="str">
        <f>IFERROR(_xlfn.XLOOKUP(A189,Aktiv!$A:$A,Aktiv!$D:$D,"–"),"")</f>
        <v>Seite außen SY32 (360x980)</v>
      </c>
      <c r="D189" s="196">
        <f>IFERROR(_xlfn.XLOOKUP(A189,Aktiv!$A:$A,Aktiv!$E:$E,"–"),"")</f>
        <v>360</v>
      </c>
      <c r="E189" s="196">
        <f>IFERROR(_xlfn.XLOOKUP(A189,Aktiv!$A:$A,Aktiv!$F:$F,"–"),"")</f>
        <v>980</v>
      </c>
      <c r="F189" s="199">
        <f>IFERROR(_xlfn.XLOOKUP(A189,Aktiv!$A:$A,Aktiv!$G:$G,"–"),"")</f>
        <v>62</v>
      </c>
      <c r="G189" s="199">
        <f>IFERROR(_xlfn.XLOOKUP(A189,Aktiv!$A:$A,Aktiv!$H:$H,"–"),"")</f>
        <v>213</v>
      </c>
      <c r="H189" s="199">
        <f>IFERROR(_xlfn.XLOOKUP(A189,Aktiv!$A:$A,Aktiv!$I:$I,"–"),"")</f>
        <v>222</v>
      </c>
      <c r="I189" s="255">
        <f>IFERROR(_xlfn.XLOOKUP(A189,Aktiv!$A:$A,Aktiv!$J:$J,"–"),"")</f>
        <v>247</v>
      </c>
      <c r="J189" s="230">
        <f t="shared" si="14"/>
        <v>2.435483870967742</v>
      </c>
      <c r="K189" s="241">
        <f t="shared" si="15"/>
        <v>2.5806451612903225</v>
      </c>
      <c r="L189" s="249">
        <f t="shared" si="16"/>
        <v>2.9838709677419355</v>
      </c>
      <c r="M189" s="249">
        <f t="shared" si="17"/>
        <v>4.2253521126760563E-2</v>
      </c>
      <c r="N189" s="249">
        <f t="shared" si="18"/>
        <v>0.15962441314553991</v>
      </c>
      <c r="O189" s="249">
        <f t="shared" si="19"/>
        <v>0.11261261261261261</v>
      </c>
      <c r="P189" s="255">
        <f t="shared" si="20"/>
        <v>186</v>
      </c>
    </row>
    <row r="190" spans="1:16" x14ac:dyDescent="0.25">
      <c r="A190" s="193">
        <v>3214</v>
      </c>
      <c r="B190" s="190" t="str">
        <f>IFERROR(_xlfn.XLOOKUP(A190,Aktiv!$A:$A,Aktiv!$C:$C,"–"),"")</f>
        <v>Seite außen SY32</v>
      </c>
      <c r="C190" s="190" t="str">
        <f>IFERROR(_xlfn.XLOOKUP(A190,Aktiv!$A:$A,Aktiv!$D:$D,"–"),"")</f>
        <v>Seite außen SY32 (720x780)</v>
      </c>
      <c r="D190" s="196">
        <f>IFERROR(_xlfn.XLOOKUP(A190,Aktiv!$A:$A,Aktiv!$E:$E,"–"),"")</f>
        <v>720</v>
      </c>
      <c r="E190" s="196">
        <f>IFERROR(_xlfn.XLOOKUP(A190,Aktiv!$A:$A,Aktiv!$F:$F,"–"),"")</f>
        <v>780</v>
      </c>
      <c r="F190" s="199">
        <f>IFERROR(_xlfn.XLOOKUP(A190,Aktiv!$A:$A,Aktiv!$G:$G,"–"),"")</f>
        <v>99</v>
      </c>
      <c r="G190" s="199">
        <f>IFERROR(_xlfn.XLOOKUP(A190,Aktiv!$A:$A,Aktiv!$H:$H,"–"),"")</f>
        <v>339</v>
      </c>
      <c r="H190" s="199">
        <f>IFERROR(_xlfn.XLOOKUP(A190,Aktiv!$A:$A,Aktiv!$I:$I,"–"),"")</f>
        <v>353</v>
      </c>
      <c r="I190" s="255">
        <f>IFERROR(_xlfn.XLOOKUP(A190,Aktiv!$A:$A,Aktiv!$J:$J,"–"),"")</f>
        <v>393</v>
      </c>
      <c r="J190" s="230">
        <f t="shared" si="14"/>
        <v>2.4242424242424243</v>
      </c>
      <c r="K190" s="241">
        <f t="shared" si="15"/>
        <v>2.5656565656565657</v>
      </c>
      <c r="L190" s="249">
        <f t="shared" si="16"/>
        <v>2.9696969696969697</v>
      </c>
      <c r="M190" s="249">
        <f t="shared" si="17"/>
        <v>4.1297935103244837E-2</v>
      </c>
      <c r="N190" s="249">
        <f t="shared" si="18"/>
        <v>0.15929203539823009</v>
      </c>
      <c r="O190" s="249">
        <f t="shared" si="19"/>
        <v>0.11331444759206799</v>
      </c>
      <c r="P190" s="255">
        <f t="shared" si="20"/>
        <v>296</v>
      </c>
    </row>
    <row r="191" spans="1:16" x14ac:dyDescent="0.25">
      <c r="A191" s="193">
        <v>3215</v>
      </c>
      <c r="B191" s="190" t="str">
        <f>IFERROR(_xlfn.XLOOKUP(A191,Aktiv!$A:$A,Aktiv!$C:$C,"–"),"")</f>
        <v>Seite außen SY32</v>
      </c>
      <c r="C191" s="190" t="str">
        <f>IFERROR(_xlfn.XLOOKUP(A191,Aktiv!$A:$A,Aktiv!$D:$D,"–"),"")</f>
        <v>Seite außen SY32 (720x980)</v>
      </c>
      <c r="D191" s="196">
        <f>IFERROR(_xlfn.XLOOKUP(A191,Aktiv!$A:$A,Aktiv!$E:$E,"–"),"")</f>
        <v>720</v>
      </c>
      <c r="E191" s="196">
        <f>IFERROR(_xlfn.XLOOKUP(A191,Aktiv!$A:$A,Aktiv!$F:$F,"–"),"")</f>
        <v>980</v>
      </c>
      <c r="F191" s="199">
        <f>IFERROR(_xlfn.XLOOKUP(A191,Aktiv!$A:$A,Aktiv!$G:$G,"–"),"")</f>
        <v>124</v>
      </c>
      <c r="G191" s="199">
        <f>IFERROR(_xlfn.XLOOKUP(A191,Aktiv!$A:$A,Aktiv!$H:$H,"–"),"")</f>
        <v>426</v>
      </c>
      <c r="H191" s="199">
        <f>IFERROR(_xlfn.XLOOKUP(A191,Aktiv!$A:$A,Aktiv!$I:$I,"–"),"")</f>
        <v>444</v>
      </c>
      <c r="I191" s="255">
        <f>IFERROR(_xlfn.XLOOKUP(A191,Aktiv!$A:$A,Aktiv!$J:$J,"–"),"")</f>
        <v>494</v>
      </c>
      <c r="J191" s="230">
        <f t="shared" si="14"/>
        <v>2.435483870967742</v>
      </c>
      <c r="K191" s="241">
        <f t="shared" si="15"/>
        <v>2.5806451612903225</v>
      </c>
      <c r="L191" s="249">
        <f t="shared" si="16"/>
        <v>2.9838709677419355</v>
      </c>
      <c r="M191" s="249">
        <f t="shared" si="17"/>
        <v>4.2253521126760563E-2</v>
      </c>
      <c r="N191" s="249">
        <f t="shared" si="18"/>
        <v>0.15962441314553991</v>
      </c>
      <c r="O191" s="249">
        <f t="shared" si="19"/>
        <v>0.11261261261261261</v>
      </c>
      <c r="P191" s="255">
        <f t="shared" si="20"/>
        <v>372</v>
      </c>
    </row>
    <row r="192" spans="1:16" x14ac:dyDescent="0.25">
      <c r="A192" s="193">
        <v>3216</v>
      </c>
      <c r="B192" s="190" t="str">
        <f>IFERROR(_xlfn.XLOOKUP(A192,Aktiv!$A:$A,Aktiv!$C:$C,"–"),"")</f>
        <v>Seite außen SY32</v>
      </c>
      <c r="C192" s="190" t="str">
        <f>IFERROR(_xlfn.XLOOKUP(A192,Aktiv!$A:$A,Aktiv!$D:$D,"–"),"")</f>
        <v>Seite außen SY32 (1080x780)</v>
      </c>
      <c r="D192" s="196">
        <f>IFERROR(_xlfn.XLOOKUP(A192,Aktiv!$A:$A,Aktiv!$E:$E,"–"),"")</f>
        <v>1080</v>
      </c>
      <c r="E192" s="196">
        <f>IFERROR(_xlfn.XLOOKUP(A192,Aktiv!$A:$A,Aktiv!$F:$F,"–"),"")</f>
        <v>780</v>
      </c>
      <c r="F192" s="199">
        <f>IFERROR(_xlfn.XLOOKUP(A192,Aktiv!$A:$A,Aktiv!$G:$G,"–"),"")</f>
        <v>148</v>
      </c>
      <c r="G192" s="199">
        <f>IFERROR(_xlfn.XLOOKUP(A192,Aktiv!$A:$A,Aktiv!$H:$H,"–"),"")</f>
        <v>508</v>
      </c>
      <c r="H192" s="199">
        <f>IFERROR(_xlfn.XLOOKUP(A192,Aktiv!$A:$A,Aktiv!$I:$I,"–"),"")</f>
        <v>530</v>
      </c>
      <c r="I192" s="255">
        <f>IFERROR(_xlfn.XLOOKUP(A192,Aktiv!$A:$A,Aktiv!$J:$J,"–"),"")</f>
        <v>589</v>
      </c>
      <c r="J192" s="230">
        <f t="shared" si="14"/>
        <v>2.4324324324324325</v>
      </c>
      <c r="K192" s="241">
        <f t="shared" si="15"/>
        <v>2.5810810810810811</v>
      </c>
      <c r="L192" s="249">
        <f t="shared" si="16"/>
        <v>2.9797297297297298</v>
      </c>
      <c r="M192" s="249">
        <f t="shared" si="17"/>
        <v>4.3307086614173228E-2</v>
      </c>
      <c r="N192" s="249">
        <f t="shared" si="18"/>
        <v>0.15944881889763779</v>
      </c>
      <c r="O192" s="249">
        <f t="shared" si="19"/>
        <v>0.11132075471698114</v>
      </c>
      <c r="P192" s="255">
        <f t="shared" si="20"/>
        <v>444</v>
      </c>
    </row>
    <row r="193" spans="1:16" x14ac:dyDescent="0.25">
      <c r="A193" s="193">
        <v>3217</v>
      </c>
      <c r="B193" s="190" t="str">
        <f>IFERROR(_xlfn.XLOOKUP(A193,Aktiv!$A:$A,Aktiv!$C:$C,"–"),"")</f>
        <v>Seite außen SY32</v>
      </c>
      <c r="C193" s="190" t="str">
        <f>IFERROR(_xlfn.XLOOKUP(A193,Aktiv!$A:$A,Aktiv!$D:$D,"–"),"")</f>
        <v>Seite außen SY32 (1080x980)</v>
      </c>
      <c r="D193" s="196">
        <f>IFERROR(_xlfn.XLOOKUP(A193,Aktiv!$A:$A,Aktiv!$E:$E,"–"),"")</f>
        <v>1080</v>
      </c>
      <c r="E193" s="196">
        <f>IFERROR(_xlfn.XLOOKUP(A193,Aktiv!$A:$A,Aktiv!$F:$F,"–"),"")</f>
        <v>980</v>
      </c>
      <c r="F193" s="199">
        <f>IFERROR(_xlfn.XLOOKUP(A193,Aktiv!$A:$A,Aktiv!$G:$G,"–"),"")</f>
        <v>186</v>
      </c>
      <c r="G193" s="199">
        <f>IFERROR(_xlfn.XLOOKUP(A193,Aktiv!$A:$A,Aktiv!$H:$H,"–"),"")</f>
        <v>639</v>
      </c>
      <c r="H193" s="199">
        <f>IFERROR(_xlfn.XLOOKUP(A193,Aktiv!$A:$A,Aktiv!$I:$I,"–"),"")</f>
        <v>665</v>
      </c>
      <c r="I193" s="255">
        <f>IFERROR(_xlfn.XLOOKUP(A193,Aktiv!$A:$A,Aktiv!$J:$J,"–"),"")</f>
        <v>740</v>
      </c>
      <c r="J193" s="230">
        <f t="shared" si="14"/>
        <v>2.435483870967742</v>
      </c>
      <c r="K193" s="241">
        <f t="shared" si="15"/>
        <v>2.575268817204301</v>
      </c>
      <c r="L193" s="249">
        <f t="shared" si="16"/>
        <v>2.978494623655914</v>
      </c>
      <c r="M193" s="249">
        <f t="shared" si="17"/>
        <v>4.0688575899843503E-2</v>
      </c>
      <c r="N193" s="249">
        <f t="shared" si="18"/>
        <v>0.15805946791862285</v>
      </c>
      <c r="O193" s="249">
        <f t="shared" si="19"/>
        <v>0.11278195488721804</v>
      </c>
      <c r="P193" s="255">
        <f t="shared" si="20"/>
        <v>558</v>
      </c>
    </row>
    <row r="194" spans="1:16" x14ac:dyDescent="0.25">
      <c r="A194" s="193">
        <v>3218</v>
      </c>
      <c r="B194" s="190" t="str">
        <f>IFERROR(_xlfn.XLOOKUP(A194,Aktiv!$A:$A,Aktiv!$C:$C,"–"),"")</f>
        <v>Seite außen SY32</v>
      </c>
      <c r="C194" s="190" t="str">
        <f>IFERROR(_xlfn.XLOOKUP(A194,Aktiv!$A:$A,Aktiv!$D:$D,"–"),"")</f>
        <v>Seite außen SY32 (1440x780)</v>
      </c>
      <c r="D194" s="196">
        <f>IFERROR(_xlfn.XLOOKUP(A194,Aktiv!$A:$A,Aktiv!$E:$E,"–"),"")</f>
        <v>1440</v>
      </c>
      <c r="E194" s="196">
        <f>IFERROR(_xlfn.XLOOKUP(A194,Aktiv!$A:$A,Aktiv!$F:$F,"–"),"")</f>
        <v>780</v>
      </c>
      <c r="F194" s="199">
        <f>IFERROR(_xlfn.XLOOKUP(A194,Aktiv!$A:$A,Aktiv!$G:$G,"–"),"")</f>
        <v>198</v>
      </c>
      <c r="G194" s="199">
        <f>IFERROR(_xlfn.XLOOKUP(A194,Aktiv!$A:$A,Aktiv!$H:$H,"–"),"")</f>
        <v>678</v>
      </c>
      <c r="H194" s="199">
        <f>IFERROR(_xlfn.XLOOKUP(A194,Aktiv!$A:$A,Aktiv!$I:$I,"–"),"")</f>
        <v>706</v>
      </c>
      <c r="I194" s="255">
        <f>IFERROR(_xlfn.XLOOKUP(A194,Aktiv!$A:$A,Aktiv!$J:$J,"–"),"")</f>
        <v>786</v>
      </c>
      <c r="J194" s="230">
        <f t="shared" si="14"/>
        <v>2.4242424242424243</v>
      </c>
      <c r="K194" s="240">
        <f t="shared" si="15"/>
        <v>2.5656565656565657</v>
      </c>
      <c r="L194" s="249">
        <f t="shared" si="16"/>
        <v>2.9696969696969697</v>
      </c>
      <c r="M194" s="249">
        <f t="shared" si="17"/>
        <v>4.1297935103244837E-2</v>
      </c>
      <c r="N194" s="249">
        <f t="shared" si="18"/>
        <v>0.15929203539823009</v>
      </c>
      <c r="O194" s="249">
        <f t="shared" si="19"/>
        <v>0.11331444759206799</v>
      </c>
      <c r="P194" s="255">
        <f t="shared" si="20"/>
        <v>592</v>
      </c>
    </row>
    <row r="195" spans="1:16" x14ac:dyDescent="0.25">
      <c r="A195" s="193">
        <v>3219</v>
      </c>
      <c r="B195" s="190" t="str">
        <f>IFERROR(_xlfn.XLOOKUP(A195,Aktiv!$A:$A,Aktiv!$C:$C,"–"),"")</f>
        <v>Seite außen SY32</v>
      </c>
      <c r="C195" s="190" t="str">
        <f>IFERROR(_xlfn.XLOOKUP(A195,Aktiv!$A:$A,Aktiv!$D:$D,"–"),"")</f>
        <v>Seite außen SY32 (1440x980)</v>
      </c>
      <c r="D195" s="196">
        <f>IFERROR(_xlfn.XLOOKUP(A195,Aktiv!$A:$A,Aktiv!$E:$E,"–"),"")</f>
        <v>1440</v>
      </c>
      <c r="E195" s="196">
        <f>IFERROR(_xlfn.XLOOKUP(A195,Aktiv!$A:$A,Aktiv!$F:$F,"–"),"")</f>
        <v>980</v>
      </c>
      <c r="F195" s="199">
        <f>IFERROR(_xlfn.XLOOKUP(A195,Aktiv!$A:$A,Aktiv!$G:$G,"–"),"")</f>
        <v>248</v>
      </c>
      <c r="G195" s="199">
        <f>IFERROR(_xlfn.XLOOKUP(A195,Aktiv!$A:$A,Aktiv!$H:$H,"–"),"")</f>
        <v>852</v>
      </c>
      <c r="H195" s="199">
        <f>IFERROR(_xlfn.XLOOKUP(A195,Aktiv!$A:$A,Aktiv!$I:$I,"–"),"")</f>
        <v>887</v>
      </c>
      <c r="I195" s="255">
        <f>IFERROR(_xlfn.XLOOKUP(A195,Aktiv!$A:$A,Aktiv!$J:$J,"–"),"")</f>
        <v>987</v>
      </c>
      <c r="J195" s="230">
        <f t="shared" si="14"/>
        <v>2.435483870967742</v>
      </c>
      <c r="K195" s="240">
        <f t="shared" si="15"/>
        <v>2.5766129032258065</v>
      </c>
      <c r="L195" s="249">
        <f t="shared" si="16"/>
        <v>2.9798387096774195</v>
      </c>
      <c r="M195" s="249">
        <f t="shared" si="17"/>
        <v>4.1079812206572773E-2</v>
      </c>
      <c r="N195" s="249">
        <f t="shared" si="18"/>
        <v>0.15845070422535212</v>
      </c>
      <c r="O195" s="249">
        <f t="shared" si="19"/>
        <v>0.11273957158962795</v>
      </c>
      <c r="P195" s="255">
        <f t="shared" si="20"/>
        <v>744</v>
      </c>
    </row>
    <row r="196" spans="1:16" x14ac:dyDescent="0.25">
      <c r="A196" s="193">
        <v>3220</v>
      </c>
      <c r="B196" s="190" t="str">
        <f>IFERROR(_xlfn.XLOOKUP(A196,Aktiv!$A:$A,Aktiv!$C:$C,"–"),"")</f>
        <v>Seite außen SY32</v>
      </c>
      <c r="C196" s="190" t="str">
        <f>IFERROR(_xlfn.XLOOKUP(A196,Aktiv!$A:$A,Aktiv!$D:$D,"–"),"")</f>
        <v>Seite außen SY32 (1800x780)</v>
      </c>
      <c r="D196" s="196">
        <f>IFERROR(_xlfn.XLOOKUP(A196,Aktiv!$A:$A,Aktiv!$E:$E,"–"),"")</f>
        <v>1800</v>
      </c>
      <c r="E196" s="196">
        <f>IFERROR(_xlfn.XLOOKUP(A196,Aktiv!$A:$A,Aktiv!$F:$F,"–"),"")</f>
        <v>780</v>
      </c>
      <c r="F196" s="199">
        <f>IFERROR(_xlfn.XLOOKUP(A196,Aktiv!$A:$A,Aktiv!$G:$G,"–"),"")</f>
        <v>247</v>
      </c>
      <c r="G196" s="199">
        <f>IFERROR(_xlfn.XLOOKUP(A196,Aktiv!$A:$A,Aktiv!$H:$H,"–"),"")</f>
        <v>847</v>
      </c>
      <c r="H196" s="199">
        <f>IFERROR(_xlfn.XLOOKUP(A196,Aktiv!$A:$A,Aktiv!$I:$I,"–"),"")</f>
        <v>883</v>
      </c>
      <c r="I196" s="255">
        <f>IFERROR(_xlfn.XLOOKUP(A196,Aktiv!$A:$A,Aktiv!$J:$J,"–"),"")</f>
        <v>982</v>
      </c>
      <c r="J196" s="230">
        <f t="shared" si="14"/>
        <v>2.42914979757085</v>
      </c>
      <c r="K196" s="240">
        <f t="shared" si="15"/>
        <v>2.5748987854251011</v>
      </c>
      <c r="L196" s="249">
        <f t="shared" si="16"/>
        <v>2.9757085020242915</v>
      </c>
      <c r="M196" s="249">
        <f t="shared" si="17"/>
        <v>4.2502951593860687E-2</v>
      </c>
      <c r="N196" s="249">
        <f t="shared" si="18"/>
        <v>0.15938606847697756</v>
      </c>
      <c r="O196" s="249">
        <f t="shared" si="19"/>
        <v>0.11211778029445074</v>
      </c>
      <c r="P196" s="255">
        <f t="shared" si="20"/>
        <v>740</v>
      </c>
    </row>
    <row r="197" spans="1:16" x14ac:dyDescent="0.25">
      <c r="A197" s="193">
        <v>3221</v>
      </c>
      <c r="B197" s="190" t="str">
        <f>IFERROR(_xlfn.XLOOKUP(A197,Aktiv!$A:$A,Aktiv!$C:$C,"–"),"")</f>
        <v>Seite außen SY32</v>
      </c>
      <c r="C197" s="190" t="str">
        <f>IFERROR(_xlfn.XLOOKUP(A197,Aktiv!$A:$A,Aktiv!$D:$D,"–"),"")</f>
        <v>Seite außen SY32 (1800x980)</v>
      </c>
      <c r="D197" s="196">
        <f>IFERROR(_xlfn.XLOOKUP(A197,Aktiv!$A:$A,Aktiv!$E:$E,"–"),"")</f>
        <v>1800</v>
      </c>
      <c r="E197" s="196">
        <f>IFERROR(_xlfn.XLOOKUP(A197,Aktiv!$A:$A,Aktiv!$F:$F,"–"),"")</f>
        <v>980</v>
      </c>
      <c r="F197" s="199">
        <f>IFERROR(_xlfn.XLOOKUP(A197,Aktiv!$A:$A,Aktiv!$G:$G,"–"),"")</f>
        <v>310</v>
      </c>
      <c r="G197" s="199">
        <f>IFERROR(_xlfn.XLOOKUP(A197,Aktiv!$A:$A,Aktiv!$H:$H,"–"),"")</f>
        <v>1064</v>
      </c>
      <c r="H197" s="199">
        <f>IFERROR(_xlfn.XLOOKUP(A197,Aktiv!$A:$A,Aktiv!$I:$I,"–"),"")</f>
        <v>1109</v>
      </c>
      <c r="I197" s="255">
        <f>IFERROR(_xlfn.XLOOKUP(A197,Aktiv!$A:$A,Aktiv!$J:$J,"–"),"")</f>
        <v>1234</v>
      </c>
      <c r="J197" s="230">
        <f t="shared" ref="J197:J262" si="21">IFERROR(IF(OR(F197=0,G197=0,F197="",G197=""),"-",(G197-F197)/F197),"–")</f>
        <v>2.4322580645161289</v>
      </c>
      <c r="K197" s="240">
        <f t="shared" ref="K197:K262" si="22">IFERROR(IF(OR(F197=0,H197=0,F197="",H197=""),"-",(H197-F197)/F197),"–")</f>
        <v>2.5774193548387099</v>
      </c>
      <c r="L197" s="249">
        <f t="shared" ref="L197:L262" si="23">IFERROR(IF(OR(F197=0,I197=0,F197="",I197=""),"-",(I197-F197)/F197),"–")</f>
        <v>2.9806451612903224</v>
      </c>
      <c r="M197" s="249">
        <f t="shared" ref="M197:M262" si="24">IFERROR(IF(OR(G197=0,H197=0,G197="",H197=""),"-",(H197-G197)/G197),"–")</f>
        <v>4.2293233082706765E-2</v>
      </c>
      <c r="N197" s="249">
        <f t="shared" ref="N197:N262" si="25">IFERROR(IF(OR(G197=0,I197=0,G197="",I197=""),"-",(I197-G197)/G197),"–")</f>
        <v>0.15977443609022557</v>
      </c>
      <c r="O197" s="249">
        <f t="shared" ref="O197:O262" si="26">IFERROR(IF(OR(H197=0,I197=0,H197="",I197=""),"-",(I197-H197)/H197),"–")</f>
        <v>0.1127141568981064</v>
      </c>
      <c r="P197" s="255">
        <f t="shared" ref="P197:P262" si="27">IFERROR(ROUND(AVERAGEIF(F197:I197,"&lt;&gt;0"),0),"–")</f>
        <v>929</v>
      </c>
    </row>
    <row r="198" spans="1:16" x14ac:dyDescent="0.25">
      <c r="A198" s="202">
        <v>3500</v>
      </c>
      <c r="B198" s="203" t="str">
        <f>IFERROR(_xlfn.XLOOKUP(A198,Aktiv!$A:$A,Aktiv!$C:$C,"–"),"")</f>
        <v>Seite innen</v>
      </c>
      <c r="C198" s="203" t="str">
        <f>IFERROR(_xlfn.XLOOKUP(A198,Aktiv!$A:$A,Aktiv!$D:$D,"–"),"")</f>
        <v>Seite innen (360x180)</v>
      </c>
      <c r="D198" s="204">
        <f>IFERROR(_xlfn.XLOOKUP(A198,Aktiv!$A:$A,Aktiv!$E:$E,"–"),"")</f>
        <v>360</v>
      </c>
      <c r="E198" s="204">
        <f>IFERROR(_xlfn.XLOOKUP(A198,Aktiv!$A:$A,Aktiv!$F:$F,"–"),"")</f>
        <v>180</v>
      </c>
      <c r="F198" s="205">
        <f>IFERROR(_xlfn.XLOOKUP(A198,Aktiv!$A:$A,Aktiv!$G:$G,"–"),"")</f>
        <v>25</v>
      </c>
      <c r="G198" s="205">
        <f>IFERROR(_xlfn.XLOOKUP(A198,Aktiv!$A:$A,Aktiv!$H:$H,"–"),"")</f>
        <v>103</v>
      </c>
      <c r="H198" s="205">
        <f>IFERROR(_xlfn.XLOOKUP(A198,Aktiv!$A:$A,Aktiv!$I:$I,"–"),"")</f>
        <v>120</v>
      </c>
      <c r="I198" s="252">
        <f>IFERROR(_xlfn.XLOOKUP(A198,Aktiv!$A:$A,Aktiv!$J:$J,"–"),"")</f>
        <v>145</v>
      </c>
      <c r="J198" s="227">
        <f t="shared" si="21"/>
        <v>3.12</v>
      </c>
      <c r="K198" s="235">
        <f t="shared" si="22"/>
        <v>3.8</v>
      </c>
      <c r="L198" s="246">
        <f t="shared" si="23"/>
        <v>4.8</v>
      </c>
      <c r="M198" s="246">
        <f t="shared" si="24"/>
        <v>0.1650485436893204</v>
      </c>
      <c r="N198" s="246">
        <f t="shared" si="25"/>
        <v>0.40776699029126212</v>
      </c>
      <c r="O198" s="246">
        <f t="shared" si="26"/>
        <v>0.20833333333333334</v>
      </c>
      <c r="P198" s="252">
        <f t="shared" si="27"/>
        <v>98</v>
      </c>
    </row>
    <row r="199" spans="1:16" x14ac:dyDescent="0.25">
      <c r="A199" s="192">
        <v>3501</v>
      </c>
      <c r="B199" s="189" t="str">
        <f>IFERROR(_xlfn.XLOOKUP(A199,Aktiv!$A:$A,Aktiv!$C:$C,"–"),"")</f>
        <v>Seite innen</v>
      </c>
      <c r="C199" s="189" t="str">
        <f>IFERROR(_xlfn.XLOOKUP(A199,Aktiv!$A:$A,Aktiv!$D:$D,"–"),"")</f>
        <v>Seite innen (360x360)</v>
      </c>
      <c r="D199" s="195">
        <f>IFERROR(_xlfn.XLOOKUP(A199,Aktiv!$A:$A,Aktiv!$E:$E,"–"),"")</f>
        <v>360</v>
      </c>
      <c r="E199" s="195">
        <f>IFERROR(_xlfn.XLOOKUP(A199,Aktiv!$A:$A,Aktiv!$F:$F,"–"),"")</f>
        <v>360</v>
      </c>
      <c r="F199" s="198">
        <f>IFERROR(_xlfn.XLOOKUP(A199,Aktiv!$A:$A,Aktiv!$G:$G,"–"),"")</f>
        <v>25</v>
      </c>
      <c r="G199" s="198">
        <f>IFERROR(_xlfn.XLOOKUP(A199,Aktiv!$A:$A,Aktiv!$H:$H,"–"),"")</f>
        <v>103</v>
      </c>
      <c r="H199" s="198">
        <f>IFERROR(_xlfn.XLOOKUP(A199,Aktiv!$A:$A,Aktiv!$I:$I,"–"),"")</f>
        <v>120</v>
      </c>
      <c r="I199" s="253">
        <f>IFERROR(_xlfn.XLOOKUP(A199,Aktiv!$A:$A,Aktiv!$J:$J,"–"),"")</f>
        <v>145</v>
      </c>
      <c r="J199" s="228">
        <f t="shared" si="21"/>
        <v>3.12</v>
      </c>
      <c r="K199" s="236">
        <f t="shared" si="22"/>
        <v>3.8</v>
      </c>
      <c r="L199" s="247">
        <f t="shared" si="23"/>
        <v>4.8</v>
      </c>
      <c r="M199" s="247">
        <f t="shared" si="24"/>
        <v>0.1650485436893204</v>
      </c>
      <c r="N199" s="247">
        <f t="shared" si="25"/>
        <v>0.40776699029126212</v>
      </c>
      <c r="O199" s="247">
        <f t="shared" si="26"/>
        <v>0.20833333333333334</v>
      </c>
      <c r="P199" s="253">
        <f t="shared" si="27"/>
        <v>98</v>
      </c>
    </row>
    <row r="200" spans="1:16" x14ac:dyDescent="0.25">
      <c r="A200" s="192">
        <v>3502</v>
      </c>
      <c r="B200" s="189" t="str">
        <f>IFERROR(_xlfn.XLOOKUP(A200,Aktiv!$A:$A,Aktiv!$C:$C,"–"),"")</f>
        <v>Seite innen</v>
      </c>
      <c r="C200" s="189" t="str">
        <f>IFERROR(_xlfn.XLOOKUP(A200,Aktiv!$A:$A,Aktiv!$D:$D,"–"),"")</f>
        <v>Seite innen (360x720)</v>
      </c>
      <c r="D200" s="195">
        <f>IFERROR(_xlfn.XLOOKUP(A200,Aktiv!$A:$A,Aktiv!$E:$E,"–"),"")</f>
        <v>360</v>
      </c>
      <c r="E200" s="195">
        <f>IFERROR(_xlfn.XLOOKUP(A200,Aktiv!$A:$A,Aktiv!$F:$F,"–"),"")</f>
        <v>720</v>
      </c>
      <c r="F200" s="198">
        <f>IFERROR(_xlfn.XLOOKUP(A200,Aktiv!$A:$A,Aktiv!$G:$G,"–"),"")</f>
        <v>46</v>
      </c>
      <c r="G200" s="198">
        <f>IFERROR(_xlfn.XLOOKUP(A200,Aktiv!$A:$A,Aktiv!$H:$H,"–"),"")</f>
        <v>156</v>
      </c>
      <c r="H200" s="198">
        <f>IFERROR(_xlfn.XLOOKUP(A200,Aktiv!$A:$A,Aktiv!$I:$I,"–"),"")</f>
        <v>163</v>
      </c>
      <c r="I200" s="253">
        <f>IFERROR(_xlfn.XLOOKUP(A200,Aktiv!$A:$A,Aktiv!$J:$J,"–"),"")</f>
        <v>181</v>
      </c>
      <c r="J200" s="228">
        <f t="shared" si="21"/>
        <v>2.3913043478260869</v>
      </c>
      <c r="K200" s="236">
        <f t="shared" si="22"/>
        <v>2.5434782608695654</v>
      </c>
      <c r="L200" s="247">
        <f t="shared" si="23"/>
        <v>2.9347826086956523</v>
      </c>
      <c r="M200" s="247">
        <f t="shared" si="24"/>
        <v>4.4871794871794872E-2</v>
      </c>
      <c r="N200" s="247">
        <f t="shared" si="25"/>
        <v>0.16025641025641027</v>
      </c>
      <c r="O200" s="247">
        <f t="shared" si="26"/>
        <v>0.11042944785276074</v>
      </c>
      <c r="P200" s="253">
        <f t="shared" si="27"/>
        <v>137</v>
      </c>
    </row>
    <row r="201" spans="1:16" x14ac:dyDescent="0.25">
      <c r="A201" s="192">
        <v>3503</v>
      </c>
      <c r="B201" s="189" t="str">
        <f>IFERROR(_xlfn.XLOOKUP(A201,Aktiv!$A:$A,Aktiv!$C:$C,"–"),"")</f>
        <v>Seite innen</v>
      </c>
      <c r="C201" s="189" t="str">
        <f>IFERROR(_xlfn.XLOOKUP(A201,Aktiv!$A:$A,Aktiv!$D:$D,"–"),"")</f>
        <v>Seite innen (360x1080)</v>
      </c>
      <c r="D201" s="195">
        <f>IFERROR(_xlfn.XLOOKUP(A201,Aktiv!$A:$A,Aktiv!$E:$E,"–"),"")</f>
        <v>360</v>
      </c>
      <c r="E201" s="195">
        <f>IFERROR(_xlfn.XLOOKUP(A201,Aktiv!$A:$A,Aktiv!$F:$F,"–"),"")</f>
        <v>1080</v>
      </c>
      <c r="F201" s="198">
        <f>IFERROR(_xlfn.XLOOKUP(A201,Aktiv!$A:$A,Aktiv!$G:$G,"–"),"")</f>
        <v>68</v>
      </c>
      <c r="G201" s="198">
        <f>IFERROR(_xlfn.XLOOKUP(A201,Aktiv!$A:$A,Aktiv!$H:$H,"–"),"")</f>
        <v>235</v>
      </c>
      <c r="H201" s="198">
        <f>IFERROR(_xlfn.XLOOKUP(A201,Aktiv!$A:$A,Aktiv!$I:$I,"–"),"")</f>
        <v>244</v>
      </c>
      <c r="I201" s="253">
        <f>IFERROR(_xlfn.XLOOKUP(A201,Aktiv!$A:$A,Aktiv!$J:$J,"–"),"")</f>
        <v>272</v>
      </c>
      <c r="J201" s="228">
        <f t="shared" si="21"/>
        <v>2.4558823529411766</v>
      </c>
      <c r="K201" s="237">
        <f t="shared" si="22"/>
        <v>2.5882352941176472</v>
      </c>
      <c r="L201" s="247">
        <f t="shared" si="23"/>
        <v>3</v>
      </c>
      <c r="M201" s="247">
        <f t="shared" si="24"/>
        <v>3.8297872340425532E-2</v>
      </c>
      <c r="N201" s="247">
        <f t="shared" si="25"/>
        <v>0.1574468085106383</v>
      </c>
      <c r="O201" s="247">
        <f t="shared" si="26"/>
        <v>0.11475409836065574</v>
      </c>
      <c r="P201" s="253">
        <f t="shared" si="27"/>
        <v>205</v>
      </c>
    </row>
    <row r="202" spans="1:16" x14ac:dyDescent="0.25">
      <c r="A202" s="192">
        <v>3504</v>
      </c>
      <c r="B202" s="189" t="str">
        <f>IFERROR(_xlfn.XLOOKUP(A202,Aktiv!$A:$A,Aktiv!$C:$C,"–"),"")</f>
        <v>Seite innen</v>
      </c>
      <c r="C202" s="189" t="str">
        <f>IFERROR(_xlfn.XLOOKUP(A202,Aktiv!$A:$A,Aktiv!$D:$D,"–"),"")</f>
        <v>Seite innen (360x1440)</v>
      </c>
      <c r="D202" s="195">
        <f>IFERROR(_xlfn.XLOOKUP(A202,Aktiv!$A:$A,Aktiv!$E:$E,"–"),"")</f>
        <v>360</v>
      </c>
      <c r="E202" s="195">
        <f>IFERROR(_xlfn.XLOOKUP(A202,Aktiv!$A:$A,Aktiv!$F:$F,"–"),"")</f>
        <v>1440</v>
      </c>
      <c r="F202" s="198">
        <f>IFERROR(_xlfn.XLOOKUP(A202,Aktiv!$A:$A,Aktiv!$G:$G,"–"),"")</f>
        <v>91</v>
      </c>
      <c r="G202" s="198">
        <f>IFERROR(_xlfn.XLOOKUP(A202,Aktiv!$A:$A,Aktiv!$H:$H,"–"),"")</f>
        <v>313</v>
      </c>
      <c r="H202" s="198">
        <f>IFERROR(_xlfn.XLOOKUP(A202,Aktiv!$A:$A,Aktiv!$I:$I,"–"),"")</f>
        <v>326</v>
      </c>
      <c r="I202" s="253">
        <f>IFERROR(_xlfn.XLOOKUP(A202,Aktiv!$A:$A,Aktiv!$J:$J,"–"),"")</f>
        <v>363</v>
      </c>
      <c r="J202" s="228">
        <f t="shared" si="21"/>
        <v>2.4395604395604398</v>
      </c>
      <c r="K202" s="236">
        <f t="shared" si="22"/>
        <v>2.5824175824175826</v>
      </c>
      <c r="L202" s="247">
        <f t="shared" si="23"/>
        <v>2.9890109890109891</v>
      </c>
      <c r="M202" s="247">
        <f t="shared" si="24"/>
        <v>4.1533546325878593E-2</v>
      </c>
      <c r="N202" s="247">
        <f t="shared" si="25"/>
        <v>0.15974440894568689</v>
      </c>
      <c r="O202" s="247">
        <f t="shared" si="26"/>
        <v>0.11349693251533742</v>
      </c>
      <c r="P202" s="253">
        <f t="shared" si="27"/>
        <v>273</v>
      </c>
    </row>
    <row r="203" spans="1:16" x14ac:dyDescent="0.25">
      <c r="A203" s="192">
        <v>3505</v>
      </c>
      <c r="B203" s="189" t="str">
        <f>IFERROR(_xlfn.XLOOKUP(A203,Aktiv!$A:$A,Aktiv!$C:$C,"–"),"")</f>
        <v>Seite innen</v>
      </c>
      <c r="C203" s="189" t="str">
        <f>IFERROR(_xlfn.XLOOKUP(A203,Aktiv!$A:$A,Aktiv!$D:$D,"–"),"")</f>
        <v>Seite innen (360x1800)</v>
      </c>
      <c r="D203" s="195">
        <f>IFERROR(_xlfn.XLOOKUP(A203,Aktiv!$A:$A,Aktiv!$E:$E,"–"),"")</f>
        <v>360</v>
      </c>
      <c r="E203" s="195">
        <f>IFERROR(_xlfn.XLOOKUP(A203,Aktiv!$A:$A,Aktiv!$F:$F,"–"),"")</f>
        <v>1800</v>
      </c>
      <c r="F203" s="198">
        <f>IFERROR(_xlfn.XLOOKUP(A203,Aktiv!$A:$A,Aktiv!$G:$G,"–"),"")</f>
        <v>114</v>
      </c>
      <c r="G203" s="198">
        <f>IFERROR(_xlfn.XLOOKUP(A203,Aktiv!$A:$A,Aktiv!$H:$H,"–"),"")</f>
        <v>391</v>
      </c>
      <c r="H203" s="198">
        <f>IFERROR(_xlfn.XLOOKUP(A203,Aktiv!$A:$A,Aktiv!$I:$I,"–"),"")</f>
        <v>407</v>
      </c>
      <c r="I203" s="253">
        <f>IFERROR(_xlfn.XLOOKUP(A203,Aktiv!$A:$A,Aktiv!$J:$J,"–"),"")</f>
        <v>453</v>
      </c>
      <c r="J203" s="228">
        <f t="shared" si="21"/>
        <v>2.4298245614035086</v>
      </c>
      <c r="K203" s="236">
        <f t="shared" si="22"/>
        <v>2.5701754385964914</v>
      </c>
      <c r="L203" s="247">
        <f t="shared" si="23"/>
        <v>2.9736842105263159</v>
      </c>
      <c r="M203" s="247">
        <f t="shared" si="24"/>
        <v>4.0920716112531973E-2</v>
      </c>
      <c r="N203" s="247">
        <f t="shared" si="25"/>
        <v>0.15856777493606139</v>
      </c>
      <c r="O203" s="247">
        <f t="shared" si="26"/>
        <v>0.11302211302211303</v>
      </c>
      <c r="P203" s="253">
        <f t="shared" si="27"/>
        <v>341</v>
      </c>
    </row>
    <row r="204" spans="1:16" x14ac:dyDescent="0.25">
      <c r="A204" s="192">
        <v>3506</v>
      </c>
      <c r="B204" s="189" t="str">
        <f>IFERROR(_xlfn.XLOOKUP(A204,Aktiv!$A:$A,Aktiv!$C:$C,"–"),"")</f>
        <v>Seite innen</v>
      </c>
      <c r="C204" s="189" t="str">
        <f>IFERROR(_xlfn.XLOOKUP(A204,Aktiv!$A:$A,Aktiv!$D:$D,"–"),"")</f>
        <v>Seite innen (580x180)</v>
      </c>
      <c r="D204" s="195">
        <f>IFERROR(_xlfn.XLOOKUP(A204,Aktiv!$A:$A,Aktiv!$E:$E,"–"),"")</f>
        <v>580</v>
      </c>
      <c r="E204" s="195">
        <f>IFERROR(_xlfn.XLOOKUP(A204,Aktiv!$A:$A,Aktiv!$F:$F,"–"),"")</f>
        <v>180</v>
      </c>
      <c r="F204" s="198">
        <f>IFERROR(_xlfn.XLOOKUP(A204,Aktiv!$A:$A,Aktiv!$G:$G,"–"),"")</f>
        <v>25</v>
      </c>
      <c r="G204" s="198">
        <f>IFERROR(_xlfn.XLOOKUP(A204,Aktiv!$A:$A,Aktiv!$H:$H,"–"),"")</f>
        <v>103</v>
      </c>
      <c r="H204" s="198">
        <f>IFERROR(_xlfn.XLOOKUP(A204,Aktiv!$A:$A,Aktiv!$I:$I,"–"),"")</f>
        <v>120</v>
      </c>
      <c r="I204" s="253">
        <f>IFERROR(_xlfn.XLOOKUP(A204,Aktiv!$A:$A,Aktiv!$J:$J,"–"),"")</f>
        <v>145</v>
      </c>
      <c r="J204" s="228">
        <f t="shared" si="21"/>
        <v>3.12</v>
      </c>
      <c r="K204" s="236">
        <f t="shared" si="22"/>
        <v>3.8</v>
      </c>
      <c r="L204" s="247">
        <f t="shared" si="23"/>
        <v>4.8</v>
      </c>
      <c r="M204" s="247">
        <f t="shared" si="24"/>
        <v>0.1650485436893204</v>
      </c>
      <c r="N204" s="247">
        <f t="shared" si="25"/>
        <v>0.40776699029126212</v>
      </c>
      <c r="O204" s="247">
        <f t="shared" si="26"/>
        <v>0.20833333333333334</v>
      </c>
      <c r="P204" s="253">
        <f t="shared" si="27"/>
        <v>98</v>
      </c>
    </row>
    <row r="205" spans="1:16" x14ac:dyDescent="0.25">
      <c r="A205" s="192">
        <v>3507</v>
      </c>
      <c r="B205" s="189" t="str">
        <f>IFERROR(_xlfn.XLOOKUP(A205,Aktiv!$A:$A,Aktiv!$C:$C,"–"),"")</f>
        <v>Seite innen</v>
      </c>
      <c r="C205" s="189" t="str">
        <f>IFERROR(_xlfn.XLOOKUP(A205,Aktiv!$A:$A,Aktiv!$D:$D,"–"),"")</f>
        <v>Seite innen (580x360)</v>
      </c>
      <c r="D205" s="195">
        <f>IFERROR(_xlfn.XLOOKUP(A205,Aktiv!$A:$A,Aktiv!$E:$E,"–"),"")</f>
        <v>580</v>
      </c>
      <c r="E205" s="195">
        <f>IFERROR(_xlfn.XLOOKUP(A205,Aktiv!$A:$A,Aktiv!$F:$F,"–"),"")</f>
        <v>360</v>
      </c>
      <c r="F205" s="198">
        <f>IFERROR(_xlfn.XLOOKUP(A205,Aktiv!$A:$A,Aktiv!$G:$G,"–"),"")</f>
        <v>37</v>
      </c>
      <c r="G205" s="198">
        <f>IFERROR(_xlfn.XLOOKUP(A205,Aktiv!$A:$A,Aktiv!$H:$H,"–"),"")</f>
        <v>126</v>
      </c>
      <c r="H205" s="198">
        <f>IFERROR(_xlfn.XLOOKUP(A205,Aktiv!$A:$A,Aktiv!$I:$I,"–"),"")</f>
        <v>131</v>
      </c>
      <c r="I205" s="253">
        <f>IFERROR(_xlfn.XLOOKUP(A205,Aktiv!$A:$A,Aktiv!$J:$J,"–"),"")</f>
        <v>146</v>
      </c>
      <c r="J205" s="228">
        <f t="shared" si="21"/>
        <v>2.4054054054054053</v>
      </c>
      <c r="K205" s="236">
        <f t="shared" si="22"/>
        <v>2.5405405405405403</v>
      </c>
      <c r="L205" s="247">
        <f t="shared" si="23"/>
        <v>2.9459459459459461</v>
      </c>
      <c r="M205" s="247">
        <f t="shared" si="24"/>
        <v>3.968253968253968E-2</v>
      </c>
      <c r="N205" s="247">
        <f t="shared" si="25"/>
        <v>0.15873015873015872</v>
      </c>
      <c r="O205" s="247">
        <f t="shared" si="26"/>
        <v>0.11450381679389313</v>
      </c>
      <c r="P205" s="253">
        <f t="shared" si="27"/>
        <v>110</v>
      </c>
    </row>
    <row r="206" spans="1:16" x14ac:dyDescent="0.25">
      <c r="A206" s="192">
        <v>3508</v>
      </c>
      <c r="B206" s="189" t="str">
        <f>IFERROR(_xlfn.XLOOKUP(A206,Aktiv!$A:$A,Aktiv!$C:$C,"–"),"")</f>
        <v>Seite innen</v>
      </c>
      <c r="C206" s="189" t="str">
        <f>IFERROR(_xlfn.XLOOKUP(A206,Aktiv!$A:$A,Aktiv!$D:$D,"–"),"")</f>
        <v>Seite innen (580x720)</v>
      </c>
      <c r="D206" s="195">
        <f>IFERROR(_xlfn.XLOOKUP(A206,Aktiv!$A:$A,Aktiv!$E:$E,"–"),"")</f>
        <v>580</v>
      </c>
      <c r="E206" s="195">
        <f>IFERROR(_xlfn.XLOOKUP(A206,Aktiv!$A:$A,Aktiv!$F:$F,"–"),"")</f>
        <v>720</v>
      </c>
      <c r="F206" s="198">
        <f>IFERROR(_xlfn.XLOOKUP(A206,Aktiv!$A:$A,Aktiv!$G:$G,"–"),"")</f>
        <v>73</v>
      </c>
      <c r="G206" s="198">
        <f>IFERROR(_xlfn.XLOOKUP(A206,Aktiv!$A:$A,Aktiv!$H:$H,"–"),"")</f>
        <v>252</v>
      </c>
      <c r="H206" s="198">
        <f>IFERROR(_xlfn.XLOOKUP(A206,Aktiv!$A:$A,Aktiv!$I:$I,"–"),"")</f>
        <v>262</v>
      </c>
      <c r="I206" s="253">
        <f>IFERROR(_xlfn.XLOOKUP(A206,Aktiv!$A:$A,Aktiv!$J:$J,"–"),"")</f>
        <v>292</v>
      </c>
      <c r="J206" s="228">
        <f t="shared" si="21"/>
        <v>2.452054794520548</v>
      </c>
      <c r="K206" s="237">
        <f t="shared" si="22"/>
        <v>2.5890410958904111</v>
      </c>
      <c r="L206" s="247">
        <f t="shared" si="23"/>
        <v>3</v>
      </c>
      <c r="M206" s="247">
        <f t="shared" si="24"/>
        <v>3.968253968253968E-2</v>
      </c>
      <c r="N206" s="247">
        <f t="shared" si="25"/>
        <v>0.15873015873015872</v>
      </c>
      <c r="O206" s="247">
        <f t="shared" si="26"/>
        <v>0.11450381679389313</v>
      </c>
      <c r="P206" s="253">
        <f t="shared" si="27"/>
        <v>220</v>
      </c>
    </row>
    <row r="207" spans="1:16" x14ac:dyDescent="0.25">
      <c r="A207" s="192">
        <v>3509</v>
      </c>
      <c r="B207" s="189" t="str">
        <f>IFERROR(_xlfn.XLOOKUP(A207,Aktiv!$A:$A,Aktiv!$C:$C,"–"),"")</f>
        <v>Seite innen</v>
      </c>
      <c r="C207" s="189" t="str">
        <f>IFERROR(_xlfn.XLOOKUP(A207,Aktiv!$A:$A,Aktiv!$D:$D,"–"),"")</f>
        <v>Seite innen (580x1080)</v>
      </c>
      <c r="D207" s="195">
        <f>IFERROR(_xlfn.XLOOKUP(A207,Aktiv!$A:$A,Aktiv!$E:$E,"–"),"")</f>
        <v>580</v>
      </c>
      <c r="E207" s="195">
        <f>IFERROR(_xlfn.XLOOKUP(A207,Aktiv!$A:$A,Aktiv!$F:$F,"–"),"")</f>
        <v>1080</v>
      </c>
      <c r="F207" s="198">
        <f>IFERROR(_xlfn.XLOOKUP(A207,Aktiv!$A:$A,Aktiv!$G:$G,"–"),"")</f>
        <v>110</v>
      </c>
      <c r="G207" s="198">
        <f>IFERROR(_xlfn.XLOOKUP(A207,Aktiv!$A:$A,Aktiv!$H:$H,"–"),"")</f>
        <v>378</v>
      </c>
      <c r="H207" s="198">
        <f>IFERROR(_xlfn.XLOOKUP(A207,Aktiv!$A:$A,Aktiv!$I:$I,"–"),"")</f>
        <v>394</v>
      </c>
      <c r="I207" s="253">
        <f>IFERROR(_xlfn.XLOOKUP(A207,Aktiv!$A:$A,Aktiv!$J:$J,"–"),"")</f>
        <v>438</v>
      </c>
      <c r="J207" s="228">
        <f t="shared" si="21"/>
        <v>2.4363636363636365</v>
      </c>
      <c r="K207" s="237">
        <f t="shared" si="22"/>
        <v>2.581818181818182</v>
      </c>
      <c r="L207" s="247">
        <f t="shared" si="23"/>
        <v>2.9818181818181819</v>
      </c>
      <c r="M207" s="247">
        <f t="shared" si="24"/>
        <v>4.2328042328042326E-2</v>
      </c>
      <c r="N207" s="247">
        <f t="shared" si="25"/>
        <v>0.15873015873015872</v>
      </c>
      <c r="O207" s="247">
        <f t="shared" si="26"/>
        <v>0.1116751269035533</v>
      </c>
      <c r="P207" s="253">
        <f t="shared" si="27"/>
        <v>330</v>
      </c>
    </row>
    <row r="208" spans="1:16" x14ac:dyDescent="0.25">
      <c r="A208" s="192">
        <v>3510</v>
      </c>
      <c r="B208" s="189" t="str">
        <f>IFERROR(_xlfn.XLOOKUP(A208,Aktiv!$A:$A,Aktiv!$C:$C,"–"),"")</f>
        <v>Seite innen</v>
      </c>
      <c r="C208" s="189" t="str">
        <f>IFERROR(_xlfn.XLOOKUP(A208,Aktiv!$A:$A,Aktiv!$D:$D,"–"),"")</f>
        <v>Seite innen (580x1440)</v>
      </c>
      <c r="D208" s="195">
        <f>IFERROR(_xlfn.XLOOKUP(A208,Aktiv!$A:$A,Aktiv!$E:$E,"–"),"")</f>
        <v>580</v>
      </c>
      <c r="E208" s="195">
        <f>IFERROR(_xlfn.XLOOKUP(A208,Aktiv!$A:$A,Aktiv!$F:$F,"–"),"")</f>
        <v>1440</v>
      </c>
      <c r="F208" s="198">
        <f>IFERROR(_xlfn.XLOOKUP(A208,Aktiv!$A:$A,Aktiv!$G:$G,"–"),"")</f>
        <v>147</v>
      </c>
      <c r="G208" s="198">
        <f>IFERROR(_xlfn.XLOOKUP(A208,Aktiv!$A:$A,Aktiv!$H:$H,"–"),"")</f>
        <v>504</v>
      </c>
      <c r="H208" s="198">
        <f>IFERROR(_xlfn.XLOOKUP(A208,Aktiv!$A:$A,Aktiv!$I:$I,"–"),"")</f>
        <v>525</v>
      </c>
      <c r="I208" s="253">
        <f>IFERROR(_xlfn.XLOOKUP(A208,Aktiv!$A:$A,Aktiv!$J:$J,"–"),"")</f>
        <v>584</v>
      </c>
      <c r="J208" s="228">
        <f t="shared" si="21"/>
        <v>2.4285714285714284</v>
      </c>
      <c r="K208" s="236">
        <f t="shared" si="22"/>
        <v>2.5714285714285716</v>
      </c>
      <c r="L208" s="247">
        <f t="shared" si="23"/>
        <v>2.9727891156462585</v>
      </c>
      <c r="M208" s="247">
        <f t="shared" si="24"/>
        <v>4.1666666666666664E-2</v>
      </c>
      <c r="N208" s="247">
        <f t="shared" si="25"/>
        <v>0.15873015873015872</v>
      </c>
      <c r="O208" s="247">
        <f t="shared" si="26"/>
        <v>0.11238095238095239</v>
      </c>
      <c r="P208" s="253">
        <f t="shared" si="27"/>
        <v>440</v>
      </c>
    </row>
    <row r="209" spans="1:16" x14ac:dyDescent="0.25">
      <c r="A209" s="192">
        <v>3511</v>
      </c>
      <c r="B209" s="189" t="str">
        <f>IFERROR(_xlfn.XLOOKUP(A209,Aktiv!$A:$A,Aktiv!$C:$C,"–"),"")</f>
        <v>Seite innen</v>
      </c>
      <c r="C209" s="189" t="str">
        <f>IFERROR(_xlfn.XLOOKUP(A209,Aktiv!$A:$A,Aktiv!$D:$D,"–"),"")</f>
        <v>Seite innen (580x1800)</v>
      </c>
      <c r="D209" s="195">
        <f>IFERROR(_xlfn.XLOOKUP(A209,Aktiv!$A:$A,Aktiv!$E:$E,"–"),"")</f>
        <v>580</v>
      </c>
      <c r="E209" s="195">
        <f>IFERROR(_xlfn.XLOOKUP(A209,Aktiv!$A:$A,Aktiv!$F:$F,"–"),"")</f>
        <v>1800</v>
      </c>
      <c r="F209" s="198">
        <f>IFERROR(_xlfn.XLOOKUP(A209,Aktiv!$A:$A,Aktiv!$G:$G,"–"),"")</f>
        <v>184</v>
      </c>
      <c r="G209" s="198">
        <f>IFERROR(_xlfn.XLOOKUP(A209,Aktiv!$A:$A,Aktiv!$H:$H,"–"),"")</f>
        <v>630</v>
      </c>
      <c r="H209" s="198">
        <f>IFERROR(_xlfn.XLOOKUP(A209,Aktiv!$A:$A,Aktiv!$I:$I,"–"),"")</f>
        <v>656</v>
      </c>
      <c r="I209" s="253">
        <f>IFERROR(_xlfn.XLOOKUP(A209,Aktiv!$A:$A,Aktiv!$J:$J,"–"),"")</f>
        <v>730</v>
      </c>
      <c r="J209" s="228">
        <f t="shared" si="21"/>
        <v>2.4239130434782608</v>
      </c>
      <c r="K209" s="236">
        <f t="shared" si="22"/>
        <v>2.5652173913043477</v>
      </c>
      <c r="L209" s="247">
        <f t="shared" si="23"/>
        <v>2.9673913043478262</v>
      </c>
      <c r="M209" s="247">
        <f t="shared" si="24"/>
        <v>4.1269841269841269E-2</v>
      </c>
      <c r="N209" s="247">
        <f t="shared" si="25"/>
        <v>0.15873015873015872</v>
      </c>
      <c r="O209" s="247">
        <f t="shared" si="26"/>
        <v>0.11280487804878049</v>
      </c>
      <c r="P209" s="253">
        <f t="shared" si="27"/>
        <v>550</v>
      </c>
    </row>
    <row r="210" spans="1:16" x14ac:dyDescent="0.25">
      <c r="A210" s="192">
        <v>3512</v>
      </c>
      <c r="B210" s="189" t="str">
        <f>IFERROR(_xlfn.XLOOKUP(A210,Aktiv!$A:$A,Aktiv!$C:$C,"–"),"")</f>
        <v>Seite innen</v>
      </c>
      <c r="C210" s="189" t="str">
        <f>IFERROR(_xlfn.XLOOKUP(A210,Aktiv!$A:$A,Aktiv!$D:$D,"–"),"")</f>
        <v>Seite innen (180x780)</v>
      </c>
      <c r="D210" s="195">
        <f>IFERROR(_xlfn.XLOOKUP(A210,Aktiv!$A:$A,Aktiv!$E:$E,"–"),"")</f>
        <v>180</v>
      </c>
      <c r="E210" s="195">
        <f>IFERROR(_xlfn.XLOOKUP(A210,Aktiv!$A:$A,Aktiv!$F:$F,"–"),"")</f>
        <v>780</v>
      </c>
      <c r="F210" s="198" t="str">
        <f>IFERROR(_xlfn.XLOOKUP(A210,Aktiv!$A:$A,Aktiv!$G:$G,"–"),"")</f>
        <v>-</v>
      </c>
      <c r="G210" s="198" t="str">
        <f>IFERROR(_xlfn.XLOOKUP(A210,Aktiv!$A:$A,Aktiv!$H:$H,"–"),"")</f>
        <v>-</v>
      </c>
      <c r="H210" s="198" t="str">
        <f>IFERROR(_xlfn.XLOOKUP(A210,Aktiv!$A:$A,Aktiv!$I:$I,"–"),"")</f>
        <v>-</v>
      </c>
      <c r="I210" s="253" t="str">
        <f>IFERROR(_xlfn.XLOOKUP(A210,Aktiv!$A:$A,Aktiv!$J:$J,"–"),"")</f>
        <v>-</v>
      </c>
      <c r="J210" s="228" t="str">
        <f t="shared" si="21"/>
        <v>–</v>
      </c>
      <c r="K210" s="236" t="str">
        <f t="shared" si="22"/>
        <v>–</v>
      </c>
      <c r="L210" s="247" t="str">
        <f t="shared" si="23"/>
        <v>–</v>
      </c>
      <c r="M210" s="247" t="str">
        <f t="shared" si="24"/>
        <v>–</v>
      </c>
      <c r="N210" s="247" t="str">
        <f t="shared" si="25"/>
        <v>–</v>
      </c>
      <c r="O210" s="247" t="str">
        <f t="shared" si="26"/>
        <v>–</v>
      </c>
      <c r="P210" s="253" t="str">
        <f t="shared" si="27"/>
        <v>–</v>
      </c>
    </row>
    <row r="211" spans="1:16" x14ac:dyDescent="0.25">
      <c r="A211" s="192">
        <v>3513</v>
      </c>
      <c r="B211" s="189" t="str">
        <f>IFERROR(_xlfn.XLOOKUP(A211,Aktiv!$A:$A,Aktiv!$C:$C,"–"),"")</f>
        <v>Seite innen</v>
      </c>
      <c r="C211" s="189" t="str">
        <f>IFERROR(_xlfn.XLOOKUP(A211,Aktiv!$A:$A,Aktiv!$D:$D,"–"),"")</f>
        <v>Seite innen (180x980)</v>
      </c>
      <c r="D211" s="195">
        <f>IFERROR(_xlfn.XLOOKUP(A211,Aktiv!$A:$A,Aktiv!$E:$E,"–"),"")</f>
        <v>180</v>
      </c>
      <c r="E211" s="195">
        <f>IFERROR(_xlfn.XLOOKUP(A211,Aktiv!$A:$A,Aktiv!$F:$F,"–"),"")</f>
        <v>980</v>
      </c>
      <c r="F211" s="198" t="str">
        <f>IFERROR(_xlfn.XLOOKUP(A211,Aktiv!$A:$A,Aktiv!$G:$G,"–"),"")</f>
        <v>-</v>
      </c>
      <c r="G211" s="198" t="str">
        <f>IFERROR(_xlfn.XLOOKUP(A211,Aktiv!$A:$A,Aktiv!$H:$H,"–"),"")</f>
        <v>-</v>
      </c>
      <c r="H211" s="198" t="str">
        <f>IFERROR(_xlfn.XLOOKUP(A211,Aktiv!$A:$A,Aktiv!$I:$I,"–"),"")</f>
        <v>-</v>
      </c>
      <c r="I211" s="253" t="str">
        <f>IFERROR(_xlfn.XLOOKUP(A211,Aktiv!$A:$A,Aktiv!$J:$J,"–"),"")</f>
        <v>-</v>
      </c>
      <c r="J211" s="228" t="str">
        <f t="shared" si="21"/>
        <v>–</v>
      </c>
      <c r="K211" s="237" t="str">
        <f t="shared" si="22"/>
        <v>–</v>
      </c>
      <c r="L211" s="247" t="str">
        <f t="shared" si="23"/>
        <v>–</v>
      </c>
      <c r="M211" s="247" t="str">
        <f t="shared" si="24"/>
        <v>–</v>
      </c>
      <c r="N211" s="247" t="str">
        <f t="shared" si="25"/>
        <v>–</v>
      </c>
      <c r="O211" s="247" t="str">
        <f t="shared" si="26"/>
        <v>–</v>
      </c>
      <c r="P211" s="253" t="str">
        <f t="shared" si="27"/>
        <v>–</v>
      </c>
    </row>
    <row r="212" spans="1:16" x14ac:dyDescent="0.25">
      <c r="A212" s="192">
        <v>3514</v>
      </c>
      <c r="B212" s="189" t="str">
        <f>IFERROR(_xlfn.XLOOKUP(A212,Aktiv!$A:$A,Aktiv!$C:$C,"–"),"")</f>
        <v>Seite innen</v>
      </c>
      <c r="C212" s="189" t="str">
        <f>IFERROR(_xlfn.XLOOKUP(A212,Aktiv!$A:$A,Aktiv!$D:$D,"–"),"")</f>
        <v>Seite innen (360x780)</v>
      </c>
      <c r="D212" s="195">
        <f>IFERROR(_xlfn.XLOOKUP(A212,Aktiv!$A:$A,Aktiv!$E:$E,"–"),"")</f>
        <v>360</v>
      </c>
      <c r="E212" s="195">
        <f>IFERROR(_xlfn.XLOOKUP(A212,Aktiv!$A:$A,Aktiv!$F:$F,"–"),"")</f>
        <v>780</v>
      </c>
      <c r="F212" s="198" t="str">
        <f>IFERROR(_xlfn.XLOOKUP(A212,Aktiv!$A:$A,Aktiv!$G:$G,"–"),"")</f>
        <v>-</v>
      </c>
      <c r="G212" s="198" t="str">
        <f>IFERROR(_xlfn.XLOOKUP(A212,Aktiv!$A:$A,Aktiv!$H:$H,"–"),"")</f>
        <v>-</v>
      </c>
      <c r="H212" s="198" t="str">
        <f>IFERROR(_xlfn.XLOOKUP(A212,Aktiv!$A:$A,Aktiv!$I:$I,"–"),"")</f>
        <v>-</v>
      </c>
      <c r="I212" s="253" t="str">
        <f>IFERROR(_xlfn.XLOOKUP(A212,Aktiv!$A:$A,Aktiv!$J:$J,"–"),"")</f>
        <v>-</v>
      </c>
      <c r="J212" s="228" t="str">
        <f t="shared" si="21"/>
        <v>–</v>
      </c>
      <c r="K212" s="237" t="str">
        <f t="shared" si="22"/>
        <v>–</v>
      </c>
      <c r="L212" s="247" t="str">
        <f t="shared" si="23"/>
        <v>–</v>
      </c>
      <c r="M212" s="247" t="str">
        <f t="shared" si="24"/>
        <v>–</v>
      </c>
      <c r="N212" s="247" t="str">
        <f t="shared" si="25"/>
        <v>–</v>
      </c>
      <c r="O212" s="247" t="str">
        <f t="shared" si="26"/>
        <v>–</v>
      </c>
      <c r="P212" s="253" t="str">
        <f t="shared" si="27"/>
        <v>–</v>
      </c>
    </row>
    <row r="213" spans="1:16" x14ac:dyDescent="0.25">
      <c r="A213" s="192">
        <v>3515</v>
      </c>
      <c r="B213" s="189" t="str">
        <f>IFERROR(_xlfn.XLOOKUP(A213,Aktiv!$A:$A,Aktiv!$C:$C,"–"),"")</f>
        <v>Seite innen</v>
      </c>
      <c r="C213" s="189" t="str">
        <f>IFERROR(_xlfn.XLOOKUP(A213,Aktiv!$A:$A,Aktiv!$D:$D,"–"),"")</f>
        <v>Seite innen (360x980)</v>
      </c>
      <c r="D213" s="195">
        <f>IFERROR(_xlfn.XLOOKUP(A213,Aktiv!$A:$A,Aktiv!$E:$E,"–"),"")</f>
        <v>360</v>
      </c>
      <c r="E213" s="195">
        <f>IFERROR(_xlfn.XLOOKUP(A213,Aktiv!$A:$A,Aktiv!$F:$F,"–"),"")</f>
        <v>980</v>
      </c>
      <c r="F213" s="198" t="str">
        <f>IFERROR(_xlfn.XLOOKUP(A213,Aktiv!$A:$A,Aktiv!$G:$G,"–"),"")</f>
        <v>-</v>
      </c>
      <c r="G213" s="198" t="str">
        <f>IFERROR(_xlfn.XLOOKUP(A213,Aktiv!$A:$A,Aktiv!$H:$H,"–"),"")</f>
        <v>-</v>
      </c>
      <c r="H213" s="198" t="str">
        <f>IFERROR(_xlfn.XLOOKUP(A213,Aktiv!$A:$A,Aktiv!$I:$I,"–"),"")</f>
        <v>-</v>
      </c>
      <c r="I213" s="253" t="str">
        <f>IFERROR(_xlfn.XLOOKUP(A213,Aktiv!$A:$A,Aktiv!$J:$J,"–"),"")</f>
        <v>-</v>
      </c>
      <c r="J213" s="228" t="str">
        <f t="shared" si="21"/>
        <v>–</v>
      </c>
      <c r="K213" s="237" t="str">
        <f t="shared" si="22"/>
        <v>–</v>
      </c>
      <c r="L213" s="247" t="str">
        <f t="shared" si="23"/>
        <v>–</v>
      </c>
      <c r="M213" s="247" t="str">
        <f t="shared" si="24"/>
        <v>–</v>
      </c>
      <c r="N213" s="247" t="str">
        <f t="shared" si="25"/>
        <v>–</v>
      </c>
      <c r="O213" s="247" t="str">
        <f t="shared" si="26"/>
        <v>–</v>
      </c>
      <c r="P213" s="253" t="str">
        <f t="shared" si="27"/>
        <v>–</v>
      </c>
    </row>
    <row r="214" spans="1:16" x14ac:dyDescent="0.25">
      <c r="A214" s="192">
        <v>3516</v>
      </c>
      <c r="B214" s="189" t="str">
        <f>IFERROR(_xlfn.XLOOKUP(A214,Aktiv!$A:$A,Aktiv!$C:$C,"–"),"")</f>
        <v>Seite innen</v>
      </c>
      <c r="C214" s="189" t="str">
        <f>IFERROR(_xlfn.XLOOKUP(A214,Aktiv!$A:$A,Aktiv!$D:$D,"–"),"")</f>
        <v>Seite innen (720x780)</v>
      </c>
      <c r="D214" s="195">
        <f>IFERROR(_xlfn.XLOOKUP(A214,Aktiv!$A:$A,Aktiv!$E:$E,"–"),"")</f>
        <v>720</v>
      </c>
      <c r="E214" s="195">
        <f>IFERROR(_xlfn.XLOOKUP(A214,Aktiv!$A:$A,Aktiv!$F:$F,"–"),"")</f>
        <v>780</v>
      </c>
      <c r="F214" s="198" t="str">
        <f>IFERROR(_xlfn.XLOOKUP(A214,Aktiv!$A:$A,Aktiv!$G:$G,"–"),"")</f>
        <v>-</v>
      </c>
      <c r="G214" s="198" t="str">
        <f>IFERROR(_xlfn.XLOOKUP(A214,Aktiv!$A:$A,Aktiv!$H:$H,"–"),"")</f>
        <v>-</v>
      </c>
      <c r="H214" s="198" t="str">
        <f>IFERROR(_xlfn.XLOOKUP(A214,Aktiv!$A:$A,Aktiv!$I:$I,"–"),"")</f>
        <v>-</v>
      </c>
      <c r="I214" s="253" t="str">
        <f>IFERROR(_xlfn.XLOOKUP(A214,Aktiv!$A:$A,Aktiv!$J:$J,"–"),"")</f>
        <v>-</v>
      </c>
      <c r="J214" s="228" t="str">
        <f t="shared" si="21"/>
        <v>–</v>
      </c>
      <c r="K214" s="237" t="str">
        <f t="shared" si="22"/>
        <v>–</v>
      </c>
      <c r="L214" s="247" t="str">
        <f t="shared" si="23"/>
        <v>–</v>
      </c>
      <c r="M214" s="247" t="str">
        <f t="shared" si="24"/>
        <v>–</v>
      </c>
      <c r="N214" s="247" t="str">
        <f t="shared" si="25"/>
        <v>–</v>
      </c>
      <c r="O214" s="247" t="str">
        <f t="shared" si="26"/>
        <v>–</v>
      </c>
      <c r="P214" s="253" t="str">
        <f t="shared" si="27"/>
        <v>–</v>
      </c>
    </row>
    <row r="215" spans="1:16" x14ac:dyDescent="0.25">
      <c r="A215" s="192">
        <v>3517</v>
      </c>
      <c r="B215" s="189" t="str">
        <f>IFERROR(_xlfn.XLOOKUP(A215,Aktiv!$A:$A,Aktiv!$C:$C,"–"),"")</f>
        <v>Seite innen</v>
      </c>
      <c r="C215" s="189" t="str">
        <f>IFERROR(_xlfn.XLOOKUP(A215,Aktiv!$A:$A,Aktiv!$D:$D,"–"),"")</f>
        <v>Seite innen (720x980)</v>
      </c>
      <c r="D215" s="195">
        <f>IFERROR(_xlfn.XLOOKUP(A215,Aktiv!$A:$A,Aktiv!$E:$E,"–"),"")</f>
        <v>720</v>
      </c>
      <c r="E215" s="195">
        <f>IFERROR(_xlfn.XLOOKUP(A215,Aktiv!$A:$A,Aktiv!$F:$F,"–"),"")</f>
        <v>980</v>
      </c>
      <c r="F215" s="198" t="str">
        <f>IFERROR(_xlfn.XLOOKUP(A215,Aktiv!$A:$A,Aktiv!$G:$G,"–"),"")</f>
        <v>-</v>
      </c>
      <c r="G215" s="198" t="str">
        <f>IFERROR(_xlfn.XLOOKUP(A215,Aktiv!$A:$A,Aktiv!$H:$H,"–"),"")</f>
        <v>-</v>
      </c>
      <c r="H215" s="198" t="str">
        <f>IFERROR(_xlfn.XLOOKUP(A215,Aktiv!$A:$A,Aktiv!$I:$I,"–"),"")</f>
        <v>-</v>
      </c>
      <c r="I215" s="253" t="str">
        <f>IFERROR(_xlfn.XLOOKUP(A215,Aktiv!$A:$A,Aktiv!$J:$J,"–"),"")</f>
        <v>-</v>
      </c>
      <c r="J215" s="228" t="str">
        <f t="shared" si="21"/>
        <v>–</v>
      </c>
      <c r="K215" s="237" t="str">
        <f t="shared" si="22"/>
        <v>–</v>
      </c>
      <c r="L215" s="247" t="str">
        <f t="shared" si="23"/>
        <v>–</v>
      </c>
      <c r="M215" s="247" t="str">
        <f t="shared" si="24"/>
        <v>–</v>
      </c>
      <c r="N215" s="247" t="str">
        <f t="shared" si="25"/>
        <v>–</v>
      </c>
      <c r="O215" s="247" t="str">
        <f t="shared" si="26"/>
        <v>–</v>
      </c>
      <c r="P215" s="253" t="str">
        <f t="shared" si="27"/>
        <v>–</v>
      </c>
    </row>
    <row r="216" spans="1:16" x14ac:dyDescent="0.25">
      <c r="A216" s="192">
        <v>3518</v>
      </c>
      <c r="B216" s="189" t="str">
        <f>IFERROR(_xlfn.XLOOKUP(A216,Aktiv!$A:$A,Aktiv!$C:$C,"–"),"")</f>
        <v>Seite innen</v>
      </c>
      <c r="C216" s="189" t="str">
        <f>IFERROR(_xlfn.XLOOKUP(A216,Aktiv!$A:$A,Aktiv!$D:$D,"–"),"")</f>
        <v>Seite innen (1080x780)</v>
      </c>
      <c r="D216" s="195">
        <f>IFERROR(_xlfn.XLOOKUP(A216,Aktiv!$A:$A,Aktiv!$E:$E,"–"),"")</f>
        <v>1080</v>
      </c>
      <c r="E216" s="195">
        <f>IFERROR(_xlfn.XLOOKUP(A216,Aktiv!$A:$A,Aktiv!$F:$F,"–"),"")</f>
        <v>780</v>
      </c>
      <c r="F216" s="198" t="str">
        <f>IFERROR(_xlfn.XLOOKUP(A216,Aktiv!$A:$A,Aktiv!$G:$G,"–"),"")</f>
        <v>-</v>
      </c>
      <c r="G216" s="198" t="str">
        <f>IFERROR(_xlfn.XLOOKUP(A216,Aktiv!$A:$A,Aktiv!$H:$H,"–"),"")</f>
        <v>-</v>
      </c>
      <c r="H216" s="198" t="str">
        <f>IFERROR(_xlfn.XLOOKUP(A216,Aktiv!$A:$A,Aktiv!$I:$I,"–"),"")</f>
        <v>-</v>
      </c>
      <c r="I216" s="253" t="str">
        <f>IFERROR(_xlfn.XLOOKUP(A216,Aktiv!$A:$A,Aktiv!$J:$J,"–"),"")</f>
        <v>-</v>
      </c>
      <c r="J216" s="228" t="str">
        <f t="shared" si="21"/>
        <v>–</v>
      </c>
      <c r="K216" s="237" t="str">
        <f t="shared" si="22"/>
        <v>–</v>
      </c>
      <c r="L216" s="247" t="str">
        <f t="shared" si="23"/>
        <v>–</v>
      </c>
      <c r="M216" s="247" t="str">
        <f t="shared" si="24"/>
        <v>–</v>
      </c>
      <c r="N216" s="247" t="str">
        <f t="shared" si="25"/>
        <v>–</v>
      </c>
      <c r="O216" s="247" t="str">
        <f t="shared" si="26"/>
        <v>–</v>
      </c>
      <c r="P216" s="253" t="str">
        <f t="shared" si="27"/>
        <v>–</v>
      </c>
    </row>
    <row r="217" spans="1:16" x14ac:dyDescent="0.25">
      <c r="A217" s="192">
        <v>3519</v>
      </c>
      <c r="B217" s="189" t="str">
        <f>IFERROR(_xlfn.XLOOKUP(A217,Aktiv!$A:$A,Aktiv!$C:$C,"–"),"")</f>
        <v>Seite innen</v>
      </c>
      <c r="C217" s="189" t="str">
        <f>IFERROR(_xlfn.XLOOKUP(A217,Aktiv!$A:$A,Aktiv!$D:$D,"–"),"")</f>
        <v>Seite innen (1080x980)</v>
      </c>
      <c r="D217" s="195">
        <f>IFERROR(_xlfn.XLOOKUP(A217,Aktiv!$A:$A,Aktiv!$E:$E,"–"),"")</f>
        <v>1080</v>
      </c>
      <c r="E217" s="195">
        <f>IFERROR(_xlfn.XLOOKUP(A217,Aktiv!$A:$A,Aktiv!$F:$F,"–"),"")</f>
        <v>980</v>
      </c>
      <c r="F217" s="198" t="str">
        <f>IFERROR(_xlfn.XLOOKUP(A217,Aktiv!$A:$A,Aktiv!$G:$G,"–"),"")</f>
        <v>-</v>
      </c>
      <c r="G217" s="198" t="str">
        <f>IFERROR(_xlfn.XLOOKUP(A217,Aktiv!$A:$A,Aktiv!$H:$H,"–"),"")</f>
        <v>-</v>
      </c>
      <c r="H217" s="198" t="str">
        <f>IFERROR(_xlfn.XLOOKUP(A217,Aktiv!$A:$A,Aktiv!$I:$I,"–"),"")</f>
        <v>-</v>
      </c>
      <c r="I217" s="253" t="str">
        <f>IFERROR(_xlfn.XLOOKUP(A217,Aktiv!$A:$A,Aktiv!$J:$J,"–"),"")</f>
        <v>-</v>
      </c>
      <c r="J217" s="228" t="str">
        <f t="shared" si="21"/>
        <v>–</v>
      </c>
      <c r="K217" s="237" t="str">
        <f t="shared" si="22"/>
        <v>–</v>
      </c>
      <c r="L217" s="247" t="str">
        <f t="shared" si="23"/>
        <v>–</v>
      </c>
      <c r="M217" s="247" t="str">
        <f t="shared" si="24"/>
        <v>–</v>
      </c>
      <c r="N217" s="247" t="str">
        <f t="shared" si="25"/>
        <v>–</v>
      </c>
      <c r="O217" s="247" t="str">
        <f t="shared" si="26"/>
        <v>–</v>
      </c>
      <c r="P217" s="253" t="str">
        <f t="shared" si="27"/>
        <v>–</v>
      </c>
    </row>
    <row r="218" spans="1:16" x14ac:dyDescent="0.25">
      <c r="A218" s="192">
        <v>3520</v>
      </c>
      <c r="B218" s="189" t="str">
        <f>IFERROR(_xlfn.XLOOKUP(A218,Aktiv!$A:$A,Aktiv!$C:$C,"–"),"")</f>
        <v>Seite innen</v>
      </c>
      <c r="C218" s="189" t="str">
        <f>IFERROR(_xlfn.XLOOKUP(A218,Aktiv!$A:$A,Aktiv!$D:$D,"–"),"")</f>
        <v>Seite innen (1440x780)</v>
      </c>
      <c r="D218" s="195">
        <f>IFERROR(_xlfn.XLOOKUP(A218,Aktiv!$A:$A,Aktiv!$E:$E,"–"),"")</f>
        <v>1440</v>
      </c>
      <c r="E218" s="195">
        <f>IFERROR(_xlfn.XLOOKUP(A218,Aktiv!$A:$A,Aktiv!$F:$F,"–"),"")</f>
        <v>780</v>
      </c>
      <c r="F218" s="198" t="str">
        <f>IFERROR(_xlfn.XLOOKUP(A218,Aktiv!$A:$A,Aktiv!$G:$G,"–"),"")</f>
        <v>-</v>
      </c>
      <c r="G218" s="198" t="str">
        <f>IFERROR(_xlfn.XLOOKUP(A218,Aktiv!$A:$A,Aktiv!$H:$H,"–"),"")</f>
        <v>-</v>
      </c>
      <c r="H218" s="198" t="str">
        <f>IFERROR(_xlfn.XLOOKUP(A218,Aktiv!$A:$A,Aktiv!$I:$I,"–"),"")</f>
        <v>-</v>
      </c>
      <c r="I218" s="253" t="str">
        <f>IFERROR(_xlfn.XLOOKUP(A218,Aktiv!$A:$A,Aktiv!$J:$J,"–"),"")</f>
        <v>-</v>
      </c>
      <c r="J218" s="228" t="str">
        <f t="shared" si="21"/>
        <v>–</v>
      </c>
      <c r="K218" s="236" t="str">
        <f t="shared" si="22"/>
        <v>–</v>
      </c>
      <c r="L218" s="247" t="str">
        <f t="shared" si="23"/>
        <v>–</v>
      </c>
      <c r="M218" s="247" t="str">
        <f t="shared" si="24"/>
        <v>–</v>
      </c>
      <c r="N218" s="247" t="str">
        <f t="shared" si="25"/>
        <v>–</v>
      </c>
      <c r="O218" s="247" t="str">
        <f t="shared" si="26"/>
        <v>–</v>
      </c>
      <c r="P218" s="253" t="str">
        <f t="shared" si="27"/>
        <v>–</v>
      </c>
    </row>
    <row r="219" spans="1:16" x14ac:dyDescent="0.25">
      <c r="A219" s="192">
        <v>3521</v>
      </c>
      <c r="B219" s="189" t="str">
        <f>IFERROR(_xlfn.XLOOKUP(A219,Aktiv!$A:$A,Aktiv!$C:$C,"–"),"")</f>
        <v>Seite innen</v>
      </c>
      <c r="C219" s="189" t="str">
        <f>IFERROR(_xlfn.XLOOKUP(A219,Aktiv!$A:$A,Aktiv!$D:$D,"–"),"")</f>
        <v>Seite innen (1440x980)</v>
      </c>
      <c r="D219" s="195">
        <f>IFERROR(_xlfn.XLOOKUP(A219,Aktiv!$A:$A,Aktiv!$E:$E,"–"),"")</f>
        <v>1440</v>
      </c>
      <c r="E219" s="195">
        <f>IFERROR(_xlfn.XLOOKUP(A219,Aktiv!$A:$A,Aktiv!$F:$F,"–"),"")</f>
        <v>980</v>
      </c>
      <c r="F219" s="198" t="str">
        <f>IFERROR(_xlfn.XLOOKUP(A219,Aktiv!$A:$A,Aktiv!$G:$G,"–"),"")</f>
        <v>-</v>
      </c>
      <c r="G219" s="198" t="str">
        <f>IFERROR(_xlfn.XLOOKUP(A219,Aktiv!$A:$A,Aktiv!$H:$H,"–"),"")</f>
        <v>-</v>
      </c>
      <c r="H219" s="198" t="str">
        <f>IFERROR(_xlfn.XLOOKUP(A219,Aktiv!$A:$A,Aktiv!$I:$I,"–"),"")</f>
        <v>-</v>
      </c>
      <c r="I219" s="253" t="str">
        <f>IFERROR(_xlfn.XLOOKUP(A219,Aktiv!$A:$A,Aktiv!$J:$J,"–"),"")</f>
        <v>-</v>
      </c>
      <c r="J219" s="228" t="str">
        <f t="shared" si="21"/>
        <v>–</v>
      </c>
      <c r="K219" s="236" t="str">
        <f t="shared" si="22"/>
        <v>–</v>
      </c>
      <c r="L219" s="247" t="str">
        <f t="shared" si="23"/>
        <v>–</v>
      </c>
      <c r="M219" s="247" t="str">
        <f t="shared" si="24"/>
        <v>–</v>
      </c>
      <c r="N219" s="247" t="str">
        <f t="shared" si="25"/>
        <v>–</v>
      </c>
      <c r="O219" s="247" t="str">
        <f t="shared" si="26"/>
        <v>–</v>
      </c>
      <c r="P219" s="253" t="str">
        <f t="shared" si="27"/>
        <v>–</v>
      </c>
    </row>
    <row r="220" spans="1:16" x14ac:dyDescent="0.25">
      <c r="A220" s="192">
        <v>3522</v>
      </c>
      <c r="B220" s="189" t="str">
        <f>IFERROR(_xlfn.XLOOKUP(A220,Aktiv!$A:$A,Aktiv!$C:$C,"–"),"")</f>
        <v>Seite innen</v>
      </c>
      <c r="C220" s="189" t="str">
        <f>IFERROR(_xlfn.XLOOKUP(A220,Aktiv!$A:$A,Aktiv!$D:$D,"–"),"")</f>
        <v>Seite innen (1800x780)</v>
      </c>
      <c r="D220" s="195">
        <f>IFERROR(_xlfn.XLOOKUP(A220,Aktiv!$A:$A,Aktiv!$E:$E,"–"),"")</f>
        <v>1800</v>
      </c>
      <c r="E220" s="195">
        <f>IFERROR(_xlfn.XLOOKUP(A220,Aktiv!$A:$A,Aktiv!$F:$F,"–"),"")</f>
        <v>780</v>
      </c>
      <c r="F220" s="198" t="str">
        <f>IFERROR(_xlfn.XLOOKUP(A220,Aktiv!$A:$A,Aktiv!$G:$G,"–"),"")</f>
        <v>-</v>
      </c>
      <c r="G220" s="198" t="str">
        <f>IFERROR(_xlfn.XLOOKUP(A220,Aktiv!$A:$A,Aktiv!$H:$H,"–"),"")</f>
        <v>-</v>
      </c>
      <c r="H220" s="198" t="str">
        <f>IFERROR(_xlfn.XLOOKUP(A220,Aktiv!$A:$A,Aktiv!$I:$I,"–"),"")</f>
        <v>-</v>
      </c>
      <c r="I220" s="253" t="str">
        <f>IFERROR(_xlfn.XLOOKUP(A220,Aktiv!$A:$A,Aktiv!$J:$J,"–"),"")</f>
        <v>-</v>
      </c>
      <c r="J220" s="228" t="str">
        <f t="shared" si="21"/>
        <v>–</v>
      </c>
      <c r="K220" s="236" t="str">
        <f t="shared" si="22"/>
        <v>–</v>
      </c>
      <c r="L220" s="247" t="str">
        <f t="shared" si="23"/>
        <v>–</v>
      </c>
      <c r="M220" s="247" t="str">
        <f t="shared" si="24"/>
        <v>–</v>
      </c>
      <c r="N220" s="247" t="str">
        <f t="shared" si="25"/>
        <v>–</v>
      </c>
      <c r="O220" s="247" t="str">
        <f t="shared" si="26"/>
        <v>–</v>
      </c>
      <c r="P220" s="253" t="str">
        <f t="shared" si="27"/>
        <v>–</v>
      </c>
    </row>
    <row r="221" spans="1:16" x14ac:dyDescent="0.25">
      <c r="A221" s="192">
        <v>3523</v>
      </c>
      <c r="B221" s="189" t="str">
        <f>IFERROR(_xlfn.XLOOKUP(A221,Aktiv!$A:$A,Aktiv!$C:$C,"–"),"")</f>
        <v>Seite innen</v>
      </c>
      <c r="C221" s="189" t="str">
        <f>IFERROR(_xlfn.XLOOKUP(A221,Aktiv!$A:$A,Aktiv!$D:$D,"–"),"")</f>
        <v>Seite innen (1800x980)</v>
      </c>
      <c r="D221" s="195">
        <f>IFERROR(_xlfn.XLOOKUP(A221,Aktiv!$A:$A,Aktiv!$E:$E,"–"),"")</f>
        <v>1800</v>
      </c>
      <c r="E221" s="195">
        <f>IFERROR(_xlfn.XLOOKUP(A221,Aktiv!$A:$A,Aktiv!$F:$F,"–"),"")</f>
        <v>980</v>
      </c>
      <c r="F221" s="198" t="str">
        <f>IFERROR(_xlfn.XLOOKUP(A221,Aktiv!$A:$A,Aktiv!$G:$G,"–"),"")</f>
        <v>-</v>
      </c>
      <c r="G221" s="198" t="str">
        <f>IFERROR(_xlfn.XLOOKUP(A221,Aktiv!$A:$A,Aktiv!$H:$H,"–"),"")</f>
        <v>-</v>
      </c>
      <c r="H221" s="198" t="str">
        <f>IFERROR(_xlfn.XLOOKUP(A221,Aktiv!$A:$A,Aktiv!$I:$I,"–"),"")</f>
        <v>-</v>
      </c>
      <c r="I221" s="253" t="str">
        <f>IFERROR(_xlfn.XLOOKUP(A221,Aktiv!$A:$A,Aktiv!$J:$J,"–"),"")</f>
        <v>-</v>
      </c>
      <c r="J221" s="228" t="str">
        <f t="shared" si="21"/>
        <v>–</v>
      </c>
      <c r="K221" s="236" t="str">
        <f t="shared" si="22"/>
        <v>–</v>
      </c>
      <c r="L221" s="247" t="str">
        <f t="shared" si="23"/>
        <v>–</v>
      </c>
      <c r="M221" s="247" t="str">
        <f t="shared" si="24"/>
        <v>–</v>
      </c>
      <c r="N221" s="247" t="str">
        <f t="shared" si="25"/>
        <v>–</v>
      </c>
      <c r="O221" s="247" t="str">
        <f t="shared" si="26"/>
        <v>–</v>
      </c>
      <c r="P221" s="253" t="str">
        <f t="shared" si="27"/>
        <v>–</v>
      </c>
    </row>
    <row r="222" spans="1:16" x14ac:dyDescent="0.25">
      <c r="A222" s="192">
        <v>3524</v>
      </c>
      <c r="B222" s="189" t="str">
        <f>IFERROR(_xlfn.XLOOKUP(A222,Aktiv!$A:$A,Aktiv!$C:$C,"–"),"")</f>
        <v>Seite innen</v>
      </c>
      <c r="C222" s="189" t="str">
        <f>IFERROR(_xlfn.XLOOKUP(A222,Aktiv!$A:$A,Aktiv!$D:$D,"–"),"")</f>
        <v>Seite innen (580x580)</v>
      </c>
      <c r="D222" s="195">
        <f>IFERROR(_xlfn.XLOOKUP(A222,Aktiv!$A:$A,Aktiv!$E:$E,"–"),"")</f>
        <v>580</v>
      </c>
      <c r="E222" s="195">
        <f>IFERROR(_xlfn.XLOOKUP(A222,Aktiv!$A:$A,Aktiv!$F:$F,"–"),"")</f>
        <v>580</v>
      </c>
      <c r="F222" s="198" t="str">
        <f>IFERROR(_xlfn.XLOOKUP(A222,Aktiv!$A:$A,Aktiv!$G:$G,"–"),"")</f>
        <v>-</v>
      </c>
      <c r="G222" s="198" t="str">
        <f>IFERROR(_xlfn.XLOOKUP(A222,Aktiv!$A:$A,Aktiv!$H:$H,"–"),"")</f>
        <v>-</v>
      </c>
      <c r="H222" s="198" t="str">
        <f>IFERROR(_xlfn.XLOOKUP(A222,Aktiv!$A:$A,Aktiv!$I:$I,"–"),"")</f>
        <v>-</v>
      </c>
      <c r="I222" s="253" t="str">
        <f>IFERROR(_xlfn.XLOOKUP(A222,Aktiv!$A:$A,Aktiv!$J:$J,"–"),"")</f>
        <v>-</v>
      </c>
      <c r="J222" s="228" t="str">
        <f t="shared" si="21"/>
        <v>–</v>
      </c>
      <c r="K222" s="237" t="str">
        <f t="shared" si="22"/>
        <v>–</v>
      </c>
      <c r="L222" s="247" t="str">
        <f t="shared" si="23"/>
        <v>–</v>
      </c>
      <c r="M222" s="247" t="str">
        <f t="shared" si="24"/>
        <v>–</v>
      </c>
      <c r="N222" s="247" t="str">
        <f t="shared" si="25"/>
        <v>–</v>
      </c>
      <c r="O222" s="247" t="str">
        <f t="shared" si="26"/>
        <v>–</v>
      </c>
      <c r="P222" s="253" t="str">
        <f t="shared" si="27"/>
        <v>–</v>
      </c>
    </row>
    <row r="223" spans="1:16" x14ac:dyDescent="0.25">
      <c r="A223" s="206">
        <v>3600</v>
      </c>
      <c r="B223" s="207" t="str">
        <f>IFERROR(_xlfn.XLOOKUP(A223,Aktiv!$A:$A,Aktiv!$C:$C,"–"),"")</f>
        <v>Seite innen SY32</v>
      </c>
      <c r="C223" s="207" t="str">
        <f>IFERROR(_xlfn.XLOOKUP(A223,Aktiv!$A:$A,Aktiv!$D:$D,"–"),"")</f>
        <v>Seite innen SY32 (360x360)</v>
      </c>
      <c r="D223" s="208">
        <f>IFERROR(_xlfn.XLOOKUP(A223,Aktiv!$A:$A,Aktiv!$E:$E,"–"),"")</f>
        <v>360</v>
      </c>
      <c r="E223" s="208">
        <f>IFERROR(_xlfn.XLOOKUP(A223,Aktiv!$A:$A,Aktiv!$F:$F,"–"),"")</f>
        <v>360</v>
      </c>
      <c r="F223" s="209">
        <f>IFERROR(_xlfn.XLOOKUP(A223,Aktiv!$A:$A,Aktiv!$G:$G,"–"),"")</f>
        <v>25</v>
      </c>
      <c r="G223" s="209">
        <f>IFERROR(_xlfn.XLOOKUP(A223,Aktiv!$A:$A,Aktiv!$H:$H,"–"),"")</f>
        <v>103</v>
      </c>
      <c r="H223" s="209">
        <f>IFERROR(_xlfn.XLOOKUP(A223,Aktiv!$A:$A,Aktiv!$I:$I,"–"),"")</f>
        <v>120</v>
      </c>
      <c r="I223" s="254">
        <f>IFERROR(_xlfn.XLOOKUP(A223,Aktiv!$A:$A,Aktiv!$J:$J,"–"),"")</f>
        <v>145</v>
      </c>
      <c r="J223" s="229">
        <f t="shared" si="21"/>
        <v>3.12</v>
      </c>
      <c r="K223" s="239">
        <f t="shared" si="22"/>
        <v>3.8</v>
      </c>
      <c r="L223" s="248">
        <f t="shared" si="23"/>
        <v>4.8</v>
      </c>
      <c r="M223" s="248">
        <f t="shared" si="24"/>
        <v>0.1650485436893204</v>
      </c>
      <c r="N223" s="248">
        <f t="shared" si="25"/>
        <v>0.40776699029126212</v>
      </c>
      <c r="O223" s="248">
        <f t="shared" si="26"/>
        <v>0.20833333333333334</v>
      </c>
      <c r="P223" s="254">
        <f t="shared" si="27"/>
        <v>98</v>
      </c>
    </row>
    <row r="224" spans="1:16" x14ac:dyDescent="0.25">
      <c r="A224" s="193">
        <v>3601</v>
      </c>
      <c r="B224" s="190" t="str">
        <f>IFERROR(_xlfn.XLOOKUP(A224,Aktiv!$A:$A,Aktiv!$C:$C,"–"),"")</f>
        <v>Seite innen SY32</v>
      </c>
      <c r="C224" s="190" t="str">
        <f>IFERROR(_xlfn.XLOOKUP(A224,Aktiv!$A:$A,Aktiv!$D:$D,"–"),"")</f>
        <v>Seite innen SY32 (360x720)</v>
      </c>
      <c r="D224" s="196">
        <f>IFERROR(_xlfn.XLOOKUP(A224,Aktiv!$A:$A,Aktiv!$E:$E,"–"),"")</f>
        <v>360</v>
      </c>
      <c r="E224" s="196">
        <f>IFERROR(_xlfn.XLOOKUP(A224,Aktiv!$A:$A,Aktiv!$F:$F,"–"),"")</f>
        <v>720</v>
      </c>
      <c r="F224" s="199">
        <f>IFERROR(_xlfn.XLOOKUP(A224,Aktiv!$A:$A,Aktiv!$G:$G,"–"),"")</f>
        <v>46</v>
      </c>
      <c r="G224" s="199">
        <f>IFERROR(_xlfn.XLOOKUP(A224,Aktiv!$A:$A,Aktiv!$H:$H,"–"),"")</f>
        <v>156</v>
      </c>
      <c r="H224" s="199">
        <f>IFERROR(_xlfn.XLOOKUP(A224,Aktiv!$A:$A,Aktiv!$I:$I,"–"),"")</f>
        <v>163</v>
      </c>
      <c r="I224" s="255">
        <f>IFERROR(_xlfn.XLOOKUP(A224,Aktiv!$A:$A,Aktiv!$J:$J,"–"),"")</f>
        <v>181</v>
      </c>
      <c r="J224" s="230">
        <f t="shared" si="21"/>
        <v>2.3913043478260869</v>
      </c>
      <c r="K224" s="240">
        <f t="shared" si="22"/>
        <v>2.5434782608695654</v>
      </c>
      <c r="L224" s="249">
        <f t="shared" si="23"/>
        <v>2.9347826086956523</v>
      </c>
      <c r="M224" s="249">
        <f t="shared" si="24"/>
        <v>4.4871794871794872E-2</v>
      </c>
      <c r="N224" s="249">
        <f t="shared" si="25"/>
        <v>0.16025641025641027</v>
      </c>
      <c r="O224" s="249">
        <f t="shared" si="26"/>
        <v>0.11042944785276074</v>
      </c>
      <c r="P224" s="255">
        <f t="shared" si="27"/>
        <v>137</v>
      </c>
    </row>
    <row r="225" spans="1:16" x14ac:dyDescent="0.25">
      <c r="A225" s="193">
        <v>3602</v>
      </c>
      <c r="B225" s="190" t="str">
        <f>IFERROR(_xlfn.XLOOKUP(A225,Aktiv!$A:$A,Aktiv!$C:$C,"–"),"")</f>
        <v>Seite innen SY32</v>
      </c>
      <c r="C225" s="190" t="str">
        <f>IFERROR(_xlfn.XLOOKUP(A225,Aktiv!$A:$A,Aktiv!$D:$D,"–"),"")</f>
        <v>Seite innen SY32 (360x1080)</v>
      </c>
      <c r="D225" s="196">
        <f>IFERROR(_xlfn.XLOOKUP(A225,Aktiv!$A:$A,Aktiv!$E:$E,"–"),"")</f>
        <v>360</v>
      </c>
      <c r="E225" s="196">
        <f>IFERROR(_xlfn.XLOOKUP(A225,Aktiv!$A:$A,Aktiv!$F:$F,"–"),"")</f>
        <v>1080</v>
      </c>
      <c r="F225" s="199">
        <f>IFERROR(_xlfn.XLOOKUP(A225,Aktiv!$A:$A,Aktiv!$G:$G,"–"),"")</f>
        <v>68</v>
      </c>
      <c r="G225" s="199">
        <f>IFERROR(_xlfn.XLOOKUP(A225,Aktiv!$A:$A,Aktiv!$H:$H,"–"),"")</f>
        <v>235</v>
      </c>
      <c r="H225" s="199">
        <f>IFERROR(_xlfn.XLOOKUP(A225,Aktiv!$A:$A,Aktiv!$I:$I,"–"),"")</f>
        <v>244</v>
      </c>
      <c r="I225" s="255">
        <f>IFERROR(_xlfn.XLOOKUP(A225,Aktiv!$A:$A,Aktiv!$J:$J,"–"),"")</f>
        <v>272</v>
      </c>
      <c r="J225" s="230">
        <f t="shared" si="21"/>
        <v>2.4558823529411766</v>
      </c>
      <c r="K225" s="241">
        <f t="shared" si="22"/>
        <v>2.5882352941176472</v>
      </c>
      <c r="L225" s="249">
        <f t="shared" si="23"/>
        <v>3</v>
      </c>
      <c r="M225" s="249">
        <f t="shared" si="24"/>
        <v>3.8297872340425532E-2</v>
      </c>
      <c r="N225" s="249">
        <f t="shared" si="25"/>
        <v>0.1574468085106383</v>
      </c>
      <c r="O225" s="249">
        <f t="shared" si="26"/>
        <v>0.11475409836065574</v>
      </c>
      <c r="P225" s="255">
        <f t="shared" si="27"/>
        <v>205</v>
      </c>
    </row>
    <row r="226" spans="1:16" x14ac:dyDescent="0.25">
      <c r="A226" s="193">
        <v>3603</v>
      </c>
      <c r="B226" s="190" t="str">
        <f>IFERROR(_xlfn.XLOOKUP(A226,Aktiv!$A:$A,Aktiv!$C:$C,"–"),"")</f>
        <v>Seite innen SY32</v>
      </c>
      <c r="C226" s="190" t="str">
        <f>IFERROR(_xlfn.XLOOKUP(A226,Aktiv!$A:$A,Aktiv!$D:$D,"–"),"")</f>
        <v>Seite innen SY32 (360x1440)</v>
      </c>
      <c r="D226" s="196">
        <f>IFERROR(_xlfn.XLOOKUP(A226,Aktiv!$A:$A,Aktiv!$E:$E,"–"),"")</f>
        <v>360</v>
      </c>
      <c r="E226" s="196">
        <f>IFERROR(_xlfn.XLOOKUP(A226,Aktiv!$A:$A,Aktiv!$F:$F,"–"),"")</f>
        <v>1440</v>
      </c>
      <c r="F226" s="199">
        <f>IFERROR(_xlfn.XLOOKUP(A226,Aktiv!$A:$A,Aktiv!$G:$G,"–"),"")</f>
        <v>91</v>
      </c>
      <c r="G226" s="199">
        <f>IFERROR(_xlfn.XLOOKUP(A226,Aktiv!$A:$A,Aktiv!$H:$H,"–"),"")</f>
        <v>313</v>
      </c>
      <c r="H226" s="199">
        <f>IFERROR(_xlfn.XLOOKUP(A226,Aktiv!$A:$A,Aktiv!$I:$I,"–"),"")</f>
        <v>326</v>
      </c>
      <c r="I226" s="255">
        <f>IFERROR(_xlfn.XLOOKUP(A226,Aktiv!$A:$A,Aktiv!$J:$J,"–"),"")</f>
        <v>363</v>
      </c>
      <c r="J226" s="230">
        <f t="shared" si="21"/>
        <v>2.4395604395604398</v>
      </c>
      <c r="K226" s="240">
        <f t="shared" si="22"/>
        <v>2.5824175824175826</v>
      </c>
      <c r="L226" s="249">
        <f t="shared" si="23"/>
        <v>2.9890109890109891</v>
      </c>
      <c r="M226" s="249">
        <f t="shared" si="24"/>
        <v>4.1533546325878593E-2</v>
      </c>
      <c r="N226" s="249">
        <f t="shared" si="25"/>
        <v>0.15974440894568689</v>
      </c>
      <c r="O226" s="249">
        <f t="shared" si="26"/>
        <v>0.11349693251533742</v>
      </c>
      <c r="P226" s="255">
        <f t="shared" si="27"/>
        <v>273</v>
      </c>
    </row>
    <row r="227" spans="1:16" x14ac:dyDescent="0.25">
      <c r="A227" s="193">
        <v>3604</v>
      </c>
      <c r="B227" s="190" t="str">
        <f>IFERROR(_xlfn.XLOOKUP(A227,Aktiv!$A:$A,Aktiv!$C:$C,"–"),"")</f>
        <v>Seite innen SY32</v>
      </c>
      <c r="C227" s="190" t="str">
        <f>IFERROR(_xlfn.XLOOKUP(A227,Aktiv!$A:$A,Aktiv!$D:$D,"–"),"")</f>
        <v>Seite innen SY32 (360x1800)</v>
      </c>
      <c r="D227" s="196">
        <f>IFERROR(_xlfn.XLOOKUP(A227,Aktiv!$A:$A,Aktiv!$E:$E,"–"),"")</f>
        <v>360</v>
      </c>
      <c r="E227" s="196">
        <f>IFERROR(_xlfn.XLOOKUP(A227,Aktiv!$A:$A,Aktiv!$F:$F,"–"),"")</f>
        <v>1800</v>
      </c>
      <c r="F227" s="199">
        <f>IFERROR(_xlfn.XLOOKUP(A227,Aktiv!$A:$A,Aktiv!$G:$G,"–"),"")</f>
        <v>114</v>
      </c>
      <c r="G227" s="199">
        <f>IFERROR(_xlfn.XLOOKUP(A227,Aktiv!$A:$A,Aktiv!$H:$H,"–"),"")</f>
        <v>391</v>
      </c>
      <c r="H227" s="199">
        <f>IFERROR(_xlfn.XLOOKUP(A227,Aktiv!$A:$A,Aktiv!$I:$I,"–"),"")</f>
        <v>407</v>
      </c>
      <c r="I227" s="255">
        <f>IFERROR(_xlfn.XLOOKUP(A227,Aktiv!$A:$A,Aktiv!$J:$J,"–"),"")</f>
        <v>453</v>
      </c>
      <c r="J227" s="230">
        <f t="shared" si="21"/>
        <v>2.4298245614035086</v>
      </c>
      <c r="K227" s="240">
        <f t="shared" si="22"/>
        <v>2.5701754385964914</v>
      </c>
      <c r="L227" s="249">
        <f t="shared" si="23"/>
        <v>2.9736842105263159</v>
      </c>
      <c r="M227" s="249">
        <f t="shared" si="24"/>
        <v>4.0920716112531973E-2</v>
      </c>
      <c r="N227" s="249">
        <f t="shared" si="25"/>
        <v>0.15856777493606139</v>
      </c>
      <c r="O227" s="249">
        <f t="shared" si="26"/>
        <v>0.11302211302211303</v>
      </c>
      <c r="P227" s="255">
        <f t="shared" si="27"/>
        <v>341</v>
      </c>
    </row>
    <row r="228" spans="1:16" x14ac:dyDescent="0.25">
      <c r="A228" s="193">
        <v>3605</v>
      </c>
      <c r="B228" s="190" t="str">
        <f>IFERROR(_xlfn.XLOOKUP(A228,Aktiv!$A:$A,Aktiv!$C:$C,"–"),"")</f>
        <v>Seite innen SY32</v>
      </c>
      <c r="C228" s="190" t="str">
        <f>IFERROR(_xlfn.XLOOKUP(A228,Aktiv!$A:$A,Aktiv!$D:$D,"–"),"")</f>
        <v>Seite innen SY32 (580x360)</v>
      </c>
      <c r="D228" s="196">
        <f>IFERROR(_xlfn.XLOOKUP(A228,Aktiv!$A:$A,Aktiv!$E:$E,"–"),"")</f>
        <v>580</v>
      </c>
      <c r="E228" s="196">
        <f>IFERROR(_xlfn.XLOOKUP(A228,Aktiv!$A:$A,Aktiv!$F:$F,"–"),"")</f>
        <v>360</v>
      </c>
      <c r="F228" s="199">
        <f>IFERROR(_xlfn.XLOOKUP(A228,Aktiv!$A:$A,Aktiv!$G:$G,"–"),"")</f>
        <v>37</v>
      </c>
      <c r="G228" s="199">
        <f>IFERROR(_xlfn.XLOOKUP(A228,Aktiv!$A:$A,Aktiv!$H:$H,"–"),"")</f>
        <v>126</v>
      </c>
      <c r="H228" s="199">
        <f>IFERROR(_xlfn.XLOOKUP(A228,Aktiv!$A:$A,Aktiv!$I:$I,"–"),"")</f>
        <v>131</v>
      </c>
      <c r="I228" s="255">
        <f>IFERROR(_xlfn.XLOOKUP(A228,Aktiv!$A:$A,Aktiv!$J:$J,"–"),"")</f>
        <v>146</v>
      </c>
      <c r="J228" s="230">
        <f t="shared" si="21"/>
        <v>2.4054054054054053</v>
      </c>
      <c r="K228" s="240">
        <f t="shared" si="22"/>
        <v>2.5405405405405403</v>
      </c>
      <c r="L228" s="249">
        <f t="shared" si="23"/>
        <v>2.9459459459459461</v>
      </c>
      <c r="M228" s="249">
        <f t="shared" si="24"/>
        <v>3.968253968253968E-2</v>
      </c>
      <c r="N228" s="249">
        <f t="shared" si="25"/>
        <v>0.15873015873015872</v>
      </c>
      <c r="O228" s="249">
        <f t="shared" si="26"/>
        <v>0.11450381679389313</v>
      </c>
      <c r="P228" s="255">
        <f t="shared" si="27"/>
        <v>110</v>
      </c>
    </row>
    <row r="229" spans="1:16" x14ac:dyDescent="0.25">
      <c r="A229" s="193">
        <v>3606</v>
      </c>
      <c r="B229" s="190" t="str">
        <f>IFERROR(_xlfn.XLOOKUP(A229,Aktiv!$A:$A,Aktiv!$C:$C,"–"),"")</f>
        <v>Seite innen SY32</v>
      </c>
      <c r="C229" s="190" t="str">
        <f>IFERROR(_xlfn.XLOOKUP(A229,Aktiv!$A:$A,Aktiv!$D:$D,"–"),"")</f>
        <v>Seite innen SY32 (580x720)</v>
      </c>
      <c r="D229" s="196">
        <f>IFERROR(_xlfn.XLOOKUP(A229,Aktiv!$A:$A,Aktiv!$E:$E,"–"),"")</f>
        <v>580</v>
      </c>
      <c r="E229" s="196">
        <f>IFERROR(_xlfn.XLOOKUP(A229,Aktiv!$A:$A,Aktiv!$F:$F,"–"),"")</f>
        <v>720</v>
      </c>
      <c r="F229" s="199">
        <f>IFERROR(_xlfn.XLOOKUP(A229,Aktiv!$A:$A,Aktiv!$G:$G,"–"),"")</f>
        <v>73</v>
      </c>
      <c r="G229" s="199">
        <f>IFERROR(_xlfn.XLOOKUP(A229,Aktiv!$A:$A,Aktiv!$H:$H,"–"),"")</f>
        <v>252</v>
      </c>
      <c r="H229" s="199">
        <f>IFERROR(_xlfn.XLOOKUP(A229,Aktiv!$A:$A,Aktiv!$I:$I,"–"),"")</f>
        <v>262</v>
      </c>
      <c r="I229" s="255">
        <f>IFERROR(_xlfn.XLOOKUP(A229,Aktiv!$A:$A,Aktiv!$J:$J,"–"),"")</f>
        <v>292</v>
      </c>
      <c r="J229" s="230">
        <f t="shared" si="21"/>
        <v>2.452054794520548</v>
      </c>
      <c r="K229" s="241">
        <f t="shared" si="22"/>
        <v>2.5890410958904111</v>
      </c>
      <c r="L229" s="249">
        <f t="shared" si="23"/>
        <v>3</v>
      </c>
      <c r="M229" s="249">
        <f t="shared" si="24"/>
        <v>3.968253968253968E-2</v>
      </c>
      <c r="N229" s="249">
        <f t="shared" si="25"/>
        <v>0.15873015873015872</v>
      </c>
      <c r="O229" s="249">
        <f t="shared" si="26"/>
        <v>0.11450381679389313</v>
      </c>
      <c r="P229" s="255">
        <f t="shared" si="27"/>
        <v>220</v>
      </c>
    </row>
    <row r="230" spans="1:16" x14ac:dyDescent="0.25">
      <c r="A230" s="193">
        <v>3607</v>
      </c>
      <c r="B230" s="190" t="str">
        <f>IFERROR(_xlfn.XLOOKUP(A230,Aktiv!$A:$A,Aktiv!$C:$C,"–"),"")</f>
        <v>Seite innen SY32</v>
      </c>
      <c r="C230" s="190" t="str">
        <f>IFERROR(_xlfn.XLOOKUP(A230,Aktiv!$A:$A,Aktiv!$D:$D,"–"),"")</f>
        <v>Seite innen SY32 (580x1080)</v>
      </c>
      <c r="D230" s="196">
        <f>IFERROR(_xlfn.XLOOKUP(A230,Aktiv!$A:$A,Aktiv!$E:$E,"–"),"")</f>
        <v>580</v>
      </c>
      <c r="E230" s="196">
        <f>IFERROR(_xlfn.XLOOKUP(A230,Aktiv!$A:$A,Aktiv!$F:$F,"–"),"")</f>
        <v>1080</v>
      </c>
      <c r="F230" s="199">
        <f>IFERROR(_xlfn.XLOOKUP(A230,Aktiv!$A:$A,Aktiv!$G:$G,"–"),"")</f>
        <v>110</v>
      </c>
      <c r="G230" s="199">
        <f>IFERROR(_xlfn.XLOOKUP(A230,Aktiv!$A:$A,Aktiv!$H:$H,"–"),"")</f>
        <v>378</v>
      </c>
      <c r="H230" s="199">
        <f>IFERROR(_xlfn.XLOOKUP(A230,Aktiv!$A:$A,Aktiv!$I:$I,"–"),"")</f>
        <v>394</v>
      </c>
      <c r="I230" s="255">
        <f>IFERROR(_xlfn.XLOOKUP(A230,Aktiv!$A:$A,Aktiv!$J:$J,"–"),"")</f>
        <v>438</v>
      </c>
      <c r="J230" s="230">
        <f t="shared" si="21"/>
        <v>2.4363636363636365</v>
      </c>
      <c r="K230" s="241">
        <f t="shared" si="22"/>
        <v>2.581818181818182</v>
      </c>
      <c r="L230" s="249">
        <f t="shared" si="23"/>
        <v>2.9818181818181819</v>
      </c>
      <c r="M230" s="249">
        <f t="shared" si="24"/>
        <v>4.2328042328042326E-2</v>
      </c>
      <c r="N230" s="249">
        <f t="shared" si="25"/>
        <v>0.15873015873015872</v>
      </c>
      <c r="O230" s="249">
        <f t="shared" si="26"/>
        <v>0.1116751269035533</v>
      </c>
      <c r="P230" s="255">
        <f t="shared" si="27"/>
        <v>330</v>
      </c>
    </row>
    <row r="231" spans="1:16" x14ac:dyDescent="0.25">
      <c r="A231" s="193">
        <v>3608</v>
      </c>
      <c r="B231" s="190" t="str">
        <f>IFERROR(_xlfn.XLOOKUP(A231,Aktiv!$A:$A,Aktiv!$C:$C,"–"),"")</f>
        <v>Seite innen SY32</v>
      </c>
      <c r="C231" s="190" t="str">
        <f>IFERROR(_xlfn.XLOOKUP(A231,Aktiv!$A:$A,Aktiv!$D:$D,"–"),"")</f>
        <v>Seite innen SY32 (580x1440)</v>
      </c>
      <c r="D231" s="196">
        <f>IFERROR(_xlfn.XLOOKUP(A231,Aktiv!$A:$A,Aktiv!$E:$E,"–"),"")</f>
        <v>580</v>
      </c>
      <c r="E231" s="196">
        <f>IFERROR(_xlfn.XLOOKUP(A231,Aktiv!$A:$A,Aktiv!$F:$F,"–"),"")</f>
        <v>1440</v>
      </c>
      <c r="F231" s="199">
        <f>IFERROR(_xlfn.XLOOKUP(A231,Aktiv!$A:$A,Aktiv!$G:$G,"–"),"")</f>
        <v>147</v>
      </c>
      <c r="G231" s="199">
        <f>IFERROR(_xlfn.XLOOKUP(A231,Aktiv!$A:$A,Aktiv!$H:$H,"–"),"")</f>
        <v>504</v>
      </c>
      <c r="H231" s="199">
        <f>IFERROR(_xlfn.XLOOKUP(A231,Aktiv!$A:$A,Aktiv!$I:$I,"–"),"")</f>
        <v>525</v>
      </c>
      <c r="I231" s="255">
        <f>IFERROR(_xlfn.XLOOKUP(A231,Aktiv!$A:$A,Aktiv!$J:$J,"–"),"")</f>
        <v>584</v>
      </c>
      <c r="J231" s="230">
        <f t="shared" si="21"/>
        <v>2.4285714285714284</v>
      </c>
      <c r="K231" s="240">
        <f t="shared" si="22"/>
        <v>2.5714285714285716</v>
      </c>
      <c r="L231" s="249">
        <f t="shared" si="23"/>
        <v>2.9727891156462585</v>
      </c>
      <c r="M231" s="249">
        <f t="shared" si="24"/>
        <v>4.1666666666666664E-2</v>
      </c>
      <c r="N231" s="249">
        <f t="shared" si="25"/>
        <v>0.15873015873015872</v>
      </c>
      <c r="O231" s="249">
        <f t="shared" si="26"/>
        <v>0.11238095238095239</v>
      </c>
      <c r="P231" s="255">
        <f t="shared" si="27"/>
        <v>440</v>
      </c>
    </row>
    <row r="232" spans="1:16" x14ac:dyDescent="0.25">
      <c r="A232" s="193">
        <v>3609</v>
      </c>
      <c r="B232" s="190" t="str">
        <f>IFERROR(_xlfn.XLOOKUP(A232,Aktiv!$A:$A,Aktiv!$C:$C,"–"),"")</f>
        <v>Seite innen SY32</v>
      </c>
      <c r="C232" s="190" t="str">
        <f>IFERROR(_xlfn.XLOOKUP(A232,Aktiv!$A:$A,Aktiv!$D:$D,"–"),"")</f>
        <v>Seite innen SY32 (580x1800)</v>
      </c>
      <c r="D232" s="196">
        <f>IFERROR(_xlfn.XLOOKUP(A232,Aktiv!$A:$A,Aktiv!$E:$E,"–"),"")</f>
        <v>580</v>
      </c>
      <c r="E232" s="196">
        <f>IFERROR(_xlfn.XLOOKUP(A232,Aktiv!$A:$A,Aktiv!$F:$F,"–"),"")</f>
        <v>1800</v>
      </c>
      <c r="F232" s="199">
        <f>IFERROR(_xlfn.XLOOKUP(A232,Aktiv!$A:$A,Aktiv!$G:$G,"–"),"")</f>
        <v>184</v>
      </c>
      <c r="G232" s="199">
        <f>IFERROR(_xlfn.XLOOKUP(A232,Aktiv!$A:$A,Aktiv!$H:$H,"–"),"")</f>
        <v>630</v>
      </c>
      <c r="H232" s="199">
        <f>IFERROR(_xlfn.XLOOKUP(A232,Aktiv!$A:$A,Aktiv!$I:$I,"–"),"")</f>
        <v>656</v>
      </c>
      <c r="I232" s="255">
        <f>IFERROR(_xlfn.XLOOKUP(A232,Aktiv!$A:$A,Aktiv!$J:$J,"–"),"")</f>
        <v>730</v>
      </c>
      <c r="J232" s="230">
        <f t="shared" si="21"/>
        <v>2.4239130434782608</v>
      </c>
      <c r="K232" s="240">
        <f t="shared" si="22"/>
        <v>2.5652173913043477</v>
      </c>
      <c r="L232" s="249">
        <f t="shared" si="23"/>
        <v>2.9673913043478262</v>
      </c>
      <c r="M232" s="249">
        <f t="shared" si="24"/>
        <v>4.1269841269841269E-2</v>
      </c>
      <c r="N232" s="249">
        <f t="shared" si="25"/>
        <v>0.15873015873015872</v>
      </c>
      <c r="O232" s="249">
        <f t="shared" si="26"/>
        <v>0.11280487804878049</v>
      </c>
      <c r="P232" s="255">
        <f t="shared" si="27"/>
        <v>550</v>
      </c>
    </row>
    <row r="233" spans="1:16" x14ac:dyDescent="0.25">
      <c r="A233" s="193">
        <v>3610</v>
      </c>
      <c r="B233" s="190" t="str">
        <f>IFERROR(_xlfn.XLOOKUP(A233,Aktiv!$A:$A,Aktiv!$C:$C,"–"),"")</f>
        <v>Seite innen SY32</v>
      </c>
      <c r="C233" s="190" t="str">
        <f>IFERROR(_xlfn.XLOOKUP(A233,Aktiv!$A:$A,Aktiv!$D:$D,"–"),"")</f>
        <v>Seite innen SY32 (720x780)</v>
      </c>
      <c r="D233" s="196">
        <f>IFERROR(_xlfn.XLOOKUP(A233,Aktiv!$A:$A,Aktiv!$E:$E,"–"),"")</f>
        <v>720</v>
      </c>
      <c r="E233" s="196">
        <f>IFERROR(_xlfn.XLOOKUP(A233,Aktiv!$A:$A,Aktiv!$F:$F,"–"),"")</f>
        <v>780</v>
      </c>
      <c r="F233" s="199" t="str">
        <f>IFERROR(_xlfn.XLOOKUP(A233,Aktiv!$A:$A,Aktiv!$G:$G,"–"),"")</f>
        <v>-</v>
      </c>
      <c r="G233" s="199" t="str">
        <f>IFERROR(_xlfn.XLOOKUP(A233,Aktiv!$A:$A,Aktiv!$H:$H,"–"),"")</f>
        <v>-</v>
      </c>
      <c r="H233" s="199" t="str">
        <f>IFERROR(_xlfn.XLOOKUP(A233,Aktiv!$A:$A,Aktiv!$I:$I,"–"),"")</f>
        <v>-</v>
      </c>
      <c r="I233" s="255" t="str">
        <f>IFERROR(_xlfn.XLOOKUP(A233,Aktiv!$A:$A,Aktiv!$J:$J,"–"),"")</f>
        <v>-</v>
      </c>
      <c r="J233" s="230" t="str">
        <f t="shared" si="21"/>
        <v>–</v>
      </c>
      <c r="K233" s="241" t="str">
        <f t="shared" si="22"/>
        <v>–</v>
      </c>
      <c r="L233" s="249" t="str">
        <f t="shared" si="23"/>
        <v>–</v>
      </c>
      <c r="M233" s="249" t="str">
        <f t="shared" si="24"/>
        <v>–</v>
      </c>
      <c r="N233" s="249" t="str">
        <f t="shared" si="25"/>
        <v>–</v>
      </c>
      <c r="O233" s="249" t="str">
        <f t="shared" si="26"/>
        <v>–</v>
      </c>
      <c r="P233" s="255" t="str">
        <f t="shared" si="27"/>
        <v>–</v>
      </c>
    </row>
    <row r="234" spans="1:16" x14ac:dyDescent="0.25">
      <c r="A234" s="193">
        <v>3611</v>
      </c>
      <c r="B234" s="190" t="str">
        <f>IFERROR(_xlfn.XLOOKUP(A234,Aktiv!$A:$A,Aktiv!$C:$C,"–"),"")</f>
        <v>Seite innen SY32</v>
      </c>
      <c r="C234" s="190" t="str">
        <f>IFERROR(_xlfn.XLOOKUP(A234,Aktiv!$A:$A,Aktiv!$D:$D,"–"),"")</f>
        <v>Seite innen SY32 (720x980)</v>
      </c>
      <c r="D234" s="196">
        <f>IFERROR(_xlfn.XLOOKUP(A234,Aktiv!$A:$A,Aktiv!$E:$E,"–"),"")</f>
        <v>720</v>
      </c>
      <c r="E234" s="196">
        <f>IFERROR(_xlfn.XLOOKUP(A234,Aktiv!$A:$A,Aktiv!$F:$F,"–"),"")</f>
        <v>980</v>
      </c>
      <c r="F234" s="199" t="str">
        <f>IFERROR(_xlfn.XLOOKUP(A234,Aktiv!$A:$A,Aktiv!$G:$G,"–"),"")</f>
        <v>-</v>
      </c>
      <c r="G234" s="199" t="str">
        <f>IFERROR(_xlfn.XLOOKUP(A234,Aktiv!$A:$A,Aktiv!$H:$H,"–"),"")</f>
        <v>-</v>
      </c>
      <c r="H234" s="199" t="str">
        <f>IFERROR(_xlfn.XLOOKUP(A234,Aktiv!$A:$A,Aktiv!$I:$I,"–"),"")</f>
        <v>-</v>
      </c>
      <c r="I234" s="255" t="str">
        <f>IFERROR(_xlfn.XLOOKUP(A234,Aktiv!$A:$A,Aktiv!$J:$J,"–"),"")</f>
        <v>-</v>
      </c>
      <c r="J234" s="230" t="str">
        <f t="shared" si="21"/>
        <v>–</v>
      </c>
      <c r="K234" s="241" t="str">
        <f t="shared" si="22"/>
        <v>–</v>
      </c>
      <c r="L234" s="249" t="str">
        <f t="shared" si="23"/>
        <v>–</v>
      </c>
      <c r="M234" s="249" t="str">
        <f t="shared" si="24"/>
        <v>–</v>
      </c>
      <c r="N234" s="249" t="str">
        <f t="shared" si="25"/>
        <v>–</v>
      </c>
      <c r="O234" s="249" t="str">
        <f t="shared" si="26"/>
        <v>–</v>
      </c>
      <c r="P234" s="255" t="str">
        <f t="shared" si="27"/>
        <v>–</v>
      </c>
    </row>
    <row r="235" spans="1:16" x14ac:dyDescent="0.25">
      <c r="A235" s="193">
        <v>3612</v>
      </c>
      <c r="B235" s="190" t="str">
        <f>IFERROR(_xlfn.XLOOKUP(A235,Aktiv!$A:$A,Aktiv!$C:$C,"–"),"")</f>
        <v>Seite innen SY32</v>
      </c>
      <c r="C235" s="190" t="str">
        <f>IFERROR(_xlfn.XLOOKUP(A235,Aktiv!$A:$A,Aktiv!$D:$D,"–"),"")</f>
        <v>Seite innen SY32 (1080x780)</v>
      </c>
      <c r="D235" s="196">
        <f>IFERROR(_xlfn.XLOOKUP(A235,Aktiv!$A:$A,Aktiv!$E:$E,"–"),"")</f>
        <v>1080</v>
      </c>
      <c r="E235" s="196">
        <f>IFERROR(_xlfn.XLOOKUP(A235,Aktiv!$A:$A,Aktiv!$F:$F,"–"),"")</f>
        <v>780</v>
      </c>
      <c r="F235" s="199" t="str">
        <f>IFERROR(_xlfn.XLOOKUP(A235,Aktiv!$A:$A,Aktiv!$G:$G,"–"),"")</f>
        <v>-</v>
      </c>
      <c r="G235" s="199" t="str">
        <f>IFERROR(_xlfn.XLOOKUP(A235,Aktiv!$A:$A,Aktiv!$H:$H,"–"),"")</f>
        <v>-</v>
      </c>
      <c r="H235" s="199" t="str">
        <f>IFERROR(_xlfn.XLOOKUP(A235,Aktiv!$A:$A,Aktiv!$I:$I,"–"),"")</f>
        <v>-</v>
      </c>
      <c r="I235" s="255" t="str">
        <f>IFERROR(_xlfn.XLOOKUP(A235,Aktiv!$A:$A,Aktiv!$J:$J,"–"),"")</f>
        <v>-</v>
      </c>
      <c r="J235" s="230" t="str">
        <f t="shared" si="21"/>
        <v>–</v>
      </c>
      <c r="K235" s="241" t="str">
        <f t="shared" si="22"/>
        <v>–</v>
      </c>
      <c r="L235" s="249" t="str">
        <f t="shared" si="23"/>
        <v>–</v>
      </c>
      <c r="M235" s="249" t="str">
        <f t="shared" si="24"/>
        <v>–</v>
      </c>
      <c r="N235" s="249" t="str">
        <f t="shared" si="25"/>
        <v>–</v>
      </c>
      <c r="O235" s="249" t="str">
        <f t="shared" si="26"/>
        <v>–</v>
      </c>
      <c r="P235" s="255" t="str">
        <f t="shared" si="27"/>
        <v>–</v>
      </c>
    </row>
    <row r="236" spans="1:16" x14ac:dyDescent="0.25">
      <c r="A236" s="193">
        <v>3613</v>
      </c>
      <c r="B236" s="190" t="str">
        <f>IFERROR(_xlfn.XLOOKUP(A236,Aktiv!$A:$A,Aktiv!$C:$C,"–"),"")</f>
        <v>Seite innen SY32</v>
      </c>
      <c r="C236" s="190" t="str">
        <f>IFERROR(_xlfn.XLOOKUP(A236,Aktiv!$A:$A,Aktiv!$D:$D,"–"),"")</f>
        <v>Seite innen SY32 (1080x980)</v>
      </c>
      <c r="D236" s="196">
        <f>IFERROR(_xlfn.XLOOKUP(A236,Aktiv!$A:$A,Aktiv!$E:$E,"–"),"")</f>
        <v>1080</v>
      </c>
      <c r="E236" s="196">
        <f>IFERROR(_xlfn.XLOOKUP(A236,Aktiv!$A:$A,Aktiv!$F:$F,"–"),"")</f>
        <v>980</v>
      </c>
      <c r="F236" s="199" t="str">
        <f>IFERROR(_xlfn.XLOOKUP(A236,Aktiv!$A:$A,Aktiv!$G:$G,"–"),"")</f>
        <v>-</v>
      </c>
      <c r="G236" s="199" t="str">
        <f>IFERROR(_xlfn.XLOOKUP(A236,Aktiv!$A:$A,Aktiv!$H:$H,"–"),"")</f>
        <v>-</v>
      </c>
      <c r="H236" s="199" t="str">
        <f>IFERROR(_xlfn.XLOOKUP(A236,Aktiv!$A:$A,Aktiv!$I:$I,"–"),"")</f>
        <v>-</v>
      </c>
      <c r="I236" s="255" t="str">
        <f>IFERROR(_xlfn.XLOOKUP(A236,Aktiv!$A:$A,Aktiv!$J:$J,"–"),"")</f>
        <v>-</v>
      </c>
      <c r="J236" s="230" t="str">
        <f t="shared" si="21"/>
        <v>–</v>
      </c>
      <c r="K236" s="241" t="str">
        <f t="shared" si="22"/>
        <v>–</v>
      </c>
      <c r="L236" s="249" t="str">
        <f t="shared" si="23"/>
        <v>–</v>
      </c>
      <c r="M236" s="249" t="str">
        <f t="shared" si="24"/>
        <v>–</v>
      </c>
      <c r="N236" s="249" t="str">
        <f t="shared" si="25"/>
        <v>–</v>
      </c>
      <c r="O236" s="249" t="str">
        <f t="shared" si="26"/>
        <v>–</v>
      </c>
      <c r="P236" s="255" t="str">
        <f t="shared" si="27"/>
        <v>–</v>
      </c>
    </row>
    <row r="237" spans="1:16" x14ac:dyDescent="0.25">
      <c r="A237" s="193">
        <v>3614</v>
      </c>
      <c r="B237" s="190" t="str">
        <f>IFERROR(_xlfn.XLOOKUP(A237,Aktiv!$A:$A,Aktiv!$C:$C,"–"),"")</f>
        <v>Seite innen SY32</v>
      </c>
      <c r="C237" s="190" t="str">
        <f>IFERROR(_xlfn.XLOOKUP(A237,Aktiv!$A:$A,Aktiv!$D:$D,"–"),"")</f>
        <v>Seite innen SY32 (1440x780)</v>
      </c>
      <c r="D237" s="196">
        <f>IFERROR(_xlfn.XLOOKUP(A237,Aktiv!$A:$A,Aktiv!$E:$E,"–"),"")</f>
        <v>1440</v>
      </c>
      <c r="E237" s="196">
        <f>IFERROR(_xlfn.XLOOKUP(A237,Aktiv!$A:$A,Aktiv!$F:$F,"–"),"")</f>
        <v>780</v>
      </c>
      <c r="F237" s="199" t="str">
        <f>IFERROR(_xlfn.XLOOKUP(A237,Aktiv!$A:$A,Aktiv!$G:$G,"–"),"")</f>
        <v>-</v>
      </c>
      <c r="G237" s="199" t="str">
        <f>IFERROR(_xlfn.XLOOKUP(A237,Aktiv!$A:$A,Aktiv!$H:$H,"–"),"")</f>
        <v>-</v>
      </c>
      <c r="H237" s="199" t="str">
        <f>IFERROR(_xlfn.XLOOKUP(A237,Aktiv!$A:$A,Aktiv!$I:$I,"–"),"")</f>
        <v>-</v>
      </c>
      <c r="I237" s="255" t="str">
        <f>IFERROR(_xlfn.XLOOKUP(A237,Aktiv!$A:$A,Aktiv!$J:$J,"–"),"")</f>
        <v>-</v>
      </c>
      <c r="J237" s="230" t="str">
        <f t="shared" si="21"/>
        <v>–</v>
      </c>
      <c r="K237" s="240" t="str">
        <f t="shared" si="22"/>
        <v>–</v>
      </c>
      <c r="L237" s="249" t="str">
        <f t="shared" si="23"/>
        <v>–</v>
      </c>
      <c r="M237" s="249" t="str">
        <f t="shared" si="24"/>
        <v>–</v>
      </c>
      <c r="N237" s="249" t="str">
        <f t="shared" si="25"/>
        <v>–</v>
      </c>
      <c r="O237" s="249" t="str">
        <f t="shared" si="26"/>
        <v>–</v>
      </c>
      <c r="P237" s="255" t="str">
        <f t="shared" si="27"/>
        <v>–</v>
      </c>
    </row>
    <row r="238" spans="1:16" x14ac:dyDescent="0.25">
      <c r="A238" s="193">
        <v>3615</v>
      </c>
      <c r="B238" s="190" t="str">
        <f>IFERROR(_xlfn.XLOOKUP(A238,Aktiv!$A:$A,Aktiv!$C:$C,"–"),"")</f>
        <v>Seite innen SY32</v>
      </c>
      <c r="C238" s="190" t="str">
        <f>IFERROR(_xlfn.XLOOKUP(A238,Aktiv!$A:$A,Aktiv!$D:$D,"–"),"")</f>
        <v>Seite innen SY32 (1440x980)</v>
      </c>
      <c r="D238" s="196">
        <f>IFERROR(_xlfn.XLOOKUP(A238,Aktiv!$A:$A,Aktiv!$E:$E,"–"),"")</f>
        <v>1440</v>
      </c>
      <c r="E238" s="196">
        <f>IFERROR(_xlfn.XLOOKUP(A238,Aktiv!$A:$A,Aktiv!$F:$F,"–"),"")</f>
        <v>980</v>
      </c>
      <c r="F238" s="199" t="str">
        <f>IFERROR(_xlfn.XLOOKUP(A238,Aktiv!$A:$A,Aktiv!$G:$G,"–"),"")</f>
        <v>-</v>
      </c>
      <c r="G238" s="199" t="str">
        <f>IFERROR(_xlfn.XLOOKUP(A238,Aktiv!$A:$A,Aktiv!$H:$H,"–"),"")</f>
        <v>-</v>
      </c>
      <c r="H238" s="199" t="str">
        <f>IFERROR(_xlfn.XLOOKUP(A238,Aktiv!$A:$A,Aktiv!$I:$I,"–"),"")</f>
        <v>-</v>
      </c>
      <c r="I238" s="255" t="str">
        <f>IFERROR(_xlfn.XLOOKUP(A238,Aktiv!$A:$A,Aktiv!$J:$J,"–"),"")</f>
        <v>-</v>
      </c>
      <c r="J238" s="230" t="str">
        <f t="shared" si="21"/>
        <v>–</v>
      </c>
      <c r="K238" s="240" t="str">
        <f t="shared" si="22"/>
        <v>–</v>
      </c>
      <c r="L238" s="249" t="str">
        <f t="shared" si="23"/>
        <v>–</v>
      </c>
      <c r="M238" s="249" t="str">
        <f t="shared" si="24"/>
        <v>–</v>
      </c>
      <c r="N238" s="249" t="str">
        <f t="shared" si="25"/>
        <v>–</v>
      </c>
      <c r="O238" s="249" t="str">
        <f t="shared" si="26"/>
        <v>–</v>
      </c>
      <c r="P238" s="255" t="str">
        <f t="shared" si="27"/>
        <v>–</v>
      </c>
    </row>
    <row r="239" spans="1:16" x14ac:dyDescent="0.25">
      <c r="A239" s="193">
        <v>3616</v>
      </c>
      <c r="B239" s="190" t="str">
        <f>IFERROR(_xlfn.XLOOKUP(A239,Aktiv!$A:$A,Aktiv!$C:$C,"–"),"")</f>
        <v>Seite innen SY32</v>
      </c>
      <c r="C239" s="190" t="str">
        <f>IFERROR(_xlfn.XLOOKUP(A239,Aktiv!$A:$A,Aktiv!$D:$D,"–"),"")</f>
        <v>Seite innen SY32 (1800x780)</v>
      </c>
      <c r="D239" s="196">
        <f>IFERROR(_xlfn.XLOOKUP(A239,Aktiv!$A:$A,Aktiv!$E:$E,"–"),"")</f>
        <v>1800</v>
      </c>
      <c r="E239" s="196">
        <f>IFERROR(_xlfn.XLOOKUP(A239,Aktiv!$A:$A,Aktiv!$F:$F,"–"),"")</f>
        <v>780</v>
      </c>
      <c r="F239" s="199" t="str">
        <f>IFERROR(_xlfn.XLOOKUP(A239,Aktiv!$A:$A,Aktiv!$G:$G,"–"),"")</f>
        <v>-</v>
      </c>
      <c r="G239" s="199" t="str">
        <f>IFERROR(_xlfn.XLOOKUP(A239,Aktiv!$A:$A,Aktiv!$H:$H,"–"),"")</f>
        <v>-</v>
      </c>
      <c r="H239" s="199" t="str">
        <f>IFERROR(_xlfn.XLOOKUP(A239,Aktiv!$A:$A,Aktiv!$I:$I,"–"),"")</f>
        <v>-</v>
      </c>
      <c r="I239" s="255" t="str">
        <f>IFERROR(_xlfn.XLOOKUP(A239,Aktiv!$A:$A,Aktiv!$J:$J,"–"),"")</f>
        <v>-</v>
      </c>
      <c r="J239" s="230" t="str">
        <f t="shared" si="21"/>
        <v>–</v>
      </c>
      <c r="K239" s="240" t="str">
        <f t="shared" si="22"/>
        <v>–</v>
      </c>
      <c r="L239" s="249" t="str">
        <f t="shared" si="23"/>
        <v>–</v>
      </c>
      <c r="M239" s="249" t="str">
        <f t="shared" si="24"/>
        <v>–</v>
      </c>
      <c r="N239" s="249" t="str">
        <f t="shared" si="25"/>
        <v>–</v>
      </c>
      <c r="O239" s="249" t="str">
        <f t="shared" si="26"/>
        <v>–</v>
      </c>
      <c r="P239" s="255" t="str">
        <f t="shared" si="27"/>
        <v>–</v>
      </c>
    </row>
    <row r="240" spans="1:16" x14ac:dyDescent="0.25">
      <c r="A240" s="193">
        <v>3617</v>
      </c>
      <c r="B240" s="190" t="str">
        <f>IFERROR(_xlfn.XLOOKUP(A240,Aktiv!$A:$A,Aktiv!$C:$C,"–"),"")</f>
        <v>Seite innen SY32</v>
      </c>
      <c r="C240" s="190" t="str">
        <f>IFERROR(_xlfn.XLOOKUP(A240,Aktiv!$A:$A,Aktiv!$D:$D,"–"),"")</f>
        <v>Seite innen SY32 (1800x980)</v>
      </c>
      <c r="D240" s="196">
        <f>IFERROR(_xlfn.XLOOKUP(A240,Aktiv!$A:$A,Aktiv!$E:$E,"–"),"")</f>
        <v>1800</v>
      </c>
      <c r="E240" s="196">
        <f>IFERROR(_xlfn.XLOOKUP(A240,Aktiv!$A:$A,Aktiv!$F:$F,"–"),"")</f>
        <v>980</v>
      </c>
      <c r="F240" s="199" t="str">
        <f>IFERROR(_xlfn.XLOOKUP(A240,Aktiv!$A:$A,Aktiv!$G:$G,"–"),"")</f>
        <v>-</v>
      </c>
      <c r="G240" s="199" t="str">
        <f>IFERROR(_xlfn.XLOOKUP(A240,Aktiv!$A:$A,Aktiv!$H:$H,"–"),"")</f>
        <v>-</v>
      </c>
      <c r="H240" s="199" t="str">
        <f>IFERROR(_xlfn.XLOOKUP(A240,Aktiv!$A:$A,Aktiv!$I:$I,"–"),"")</f>
        <v>-</v>
      </c>
      <c r="I240" s="255" t="str">
        <f>IFERROR(_xlfn.XLOOKUP(A240,Aktiv!$A:$A,Aktiv!$J:$J,"–"),"")</f>
        <v>-</v>
      </c>
      <c r="J240" s="230" t="str">
        <f t="shared" si="21"/>
        <v>–</v>
      </c>
      <c r="K240" s="240" t="str">
        <f t="shared" si="22"/>
        <v>–</v>
      </c>
      <c r="L240" s="249" t="str">
        <f t="shared" si="23"/>
        <v>–</v>
      </c>
      <c r="M240" s="249" t="str">
        <f t="shared" si="24"/>
        <v>–</v>
      </c>
      <c r="N240" s="249" t="str">
        <f t="shared" si="25"/>
        <v>–</v>
      </c>
      <c r="O240" s="249" t="str">
        <f t="shared" si="26"/>
        <v>–</v>
      </c>
      <c r="P240" s="255" t="str">
        <f t="shared" si="27"/>
        <v>–</v>
      </c>
    </row>
    <row r="241" spans="1:16" x14ac:dyDescent="0.25">
      <c r="A241" s="202">
        <v>3620</v>
      </c>
      <c r="B241" s="203" t="str">
        <f>IFERROR(_xlfn.XLOOKUP(A241,Aktiv!$A:$A,Aktiv!$C:$C,"–"),"")</f>
        <v>Seite innen SY32 DB</v>
      </c>
      <c r="C241" s="203" t="str">
        <f>IFERROR(_xlfn.XLOOKUP(A241,Aktiv!$A:$A,Aktiv!$D:$D,"–"),"")</f>
        <v>Seite innen SY32 DB (360x360)</v>
      </c>
      <c r="D241" s="204">
        <f>IFERROR(_xlfn.XLOOKUP(A241,Aktiv!$A:$A,Aktiv!$E:$E,"–"),"")</f>
        <v>360</v>
      </c>
      <c r="E241" s="204">
        <f>IFERROR(_xlfn.XLOOKUP(A241,Aktiv!$A:$A,Aktiv!$F:$F,"–"),"")</f>
        <v>360</v>
      </c>
      <c r="F241" s="205">
        <f>IFERROR(_xlfn.XLOOKUP(A241,Aktiv!$A:$A,Aktiv!$G:$G,"–"),"")</f>
        <v>25</v>
      </c>
      <c r="G241" s="205">
        <f>IFERROR(_xlfn.XLOOKUP(A241,Aktiv!$A:$A,Aktiv!$H:$H,"–"),"")</f>
        <v>103</v>
      </c>
      <c r="H241" s="205">
        <f>IFERROR(_xlfn.XLOOKUP(A241,Aktiv!$A:$A,Aktiv!$I:$I,"–"),"")</f>
        <v>120</v>
      </c>
      <c r="I241" s="252">
        <f>IFERROR(_xlfn.XLOOKUP(A241,Aktiv!$A:$A,Aktiv!$J:$J,"–"),"")</f>
        <v>145</v>
      </c>
      <c r="J241" s="227">
        <f t="shared" si="21"/>
        <v>3.12</v>
      </c>
      <c r="K241" s="235">
        <f t="shared" si="22"/>
        <v>3.8</v>
      </c>
      <c r="L241" s="246">
        <f t="shared" si="23"/>
        <v>4.8</v>
      </c>
      <c r="M241" s="246">
        <f t="shared" si="24"/>
        <v>0.1650485436893204</v>
      </c>
      <c r="N241" s="246">
        <f t="shared" si="25"/>
        <v>0.40776699029126212</v>
      </c>
      <c r="O241" s="246">
        <f t="shared" si="26"/>
        <v>0.20833333333333334</v>
      </c>
      <c r="P241" s="252">
        <f t="shared" si="27"/>
        <v>98</v>
      </c>
    </row>
    <row r="242" spans="1:16" x14ac:dyDescent="0.25">
      <c r="A242" s="192">
        <v>3621</v>
      </c>
      <c r="B242" s="189" t="str">
        <f>IFERROR(_xlfn.XLOOKUP(A242,Aktiv!$A:$A,Aktiv!$C:$C,"–"),"")</f>
        <v>Seite innen SY32 DB</v>
      </c>
      <c r="C242" s="189" t="str">
        <f>IFERROR(_xlfn.XLOOKUP(A242,Aktiv!$A:$A,Aktiv!$D:$D,"–"),"")</f>
        <v>Seite innen SY32 DB (360x720)</v>
      </c>
      <c r="D242" s="195">
        <f>IFERROR(_xlfn.XLOOKUP(A242,Aktiv!$A:$A,Aktiv!$E:$E,"–"),"")</f>
        <v>360</v>
      </c>
      <c r="E242" s="195">
        <f>IFERROR(_xlfn.XLOOKUP(A242,Aktiv!$A:$A,Aktiv!$F:$F,"–"),"")</f>
        <v>720</v>
      </c>
      <c r="F242" s="198">
        <f>IFERROR(_xlfn.XLOOKUP(A242,Aktiv!$A:$A,Aktiv!$G:$G,"–"),"")</f>
        <v>46</v>
      </c>
      <c r="G242" s="198">
        <f>IFERROR(_xlfn.XLOOKUP(A242,Aktiv!$A:$A,Aktiv!$H:$H,"–"),"")</f>
        <v>156</v>
      </c>
      <c r="H242" s="198">
        <f>IFERROR(_xlfn.XLOOKUP(A242,Aktiv!$A:$A,Aktiv!$I:$I,"–"),"")</f>
        <v>163</v>
      </c>
      <c r="I242" s="253">
        <f>IFERROR(_xlfn.XLOOKUP(A242,Aktiv!$A:$A,Aktiv!$J:$J,"–"),"")</f>
        <v>181</v>
      </c>
      <c r="J242" s="228">
        <f t="shared" si="21"/>
        <v>2.3913043478260869</v>
      </c>
      <c r="K242" s="236">
        <f t="shared" si="22"/>
        <v>2.5434782608695654</v>
      </c>
      <c r="L242" s="247">
        <f t="shared" si="23"/>
        <v>2.9347826086956523</v>
      </c>
      <c r="M242" s="247">
        <f t="shared" si="24"/>
        <v>4.4871794871794872E-2</v>
      </c>
      <c r="N242" s="247">
        <f t="shared" si="25"/>
        <v>0.16025641025641027</v>
      </c>
      <c r="O242" s="247">
        <f t="shared" si="26"/>
        <v>0.11042944785276074</v>
      </c>
      <c r="P242" s="253">
        <f t="shared" si="27"/>
        <v>137</v>
      </c>
    </row>
    <row r="243" spans="1:16" x14ac:dyDescent="0.25">
      <c r="A243" s="192">
        <v>3622</v>
      </c>
      <c r="B243" s="189" t="str">
        <f>IFERROR(_xlfn.XLOOKUP(A243,Aktiv!$A:$A,Aktiv!$C:$C,"–"),"")</f>
        <v>Seite innen SY32 DB</v>
      </c>
      <c r="C243" s="189" t="str">
        <f>IFERROR(_xlfn.XLOOKUP(A243,Aktiv!$A:$A,Aktiv!$D:$D,"–"),"")</f>
        <v>Seite innen SY32 DB (360x1080)</v>
      </c>
      <c r="D243" s="195">
        <f>IFERROR(_xlfn.XLOOKUP(A243,Aktiv!$A:$A,Aktiv!$E:$E,"–"),"")</f>
        <v>360</v>
      </c>
      <c r="E243" s="195">
        <f>IFERROR(_xlfn.XLOOKUP(A243,Aktiv!$A:$A,Aktiv!$F:$F,"–"),"")</f>
        <v>1080</v>
      </c>
      <c r="F243" s="198">
        <f>IFERROR(_xlfn.XLOOKUP(A243,Aktiv!$A:$A,Aktiv!$G:$G,"–"),"")</f>
        <v>68</v>
      </c>
      <c r="G243" s="198">
        <f>IFERROR(_xlfn.XLOOKUP(A243,Aktiv!$A:$A,Aktiv!$H:$H,"–"),"")</f>
        <v>235</v>
      </c>
      <c r="H243" s="198">
        <f>IFERROR(_xlfn.XLOOKUP(A243,Aktiv!$A:$A,Aktiv!$I:$I,"–"),"")</f>
        <v>244</v>
      </c>
      <c r="I243" s="253">
        <f>IFERROR(_xlfn.XLOOKUP(A243,Aktiv!$A:$A,Aktiv!$J:$J,"–"),"")</f>
        <v>272</v>
      </c>
      <c r="J243" s="228">
        <f t="shared" si="21"/>
        <v>2.4558823529411766</v>
      </c>
      <c r="K243" s="238">
        <f t="shared" si="22"/>
        <v>2.5882352941176472</v>
      </c>
      <c r="L243" s="247">
        <f t="shared" si="23"/>
        <v>3</v>
      </c>
      <c r="M243" s="247">
        <f t="shared" si="24"/>
        <v>3.8297872340425532E-2</v>
      </c>
      <c r="N243" s="247">
        <f t="shared" si="25"/>
        <v>0.1574468085106383</v>
      </c>
      <c r="O243" s="247">
        <f t="shared" si="26"/>
        <v>0.11475409836065574</v>
      </c>
      <c r="P243" s="253">
        <f t="shared" si="27"/>
        <v>205</v>
      </c>
    </row>
    <row r="244" spans="1:16" x14ac:dyDescent="0.25">
      <c r="A244" s="192">
        <v>3623</v>
      </c>
      <c r="B244" s="189" t="str">
        <f>IFERROR(_xlfn.XLOOKUP(A244,Aktiv!$A:$A,Aktiv!$C:$C,"–"),"")</f>
        <v>Seite innen SY32 DB</v>
      </c>
      <c r="C244" s="189" t="str">
        <f>IFERROR(_xlfn.XLOOKUP(A244,Aktiv!$A:$A,Aktiv!$D:$D,"–"),"")</f>
        <v>Seite innen SY32 DB (360x1440)</v>
      </c>
      <c r="D244" s="195">
        <f>IFERROR(_xlfn.XLOOKUP(A244,Aktiv!$A:$A,Aktiv!$E:$E,"–"),"")</f>
        <v>360</v>
      </c>
      <c r="E244" s="195">
        <f>IFERROR(_xlfn.XLOOKUP(A244,Aktiv!$A:$A,Aktiv!$F:$F,"–"),"")</f>
        <v>1440</v>
      </c>
      <c r="F244" s="198">
        <f>IFERROR(_xlfn.XLOOKUP(A244,Aktiv!$A:$A,Aktiv!$G:$G,"–"),"")</f>
        <v>91</v>
      </c>
      <c r="G244" s="198">
        <f>IFERROR(_xlfn.XLOOKUP(A244,Aktiv!$A:$A,Aktiv!$H:$H,"–"),"")</f>
        <v>313</v>
      </c>
      <c r="H244" s="198">
        <f>IFERROR(_xlfn.XLOOKUP(A244,Aktiv!$A:$A,Aktiv!$I:$I,"–"),"")</f>
        <v>326</v>
      </c>
      <c r="I244" s="253">
        <f>IFERROR(_xlfn.XLOOKUP(A244,Aktiv!$A:$A,Aktiv!$J:$J,"–"),"")</f>
        <v>363</v>
      </c>
      <c r="J244" s="228">
        <f t="shared" si="21"/>
        <v>2.4395604395604398</v>
      </c>
      <c r="K244" s="236">
        <f t="shared" si="22"/>
        <v>2.5824175824175826</v>
      </c>
      <c r="L244" s="247">
        <f t="shared" si="23"/>
        <v>2.9890109890109891</v>
      </c>
      <c r="M244" s="247">
        <f t="shared" si="24"/>
        <v>4.1533546325878593E-2</v>
      </c>
      <c r="N244" s="247">
        <f t="shared" si="25"/>
        <v>0.15974440894568689</v>
      </c>
      <c r="O244" s="247">
        <f t="shared" si="26"/>
        <v>0.11349693251533742</v>
      </c>
      <c r="P244" s="253">
        <f t="shared" si="27"/>
        <v>273</v>
      </c>
    </row>
    <row r="245" spans="1:16" x14ac:dyDescent="0.25">
      <c r="A245" s="192">
        <v>3624</v>
      </c>
      <c r="B245" s="189" t="str">
        <f>IFERROR(_xlfn.XLOOKUP(A245,Aktiv!$A:$A,Aktiv!$C:$C,"–"),"")</f>
        <v>Seite innen SY32 DB</v>
      </c>
      <c r="C245" s="189" t="str">
        <f>IFERROR(_xlfn.XLOOKUP(A245,Aktiv!$A:$A,Aktiv!$D:$D,"–"),"")</f>
        <v>Seite innen SY32 DB (360x1800)</v>
      </c>
      <c r="D245" s="195">
        <f>IFERROR(_xlfn.XLOOKUP(A245,Aktiv!$A:$A,Aktiv!$E:$E,"–"),"")</f>
        <v>360</v>
      </c>
      <c r="E245" s="195">
        <f>IFERROR(_xlfn.XLOOKUP(A245,Aktiv!$A:$A,Aktiv!$F:$F,"–"),"")</f>
        <v>1800</v>
      </c>
      <c r="F245" s="198">
        <f>IFERROR(_xlfn.XLOOKUP(A245,Aktiv!$A:$A,Aktiv!$G:$G,"–"),"")</f>
        <v>114</v>
      </c>
      <c r="G245" s="198">
        <f>IFERROR(_xlfn.XLOOKUP(A245,Aktiv!$A:$A,Aktiv!$H:$H,"–"),"")</f>
        <v>391</v>
      </c>
      <c r="H245" s="198">
        <f>IFERROR(_xlfn.XLOOKUP(A245,Aktiv!$A:$A,Aktiv!$I:$I,"–"),"")</f>
        <v>407</v>
      </c>
      <c r="I245" s="253">
        <f>IFERROR(_xlfn.XLOOKUP(A245,Aktiv!$A:$A,Aktiv!$J:$J,"–"),"")</f>
        <v>453</v>
      </c>
      <c r="J245" s="228">
        <f t="shared" si="21"/>
        <v>2.4298245614035086</v>
      </c>
      <c r="K245" s="236">
        <f t="shared" si="22"/>
        <v>2.5701754385964914</v>
      </c>
      <c r="L245" s="247">
        <f t="shared" si="23"/>
        <v>2.9736842105263159</v>
      </c>
      <c r="M245" s="247">
        <f t="shared" si="24"/>
        <v>4.0920716112531973E-2</v>
      </c>
      <c r="N245" s="247">
        <f t="shared" si="25"/>
        <v>0.15856777493606139</v>
      </c>
      <c r="O245" s="247">
        <f t="shared" si="26"/>
        <v>0.11302211302211303</v>
      </c>
      <c r="P245" s="253">
        <f t="shared" si="27"/>
        <v>341</v>
      </c>
    </row>
    <row r="246" spans="1:16" x14ac:dyDescent="0.25">
      <c r="A246" s="192">
        <v>3625</v>
      </c>
      <c r="B246" s="189" t="str">
        <f>IFERROR(_xlfn.XLOOKUP(A246,Aktiv!$A:$A,Aktiv!$C:$C,"–"),"")</f>
        <v>Seite innen SY32 DB</v>
      </c>
      <c r="C246" s="189" t="str">
        <f>IFERROR(_xlfn.XLOOKUP(A246,Aktiv!$A:$A,Aktiv!$D:$D,"–"),"")</f>
        <v>Seite innen SY32 DB (580x360)</v>
      </c>
      <c r="D246" s="195">
        <f>IFERROR(_xlfn.XLOOKUP(A246,Aktiv!$A:$A,Aktiv!$E:$E,"–"),"")</f>
        <v>580</v>
      </c>
      <c r="E246" s="195">
        <f>IFERROR(_xlfn.XLOOKUP(A246,Aktiv!$A:$A,Aktiv!$F:$F,"–"),"")</f>
        <v>360</v>
      </c>
      <c r="F246" s="198">
        <f>IFERROR(_xlfn.XLOOKUP(A246,Aktiv!$A:$A,Aktiv!$G:$G,"–"),"")</f>
        <v>37</v>
      </c>
      <c r="G246" s="198">
        <f>IFERROR(_xlfn.XLOOKUP(A246,Aktiv!$A:$A,Aktiv!$H:$H,"–"),"")</f>
        <v>126</v>
      </c>
      <c r="H246" s="198">
        <f>IFERROR(_xlfn.XLOOKUP(A246,Aktiv!$A:$A,Aktiv!$I:$I,"–"),"")</f>
        <v>131</v>
      </c>
      <c r="I246" s="253">
        <f>IFERROR(_xlfn.XLOOKUP(A246,Aktiv!$A:$A,Aktiv!$J:$J,"–"),"")</f>
        <v>146</v>
      </c>
      <c r="J246" s="228">
        <f t="shared" si="21"/>
        <v>2.4054054054054053</v>
      </c>
      <c r="K246" s="236">
        <f t="shared" si="22"/>
        <v>2.5405405405405403</v>
      </c>
      <c r="L246" s="247">
        <f t="shared" si="23"/>
        <v>2.9459459459459461</v>
      </c>
      <c r="M246" s="247">
        <f t="shared" si="24"/>
        <v>3.968253968253968E-2</v>
      </c>
      <c r="N246" s="247">
        <f t="shared" si="25"/>
        <v>0.15873015873015872</v>
      </c>
      <c r="O246" s="247">
        <f t="shared" si="26"/>
        <v>0.11450381679389313</v>
      </c>
      <c r="P246" s="253">
        <f t="shared" si="27"/>
        <v>110</v>
      </c>
    </row>
    <row r="247" spans="1:16" x14ac:dyDescent="0.25">
      <c r="A247" s="192">
        <v>3626</v>
      </c>
      <c r="B247" s="189" t="str">
        <f>IFERROR(_xlfn.XLOOKUP(A247,Aktiv!$A:$A,Aktiv!$C:$C,"–"),"")</f>
        <v>Seite innen SY32 DB</v>
      </c>
      <c r="C247" s="189" t="str">
        <f>IFERROR(_xlfn.XLOOKUP(A247,Aktiv!$A:$A,Aktiv!$D:$D,"–"),"")</f>
        <v>Seite innen SY32 DB (580x720)</v>
      </c>
      <c r="D247" s="195">
        <f>IFERROR(_xlfn.XLOOKUP(A247,Aktiv!$A:$A,Aktiv!$E:$E,"–"),"")</f>
        <v>580</v>
      </c>
      <c r="E247" s="195">
        <f>IFERROR(_xlfn.XLOOKUP(A247,Aktiv!$A:$A,Aktiv!$F:$F,"–"),"")</f>
        <v>720</v>
      </c>
      <c r="F247" s="198">
        <f>IFERROR(_xlfn.XLOOKUP(A247,Aktiv!$A:$A,Aktiv!$G:$G,"–"),"")</f>
        <v>73</v>
      </c>
      <c r="G247" s="198">
        <f>IFERROR(_xlfn.XLOOKUP(A247,Aktiv!$A:$A,Aktiv!$H:$H,"–"),"")</f>
        <v>252</v>
      </c>
      <c r="H247" s="198">
        <f>IFERROR(_xlfn.XLOOKUP(A247,Aktiv!$A:$A,Aktiv!$I:$I,"–"),"")</f>
        <v>262</v>
      </c>
      <c r="I247" s="253">
        <f>IFERROR(_xlfn.XLOOKUP(A247,Aktiv!$A:$A,Aktiv!$J:$J,"–"),"")</f>
        <v>292</v>
      </c>
      <c r="J247" s="228">
        <f t="shared" si="21"/>
        <v>2.452054794520548</v>
      </c>
      <c r="K247" s="238">
        <f t="shared" si="22"/>
        <v>2.5890410958904111</v>
      </c>
      <c r="L247" s="247">
        <f t="shared" si="23"/>
        <v>3</v>
      </c>
      <c r="M247" s="247">
        <f t="shared" si="24"/>
        <v>3.968253968253968E-2</v>
      </c>
      <c r="N247" s="247">
        <f t="shared" si="25"/>
        <v>0.15873015873015872</v>
      </c>
      <c r="O247" s="247">
        <f t="shared" si="26"/>
        <v>0.11450381679389313</v>
      </c>
      <c r="P247" s="253">
        <f t="shared" si="27"/>
        <v>220</v>
      </c>
    </row>
    <row r="248" spans="1:16" x14ac:dyDescent="0.25">
      <c r="A248" s="192">
        <v>3627</v>
      </c>
      <c r="B248" s="189" t="str">
        <f>IFERROR(_xlfn.XLOOKUP(A248,Aktiv!$A:$A,Aktiv!$C:$C,"–"),"")</f>
        <v>Seite innen SY32 DB</v>
      </c>
      <c r="C248" s="189" t="str">
        <f>IFERROR(_xlfn.XLOOKUP(A248,Aktiv!$A:$A,Aktiv!$D:$D,"–"),"")</f>
        <v>Seite innen SY32 DB (580x1080)</v>
      </c>
      <c r="D248" s="195">
        <f>IFERROR(_xlfn.XLOOKUP(A248,Aktiv!$A:$A,Aktiv!$E:$E,"–"),"")</f>
        <v>580</v>
      </c>
      <c r="E248" s="195">
        <f>IFERROR(_xlfn.XLOOKUP(A248,Aktiv!$A:$A,Aktiv!$F:$F,"–"),"")</f>
        <v>1080</v>
      </c>
      <c r="F248" s="198">
        <f>IFERROR(_xlfn.XLOOKUP(A248,Aktiv!$A:$A,Aktiv!$G:$G,"–"),"")</f>
        <v>110</v>
      </c>
      <c r="G248" s="198">
        <f>IFERROR(_xlfn.XLOOKUP(A248,Aktiv!$A:$A,Aktiv!$H:$H,"–"),"")</f>
        <v>378</v>
      </c>
      <c r="H248" s="198">
        <f>IFERROR(_xlfn.XLOOKUP(A248,Aktiv!$A:$A,Aktiv!$I:$I,"–"),"")</f>
        <v>394</v>
      </c>
      <c r="I248" s="253">
        <f>IFERROR(_xlfn.XLOOKUP(A248,Aktiv!$A:$A,Aktiv!$J:$J,"–"),"")</f>
        <v>438</v>
      </c>
      <c r="J248" s="228">
        <f t="shared" si="21"/>
        <v>2.4363636363636365</v>
      </c>
      <c r="K248" s="238">
        <f t="shared" si="22"/>
        <v>2.581818181818182</v>
      </c>
      <c r="L248" s="247">
        <f t="shared" si="23"/>
        <v>2.9818181818181819</v>
      </c>
      <c r="M248" s="247">
        <f t="shared" si="24"/>
        <v>4.2328042328042326E-2</v>
      </c>
      <c r="N248" s="247">
        <f t="shared" si="25"/>
        <v>0.15873015873015872</v>
      </c>
      <c r="O248" s="247">
        <f t="shared" si="26"/>
        <v>0.1116751269035533</v>
      </c>
      <c r="P248" s="253">
        <f t="shared" si="27"/>
        <v>330</v>
      </c>
    </row>
    <row r="249" spans="1:16" x14ac:dyDescent="0.25">
      <c r="A249" s="192">
        <v>3628</v>
      </c>
      <c r="B249" s="189" t="str">
        <f>IFERROR(_xlfn.XLOOKUP(A249,Aktiv!$A:$A,Aktiv!$C:$C,"–"),"")</f>
        <v>Seite innen SY32 DB</v>
      </c>
      <c r="C249" s="189" t="str">
        <f>IFERROR(_xlfn.XLOOKUP(A249,Aktiv!$A:$A,Aktiv!$D:$D,"–"),"")</f>
        <v>Seite innen SY32 DB (580x1440)</v>
      </c>
      <c r="D249" s="195">
        <f>IFERROR(_xlfn.XLOOKUP(A249,Aktiv!$A:$A,Aktiv!$E:$E,"–"),"")</f>
        <v>580</v>
      </c>
      <c r="E249" s="195">
        <f>IFERROR(_xlfn.XLOOKUP(A249,Aktiv!$A:$A,Aktiv!$F:$F,"–"),"")</f>
        <v>1440</v>
      </c>
      <c r="F249" s="198">
        <f>IFERROR(_xlfn.XLOOKUP(A249,Aktiv!$A:$A,Aktiv!$G:$G,"–"),"")</f>
        <v>147</v>
      </c>
      <c r="G249" s="198">
        <f>IFERROR(_xlfn.XLOOKUP(A249,Aktiv!$A:$A,Aktiv!$H:$H,"–"),"")</f>
        <v>504</v>
      </c>
      <c r="H249" s="198">
        <f>IFERROR(_xlfn.XLOOKUP(A249,Aktiv!$A:$A,Aktiv!$I:$I,"–"),"")</f>
        <v>525</v>
      </c>
      <c r="I249" s="253">
        <f>IFERROR(_xlfn.XLOOKUP(A249,Aktiv!$A:$A,Aktiv!$J:$J,"–"),"")</f>
        <v>584</v>
      </c>
      <c r="J249" s="228">
        <f t="shared" si="21"/>
        <v>2.4285714285714284</v>
      </c>
      <c r="K249" s="236">
        <f t="shared" si="22"/>
        <v>2.5714285714285716</v>
      </c>
      <c r="L249" s="247">
        <f t="shared" si="23"/>
        <v>2.9727891156462585</v>
      </c>
      <c r="M249" s="247">
        <f t="shared" si="24"/>
        <v>4.1666666666666664E-2</v>
      </c>
      <c r="N249" s="247">
        <f t="shared" si="25"/>
        <v>0.15873015873015872</v>
      </c>
      <c r="O249" s="247">
        <f t="shared" si="26"/>
        <v>0.11238095238095239</v>
      </c>
      <c r="P249" s="253">
        <f t="shared" si="27"/>
        <v>440</v>
      </c>
    </row>
    <row r="250" spans="1:16" x14ac:dyDescent="0.25">
      <c r="A250" s="192">
        <v>3629</v>
      </c>
      <c r="B250" s="189" t="str">
        <f>IFERROR(_xlfn.XLOOKUP(A250,Aktiv!$A:$A,Aktiv!$C:$C,"–"),"")</f>
        <v>Seite innen SY32 DB</v>
      </c>
      <c r="C250" s="189" t="str">
        <f>IFERROR(_xlfn.XLOOKUP(A250,Aktiv!$A:$A,Aktiv!$D:$D,"–"),"")</f>
        <v>Seite innen SY32 DB (580x1800)</v>
      </c>
      <c r="D250" s="195">
        <f>IFERROR(_xlfn.XLOOKUP(A250,Aktiv!$A:$A,Aktiv!$E:$E,"–"),"")</f>
        <v>580</v>
      </c>
      <c r="E250" s="195">
        <f>IFERROR(_xlfn.XLOOKUP(A250,Aktiv!$A:$A,Aktiv!$F:$F,"–"),"")</f>
        <v>1800</v>
      </c>
      <c r="F250" s="198">
        <f>IFERROR(_xlfn.XLOOKUP(A250,Aktiv!$A:$A,Aktiv!$G:$G,"–"),"")</f>
        <v>184</v>
      </c>
      <c r="G250" s="198">
        <f>IFERROR(_xlfn.XLOOKUP(A250,Aktiv!$A:$A,Aktiv!$H:$H,"–"),"")</f>
        <v>630</v>
      </c>
      <c r="H250" s="198">
        <f>IFERROR(_xlfn.XLOOKUP(A250,Aktiv!$A:$A,Aktiv!$I:$I,"–"),"")</f>
        <v>656</v>
      </c>
      <c r="I250" s="253">
        <f>IFERROR(_xlfn.XLOOKUP(A250,Aktiv!$A:$A,Aktiv!$J:$J,"–"),"")</f>
        <v>730</v>
      </c>
      <c r="J250" s="228">
        <f t="shared" si="21"/>
        <v>2.4239130434782608</v>
      </c>
      <c r="K250" s="236">
        <f t="shared" si="22"/>
        <v>2.5652173913043477</v>
      </c>
      <c r="L250" s="247">
        <f t="shared" si="23"/>
        <v>2.9673913043478262</v>
      </c>
      <c r="M250" s="247">
        <f t="shared" si="24"/>
        <v>4.1269841269841269E-2</v>
      </c>
      <c r="N250" s="247">
        <f t="shared" si="25"/>
        <v>0.15873015873015872</v>
      </c>
      <c r="O250" s="247">
        <f t="shared" si="26"/>
        <v>0.11280487804878049</v>
      </c>
      <c r="P250" s="253">
        <f t="shared" si="27"/>
        <v>550</v>
      </c>
    </row>
    <row r="251" spans="1:16" x14ac:dyDescent="0.25">
      <c r="A251" s="206">
        <v>5100</v>
      </c>
      <c r="B251" s="207" t="str">
        <f>IFERROR(_xlfn.XLOOKUP(A251,Aktiv!$A:$A,Aktiv!$C:$C,"–"),"")</f>
        <v>Tür</v>
      </c>
      <c r="C251" s="207" t="str">
        <f>IFERROR(_xlfn.XLOOKUP(A251,Aktiv!$A:$A,Aktiv!$D:$D,"–"),"")</f>
        <v>Tür (420x360)</v>
      </c>
      <c r="D251" s="208">
        <f>IFERROR(_xlfn.XLOOKUP(A251,Aktiv!$A:$A,Aktiv!$E:$E,"–"),"")</f>
        <v>420</v>
      </c>
      <c r="E251" s="208">
        <f>IFERROR(_xlfn.XLOOKUP(A251,Aktiv!$A:$A,Aktiv!$F:$F,"–"),"")</f>
        <v>360</v>
      </c>
      <c r="F251" s="209">
        <f>IFERROR(_xlfn.XLOOKUP(A251,Aktiv!$A:$A,Aktiv!$G:$G,"–"),"")</f>
        <v>127</v>
      </c>
      <c r="G251" s="209">
        <f>IFERROR(_xlfn.XLOOKUP(A251,Aktiv!$A:$A,Aktiv!$H:$H,"–"),"")</f>
        <v>273</v>
      </c>
      <c r="H251" s="209">
        <f>IFERROR(_xlfn.XLOOKUP(A251,Aktiv!$A:$A,Aktiv!$I:$I,"–"),"")</f>
        <v>298</v>
      </c>
      <c r="I251" s="254">
        <f>IFERROR(_xlfn.XLOOKUP(A251,Aktiv!$A:$A,Aktiv!$J:$J,"–"),"")</f>
        <v>433</v>
      </c>
      <c r="J251" s="229">
        <f t="shared" si="21"/>
        <v>1.1496062992125984</v>
      </c>
      <c r="K251" s="239">
        <f t="shared" si="22"/>
        <v>1.3464566929133859</v>
      </c>
      <c r="L251" s="248">
        <f t="shared" si="23"/>
        <v>2.409448818897638</v>
      </c>
      <c r="M251" s="248">
        <f t="shared" si="24"/>
        <v>9.1575091575091569E-2</v>
      </c>
      <c r="N251" s="248">
        <f t="shared" si="25"/>
        <v>0.58608058608058611</v>
      </c>
      <c r="O251" s="248">
        <f t="shared" si="26"/>
        <v>0.45302013422818793</v>
      </c>
      <c r="P251" s="254">
        <f t="shared" si="27"/>
        <v>283</v>
      </c>
    </row>
    <row r="252" spans="1:16" x14ac:dyDescent="0.25">
      <c r="A252" s="193">
        <v>5101</v>
      </c>
      <c r="B252" s="190" t="str">
        <f>IFERROR(_xlfn.XLOOKUP(A252,Aktiv!$A:$A,Aktiv!$C:$C,"–"),"")</f>
        <v>Tür</v>
      </c>
      <c r="C252" s="190" t="str">
        <f>IFERROR(_xlfn.XLOOKUP(A252,Aktiv!$A:$A,Aktiv!$D:$D,"–"),"")</f>
        <v>Tür (420x720)</v>
      </c>
      <c r="D252" s="196">
        <f>IFERROR(_xlfn.XLOOKUP(A252,Aktiv!$A:$A,Aktiv!$E:$E,"–"),"")</f>
        <v>420</v>
      </c>
      <c r="E252" s="196">
        <f>IFERROR(_xlfn.XLOOKUP(A252,Aktiv!$A:$A,Aktiv!$F:$F,"–"),"")</f>
        <v>720</v>
      </c>
      <c r="F252" s="199">
        <f>IFERROR(_xlfn.XLOOKUP(A252,Aktiv!$A:$A,Aktiv!$G:$G,"–"),"")</f>
        <v>180</v>
      </c>
      <c r="G252" s="199">
        <f>IFERROR(_xlfn.XLOOKUP(A252,Aktiv!$A:$A,Aktiv!$H:$H,"–"),"")</f>
        <v>386</v>
      </c>
      <c r="H252" s="199">
        <f>IFERROR(_xlfn.XLOOKUP(A252,Aktiv!$A:$A,Aktiv!$I:$I,"–"),"")</f>
        <v>422</v>
      </c>
      <c r="I252" s="255">
        <f>IFERROR(_xlfn.XLOOKUP(A252,Aktiv!$A:$A,Aktiv!$J:$J,"–"),"")</f>
        <v>612</v>
      </c>
      <c r="J252" s="230">
        <f t="shared" si="21"/>
        <v>1.1444444444444444</v>
      </c>
      <c r="K252" s="240">
        <f t="shared" si="22"/>
        <v>1.3444444444444446</v>
      </c>
      <c r="L252" s="249">
        <f t="shared" si="23"/>
        <v>2.4</v>
      </c>
      <c r="M252" s="249">
        <f t="shared" si="24"/>
        <v>9.3264248704663211E-2</v>
      </c>
      <c r="N252" s="249">
        <f t="shared" si="25"/>
        <v>0.58549222797927458</v>
      </c>
      <c r="O252" s="249">
        <f t="shared" si="26"/>
        <v>0.45023696682464454</v>
      </c>
      <c r="P252" s="255">
        <f t="shared" si="27"/>
        <v>400</v>
      </c>
    </row>
    <row r="253" spans="1:16" x14ac:dyDescent="0.25">
      <c r="A253" s="193">
        <v>5102</v>
      </c>
      <c r="B253" s="190" t="str">
        <f>IFERROR(_xlfn.XLOOKUP(A253,Aktiv!$A:$A,Aktiv!$C:$C,"–"),"")</f>
        <v>Tür</v>
      </c>
      <c r="C253" s="190" t="str">
        <f>IFERROR(_xlfn.XLOOKUP(A253,Aktiv!$A:$A,Aktiv!$D:$D,"–"),"")</f>
        <v>Tür (420x1080)</v>
      </c>
      <c r="D253" s="196">
        <f>IFERROR(_xlfn.XLOOKUP(A253,Aktiv!$A:$A,Aktiv!$E:$E,"–"),"")</f>
        <v>420</v>
      </c>
      <c r="E253" s="196">
        <f>IFERROR(_xlfn.XLOOKUP(A253,Aktiv!$A:$A,Aktiv!$F:$F,"–"),"")</f>
        <v>1080</v>
      </c>
      <c r="F253" s="199">
        <f>IFERROR(_xlfn.XLOOKUP(A253,Aktiv!$A:$A,Aktiv!$G:$G,"–"),"")</f>
        <v>220</v>
      </c>
      <c r="G253" s="199">
        <f>IFERROR(_xlfn.XLOOKUP(A253,Aktiv!$A:$A,Aktiv!$H:$H,"–"),"")</f>
        <v>473</v>
      </c>
      <c r="H253" s="199">
        <f>IFERROR(_xlfn.XLOOKUP(A253,Aktiv!$A:$A,Aktiv!$I:$I,"–"),"")</f>
        <v>517</v>
      </c>
      <c r="I253" s="255">
        <f>IFERROR(_xlfn.XLOOKUP(A253,Aktiv!$A:$A,Aktiv!$J:$J,"–"),"")</f>
        <v>750</v>
      </c>
      <c r="J253" s="230">
        <f t="shared" si="21"/>
        <v>1.1499999999999999</v>
      </c>
      <c r="K253" s="240">
        <f t="shared" si="22"/>
        <v>1.35</v>
      </c>
      <c r="L253" s="249">
        <f t="shared" si="23"/>
        <v>2.4090909090909092</v>
      </c>
      <c r="M253" s="249">
        <f t="shared" si="24"/>
        <v>9.3023255813953487E-2</v>
      </c>
      <c r="N253" s="249">
        <f t="shared" si="25"/>
        <v>0.58562367864693443</v>
      </c>
      <c r="O253" s="249">
        <f t="shared" si="26"/>
        <v>0.45067698259187622</v>
      </c>
      <c r="P253" s="255">
        <f t="shared" si="27"/>
        <v>490</v>
      </c>
    </row>
    <row r="254" spans="1:16" x14ac:dyDescent="0.25">
      <c r="A254" s="193">
        <v>5103</v>
      </c>
      <c r="B254" s="190" t="str">
        <f>IFERROR(_xlfn.XLOOKUP(A254,Aktiv!$A:$A,Aktiv!$C:$C,"–"),"")</f>
        <v>Tür</v>
      </c>
      <c r="C254" s="190" t="str">
        <f>IFERROR(_xlfn.XLOOKUP(A254,Aktiv!$A:$A,Aktiv!$D:$D,"–"),"")</f>
        <v>Tür (420x1440)</v>
      </c>
      <c r="D254" s="196">
        <f>IFERROR(_xlfn.XLOOKUP(A254,Aktiv!$A:$A,Aktiv!$E:$E,"–"),"")</f>
        <v>420</v>
      </c>
      <c r="E254" s="196">
        <f>IFERROR(_xlfn.XLOOKUP(A254,Aktiv!$A:$A,Aktiv!$F:$F,"–"),"")</f>
        <v>1440</v>
      </c>
      <c r="F254" s="199">
        <f>IFERROR(_xlfn.XLOOKUP(A254,Aktiv!$A:$A,Aktiv!$G:$G,"–"),"")</f>
        <v>254</v>
      </c>
      <c r="G254" s="199">
        <f>IFERROR(_xlfn.XLOOKUP(A254,Aktiv!$A:$A,Aktiv!$H:$H,"–"),"")</f>
        <v>546</v>
      </c>
      <c r="H254" s="199">
        <f>IFERROR(_xlfn.XLOOKUP(A254,Aktiv!$A:$A,Aktiv!$I:$I,"–"),"")</f>
        <v>597</v>
      </c>
      <c r="I254" s="255">
        <f>IFERROR(_xlfn.XLOOKUP(A254,Aktiv!$A:$A,Aktiv!$J:$J,"–"),"")</f>
        <v>866</v>
      </c>
      <c r="J254" s="230">
        <f t="shared" si="21"/>
        <v>1.1496062992125984</v>
      </c>
      <c r="K254" s="240">
        <f t="shared" si="22"/>
        <v>1.3503937007874016</v>
      </c>
      <c r="L254" s="249">
        <f t="shared" si="23"/>
        <v>2.409448818897638</v>
      </c>
      <c r="M254" s="249">
        <f t="shared" si="24"/>
        <v>9.3406593406593408E-2</v>
      </c>
      <c r="N254" s="249">
        <f t="shared" si="25"/>
        <v>0.58608058608058611</v>
      </c>
      <c r="O254" s="249">
        <f t="shared" si="26"/>
        <v>0.45058626465661644</v>
      </c>
      <c r="P254" s="255">
        <f t="shared" si="27"/>
        <v>566</v>
      </c>
    </row>
    <row r="255" spans="1:16" x14ac:dyDescent="0.25">
      <c r="A255" s="193">
        <v>5104</v>
      </c>
      <c r="B255" s="190" t="str">
        <f>IFERROR(_xlfn.XLOOKUP(A255,Aktiv!$A:$A,Aktiv!$C:$C,"–"),"")</f>
        <v>Tür</v>
      </c>
      <c r="C255" s="190" t="str">
        <f>IFERROR(_xlfn.XLOOKUP(A255,Aktiv!$A:$A,Aktiv!$D:$D,"–"),"")</f>
        <v>Tür (420x1800)</v>
      </c>
      <c r="D255" s="196">
        <f>IFERROR(_xlfn.XLOOKUP(A255,Aktiv!$A:$A,Aktiv!$E:$E,"–"),"")</f>
        <v>420</v>
      </c>
      <c r="E255" s="196">
        <f>IFERROR(_xlfn.XLOOKUP(A255,Aktiv!$A:$A,Aktiv!$F:$F,"–"),"")</f>
        <v>1800</v>
      </c>
      <c r="F255" s="199">
        <f>IFERROR(_xlfn.XLOOKUP(A255,Aktiv!$A:$A,Aktiv!$G:$G,"–"),"")</f>
        <v>285</v>
      </c>
      <c r="G255" s="199">
        <f>IFERROR(_xlfn.XLOOKUP(A255,Aktiv!$A:$A,Aktiv!$H:$H,"–"),"")</f>
        <v>610</v>
      </c>
      <c r="H255" s="199">
        <f>IFERROR(_xlfn.XLOOKUP(A255,Aktiv!$A:$A,Aktiv!$I:$I,"–"),"")</f>
        <v>667</v>
      </c>
      <c r="I255" s="255">
        <f>IFERROR(_xlfn.XLOOKUP(A255,Aktiv!$A:$A,Aktiv!$J:$J,"–"),"")</f>
        <v>968</v>
      </c>
      <c r="J255" s="230">
        <f t="shared" si="21"/>
        <v>1.1403508771929824</v>
      </c>
      <c r="K255" s="240">
        <f t="shared" si="22"/>
        <v>1.3403508771929824</v>
      </c>
      <c r="L255" s="249">
        <f t="shared" si="23"/>
        <v>2.3964912280701753</v>
      </c>
      <c r="M255" s="249">
        <f t="shared" si="24"/>
        <v>9.3442622950819676E-2</v>
      </c>
      <c r="N255" s="249">
        <f t="shared" si="25"/>
        <v>0.58688524590163937</v>
      </c>
      <c r="O255" s="249">
        <f t="shared" si="26"/>
        <v>0.45127436281859068</v>
      </c>
      <c r="P255" s="255">
        <f t="shared" si="27"/>
        <v>633</v>
      </c>
    </row>
    <row r="256" spans="1:16" x14ac:dyDescent="0.25">
      <c r="A256" s="193">
        <v>5105</v>
      </c>
      <c r="B256" s="190" t="str">
        <f>IFERROR(_xlfn.XLOOKUP(A256,Aktiv!$A:$A,Aktiv!$C:$C,"–"),"")</f>
        <v>Tür</v>
      </c>
      <c r="C256" s="190" t="str">
        <f>IFERROR(_xlfn.XLOOKUP(A256,Aktiv!$A:$A,Aktiv!$D:$D,"–"),"")</f>
        <v>Tür (580x360)</v>
      </c>
      <c r="D256" s="196">
        <f>IFERROR(_xlfn.XLOOKUP(A256,Aktiv!$A:$A,Aktiv!$E:$E,"–"),"")</f>
        <v>580</v>
      </c>
      <c r="E256" s="196">
        <f>IFERROR(_xlfn.XLOOKUP(A256,Aktiv!$A:$A,Aktiv!$F:$F,"–"),"")</f>
        <v>360</v>
      </c>
      <c r="F256" s="199">
        <f>IFERROR(_xlfn.XLOOKUP(A256,Aktiv!$A:$A,Aktiv!$G:$G,"–"),"")</f>
        <v>150</v>
      </c>
      <c r="G256" s="199">
        <f>IFERROR(_xlfn.XLOOKUP(A256,Aktiv!$A:$A,Aktiv!$H:$H,"–"),"")</f>
        <v>321</v>
      </c>
      <c r="H256" s="199">
        <f>IFERROR(_xlfn.XLOOKUP(A256,Aktiv!$A:$A,Aktiv!$I:$I,"–"),"")</f>
        <v>351</v>
      </c>
      <c r="I256" s="255">
        <f>IFERROR(_xlfn.XLOOKUP(A256,Aktiv!$A:$A,Aktiv!$J:$J,"–"),"")</f>
        <v>509</v>
      </c>
      <c r="J256" s="230">
        <f t="shared" si="21"/>
        <v>1.1399999999999999</v>
      </c>
      <c r="K256" s="240">
        <f t="shared" si="22"/>
        <v>1.34</v>
      </c>
      <c r="L256" s="249">
        <f t="shared" si="23"/>
        <v>2.3933333333333335</v>
      </c>
      <c r="M256" s="249">
        <f t="shared" si="24"/>
        <v>9.3457943925233641E-2</v>
      </c>
      <c r="N256" s="249">
        <f t="shared" si="25"/>
        <v>0.58566978193146413</v>
      </c>
      <c r="O256" s="249">
        <f t="shared" si="26"/>
        <v>0.45014245014245013</v>
      </c>
      <c r="P256" s="255">
        <f t="shared" si="27"/>
        <v>333</v>
      </c>
    </row>
    <row r="257" spans="1:16" x14ac:dyDescent="0.25">
      <c r="A257" s="193">
        <v>5106</v>
      </c>
      <c r="B257" s="190" t="str">
        <f>IFERROR(_xlfn.XLOOKUP(A257,Aktiv!$A:$A,Aktiv!$C:$C,"–"),"")</f>
        <v>Tür</v>
      </c>
      <c r="C257" s="190" t="str">
        <f>IFERROR(_xlfn.XLOOKUP(A257,Aktiv!$A:$A,Aktiv!$D:$D,"–"),"")</f>
        <v>Tür (580x720)</v>
      </c>
      <c r="D257" s="196">
        <f>IFERROR(_xlfn.XLOOKUP(A257,Aktiv!$A:$A,Aktiv!$E:$E,"–"),"")</f>
        <v>580</v>
      </c>
      <c r="E257" s="196">
        <f>IFERROR(_xlfn.XLOOKUP(A257,Aktiv!$A:$A,Aktiv!$F:$F,"–"),"")</f>
        <v>720</v>
      </c>
      <c r="F257" s="199">
        <f>IFERROR(_xlfn.XLOOKUP(A257,Aktiv!$A:$A,Aktiv!$G:$G,"–"),"")</f>
        <v>211</v>
      </c>
      <c r="G257" s="199">
        <f>IFERROR(_xlfn.XLOOKUP(A257,Aktiv!$A:$A,Aktiv!$H:$H,"–"),"")</f>
        <v>454</v>
      </c>
      <c r="H257" s="199">
        <f>IFERROR(_xlfn.XLOOKUP(A257,Aktiv!$A:$A,Aktiv!$I:$I,"–"),"")</f>
        <v>496</v>
      </c>
      <c r="I257" s="255">
        <f>IFERROR(_xlfn.XLOOKUP(A257,Aktiv!$A:$A,Aktiv!$J:$J,"–"),"")</f>
        <v>720</v>
      </c>
      <c r="J257" s="230">
        <f t="shared" si="21"/>
        <v>1.1516587677725119</v>
      </c>
      <c r="K257" s="240">
        <f t="shared" si="22"/>
        <v>1.3507109004739337</v>
      </c>
      <c r="L257" s="249">
        <f t="shared" si="23"/>
        <v>2.4123222748815167</v>
      </c>
      <c r="M257" s="249">
        <f t="shared" si="24"/>
        <v>9.2511013215859028E-2</v>
      </c>
      <c r="N257" s="249">
        <f t="shared" si="25"/>
        <v>0.58590308370044053</v>
      </c>
      <c r="O257" s="249">
        <f t="shared" si="26"/>
        <v>0.45161290322580644</v>
      </c>
      <c r="P257" s="255">
        <f t="shared" si="27"/>
        <v>470</v>
      </c>
    </row>
    <row r="258" spans="1:16" x14ac:dyDescent="0.25">
      <c r="A258" s="193">
        <v>5107</v>
      </c>
      <c r="B258" s="190" t="str">
        <f>IFERROR(_xlfn.XLOOKUP(A258,Aktiv!$A:$A,Aktiv!$C:$C,"–"),"")</f>
        <v>Tür</v>
      </c>
      <c r="C258" s="190" t="str">
        <f>IFERROR(_xlfn.XLOOKUP(A258,Aktiv!$A:$A,Aktiv!$D:$D,"–"),"")</f>
        <v>Tür (580x1080)</v>
      </c>
      <c r="D258" s="196">
        <f>IFERROR(_xlfn.XLOOKUP(A258,Aktiv!$A:$A,Aktiv!$E:$E,"–"),"")</f>
        <v>580</v>
      </c>
      <c r="E258" s="196">
        <f>IFERROR(_xlfn.XLOOKUP(A258,Aktiv!$A:$A,Aktiv!$F:$F,"–"),"")</f>
        <v>1080</v>
      </c>
      <c r="F258" s="199">
        <f>IFERROR(_xlfn.XLOOKUP(A258,Aktiv!$A:$A,Aktiv!$G:$G,"–"),"")</f>
        <v>259</v>
      </c>
      <c r="G258" s="199">
        <f>IFERROR(_xlfn.XLOOKUP(A258,Aktiv!$A:$A,Aktiv!$H:$H,"–"),"")</f>
        <v>556</v>
      </c>
      <c r="H258" s="199">
        <f>IFERROR(_xlfn.XLOOKUP(A258,Aktiv!$A:$A,Aktiv!$I:$I,"–"),"")</f>
        <v>607</v>
      </c>
      <c r="I258" s="255">
        <f>IFERROR(_xlfn.XLOOKUP(A258,Aktiv!$A:$A,Aktiv!$J:$J,"–"),"")</f>
        <v>882</v>
      </c>
      <c r="J258" s="230">
        <f t="shared" si="21"/>
        <v>1.1467181467181466</v>
      </c>
      <c r="K258" s="240">
        <f t="shared" si="22"/>
        <v>1.3436293436293436</v>
      </c>
      <c r="L258" s="249">
        <f t="shared" si="23"/>
        <v>2.4054054054054053</v>
      </c>
      <c r="M258" s="249">
        <f t="shared" si="24"/>
        <v>9.172661870503597E-2</v>
      </c>
      <c r="N258" s="249">
        <f t="shared" si="25"/>
        <v>0.58633093525179858</v>
      </c>
      <c r="O258" s="249">
        <f t="shared" si="26"/>
        <v>0.45304777594728174</v>
      </c>
      <c r="P258" s="255">
        <f t="shared" si="27"/>
        <v>576</v>
      </c>
    </row>
    <row r="259" spans="1:16" x14ac:dyDescent="0.25">
      <c r="A259" s="193">
        <v>5108</v>
      </c>
      <c r="B259" s="190" t="str">
        <f>IFERROR(_xlfn.XLOOKUP(A259,Aktiv!$A:$A,Aktiv!$C:$C,"–"),"")</f>
        <v>Tür</v>
      </c>
      <c r="C259" s="190" t="str">
        <f>IFERROR(_xlfn.XLOOKUP(A259,Aktiv!$A:$A,Aktiv!$D:$D,"–"),"")</f>
        <v>Tür (580x1440)</v>
      </c>
      <c r="D259" s="196">
        <f>IFERROR(_xlfn.XLOOKUP(A259,Aktiv!$A:$A,Aktiv!$E:$E,"–"),"")</f>
        <v>580</v>
      </c>
      <c r="E259" s="196">
        <f>IFERROR(_xlfn.XLOOKUP(A259,Aktiv!$A:$A,Aktiv!$F:$F,"–"),"")</f>
        <v>1440</v>
      </c>
      <c r="F259" s="199">
        <f>IFERROR(_xlfn.XLOOKUP(A259,Aktiv!$A:$A,Aktiv!$G:$G,"–"),"")</f>
        <v>299</v>
      </c>
      <c r="G259" s="199">
        <f>IFERROR(_xlfn.XLOOKUP(A259,Aktiv!$A:$A,Aktiv!$H:$H,"–"),"")</f>
        <v>641</v>
      </c>
      <c r="H259" s="199">
        <f>IFERROR(_xlfn.XLOOKUP(A259,Aktiv!$A:$A,Aktiv!$I:$I,"–"),"")</f>
        <v>701</v>
      </c>
      <c r="I259" s="255">
        <f>IFERROR(_xlfn.XLOOKUP(A259,Aktiv!$A:$A,Aktiv!$J:$J,"–"),"")</f>
        <v>1018</v>
      </c>
      <c r="J259" s="230">
        <f t="shared" si="21"/>
        <v>1.1438127090301002</v>
      </c>
      <c r="K259" s="240">
        <f t="shared" si="22"/>
        <v>1.3444816053511706</v>
      </c>
      <c r="L259" s="249">
        <f t="shared" si="23"/>
        <v>2.4046822742474916</v>
      </c>
      <c r="M259" s="249">
        <f t="shared" si="24"/>
        <v>9.3603744149765994E-2</v>
      </c>
      <c r="N259" s="249">
        <f t="shared" si="25"/>
        <v>0.58814352574102968</v>
      </c>
      <c r="O259" s="249">
        <f t="shared" si="26"/>
        <v>0.45221112696148358</v>
      </c>
      <c r="P259" s="255">
        <f t="shared" si="27"/>
        <v>665</v>
      </c>
    </row>
    <row r="260" spans="1:16" x14ac:dyDescent="0.25">
      <c r="A260" s="193">
        <v>5109</v>
      </c>
      <c r="B260" s="190" t="str">
        <f>IFERROR(_xlfn.XLOOKUP(A260,Aktiv!$A:$A,Aktiv!$C:$C,"–"),"")</f>
        <v>Tür</v>
      </c>
      <c r="C260" s="190" t="str">
        <f>IFERROR(_xlfn.XLOOKUP(A260,Aktiv!$A:$A,Aktiv!$D:$D,"–"),"")</f>
        <v>Tür (580x1800)</v>
      </c>
      <c r="D260" s="196">
        <f>IFERROR(_xlfn.XLOOKUP(A260,Aktiv!$A:$A,Aktiv!$E:$E,"–"),"")</f>
        <v>580</v>
      </c>
      <c r="E260" s="196">
        <f>IFERROR(_xlfn.XLOOKUP(A260,Aktiv!$A:$A,Aktiv!$F:$F,"–"),"")</f>
        <v>1800</v>
      </c>
      <c r="F260" s="199">
        <f>IFERROR(_xlfn.XLOOKUP(A260,Aktiv!$A:$A,Aktiv!$G:$G,"–"),"")</f>
        <v>334</v>
      </c>
      <c r="G260" s="199">
        <f>IFERROR(_xlfn.XLOOKUP(A260,Aktiv!$A:$A,Aktiv!$H:$H,"–"),"")</f>
        <v>717</v>
      </c>
      <c r="H260" s="199">
        <f>IFERROR(_xlfn.XLOOKUP(A260,Aktiv!$A:$A,Aktiv!$I:$I,"–"),"")</f>
        <v>784</v>
      </c>
      <c r="I260" s="255">
        <f>IFERROR(_xlfn.XLOOKUP(A260,Aktiv!$A:$A,Aktiv!$J:$J,"–"),"")</f>
        <v>1138</v>
      </c>
      <c r="J260" s="230">
        <f t="shared" si="21"/>
        <v>1.1467065868263473</v>
      </c>
      <c r="K260" s="240">
        <f t="shared" si="22"/>
        <v>1.347305389221557</v>
      </c>
      <c r="L260" s="249">
        <f t="shared" si="23"/>
        <v>2.4071856287425151</v>
      </c>
      <c r="M260" s="249">
        <f t="shared" si="24"/>
        <v>9.3444909344490928E-2</v>
      </c>
      <c r="N260" s="249">
        <f t="shared" si="25"/>
        <v>0.5871687587168759</v>
      </c>
      <c r="O260" s="249">
        <f t="shared" si="26"/>
        <v>0.45153061224489793</v>
      </c>
      <c r="P260" s="255">
        <f t="shared" si="27"/>
        <v>743</v>
      </c>
    </row>
    <row r="261" spans="1:16" x14ac:dyDescent="0.25">
      <c r="A261" s="193">
        <v>5110</v>
      </c>
      <c r="B261" s="190" t="str">
        <f>IFERROR(_xlfn.XLOOKUP(A261,Aktiv!$A:$A,Aktiv!$C:$C,"–"),"")</f>
        <v>Tür</v>
      </c>
      <c r="C261" s="190" t="str">
        <f>IFERROR(_xlfn.XLOOKUP(A261,Aktiv!$A:$A,Aktiv!$D:$D,"–"),"")</f>
        <v>Tür (360x360)</v>
      </c>
      <c r="D261" s="196">
        <f>IFERROR(_xlfn.XLOOKUP(A261,Aktiv!$A:$A,Aktiv!$E:$E,"–"),"")</f>
        <v>360</v>
      </c>
      <c r="E261" s="196">
        <f>IFERROR(_xlfn.XLOOKUP(A261,Aktiv!$A:$A,Aktiv!$F:$F,"–"),"")</f>
        <v>360</v>
      </c>
      <c r="F261" s="199" t="str">
        <f>IFERROR(_xlfn.XLOOKUP(A261,Aktiv!$A:$A,Aktiv!$G:$G,"–"),"")</f>
        <v>-</v>
      </c>
      <c r="G261" s="199" t="str">
        <f>IFERROR(_xlfn.XLOOKUP(A261,Aktiv!$A:$A,Aktiv!$H:$H,"–"),"")</f>
        <v>-</v>
      </c>
      <c r="H261" s="199" t="str">
        <f>IFERROR(_xlfn.XLOOKUP(A261,Aktiv!$A:$A,Aktiv!$I:$I,"–"),"")</f>
        <v>-</v>
      </c>
      <c r="I261" s="255" t="str">
        <f>IFERROR(_xlfn.XLOOKUP(A261,Aktiv!$A:$A,Aktiv!$J:$J,"–"),"")</f>
        <v>-</v>
      </c>
      <c r="J261" s="230" t="str">
        <f t="shared" si="21"/>
        <v>–</v>
      </c>
      <c r="K261" s="240" t="str">
        <f t="shared" si="22"/>
        <v>–</v>
      </c>
      <c r="L261" s="249" t="str">
        <f t="shared" si="23"/>
        <v>–</v>
      </c>
      <c r="M261" s="249" t="str">
        <f t="shared" si="24"/>
        <v>–</v>
      </c>
      <c r="N261" s="249" t="str">
        <f t="shared" si="25"/>
        <v>–</v>
      </c>
      <c r="O261" s="249" t="str">
        <f t="shared" si="26"/>
        <v>–</v>
      </c>
      <c r="P261" s="255" t="str">
        <f t="shared" si="27"/>
        <v>–</v>
      </c>
    </row>
    <row r="262" spans="1:16" ht="15.75" thickBot="1" x14ac:dyDescent="0.3">
      <c r="A262" s="194">
        <v>5111</v>
      </c>
      <c r="B262" s="191" t="str">
        <f>IFERROR(_xlfn.XLOOKUP(A262,Aktiv!$A:$A,Aktiv!$C:$C,"–"),"")</f>
        <v>Tür</v>
      </c>
      <c r="C262" s="191" t="str">
        <f>IFERROR(_xlfn.XLOOKUP(A262,Aktiv!$A:$A,Aktiv!$D:$D,"–"),"")</f>
        <v>Tür (780x360)</v>
      </c>
      <c r="D262" s="197">
        <f>IFERROR(_xlfn.XLOOKUP(A262,Aktiv!$A:$A,Aktiv!$E:$E,"–"),"")</f>
        <v>780</v>
      </c>
      <c r="E262" s="197">
        <f>IFERROR(_xlfn.XLOOKUP(A262,Aktiv!$A:$A,Aktiv!$F:$F,"–"),"")</f>
        <v>360</v>
      </c>
      <c r="F262" s="200" t="str">
        <f>IFERROR(_xlfn.XLOOKUP(A262,Aktiv!$A:$A,Aktiv!$G:$G,"–"),"")</f>
        <v>-</v>
      </c>
      <c r="G262" s="200" t="str">
        <f>IFERROR(_xlfn.XLOOKUP(A262,Aktiv!$A:$A,Aktiv!$H:$H,"–"),"")</f>
        <v>-</v>
      </c>
      <c r="H262" s="200" t="str">
        <f>IFERROR(_xlfn.XLOOKUP(A262,Aktiv!$A:$A,Aktiv!$I:$I,"–"),"")</f>
        <v>-</v>
      </c>
      <c r="I262" s="256" t="str">
        <f>IFERROR(_xlfn.XLOOKUP(A262,Aktiv!$A:$A,Aktiv!$J:$J,"–"),"")</f>
        <v>-</v>
      </c>
      <c r="J262" s="234" t="str">
        <f t="shared" si="21"/>
        <v>–</v>
      </c>
      <c r="K262" s="245" t="str">
        <f t="shared" si="22"/>
        <v>–</v>
      </c>
      <c r="L262" s="250" t="str">
        <f t="shared" si="23"/>
        <v>–</v>
      </c>
      <c r="M262" s="250" t="str">
        <f t="shared" si="24"/>
        <v>–</v>
      </c>
      <c r="N262" s="250" t="str">
        <f t="shared" si="25"/>
        <v>–</v>
      </c>
      <c r="O262" s="259" t="str">
        <f t="shared" si="26"/>
        <v>–</v>
      </c>
      <c r="P262" s="260" t="str">
        <f t="shared" si="27"/>
        <v>–</v>
      </c>
    </row>
    <row r="265" spans="1:16" ht="15.75" x14ac:dyDescent="0.25">
      <c r="A265" s="210" t="s">
        <v>814</v>
      </c>
    </row>
    <row r="266" spans="1:16" ht="36" customHeight="1" x14ac:dyDescent="0.25">
      <c r="A266" s="261" t="s">
        <v>5</v>
      </c>
      <c r="B266" s="262" t="s">
        <v>822</v>
      </c>
      <c r="C266" s="262" t="s">
        <v>823</v>
      </c>
      <c r="D266" s="262" t="s">
        <v>824</v>
      </c>
      <c r="E266" s="262" t="s">
        <v>825</v>
      </c>
      <c r="F266" s="262" t="s">
        <v>826</v>
      </c>
      <c r="G266" s="262" t="s">
        <v>548</v>
      </c>
      <c r="H266" s="262" t="s">
        <v>550</v>
      </c>
      <c r="I266" s="262" t="s">
        <v>551</v>
      </c>
      <c r="J266" s="263" t="s">
        <v>827</v>
      </c>
      <c r="K266" s="264" t="s">
        <v>828</v>
      </c>
      <c r="L266" s="264" t="s">
        <v>829</v>
      </c>
      <c r="M266" s="264"/>
      <c r="N266" s="264"/>
      <c r="O266" s="264"/>
      <c r="P266" s="264" t="s">
        <v>813</v>
      </c>
    </row>
    <row r="267" spans="1:16" x14ac:dyDescent="0.25">
      <c r="A267" s="215" t="s">
        <v>8</v>
      </c>
      <c r="B267" s="216">
        <f>COUNTIF(B$5:B$262,"Boden")</f>
        <v>16</v>
      </c>
      <c r="C267" s="217">
        <f>IFERROR(ROUND(AVERAGEIF(B$5:B$262,"Boden",F$5:F$262),0),"-")</f>
        <v>68</v>
      </c>
      <c r="D267" s="217">
        <f>IFERROR(ROUND(AVERAGEIF(B$5:B$262,"Boden",G$5:G$262),0),"-")</f>
        <v>235</v>
      </c>
      <c r="E267" s="217">
        <f>IFERROR(ROUND(AVERAGEIF(B$5:B$262,"Boden",H$5:H$262),0),"-")</f>
        <v>247</v>
      </c>
      <c r="F267" s="217">
        <f>IFERROR(ROUND(AVERAGEIF(B$5:B$262,"Boden",I$5:I$262),0),"-")</f>
        <v>277</v>
      </c>
      <c r="G267" s="265">
        <f>IFERROR(AVERAGEIF(B$5:B$262,"Boden",J$5:J$262),"-")</f>
        <v>2.4928836319931107</v>
      </c>
      <c r="H267" s="265">
        <f>IFERROR(AVERAGEIF(B$5:B$262,"Boden",K$5:K$262),"-")</f>
        <v>2.7182721199205666</v>
      </c>
      <c r="I267" s="265">
        <f>IFERROR(AVERAGEIF(B$5:B$262,"Boden",L$5:L$262),"-")</f>
        <v>3.2161856500991992</v>
      </c>
      <c r="J267" s="266">
        <f>IFERROR(AVERAGEIF(B$5:B$262,"Boden",M$5:M$262),"-")</f>
        <v>6.2542992039386944E-2</v>
      </c>
      <c r="K267" s="271">
        <f>IFERROR(AVERAGEIF(B$5:B$262,"Boden",N$5:N$262),"-")</f>
        <v>0.20312648980041528</v>
      </c>
      <c r="L267" s="271">
        <f>IFERROR(AVERAGEIF(B$5:B$262,"Boden",O$5:O$262),"-")</f>
        <v>0.13076943868076402</v>
      </c>
      <c r="M267" s="211"/>
      <c r="N267" s="211"/>
      <c r="O267" s="211"/>
      <c r="P267" s="212">
        <f>IFERROR(ROUND(AVERAGEIF(B$5:B$262,"Boden",P$5:P$262),0),"-")</f>
        <v>207</v>
      </c>
    </row>
    <row r="268" spans="1:16" x14ac:dyDescent="0.25">
      <c r="A268" s="218" t="s">
        <v>235</v>
      </c>
      <c r="B268" s="219">
        <f>COUNTIF(B$5:B$262,"Doppeltür")</f>
        <v>11</v>
      </c>
      <c r="C268" s="220">
        <f>IFERROR(ROUND(AVERAGEIF(B$5:B$262,"Doppeltür",F$5:F$262),0),"-")</f>
        <v>415</v>
      </c>
      <c r="D268" s="220">
        <f>IFERROR(ROUND(AVERAGEIF(B$5:B$262,"Doppeltür",G$5:G$262),0),"-")</f>
        <v>587</v>
      </c>
      <c r="E268" s="220">
        <f>IFERROR(ROUND(AVERAGEIF(B$5:B$262,"Doppeltür",H$5:H$262),0),"-")</f>
        <v>620</v>
      </c>
      <c r="F268" s="220">
        <f>IFERROR(ROUND(AVERAGEIF(B$5:B$262,"Doppeltür",I$5:I$262),0),"-")</f>
        <v>1366</v>
      </c>
      <c r="G268" s="267">
        <f>IFERROR(AVERAGEIF(B$5:B$262,"Doppeltür",J$5:J$262),"-")</f>
        <v>0.41584097084397625</v>
      </c>
      <c r="H268" s="267">
        <f>IFERROR(AVERAGEIF(B$5:B$262,"Doppeltür",K$5:K$262),"-")</f>
        <v>0.49397290252968074</v>
      </c>
      <c r="I268" s="267">
        <f>IFERROR(AVERAGEIF(B$5:B$262,"Doppeltür",L$5:L$262),"-")</f>
        <v>2.2940894543048516</v>
      </c>
      <c r="J268" s="268">
        <f>IFERROR(AVERAGEIF(B$5:B$262,"Doppeltür",M$5:M$262),"-")</f>
        <v>5.5184252501338099E-2</v>
      </c>
      <c r="K268" s="272">
        <f>IFERROR(AVERAGEIF(B$5:B$262,"Doppeltür",N$5:N$262),"-")</f>
        <v>1.3265958761069239</v>
      </c>
      <c r="L268" s="272">
        <f>IFERROR(AVERAGEIF(B$5:B$262,"Doppeltür",O$5:O$262),"-")</f>
        <v>1.2049193737971731</v>
      </c>
      <c r="M268" s="213"/>
      <c r="N268" s="213"/>
      <c r="O268" s="213"/>
      <c r="P268" s="214">
        <f>IFERROR(ROUND(AVERAGEIF(B$5:B$262,"Doppeltür",P$5:P$262),0),"-")</f>
        <v>747</v>
      </c>
    </row>
    <row r="269" spans="1:16" x14ac:dyDescent="0.25">
      <c r="A269" s="215" t="s">
        <v>179</v>
      </c>
      <c r="B269" s="216">
        <f>COUNTIF(B$5:B$262,"Fachboden groß")</f>
        <v>13</v>
      </c>
      <c r="C269" s="217">
        <f>IFERROR(ROUND(AVERAGEIF(B$5:B$262,"Fachboden groß",F$5:F$262),0),"-")</f>
        <v>52</v>
      </c>
      <c r="D269" s="217">
        <f>IFERROR(ROUND(AVERAGEIF(B$5:B$262,"Fachboden groß",G$5:G$262),0),"-")</f>
        <v>181</v>
      </c>
      <c r="E269" s="217">
        <f>IFERROR(ROUND(AVERAGEIF(B$5:B$262,"Fachboden groß",H$5:H$262),0),"-")</f>
        <v>191</v>
      </c>
      <c r="F269" s="217">
        <f>IFERROR(ROUND(AVERAGEIF(B$5:B$262,"Fachboden groß",I$5:I$262),0),"-")</f>
        <v>214</v>
      </c>
      <c r="G269" s="265">
        <f>IFERROR(AVERAGEIF(B$5:B$262,"Fachboden groß",J$5:J$262),"-")</f>
        <v>2.5331871705694593</v>
      </c>
      <c r="H269" s="265">
        <f>IFERROR(AVERAGEIF(B$5:B$262,"Fachboden groß",K$5:K$262),"-")</f>
        <v>2.777282630609943</v>
      </c>
      <c r="I269" s="265">
        <f>IFERROR(AVERAGEIF(B$5:B$262,"Fachboden groß",L$5:L$262),"-")</f>
        <v>3.2912672449554847</v>
      </c>
      <c r="J269" s="266">
        <f>IFERROR(AVERAGEIF(B$5:B$262,"Fachboden groß",M$5:M$262),"-")</f>
        <v>6.6038752632632841E-2</v>
      </c>
      <c r="K269" s="271">
        <f>IFERROR(AVERAGEIF(B$5:B$262,"Fachboden groß",N$5:N$262),"-")</f>
        <v>0.20843390895487213</v>
      </c>
      <c r="L269" s="271">
        <f>IFERROR(AVERAGEIF(B$5:B$262,"Fachboden groß",O$5:O$262),"-")</f>
        <v>0.13180087272893007</v>
      </c>
      <c r="M269" s="211"/>
      <c r="N269" s="211"/>
      <c r="O269" s="211"/>
      <c r="P269" s="212">
        <f>IFERROR(ROUND(AVERAGEIF(B$5:B$262,"Fachboden groß",P$5:P$262),0),"-")</f>
        <v>159</v>
      </c>
    </row>
    <row r="270" spans="1:16" x14ac:dyDescent="0.25">
      <c r="A270" s="218" t="s">
        <v>165</v>
      </c>
      <c r="B270" s="219">
        <f>COUNTIF(B$5:B$262,"Fachboden klein")</f>
        <v>13</v>
      </c>
      <c r="C270" s="220">
        <f>IFERROR(ROUND(AVERAGEIF(B$5:B$262,"Fachboden klein",F$5:F$262),0),"-")</f>
        <v>52</v>
      </c>
      <c r="D270" s="220">
        <f>IFERROR(ROUND(AVERAGEIF(B$5:B$262,"Fachboden klein",G$5:G$262),0),"-")</f>
        <v>181</v>
      </c>
      <c r="E270" s="220">
        <f>IFERROR(ROUND(AVERAGEIF(B$5:B$262,"Fachboden klein",H$5:H$262),0),"-")</f>
        <v>191</v>
      </c>
      <c r="F270" s="220">
        <f>IFERROR(ROUND(AVERAGEIF(B$5:B$262,"Fachboden klein",I$5:I$262),0),"-")</f>
        <v>214</v>
      </c>
      <c r="G270" s="267">
        <f>IFERROR(AVERAGEIF(B$5:B$262,"Fachboden klein",J$5:J$262),"-")</f>
        <v>2.5331871705694593</v>
      </c>
      <c r="H270" s="267">
        <f>IFERROR(AVERAGEIF(B$5:B$262,"Fachboden klein",K$5:K$262),"-")</f>
        <v>2.777282630609943</v>
      </c>
      <c r="I270" s="267">
        <f>IFERROR(AVERAGEIF(B$5:B$262,"Fachboden klein",L$5:L$262),"-")</f>
        <v>3.2912672449554847</v>
      </c>
      <c r="J270" s="268">
        <f>IFERROR(AVERAGEIF(B$5:B$262,"Fachboden klein",M$5:M$262),"-")</f>
        <v>6.6038752632632841E-2</v>
      </c>
      <c r="K270" s="272">
        <f>IFERROR(AVERAGEIF(B$5:B$262,"Fachboden klein",N$5:N$262),"-")</f>
        <v>0.20843390895487213</v>
      </c>
      <c r="L270" s="272">
        <f>IFERROR(AVERAGEIF(B$5:B$262,"Fachboden klein",O$5:O$262),"-")</f>
        <v>0.13180087272893007</v>
      </c>
      <c r="M270" s="213"/>
      <c r="N270" s="213"/>
      <c r="O270" s="213"/>
      <c r="P270" s="214">
        <f>IFERROR(ROUND(AVERAGEIF(B$5:B$262,"Fachboden klein",P$5:P$262),0),"-")</f>
        <v>159</v>
      </c>
    </row>
    <row r="271" spans="1:16" x14ac:dyDescent="0.25">
      <c r="A271" s="215" t="s">
        <v>1</v>
      </c>
      <c r="B271" s="216">
        <f>COUNTIF(B$5:B$262,"Klappe")</f>
        <v>11</v>
      </c>
      <c r="C271" s="217">
        <f>IFERROR(ROUND(AVERAGEIF(B$5:B$262,"Klappe",F$5:F$262),0),"-")</f>
        <v>158</v>
      </c>
      <c r="D271" s="217">
        <f>IFERROR(ROUND(AVERAGEIF(B$5:B$262,"Klappe",G$5:G$262),0),"-")</f>
        <v>261</v>
      </c>
      <c r="E271" s="217">
        <f>IFERROR(ROUND(AVERAGEIF(B$5:B$262,"Klappe",H$5:H$262),0),"-")</f>
        <v>275</v>
      </c>
      <c r="F271" s="217">
        <f>IFERROR(ROUND(AVERAGEIF(B$5:B$262,"Klappe",I$5:I$262),0),"-")</f>
        <v>371</v>
      </c>
      <c r="G271" s="265">
        <f>IFERROR(AVERAGEIF(B$5:B$262,"Klappe",J$5:J$262),"-")</f>
        <v>0.6526751199434172</v>
      </c>
      <c r="H271" s="265">
        <f>IFERROR(AVERAGEIF(B$5:B$262,"Klappe",K$5:K$262),"-")</f>
        <v>0.73919998126174613</v>
      </c>
      <c r="I271" s="265">
        <f>IFERROR(AVERAGEIF(B$5:B$262,"Klappe",L$5:L$262),"-")</f>
        <v>1.3489272822368026</v>
      </c>
      <c r="J271" s="266">
        <f>IFERROR(AVERAGEIF(B$5:B$262,"Klappe",M$5:M$262),"-")</f>
        <v>5.2355035233560943E-2</v>
      </c>
      <c r="K271" s="271">
        <f>IFERROR(AVERAGEIF(B$5:B$262,"Klappe",N$5:N$262),"-")</f>
        <v>0.42128741497975386</v>
      </c>
      <c r="L271" s="271">
        <f>IFERROR(AVERAGEIF(B$5:B$262,"Klappe",O$5:O$262),"-")</f>
        <v>0.35058013260838827</v>
      </c>
      <c r="M271" s="211"/>
      <c r="N271" s="211"/>
      <c r="O271" s="211"/>
      <c r="P271" s="212">
        <f>IFERROR(ROUND(AVERAGEIF(B$5:B$262,"Klappe",P$5:P$262),0),"-")</f>
        <v>267</v>
      </c>
    </row>
    <row r="272" spans="1:16" x14ac:dyDescent="0.25">
      <c r="A272" s="218" t="s">
        <v>193</v>
      </c>
      <c r="B272" s="219">
        <f>COUNTIF(B$5:B$262,"Klappenboden")</f>
        <v>16</v>
      </c>
      <c r="C272" s="220">
        <f>IFERROR(ROUND(AVERAGEIF(B$5:B$262,"Klappenboden",F$5:F$262),0),"-")</f>
        <v>52</v>
      </c>
      <c r="D272" s="220">
        <f>IFERROR(ROUND(AVERAGEIF(B$5:B$262,"Klappenboden",G$5:G$262),0),"-")</f>
        <v>181</v>
      </c>
      <c r="E272" s="220">
        <f>IFERROR(ROUND(AVERAGEIF(B$5:B$262,"Klappenboden",H$5:H$262),0),"-")</f>
        <v>191</v>
      </c>
      <c r="F272" s="220">
        <f>IFERROR(ROUND(AVERAGEIF(B$5:B$262,"Klappenboden",I$5:I$262),0),"-")</f>
        <v>214</v>
      </c>
      <c r="G272" s="267">
        <f>IFERROR(AVERAGEIF(B$5:B$262,"Klappenboden",J$5:J$262),"-")</f>
        <v>2.5331871705694593</v>
      </c>
      <c r="H272" s="267">
        <f>IFERROR(AVERAGEIF(B$5:B$262,"Klappenboden",K$5:K$262),"-")</f>
        <v>2.777282630609943</v>
      </c>
      <c r="I272" s="267">
        <f>IFERROR(AVERAGEIF(B$5:B$262,"Klappenboden",L$5:L$262),"-")</f>
        <v>3.2912672449554847</v>
      </c>
      <c r="J272" s="268">
        <f>IFERROR(AVERAGEIF(B$5:B$262,"Klappenboden",M$5:M$262),"-")</f>
        <v>6.6038752632632841E-2</v>
      </c>
      <c r="K272" s="272">
        <f>IFERROR(AVERAGEIF(B$5:B$262,"Klappenboden",N$5:N$262),"-")</f>
        <v>0.20843390895487213</v>
      </c>
      <c r="L272" s="272">
        <f>IFERROR(AVERAGEIF(B$5:B$262,"Klappenboden",O$5:O$262),"-")</f>
        <v>0.13180087272893007</v>
      </c>
      <c r="M272" s="213"/>
      <c r="N272" s="213"/>
      <c r="O272" s="213"/>
      <c r="P272" s="214">
        <f>IFERROR(ROUND(AVERAGEIF(B$5:B$262,"Klappenboden",P$5:P$262),0),"-")</f>
        <v>159</v>
      </c>
    </row>
    <row r="273" spans="1:16" x14ac:dyDescent="0.25">
      <c r="A273" s="215" t="s">
        <v>78</v>
      </c>
      <c r="B273" s="216">
        <f>COUNTIF(B$5:B$262,"Rücken")</f>
        <v>30</v>
      </c>
      <c r="C273" s="217">
        <f>IFERROR(ROUND(AVERAGEIF(B$5:B$262,"Rücken",F$5:F$262),0),"-")</f>
        <v>91</v>
      </c>
      <c r="D273" s="217">
        <f>IFERROR(ROUND(AVERAGEIF(B$5:B$262,"Rücken",G$5:G$262),0),"-")</f>
        <v>315</v>
      </c>
      <c r="E273" s="217">
        <f>IFERROR(ROUND(AVERAGEIF(B$5:B$262,"Rücken",H$5:H$262),0),"-")</f>
        <v>331</v>
      </c>
      <c r="F273" s="217">
        <f>IFERROR(ROUND(AVERAGEIF(B$5:B$262,"Rücken",I$5:I$262),0),"-")</f>
        <v>371</v>
      </c>
      <c r="G273" s="265">
        <f>IFERROR(AVERAGEIF(B$5:B$262,"Rücken",J$5:J$262),"-")</f>
        <v>2.5678504264056228</v>
      </c>
      <c r="H273" s="265">
        <f>IFERROR(AVERAGEIF(B$5:B$262,"Rücken",K$5:K$262),"-")</f>
        <v>2.8353326996039536</v>
      </c>
      <c r="I273" s="265">
        <f>IFERROR(AVERAGEIF(B$5:B$262,"Rücken",L$5:L$262),"-")</f>
        <v>3.3781757380678408</v>
      </c>
      <c r="J273" s="266">
        <f>IFERROR(AVERAGEIF(B$5:B$262,"Rücken",M$5:M$262),"-")</f>
        <v>7.1392876601304806E-2</v>
      </c>
      <c r="K273" s="271">
        <f>IFERROR(AVERAGEIF(B$5:B$262,"Rücken",N$5:N$262),"-")</f>
        <v>0.21994675601355235</v>
      </c>
      <c r="L273" s="271">
        <f>IFERROR(AVERAGEIF(B$5:B$262,"Rücken",O$5:O$262),"-")</f>
        <v>0.13667349396709202</v>
      </c>
      <c r="M273" s="211"/>
      <c r="N273" s="211"/>
      <c r="O273" s="211"/>
      <c r="P273" s="212">
        <f>IFERROR(ROUND(AVERAGEIF(B$5:B$262,"Rücken",P$5:P$262),0),"-")</f>
        <v>277</v>
      </c>
    </row>
    <row r="274" spans="1:16" x14ac:dyDescent="0.25">
      <c r="A274" s="218" t="s">
        <v>2</v>
      </c>
      <c r="B274" s="219">
        <f>COUNTIF(B$5:B$262,"Schublade")</f>
        <v>19</v>
      </c>
      <c r="C274" s="220">
        <f>IFERROR(ROUND(AVERAGEIF(B$5:B$262,"Schublade",F$5:F$262),0),"-")</f>
        <v>323</v>
      </c>
      <c r="D274" s="220">
        <f>IFERROR(ROUND(AVERAGEIF(B$5:B$262,"Schublade",G$5:G$262),0),"-")</f>
        <v>384</v>
      </c>
      <c r="E274" s="220">
        <f>IFERROR(ROUND(AVERAGEIF(B$5:B$262,"Schublade",H$5:H$262),0),"-")</f>
        <v>418</v>
      </c>
      <c r="F274" s="220" t="str">
        <f>IFERROR(ROUND(AVERAGEIF(B$5:B$262,"Schublade",I$5:I$262),0),"-")</f>
        <v>-</v>
      </c>
      <c r="G274" s="267">
        <f>IFERROR(AVERAGEIF(B$5:B$262,"Schublade",J$5:J$262),"-")</f>
        <v>0.18798999050816667</v>
      </c>
      <c r="H274" s="267">
        <f>IFERROR(AVERAGEIF(B$5:B$262,"Schublade",K$5:K$262),"-")</f>
        <v>0.29276026812738531</v>
      </c>
      <c r="I274" s="267" t="str">
        <f>IFERROR(AVERAGEIF(B$5:B$262,"Schublade",L$5:L$262),"-")</f>
        <v>-</v>
      </c>
      <c r="J274" s="268">
        <f>IFERROR(AVERAGEIF(B$5:B$262,"Schublade",M$5:M$262),"-")</f>
        <v>8.8191968983526131E-2</v>
      </c>
      <c r="K274" s="272" t="str">
        <f>IFERROR(AVERAGEIF(B$5:B$262,"Schublade",N$5:N$262),"-")</f>
        <v>-</v>
      </c>
      <c r="L274" s="272" t="str">
        <f>IFERROR(AVERAGEIF(B$5:B$262,"Schublade",O$5:O$262),"-")</f>
        <v>-</v>
      </c>
      <c r="M274" s="213"/>
      <c r="N274" s="213"/>
      <c r="O274" s="213"/>
      <c r="P274" s="214">
        <f>IFERROR(ROUND(AVERAGEIF(B$5:B$262,"Schublade",P$5:P$262),0),"-")</f>
        <v>375</v>
      </c>
    </row>
    <row r="275" spans="1:16" x14ac:dyDescent="0.25">
      <c r="A275" s="215" t="s">
        <v>278</v>
      </c>
      <c r="B275" s="216">
        <f>COUNTIF(B$5:B$262,"Schublade LB 1")</f>
        <v>8</v>
      </c>
      <c r="C275" s="217">
        <f>IFERROR(ROUND(AVERAGEIF(B$5:B$262,"Schublade LB 1",F$5:F$262),0),"-")</f>
        <v>324</v>
      </c>
      <c r="D275" s="217">
        <f>IFERROR(ROUND(AVERAGEIF(B$5:B$262,"Schublade LB 1",G$5:G$262),0),"-")</f>
        <v>385</v>
      </c>
      <c r="E275" s="217">
        <f>IFERROR(ROUND(AVERAGEIF(B$5:B$262,"Schublade LB 1",H$5:H$262),0),"-")</f>
        <v>419</v>
      </c>
      <c r="F275" s="217" t="str">
        <f>IFERROR(ROUND(AVERAGEIF(B$5:B$262,"Schublade LB 1",I$5:I$262),0),"-")</f>
        <v>-</v>
      </c>
      <c r="G275" s="265">
        <f>IFERROR(AVERAGEIF(B$5:B$262,"Schublade LB 1",J$5:J$262),"-")</f>
        <v>0.18790383366131017</v>
      </c>
      <c r="H275" s="265">
        <f>IFERROR(AVERAGEIF(B$5:B$262,"Schublade LB 1",K$5:K$262),"-")</f>
        <v>0.29279869786972357</v>
      </c>
      <c r="I275" s="265" t="str">
        <f>IFERROR(AVERAGEIF(B$5:B$262,"Schublade LB 1",L$5:L$262),"-")</f>
        <v>-</v>
      </c>
      <c r="J275" s="266">
        <f>IFERROR(AVERAGEIF(B$5:B$262,"Schublade LB 1",M$5:M$262),"-")</f>
        <v>8.8303266693768478E-2</v>
      </c>
      <c r="K275" s="271" t="str">
        <f>IFERROR(AVERAGEIF(B$5:B$262,"Schublade LB 1",N$5:N$262),"-")</f>
        <v>-</v>
      </c>
      <c r="L275" s="271" t="str">
        <f>IFERROR(AVERAGEIF(B$5:B$262,"Schublade LB 1",O$5:O$262),"-")</f>
        <v>-</v>
      </c>
      <c r="M275" s="211"/>
      <c r="N275" s="211"/>
      <c r="O275" s="211"/>
      <c r="P275" s="212">
        <f>IFERROR(ROUND(AVERAGEIF(B$5:B$262,"Schublade LB 1",P$5:P$262),0),"-")</f>
        <v>376</v>
      </c>
    </row>
    <row r="276" spans="1:16" x14ac:dyDescent="0.25">
      <c r="A276" s="218" t="s">
        <v>287</v>
      </c>
      <c r="B276" s="219">
        <f>COUNTIF(B$5:B$262,"Schublade LB 2")</f>
        <v>8</v>
      </c>
      <c r="C276" s="220">
        <f>IFERROR(ROUND(AVERAGEIF(B$5:B$262,"Schublade LB 2",F$5:F$262),0),"-")</f>
        <v>324</v>
      </c>
      <c r="D276" s="220">
        <f>IFERROR(ROUND(AVERAGEIF(B$5:B$262,"Schublade LB 2",G$5:G$262),0),"-")</f>
        <v>385</v>
      </c>
      <c r="E276" s="220">
        <f>IFERROR(ROUND(AVERAGEIF(B$5:B$262,"Schublade LB 2",H$5:H$262),0),"-")</f>
        <v>419</v>
      </c>
      <c r="F276" s="220" t="str">
        <f>IFERROR(ROUND(AVERAGEIF(B$5:B$262,"Schublade LB 2",I$5:I$262),0),"-")</f>
        <v>-</v>
      </c>
      <c r="G276" s="267">
        <f>IFERROR(AVERAGEIF(B$5:B$262,"Schublade LB 2",J$5:J$262),"-")</f>
        <v>0.18790383366131017</v>
      </c>
      <c r="H276" s="267">
        <f>IFERROR(AVERAGEIF(B$5:B$262,"Schublade LB 2",K$5:K$262),"-")</f>
        <v>0.29279869786972357</v>
      </c>
      <c r="I276" s="267" t="str">
        <f>IFERROR(AVERAGEIF(B$5:B$262,"Schublade LB 2",L$5:L$262),"-")</f>
        <v>-</v>
      </c>
      <c r="J276" s="268">
        <f>IFERROR(AVERAGEIF(B$5:B$262,"Schublade LB 2",M$5:M$262),"-")</f>
        <v>8.8303266693768478E-2</v>
      </c>
      <c r="K276" s="272" t="str">
        <f>IFERROR(AVERAGEIF(B$5:B$262,"Schublade LB 2",N$5:N$262),"-")</f>
        <v>-</v>
      </c>
      <c r="L276" s="272" t="str">
        <f>IFERROR(AVERAGEIF(B$5:B$262,"Schublade LB 2",O$5:O$262),"-")</f>
        <v>-</v>
      </c>
      <c r="M276" s="213"/>
      <c r="N276" s="213"/>
      <c r="O276" s="213"/>
      <c r="P276" s="214">
        <f>IFERROR(ROUND(AVERAGEIF(B$5:B$262,"Schublade LB 2",P$5:P$262),0),"-")</f>
        <v>376</v>
      </c>
    </row>
    <row r="277" spans="1:16" x14ac:dyDescent="0.25">
      <c r="A277" s="215" t="s">
        <v>27</v>
      </c>
      <c r="B277" s="216">
        <f>COUNTIF(B$5:B$262,"Seite außen")</f>
        <v>26</v>
      </c>
      <c r="C277" s="217">
        <f>IFERROR(ROUND(AVERAGEIF(B$5:B$262,"Seite außen",F$5:F$262),0),"-")</f>
        <v>107</v>
      </c>
      <c r="D277" s="217">
        <f>IFERROR(ROUND(AVERAGEIF(B$5:B$262,"Seite außen",G$5:G$262),0),"-")</f>
        <v>369</v>
      </c>
      <c r="E277" s="217">
        <f>IFERROR(ROUND(AVERAGEIF(B$5:B$262,"Seite außen",H$5:H$262),0),"-")</f>
        <v>386</v>
      </c>
      <c r="F277" s="217">
        <f>IFERROR(ROUND(AVERAGEIF(B$5:B$262,"Seite außen",I$5:I$262),0),"-")</f>
        <v>306</v>
      </c>
      <c r="G277" s="265">
        <f>IFERROR(AVERAGEIF(B$5:B$262,"Seite außen",J$5:J$262),"-")</f>
        <v>2.536189036090605</v>
      </c>
      <c r="H277" s="265">
        <f>IFERROR(AVERAGEIF(B$5:B$262,"Seite außen",K$5:K$262),"-")</f>
        <v>2.7737438317925585</v>
      </c>
      <c r="I277" s="265">
        <f>IFERROR(AVERAGEIF(B$5:B$262,"Seite außen",L$5:L$262),"-")</f>
        <v>3.4211267008894848</v>
      </c>
      <c r="J277" s="266">
        <f>IFERROR(AVERAGEIF(B$5:B$262,"Seite außen",M$5:M$262),"-")</f>
        <v>6.4161614025094113E-2</v>
      </c>
      <c r="K277" s="271">
        <f>IFERROR(AVERAGEIF(B$5:B$262,"Seite außen",N$5:N$262),"-")</f>
        <v>0.22594238117029455</v>
      </c>
      <c r="L277" s="271">
        <f>IFERROR(AVERAGEIF(B$5:B$262,"Seite außen",O$5:O$262),"-")</f>
        <v>0.13917345305134785</v>
      </c>
      <c r="M277" s="211"/>
      <c r="N277" s="211"/>
      <c r="O277" s="211"/>
      <c r="P277" s="212">
        <f>IFERROR(ROUND(AVERAGEIF(B$5:B$262,"Seite außen",P$5:P$262),0),"-")</f>
        <v>305</v>
      </c>
    </row>
    <row r="278" spans="1:16" x14ac:dyDescent="0.25">
      <c r="A278" s="218" t="s">
        <v>55</v>
      </c>
      <c r="B278" s="219">
        <f>COUNTIF(B$5:B$262,"Seite außen SY32")</f>
        <v>22</v>
      </c>
      <c r="C278" s="220">
        <f>IFERROR(ROUND(AVERAGEIF(B$5:B$262,"Seite außen SY32",F$5:F$262),0),"-")</f>
        <v>119</v>
      </c>
      <c r="D278" s="220">
        <f>IFERROR(ROUND(AVERAGEIF(B$5:B$262,"Seite außen SY32",G$5:G$262),0),"-")</f>
        <v>411</v>
      </c>
      <c r="E278" s="220">
        <f>IFERROR(ROUND(AVERAGEIF(B$5:B$262,"Seite außen SY32",H$5:H$262),0),"-")</f>
        <v>429</v>
      </c>
      <c r="F278" s="220">
        <f>IFERROR(ROUND(AVERAGEIF(B$5:B$262,"Seite außen SY32",I$5:I$262),0),"-")</f>
        <v>479</v>
      </c>
      <c r="G278" s="267">
        <f>IFERROR(AVERAGEIF(B$5:B$262,"Seite außen SY32",J$5:J$262),"-")</f>
        <v>2.4934306848860062</v>
      </c>
      <c r="H278" s="267">
        <f>IFERROR(AVERAGEIF(B$5:B$262,"Seite außen SY32",K$5:K$262),"-")</f>
        <v>2.6997022451157631</v>
      </c>
      <c r="I278" s="267">
        <f>IFERROR(AVERAGEIF(B$5:B$262,"Seite außen SY32",L$5:L$262),"-")</f>
        <v>3.1747451960038799</v>
      </c>
      <c r="J278" s="268">
        <f>IFERROR(AVERAGEIF(B$5:B$262,"Seite außen SY32",M$5:M$262),"-")</f>
        <v>5.7124453105485966E-2</v>
      </c>
      <c r="K278" s="272">
        <f>IFERROR(AVERAGEIF(B$5:B$262,"Seite außen SY32",N$5:N$262),"-")</f>
        <v>0.19117456415862835</v>
      </c>
      <c r="L278" s="272">
        <f>IFERROR(AVERAGEIF(B$5:B$262,"Seite außen SY32",O$5:O$262),"-")</f>
        <v>0.12561109791982028</v>
      </c>
      <c r="M278" s="213"/>
      <c r="N278" s="213"/>
      <c r="O278" s="213"/>
      <c r="P278" s="214">
        <f>IFERROR(ROUND(AVERAGEIF(B$5:B$262,"Seite außen SY32",P$5:P$262),0),"-")</f>
        <v>360</v>
      </c>
    </row>
    <row r="279" spans="1:16" x14ac:dyDescent="0.25">
      <c r="A279" s="215" t="s">
        <v>109</v>
      </c>
      <c r="B279" s="216">
        <f>COUNTIF(B$5:B$262,"Seite innen")</f>
        <v>25</v>
      </c>
      <c r="C279" s="217">
        <f>IFERROR(ROUND(AVERAGEIF(B$5:B$262,"Seite innen",F$5:F$262),0),"-")</f>
        <v>79</v>
      </c>
      <c r="D279" s="217">
        <f>IFERROR(ROUND(AVERAGEIF(B$5:B$262,"Seite innen",G$5:G$262),0),"-")</f>
        <v>275</v>
      </c>
      <c r="E279" s="217">
        <f>IFERROR(ROUND(AVERAGEIF(B$5:B$262,"Seite innen",H$5:H$262),0),"-")</f>
        <v>289</v>
      </c>
      <c r="F279" s="217">
        <f>IFERROR(ROUND(AVERAGEIF(B$5:B$262,"Seite innen",I$5:I$262),0),"-")</f>
        <v>325</v>
      </c>
      <c r="G279" s="265">
        <f>IFERROR(AVERAGEIF(B$5:B$262,"Seite innen",J$5:J$262),"-")</f>
        <v>2.6019066675058746</v>
      </c>
      <c r="H279" s="265">
        <f>IFERROR(AVERAGEIF(B$5:B$262,"Seite innen",K$5:K$262),"-")</f>
        <v>2.8776960297486114</v>
      </c>
      <c r="I279" s="265">
        <f>IFERROR(AVERAGEIF(B$5:B$262,"Seite innen",L$5:L$262),"-")</f>
        <v>3.4304518629992646</v>
      </c>
      <c r="J279" s="266">
        <f>IFERROR(AVERAGEIF(B$5:B$262,"Seite innen",M$5:M$262),"-")</f>
        <v>7.2116599195685138E-2</v>
      </c>
      <c r="K279" s="271">
        <f>IFERROR(AVERAGEIF(B$5:B$262,"Seite innen",N$5:N$262),"-")</f>
        <v>0.22108059726444804</v>
      </c>
      <c r="L279" s="271">
        <f>IFERROR(AVERAGEIF(B$5:B$262,"Seite innen",O$5:O$262),"-")</f>
        <v>0.13688093188932832</v>
      </c>
      <c r="M279" s="211"/>
      <c r="N279" s="211"/>
      <c r="O279" s="211"/>
      <c r="P279" s="212">
        <f>IFERROR(ROUND(AVERAGEIF(B$5:B$262,"Seite innen",P$5:P$262),0),"-")</f>
        <v>242</v>
      </c>
    </row>
    <row r="280" spans="1:16" x14ac:dyDescent="0.25">
      <c r="A280" s="218" t="s">
        <v>135</v>
      </c>
      <c r="B280" s="219">
        <f>COUNTIF(B$5:B$262,"Seite innen SY32")</f>
        <v>18</v>
      </c>
      <c r="C280" s="220">
        <f>IFERROR(ROUND(AVERAGEIF(B$5:B$262,"Seite innen SY32",F$5:F$262),0),"-")</f>
        <v>90</v>
      </c>
      <c r="D280" s="220">
        <f>IFERROR(ROUND(AVERAGEIF(B$5:B$262,"Seite innen SY32",G$5:G$262),0),"-")</f>
        <v>309</v>
      </c>
      <c r="E280" s="220">
        <f>IFERROR(ROUND(AVERAGEIF(B$5:B$262,"Seite innen SY32",H$5:H$262),0),"-")</f>
        <v>323</v>
      </c>
      <c r="F280" s="220">
        <f>IFERROR(ROUND(AVERAGEIF(B$5:B$262,"Seite innen SY32",I$5:I$262),0),"-")</f>
        <v>360</v>
      </c>
      <c r="G280" s="267">
        <f>IFERROR(AVERAGEIF(B$5:B$262,"Seite innen SY32",J$5:J$262),"-")</f>
        <v>2.4982880010070492</v>
      </c>
      <c r="H280" s="267">
        <f>IFERROR(AVERAGEIF(B$5:B$262,"Seite innen SY32",K$5:K$262),"-")</f>
        <v>2.6932352356983342</v>
      </c>
      <c r="I280" s="267">
        <f>IFERROR(AVERAGEIF(B$5:B$262,"Seite innen SY32",L$5:L$262),"-")</f>
        <v>3.1565422355991166</v>
      </c>
      <c r="J280" s="268">
        <f>IFERROR(AVERAGEIF(B$5:B$262,"Seite innen SY32",M$5:M$262),"-")</f>
        <v>5.3530210296958106E-2</v>
      </c>
      <c r="K280" s="272">
        <f>IFERROR(AVERAGEIF(B$5:B$262,"Seite innen SY32",N$5:N$262),"-")</f>
        <v>0.18374331865908519</v>
      </c>
      <c r="L280" s="272">
        <f>IFERROR(AVERAGEIF(B$5:B$262,"Seite innen SY32",O$5:O$262),"-")</f>
        <v>0.12259045160052728</v>
      </c>
      <c r="M280" s="213"/>
      <c r="N280" s="213"/>
      <c r="O280" s="213"/>
      <c r="P280" s="214">
        <f>IFERROR(ROUND(AVERAGEIF(B$5:B$262,"Seite innen SY32",P$5:P$262),0),"-")</f>
        <v>270</v>
      </c>
    </row>
    <row r="281" spans="1:16" x14ac:dyDescent="0.25">
      <c r="A281" s="215" t="s">
        <v>154</v>
      </c>
      <c r="B281" s="216">
        <f>COUNTIF(B$5:B$262,"Seite innen SY32 DB")</f>
        <v>10</v>
      </c>
      <c r="C281" s="217">
        <f>IFERROR(ROUND(AVERAGEIF(B$5:B$262,"Seite innen SY32 DB",F$5:F$262),0),"-")</f>
        <v>90</v>
      </c>
      <c r="D281" s="217">
        <f>IFERROR(ROUND(AVERAGEIF(B$5:B$262,"Seite innen SY32 DB",G$5:G$262),0),"-")</f>
        <v>309</v>
      </c>
      <c r="E281" s="217">
        <f>IFERROR(ROUND(AVERAGEIF(B$5:B$262,"Seite innen SY32 DB",H$5:H$262),0),"-")</f>
        <v>323</v>
      </c>
      <c r="F281" s="217">
        <f>IFERROR(ROUND(AVERAGEIF(B$5:B$262,"Seite innen SY32 DB",I$5:I$262),0),"-")</f>
        <v>360</v>
      </c>
      <c r="G281" s="265">
        <f>IFERROR(AVERAGEIF(B$5:B$262,"Seite innen SY32 DB",J$5:J$262),"-")</f>
        <v>2.4982880010070492</v>
      </c>
      <c r="H281" s="265">
        <f>IFERROR(AVERAGEIF(B$5:B$262,"Seite innen SY32 DB",K$5:K$262),"-")</f>
        <v>2.6932352356983342</v>
      </c>
      <c r="I281" s="265">
        <f>IFERROR(AVERAGEIF(B$5:B$262,"Seite innen SY32 DB",L$5:L$262),"-")</f>
        <v>3.1565422355991166</v>
      </c>
      <c r="J281" s="266">
        <f>IFERROR(AVERAGEIF(B$5:B$262,"Seite innen SY32 DB",M$5:M$262),"-")</f>
        <v>5.3530210296958106E-2</v>
      </c>
      <c r="K281" s="271">
        <f>IFERROR(AVERAGEIF(B$5:B$262,"Seite innen SY32 DB",N$5:N$262),"-")</f>
        <v>0.18374331865908519</v>
      </c>
      <c r="L281" s="271">
        <f>IFERROR(AVERAGEIF(B$5:B$262,"Seite innen SY32 DB",O$5:O$262),"-")</f>
        <v>0.12259045160052728</v>
      </c>
      <c r="M281" s="211"/>
      <c r="N281" s="211"/>
      <c r="O281" s="211"/>
      <c r="P281" s="212">
        <f>IFERROR(ROUND(AVERAGEIF(B$5:B$262,"Seite innen SY32 DB",P$5:P$262),0),"-")</f>
        <v>270</v>
      </c>
    </row>
    <row r="282" spans="1:16" x14ac:dyDescent="0.25">
      <c r="A282" s="221" t="s">
        <v>222</v>
      </c>
      <c r="B282" s="222">
        <f>COUNTIF(B$5:B$262,"Tür")</f>
        <v>12</v>
      </c>
      <c r="C282" s="223">
        <f>IFERROR(ROUND(AVERAGEIF(B$5:B$262,"Tür",F$5:F$262),0),"-")</f>
        <v>232</v>
      </c>
      <c r="D282" s="223">
        <f>IFERROR(ROUND(AVERAGEIF(B$5:B$262,"Tür",G$5:G$262),0),"-")</f>
        <v>498</v>
      </c>
      <c r="E282" s="223">
        <f>IFERROR(ROUND(AVERAGEIF(B$5:B$262,"Tür",H$5:H$262),0),"-")</f>
        <v>544</v>
      </c>
      <c r="F282" s="223">
        <f>IFERROR(ROUND(AVERAGEIF(B$5:B$262,"Tür",I$5:I$262),0),"-")</f>
        <v>790</v>
      </c>
      <c r="G282" s="269">
        <f>IFERROR(AVERAGEIF(B$5:B$262,"Tür",J$5:J$262),"-")</f>
        <v>1.146290413040973</v>
      </c>
      <c r="H282" s="269">
        <f>IFERROR(AVERAGEIF(B$5:B$262,"Tür",K$5:K$262),"-")</f>
        <v>1.3457772954014218</v>
      </c>
      <c r="I282" s="269">
        <f>IFERROR(AVERAGEIF(B$5:B$262,"Tür",L$5:L$262),"-")</f>
        <v>2.4047408691566621</v>
      </c>
      <c r="J282" s="270">
        <f>IFERROR(AVERAGEIF(B$5:B$262,"Tür",M$5:M$262),"-")</f>
        <v>9.2945604179150695E-2</v>
      </c>
      <c r="K282" s="272">
        <f>IFERROR(AVERAGEIF(B$5:B$262,"Tür",N$5:N$262),"-")</f>
        <v>0.58633784100306308</v>
      </c>
      <c r="L282" s="272">
        <f>IFERROR(AVERAGEIF(B$5:B$262,"Tür",O$5:O$262),"-")</f>
        <v>0.45143395796418356</v>
      </c>
      <c r="M282" s="213"/>
      <c r="N282" s="213"/>
      <c r="O282" s="213"/>
      <c r="P282" s="214">
        <f>IFERROR(ROUND(AVERAGEIF(B$5:B$262,"Tür",P$5:P$262),0),"-")</f>
        <v>516</v>
      </c>
    </row>
  </sheetData>
  <mergeCells count="2">
    <mergeCell ref="A1:N1"/>
    <mergeCell ref="A2:N2"/>
  </mergeCells>
  <conditionalFormatting sqref="G267:G28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7:H28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7:I28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:J2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7:J28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7:K28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7:L28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:M26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26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26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7BC5-598E-46A0-9AE2-250C1EB24CAD}">
  <dimension ref="A1:O307"/>
  <sheetViews>
    <sheetView workbookViewId="0">
      <selection activeCell="I45" sqref="I45"/>
    </sheetView>
  </sheetViews>
  <sheetFormatPr baseColWidth="10" defaultRowHeight="15" x14ac:dyDescent="0.25"/>
  <cols>
    <col min="1" max="1" width="15.28515625" style="82" customWidth="1"/>
    <col min="2" max="2" width="13.28515625" style="82" customWidth="1"/>
    <col min="3" max="3" width="24.7109375" style="82" customWidth="1"/>
    <col min="4" max="4" width="38.140625" style="82" customWidth="1"/>
    <col min="5" max="5" width="14.28515625" style="82" customWidth="1"/>
    <col min="6" max="6" width="13.28515625" style="82" customWidth="1"/>
    <col min="7" max="8" width="16.140625" style="82" customWidth="1"/>
    <col min="9" max="9" width="18.140625" style="82" customWidth="1"/>
    <col min="10" max="12" width="16.140625" style="82" customWidth="1"/>
    <col min="13" max="13" width="18.140625" style="82" customWidth="1"/>
    <col min="14" max="14" width="16.140625" style="82" customWidth="1"/>
    <col min="15" max="15" width="34.7109375" style="82" bestFit="1" customWidth="1"/>
    <col min="16" max="16384" width="11.42578125" style="82"/>
  </cols>
  <sheetData>
    <row r="1" spans="1:15" ht="21.95" customHeight="1" x14ac:dyDescent="0.25">
      <c r="A1" s="139" t="s">
        <v>771</v>
      </c>
      <c r="B1" s="139" t="s">
        <v>772</v>
      </c>
      <c r="C1" s="139" t="s">
        <v>773</v>
      </c>
      <c r="D1" s="139" t="s">
        <v>774</v>
      </c>
      <c r="E1" s="139" t="s">
        <v>775</v>
      </c>
      <c r="F1" s="139" t="s">
        <v>776</v>
      </c>
      <c r="G1" s="139" t="s">
        <v>777</v>
      </c>
      <c r="H1" s="139" t="s">
        <v>800</v>
      </c>
      <c r="I1" s="139" t="s">
        <v>801</v>
      </c>
      <c r="J1" s="139" t="s">
        <v>778</v>
      </c>
      <c r="K1" s="140" t="s">
        <v>779</v>
      </c>
      <c r="L1" s="139" t="s">
        <v>802</v>
      </c>
      <c r="M1" s="139" t="s">
        <v>803</v>
      </c>
      <c r="N1" s="139" t="s">
        <v>780</v>
      </c>
      <c r="O1" s="142" t="s">
        <v>781</v>
      </c>
    </row>
    <row r="2" spans="1:15" ht="18" customHeight="1" x14ac:dyDescent="0.25">
      <c r="A2" s="135">
        <v>3000</v>
      </c>
      <c r="B2" s="136" t="s">
        <v>7</v>
      </c>
      <c r="C2" s="136" t="s">
        <v>8</v>
      </c>
      <c r="D2" s="136" t="s">
        <v>9</v>
      </c>
      <c r="E2" s="138">
        <v>360</v>
      </c>
      <c r="F2" s="138">
        <v>360</v>
      </c>
      <c r="G2" s="137">
        <f>IFERROR(INDEX(Aktiv!$G$6:$G$326,MATCH(A2,Aktiv!$A$6:$A$326,0)),"")</f>
        <v>25</v>
      </c>
      <c r="H2" s="137">
        <f>IFERROR(INDEX(Aktiv!$H$6:$H$326,MATCH(A2,Aktiv!$A$6:$A$326,0)),"")</f>
        <v>103</v>
      </c>
      <c r="I2" s="137">
        <f>IFERROR(INDEX(Aktiv!$I$6:$I$326,MATCH(A2,Aktiv!$A$6:$A$326,0)),"")</f>
        <v>120</v>
      </c>
      <c r="J2" s="137">
        <f>IFERROR(INDEX(Aktiv!$J$6:$J$326,MATCH(A2,Aktiv!$A$6:$A$326,0)),"")</f>
        <v>145</v>
      </c>
      <c r="K2" s="141">
        <f>IFERROR(ROUND(G2*Steuerungsdaten!$B$5,0),"-")</f>
        <v>29</v>
      </c>
      <c r="L2" s="137">
        <f>IFERROR(ROUND(H2*Steuerungsdaten!$B$5,0),"-")</f>
        <v>118</v>
      </c>
      <c r="M2" s="137">
        <f>IFERROR(ROUND(I2*Steuerungsdaten!$B$5,0),"-")</f>
        <v>138</v>
      </c>
      <c r="N2" s="137">
        <f>IFERROR(ROUND(J2*Steuerungsdaten!$B$5,0),"-")</f>
        <v>167</v>
      </c>
      <c r="O2" s="143" t="str">
        <f>IF(ISNA(MATCH(A2,Aktiv!$A$6:$A$326,0)),"⚠ nicht im Modell","")</f>
        <v/>
      </c>
    </row>
    <row r="3" spans="1:15" ht="18" customHeight="1" x14ac:dyDescent="0.25">
      <c r="A3" s="135">
        <v>3001</v>
      </c>
      <c r="B3" s="136" t="s">
        <v>7</v>
      </c>
      <c r="C3" s="136" t="s">
        <v>8</v>
      </c>
      <c r="D3" s="136" t="s">
        <v>10</v>
      </c>
      <c r="E3" s="138">
        <v>420</v>
      </c>
      <c r="F3" s="138">
        <v>360</v>
      </c>
      <c r="G3" s="137">
        <f>IFERROR(INDEX(Aktiv!$G$6:$G$326,MATCH(A3,Aktiv!$A$6:$A$326,0)),"")</f>
        <v>27</v>
      </c>
      <c r="H3" s="137">
        <f>IFERROR(INDEX(Aktiv!$H$6:$H$326,MATCH(A3,Aktiv!$A$6:$A$326,0)),"")</f>
        <v>103</v>
      </c>
      <c r="I3" s="137">
        <f>IFERROR(INDEX(Aktiv!$I$6:$I$326,MATCH(A3,Aktiv!$A$6:$A$326,0)),"")</f>
        <v>120</v>
      </c>
      <c r="J3" s="137">
        <f>IFERROR(INDEX(Aktiv!$J$6:$J$326,MATCH(A3,Aktiv!$A$6:$A$326,0)),"")</f>
        <v>145</v>
      </c>
      <c r="K3" s="141">
        <f>IFERROR(ROUND(G3*Steuerungsdaten!$B$5,0),"-")</f>
        <v>31</v>
      </c>
      <c r="L3" s="137">
        <f>IFERROR(ROUND(H3*Steuerungsdaten!$B$5,0),"-")</f>
        <v>118</v>
      </c>
      <c r="M3" s="137">
        <f>IFERROR(ROUND(I3*Steuerungsdaten!$B$5,0),"-")</f>
        <v>138</v>
      </c>
      <c r="N3" s="137">
        <f>IFERROR(ROUND(J3*Steuerungsdaten!$B$5,0),"-")</f>
        <v>167</v>
      </c>
      <c r="O3" s="143" t="str">
        <f>IF(ISNA(MATCH(A3,Aktiv!$A$6:$A$326,0)),"⚠ nicht im Modell","")</f>
        <v/>
      </c>
    </row>
    <row r="4" spans="1:15" ht="18" customHeight="1" x14ac:dyDescent="0.25">
      <c r="A4" s="135">
        <v>3002</v>
      </c>
      <c r="B4" s="136" t="s">
        <v>7</v>
      </c>
      <c r="C4" s="136" t="s">
        <v>8</v>
      </c>
      <c r="D4" s="136" t="s">
        <v>11</v>
      </c>
      <c r="E4" s="138">
        <v>580</v>
      </c>
      <c r="F4" s="138">
        <v>360</v>
      </c>
      <c r="G4" s="137">
        <f>IFERROR(INDEX(Aktiv!$G$6:$G$326,MATCH(A4,Aktiv!$A$6:$A$326,0)),"")</f>
        <v>37</v>
      </c>
      <c r="H4" s="137">
        <f>IFERROR(INDEX(Aktiv!$H$6:$H$326,MATCH(A4,Aktiv!$A$6:$A$326,0)),"")</f>
        <v>126</v>
      </c>
      <c r="I4" s="137">
        <f>IFERROR(INDEX(Aktiv!$I$6:$I$326,MATCH(A4,Aktiv!$A$6:$A$326,0)),"")</f>
        <v>131</v>
      </c>
      <c r="J4" s="137">
        <f>IFERROR(INDEX(Aktiv!$J$6:$J$326,MATCH(A4,Aktiv!$A$6:$A$326,0)),"")</f>
        <v>146</v>
      </c>
      <c r="K4" s="141">
        <f>IFERROR(ROUND(G4*Steuerungsdaten!$B$5,0),"-")</f>
        <v>43</v>
      </c>
      <c r="L4" s="137">
        <f>IFERROR(ROUND(H4*Steuerungsdaten!$B$5,0),"-")</f>
        <v>145</v>
      </c>
      <c r="M4" s="137">
        <f>IFERROR(ROUND(I4*Steuerungsdaten!$B$5,0),"-")</f>
        <v>151</v>
      </c>
      <c r="N4" s="137">
        <f>IFERROR(ROUND(J4*Steuerungsdaten!$B$5,0),"-")</f>
        <v>168</v>
      </c>
      <c r="O4" s="143" t="str">
        <f>IF(ISNA(MATCH(A4,Aktiv!$A$6:$A$326,0)),"⚠ nicht im Modell","")</f>
        <v/>
      </c>
    </row>
    <row r="5" spans="1:15" ht="18" customHeight="1" x14ac:dyDescent="0.25">
      <c r="A5" s="135">
        <v>3003</v>
      </c>
      <c r="B5" s="136" t="s">
        <v>7</v>
      </c>
      <c r="C5" s="136" t="s">
        <v>8</v>
      </c>
      <c r="D5" s="136" t="s">
        <v>12</v>
      </c>
      <c r="E5" s="138">
        <v>780</v>
      </c>
      <c r="F5" s="138">
        <v>360</v>
      </c>
      <c r="G5" s="137">
        <f>IFERROR(INDEX(Aktiv!$G$6:$G$326,MATCH(A5,Aktiv!$A$6:$A$326,0)),"")</f>
        <v>49</v>
      </c>
      <c r="H5" s="137">
        <f>IFERROR(INDEX(Aktiv!$H$6:$H$326,MATCH(A5,Aktiv!$A$6:$A$326,0)),"")</f>
        <v>169</v>
      </c>
      <c r="I5" s="137">
        <f>IFERROR(INDEX(Aktiv!$I$6:$I$326,MATCH(A5,Aktiv!$A$6:$A$326,0)),"")</f>
        <v>177</v>
      </c>
      <c r="J5" s="137">
        <f>IFERROR(INDEX(Aktiv!$J$6:$J$326,MATCH(A5,Aktiv!$A$6:$A$326,0)),"")</f>
        <v>196</v>
      </c>
      <c r="K5" s="141">
        <f>IFERROR(ROUND(G5*Steuerungsdaten!$B$5,0),"-")</f>
        <v>56</v>
      </c>
      <c r="L5" s="137">
        <f>IFERROR(ROUND(H5*Steuerungsdaten!$B$5,0),"-")</f>
        <v>194</v>
      </c>
      <c r="M5" s="137">
        <f>IFERROR(ROUND(I5*Steuerungsdaten!$B$5,0),"-")</f>
        <v>204</v>
      </c>
      <c r="N5" s="137">
        <f>IFERROR(ROUND(J5*Steuerungsdaten!$B$5,0),"-")</f>
        <v>225</v>
      </c>
      <c r="O5" s="143" t="str">
        <f>IF(ISNA(MATCH(A5,Aktiv!$A$6:$A$326,0)),"⚠ nicht im Modell","")</f>
        <v/>
      </c>
    </row>
    <row r="6" spans="1:15" ht="18" customHeight="1" x14ac:dyDescent="0.25">
      <c r="A6" s="135">
        <v>3004</v>
      </c>
      <c r="B6" s="136" t="s">
        <v>7</v>
      </c>
      <c r="C6" s="136" t="s">
        <v>8</v>
      </c>
      <c r="D6" s="136" t="s">
        <v>13</v>
      </c>
      <c r="E6" s="138">
        <v>980</v>
      </c>
      <c r="F6" s="138">
        <v>360</v>
      </c>
      <c r="G6" s="137">
        <f>IFERROR(INDEX(Aktiv!$G$6:$G$326,MATCH(A6,Aktiv!$A$6:$A$326,0)),"")</f>
        <v>62</v>
      </c>
      <c r="H6" s="137">
        <f>IFERROR(INDEX(Aktiv!$H$6:$H$326,MATCH(A6,Aktiv!$A$6:$A$326,0)),"")</f>
        <v>213</v>
      </c>
      <c r="I6" s="137">
        <f>IFERROR(INDEX(Aktiv!$I$6:$I$326,MATCH(A6,Aktiv!$A$6:$A$326,0)),"")</f>
        <v>222</v>
      </c>
      <c r="J6" s="137">
        <f>IFERROR(INDEX(Aktiv!$J$6:$J$326,MATCH(A6,Aktiv!$A$6:$A$326,0)),"")</f>
        <v>247</v>
      </c>
      <c r="K6" s="141">
        <f>IFERROR(ROUND(G6*Steuerungsdaten!$B$5,0),"-")</f>
        <v>71</v>
      </c>
      <c r="L6" s="137">
        <f>IFERROR(ROUND(H6*Steuerungsdaten!$B$5,0),"-")</f>
        <v>245</v>
      </c>
      <c r="M6" s="137">
        <f>IFERROR(ROUND(I6*Steuerungsdaten!$B$5,0),"-")</f>
        <v>255</v>
      </c>
      <c r="N6" s="137">
        <f>IFERROR(ROUND(J6*Steuerungsdaten!$B$5,0),"-")</f>
        <v>284</v>
      </c>
      <c r="O6" s="143" t="str">
        <f>IF(ISNA(MATCH(A6,Aktiv!$A$6:$A$326,0)),"⚠ nicht im Modell","")</f>
        <v/>
      </c>
    </row>
    <row r="7" spans="1:15" ht="18" customHeight="1" x14ac:dyDescent="0.25">
      <c r="A7" s="135">
        <v>3005</v>
      </c>
      <c r="B7" s="136" t="s">
        <v>7</v>
      </c>
      <c r="C7" s="136" t="s">
        <v>8</v>
      </c>
      <c r="D7" s="136" t="s">
        <v>14</v>
      </c>
      <c r="E7" s="138">
        <v>360</v>
      </c>
      <c r="F7" s="138">
        <v>580</v>
      </c>
      <c r="G7" s="137">
        <f>IFERROR(INDEX(Aktiv!$G$6:$G$326,MATCH(A7,Aktiv!$A$6:$A$326,0)),"")</f>
        <v>37</v>
      </c>
      <c r="H7" s="137">
        <f>IFERROR(INDEX(Aktiv!$H$6:$H$326,MATCH(A7,Aktiv!$A$6:$A$326,0)),"")</f>
        <v>126</v>
      </c>
      <c r="I7" s="137">
        <f>IFERROR(INDEX(Aktiv!$I$6:$I$326,MATCH(A7,Aktiv!$A$6:$A$326,0)),"")</f>
        <v>131</v>
      </c>
      <c r="J7" s="137">
        <f>IFERROR(INDEX(Aktiv!$J$6:$J$326,MATCH(A7,Aktiv!$A$6:$A$326,0)),"")</f>
        <v>146</v>
      </c>
      <c r="K7" s="141">
        <f>IFERROR(ROUND(G7*Steuerungsdaten!$B$5,0),"-")</f>
        <v>43</v>
      </c>
      <c r="L7" s="137">
        <f>IFERROR(ROUND(H7*Steuerungsdaten!$B$5,0),"-")</f>
        <v>145</v>
      </c>
      <c r="M7" s="137">
        <f>IFERROR(ROUND(I7*Steuerungsdaten!$B$5,0),"-")</f>
        <v>151</v>
      </c>
      <c r="N7" s="137">
        <f>IFERROR(ROUND(J7*Steuerungsdaten!$B$5,0),"-")</f>
        <v>168</v>
      </c>
      <c r="O7" s="143" t="str">
        <f>IF(ISNA(MATCH(A7,Aktiv!$A$6:$A$326,0)),"⚠ nicht im Modell","")</f>
        <v/>
      </c>
    </row>
    <row r="8" spans="1:15" ht="18" customHeight="1" x14ac:dyDescent="0.25">
      <c r="A8" s="135">
        <v>3006</v>
      </c>
      <c r="B8" s="136" t="s">
        <v>7</v>
      </c>
      <c r="C8" s="136" t="s">
        <v>8</v>
      </c>
      <c r="D8" s="136" t="s">
        <v>16</v>
      </c>
      <c r="E8" s="138">
        <v>420</v>
      </c>
      <c r="F8" s="138">
        <v>580</v>
      </c>
      <c r="G8" s="137">
        <f>IFERROR(INDEX(Aktiv!$G$6:$G$326,MATCH(A8,Aktiv!$A$6:$A$326,0)),"")</f>
        <v>43</v>
      </c>
      <c r="H8" s="137">
        <f>IFERROR(INDEX(Aktiv!$H$6:$H$326,MATCH(A8,Aktiv!$A$6:$A$326,0)),"")</f>
        <v>147</v>
      </c>
      <c r="I8" s="137">
        <f>IFERROR(INDEX(Aktiv!$I$6:$I$326,MATCH(A8,Aktiv!$A$6:$A$326,0)),"")</f>
        <v>153</v>
      </c>
      <c r="J8" s="137">
        <f>IFERROR(INDEX(Aktiv!$J$6:$J$326,MATCH(A8,Aktiv!$A$6:$A$326,0)),"")</f>
        <v>170</v>
      </c>
      <c r="K8" s="141">
        <f>IFERROR(ROUND(G8*Steuerungsdaten!$B$5,0),"-")</f>
        <v>49</v>
      </c>
      <c r="L8" s="137">
        <f>IFERROR(ROUND(H8*Steuerungsdaten!$B$5,0),"-")</f>
        <v>169</v>
      </c>
      <c r="M8" s="137">
        <f>IFERROR(ROUND(I8*Steuerungsdaten!$B$5,0),"-")</f>
        <v>176</v>
      </c>
      <c r="N8" s="137">
        <f>IFERROR(ROUND(J8*Steuerungsdaten!$B$5,0),"-")</f>
        <v>196</v>
      </c>
      <c r="O8" s="143" t="str">
        <f>IF(ISNA(MATCH(A8,Aktiv!$A$6:$A$326,0)),"⚠ nicht im Modell","")</f>
        <v/>
      </c>
    </row>
    <row r="9" spans="1:15" ht="18" customHeight="1" x14ac:dyDescent="0.25">
      <c r="A9" s="135">
        <v>3007</v>
      </c>
      <c r="B9" s="136" t="s">
        <v>7</v>
      </c>
      <c r="C9" s="136" t="s">
        <v>8</v>
      </c>
      <c r="D9" s="136" t="s">
        <v>17</v>
      </c>
      <c r="E9" s="138">
        <v>580</v>
      </c>
      <c r="F9" s="138">
        <v>580</v>
      </c>
      <c r="G9" s="137">
        <f>IFERROR(INDEX(Aktiv!$G$6:$G$326,MATCH(A9,Aktiv!$A$6:$A$326,0)),"")</f>
        <v>59</v>
      </c>
      <c r="H9" s="137">
        <f>IFERROR(INDEX(Aktiv!$H$6:$H$326,MATCH(A9,Aktiv!$A$6:$A$326,0)),"")</f>
        <v>203</v>
      </c>
      <c r="I9" s="137">
        <f>IFERROR(INDEX(Aktiv!$I$6:$I$326,MATCH(A9,Aktiv!$A$6:$A$326,0)),"")</f>
        <v>211</v>
      </c>
      <c r="J9" s="137">
        <f>IFERROR(INDEX(Aktiv!$J$6:$J$326,MATCH(A9,Aktiv!$A$6:$A$326,0)),"")</f>
        <v>235</v>
      </c>
      <c r="K9" s="141">
        <f>IFERROR(ROUND(G9*Steuerungsdaten!$B$5,0),"-")</f>
        <v>68</v>
      </c>
      <c r="L9" s="137">
        <f>IFERROR(ROUND(H9*Steuerungsdaten!$B$5,0),"-")</f>
        <v>233</v>
      </c>
      <c r="M9" s="137">
        <f>IFERROR(ROUND(I9*Steuerungsdaten!$B$5,0),"-")</f>
        <v>243</v>
      </c>
      <c r="N9" s="137">
        <f>IFERROR(ROUND(J9*Steuerungsdaten!$B$5,0),"-")</f>
        <v>270</v>
      </c>
      <c r="O9" s="143" t="str">
        <f>IF(ISNA(MATCH(A9,Aktiv!$A$6:$A$326,0)),"⚠ nicht im Modell","")</f>
        <v/>
      </c>
    </row>
    <row r="10" spans="1:15" ht="18" customHeight="1" x14ac:dyDescent="0.25">
      <c r="A10" s="135">
        <v>3008</v>
      </c>
      <c r="B10" s="136" t="s">
        <v>7</v>
      </c>
      <c r="C10" s="136" t="s">
        <v>8</v>
      </c>
      <c r="D10" s="136" t="s">
        <v>18</v>
      </c>
      <c r="E10" s="138">
        <v>780</v>
      </c>
      <c r="F10" s="138">
        <v>580</v>
      </c>
      <c r="G10" s="137">
        <f>IFERROR(INDEX(Aktiv!$G$6:$G$326,MATCH(A10,Aktiv!$A$6:$A$326,0)),"")</f>
        <v>80</v>
      </c>
      <c r="H10" s="137">
        <f>IFERROR(INDEX(Aktiv!$H$6:$H$326,MATCH(A10,Aktiv!$A$6:$A$326,0)),"")</f>
        <v>273</v>
      </c>
      <c r="I10" s="137">
        <f>IFERROR(INDEX(Aktiv!$I$6:$I$326,MATCH(A10,Aktiv!$A$6:$A$326,0)),"")</f>
        <v>284</v>
      </c>
      <c r="J10" s="137">
        <f>IFERROR(INDEX(Aktiv!$J$6:$J$326,MATCH(A10,Aktiv!$A$6:$A$326,0)),"")</f>
        <v>316</v>
      </c>
      <c r="K10" s="141">
        <f>IFERROR(ROUND(G10*Steuerungsdaten!$B$5,0),"-")</f>
        <v>92</v>
      </c>
      <c r="L10" s="137">
        <f>IFERROR(ROUND(H10*Steuerungsdaten!$B$5,0),"-")</f>
        <v>314</v>
      </c>
      <c r="M10" s="137">
        <f>IFERROR(ROUND(I10*Steuerungsdaten!$B$5,0),"-")</f>
        <v>327</v>
      </c>
      <c r="N10" s="137">
        <f>IFERROR(ROUND(J10*Steuerungsdaten!$B$5,0),"-")</f>
        <v>363</v>
      </c>
      <c r="O10" s="143" t="str">
        <f>IF(ISNA(MATCH(A10,Aktiv!$A$6:$A$326,0)),"⚠ nicht im Modell","")</f>
        <v/>
      </c>
    </row>
    <row r="11" spans="1:15" ht="18" customHeight="1" x14ac:dyDescent="0.25">
      <c r="A11" s="135">
        <v>3009</v>
      </c>
      <c r="B11" s="136" t="s">
        <v>7</v>
      </c>
      <c r="C11" s="136" t="s">
        <v>8</v>
      </c>
      <c r="D11" s="136" t="s">
        <v>19</v>
      </c>
      <c r="E11" s="138">
        <v>980</v>
      </c>
      <c r="F11" s="138">
        <v>580</v>
      </c>
      <c r="G11" s="137">
        <f>IFERROR(INDEX(Aktiv!$G$6:$G$326,MATCH(A11,Aktiv!$A$6:$A$326,0)),"")</f>
        <v>100</v>
      </c>
      <c r="H11" s="137">
        <f>IFERROR(INDEX(Aktiv!$H$6:$H$326,MATCH(A11,Aktiv!$A$6:$A$326,0)),"")</f>
        <v>343</v>
      </c>
      <c r="I11" s="137">
        <f>IFERROR(INDEX(Aktiv!$I$6:$I$326,MATCH(A11,Aktiv!$A$6:$A$326,0)),"")</f>
        <v>357</v>
      </c>
      <c r="J11" s="137">
        <f>IFERROR(INDEX(Aktiv!$J$6:$J$326,MATCH(A11,Aktiv!$A$6:$A$326,0)),"")</f>
        <v>398</v>
      </c>
      <c r="K11" s="141">
        <f>IFERROR(ROUND(G11*Steuerungsdaten!$B$5,0),"-")</f>
        <v>115</v>
      </c>
      <c r="L11" s="137">
        <f>IFERROR(ROUND(H11*Steuerungsdaten!$B$5,0),"-")</f>
        <v>394</v>
      </c>
      <c r="M11" s="137">
        <f>IFERROR(ROUND(I11*Steuerungsdaten!$B$5,0),"-")</f>
        <v>411</v>
      </c>
      <c r="N11" s="137">
        <f>IFERROR(ROUND(J11*Steuerungsdaten!$B$5,0),"-")</f>
        <v>458</v>
      </c>
      <c r="O11" s="143" t="str">
        <f>IF(ISNA(MATCH(A11,Aktiv!$A$6:$A$326,0)),"⚠ nicht im Modell","")</f>
        <v/>
      </c>
    </row>
    <row r="12" spans="1:15" ht="18" customHeight="1" x14ac:dyDescent="0.25">
      <c r="A12" s="135">
        <v>3010</v>
      </c>
      <c r="B12" s="136" t="s">
        <v>7</v>
      </c>
      <c r="C12" s="136" t="s">
        <v>8</v>
      </c>
      <c r="D12" s="136" t="s">
        <v>20</v>
      </c>
      <c r="E12" s="138">
        <v>780</v>
      </c>
      <c r="F12" s="138">
        <v>780</v>
      </c>
      <c r="G12" s="137">
        <f>IFERROR(INDEX(Aktiv!$G$6:$G$326,MATCH(A12,Aktiv!$A$6:$A$326,0)),"")</f>
        <v>107</v>
      </c>
      <c r="H12" s="137">
        <f>IFERROR(INDEX(Aktiv!$H$6:$H$326,MATCH(A12,Aktiv!$A$6:$A$326,0)),"")</f>
        <v>367</v>
      </c>
      <c r="I12" s="137">
        <f>IFERROR(INDEX(Aktiv!$I$6:$I$326,MATCH(A12,Aktiv!$A$6:$A$326,0)),"")</f>
        <v>382</v>
      </c>
      <c r="J12" s="137">
        <f>IFERROR(INDEX(Aktiv!$J$6:$J$326,MATCH(A12,Aktiv!$A$6:$A$326,0)),"")</f>
        <v>426</v>
      </c>
      <c r="K12" s="141">
        <f>IFERROR(ROUND(G12*Steuerungsdaten!$B$5,0),"-")</f>
        <v>123</v>
      </c>
      <c r="L12" s="137">
        <f>IFERROR(ROUND(H12*Steuerungsdaten!$B$5,0),"-")</f>
        <v>422</v>
      </c>
      <c r="M12" s="137">
        <f>IFERROR(ROUND(I12*Steuerungsdaten!$B$5,0),"-")</f>
        <v>439</v>
      </c>
      <c r="N12" s="137">
        <f>IFERROR(ROUND(J12*Steuerungsdaten!$B$5,0),"-")</f>
        <v>490</v>
      </c>
      <c r="O12" s="143" t="str">
        <f>IF(ISNA(MATCH(A12,Aktiv!$A$6:$A$326,0)),"⚠ nicht im Modell","")</f>
        <v/>
      </c>
    </row>
    <row r="13" spans="1:15" ht="18" customHeight="1" x14ac:dyDescent="0.25">
      <c r="A13" s="135">
        <v>3011</v>
      </c>
      <c r="B13" s="136" t="s">
        <v>7</v>
      </c>
      <c r="C13" s="136" t="s">
        <v>8</v>
      </c>
      <c r="D13" s="136" t="s">
        <v>21</v>
      </c>
      <c r="E13" s="138">
        <v>980</v>
      </c>
      <c r="F13" s="138">
        <v>780</v>
      </c>
      <c r="G13" s="137">
        <f>IFERROR(INDEX(Aktiv!$G$6:$G$326,MATCH(A13,Aktiv!$A$6:$A$326,0)),"")</f>
        <v>135</v>
      </c>
      <c r="H13" s="137">
        <f>IFERROR(INDEX(Aktiv!$H$6:$H$326,MATCH(A13,Aktiv!$A$6:$A$326,0)),"")</f>
        <v>461</v>
      </c>
      <c r="I13" s="137">
        <f>IFERROR(INDEX(Aktiv!$I$6:$I$326,MATCH(A13,Aktiv!$A$6:$A$326,0)),"")</f>
        <v>480</v>
      </c>
      <c r="J13" s="137">
        <f>IFERROR(INDEX(Aktiv!$J$6:$J$326,MATCH(A13,Aktiv!$A$6:$A$326,0)),"")</f>
        <v>535</v>
      </c>
      <c r="K13" s="141">
        <f>IFERROR(ROUND(G13*Steuerungsdaten!$B$5,0),"-")</f>
        <v>155</v>
      </c>
      <c r="L13" s="137">
        <f>IFERROR(ROUND(H13*Steuerungsdaten!$B$5,0),"-")</f>
        <v>530</v>
      </c>
      <c r="M13" s="137">
        <f>IFERROR(ROUND(I13*Steuerungsdaten!$B$5,0),"-")</f>
        <v>552</v>
      </c>
      <c r="N13" s="137">
        <f>IFERROR(ROUND(J13*Steuerungsdaten!$B$5,0),"-")</f>
        <v>615</v>
      </c>
      <c r="O13" s="143" t="str">
        <f>IF(ISNA(MATCH(A13,Aktiv!$A$6:$A$326,0)),"⚠ nicht im Modell","")</f>
        <v/>
      </c>
    </row>
    <row r="14" spans="1:15" ht="18" customHeight="1" x14ac:dyDescent="0.25">
      <c r="A14" s="135">
        <v>3012</v>
      </c>
      <c r="B14" s="136" t="s">
        <v>7</v>
      </c>
      <c r="C14" s="136" t="s">
        <v>8</v>
      </c>
      <c r="D14" s="136" t="s">
        <v>22</v>
      </c>
      <c r="E14" s="138">
        <v>980</v>
      </c>
      <c r="F14" s="138">
        <v>980</v>
      </c>
      <c r="G14" s="137">
        <f>IFERROR(INDEX(Aktiv!$G$6:$G$326,MATCH(A14,Aktiv!$A$6:$A$326,0)),"")</f>
        <v>169</v>
      </c>
      <c r="H14" s="137">
        <f>IFERROR(INDEX(Aktiv!$H$6:$H$326,MATCH(A14,Aktiv!$A$6:$A$326,0)),"")</f>
        <v>580</v>
      </c>
      <c r="I14" s="137">
        <f>IFERROR(INDEX(Aktiv!$I$6:$I$326,MATCH(A14,Aktiv!$A$6:$A$326,0)),"")</f>
        <v>604</v>
      </c>
      <c r="J14" s="137">
        <f>IFERROR(INDEX(Aktiv!$J$6:$J$326,MATCH(A14,Aktiv!$A$6:$A$326,0)),"")</f>
        <v>672</v>
      </c>
      <c r="K14" s="141">
        <f>IFERROR(ROUND(G14*Steuerungsdaten!$B$5,0),"-")</f>
        <v>194</v>
      </c>
      <c r="L14" s="137">
        <f>IFERROR(ROUND(H14*Steuerungsdaten!$B$5,0),"-")</f>
        <v>667</v>
      </c>
      <c r="M14" s="137">
        <f>IFERROR(ROUND(I14*Steuerungsdaten!$B$5,0),"-")</f>
        <v>695</v>
      </c>
      <c r="N14" s="137">
        <f>IFERROR(ROUND(J14*Steuerungsdaten!$B$5,0),"-")</f>
        <v>773</v>
      </c>
      <c r="O14" s="143" t="str">
        <f>IF(ISNA(MATCH(A14,Aktiv!$A$6:$A$326,0)),"⚠ nicht im Modell","")</f>
        <v/>
      </c>
    </row>
    <row r="15" spans="1:15" ht="18" customHeight="1" x14ac:dyDescent="0.25">
      <c r="A15" s="135">
        <v>3013</v>
      </c>
      <c r="B15" s="136" t="s">
        <v>7</v>
      </c>
      <c r="C15" s="136" t="s">
        <v>8</v>
      </c>
      <c r="D15" s="136" t="s">
        <v>23</v>
      </c>
      <c r="E15" s="138">
        <v>420</v>
      </c>
      <c r="F15" s="138">
        <v>780</v>
      </c>
      <c r="G15" s="137">
        <f>IFERROR(INDEX(Aktiv!$G$6:$G$326,MATCH(A15,Aktiv!$A$6:$A$326,0)),"")</f>
        <v>58</v>
      </c>
      <c r="H15" s="137">
        <f>IFERROR(INDEX(Aktiv!$H$6:$H$326,MATCH(A15,Aktiv!$A$6:$A$326,0)),"")</f>
        <v>198</v>
      </c>
      <c r="I15" s="137">
        <f>IFERROR(INDEX(Aktiv!$I$6:$I$326,MATCH(A15,Aktiv!$A$6:$A$326,0)),"")</f>
        <v>206</v>
      </c>
      <c r="J15" s="137">
        <f>IFERROR(INDEX(Aktiv!$J$6:$J$326,MATCH(A15,Aktiv!$A$6:$A$326,0)),"")</f>
        <v>229</v>
      </c>
      <c r="K15" s="141">
        <f>IFERROR(ROUND(G15*Steuerungsdaten!$B$5,0),"-")</f>
        <v>67</v>
      </c>
      <c r="L15" s="137">
        <f>IFERROR(ROUND(H15*Steuerungsdaten!$B$5,0),"-")</f>
        <v>228</v>
      </c>
      <c r="M15" s="137">
        <f>IFERROR(ROUND(I15*Steuerungsdaten!$B$5,0),"-")</f>
        <v>237</v>
      </c>
      <c r="N15" s="137">
        <f>IFERROR(ROUND(J15*Steuerungsdaten!$B$5,0),"-")</f>
        <v>263</v>
      </c>
      <c r="O15" s="143" t="str">
        <f>IF(ISNA(MATCH(A15,Aktiv!$A$6:$A$326,0)),"⚠ nicht im Modell","")</f>
        <v/>
      </c>
    </row>
    <row r="16" spans="1:15" ht="18" customHeight="1" x14ac:dyDescent="0.25">
      <c r="A16" s="135">
        <v>3014</v>
      </c>
      <c r="B16" s="136" t="s">
        <v>7</v>
      </c>
      <c r="C16" s="136" t="s">
        <v>8</v>
      </c>
      <c r="D16" s="136" t="s">
        <v>24</v>
      </c>
      <c r="E16" s="138">
        <v>420</v>
      </c>
      <c r="F16" s="138">
        <v>980</v>
      </c>
      <c r="G16" s="137">
        <f>IFERROR(INDEX(Aktiv!$G$6:$G$326,MATCH(A16,Aktiv!$A$6:$A$326,0)),"")</f>
        <v>72</v>
      </c>
      <c r="H16" s="137">
        <f>IFERROR(INDEX(Aktiv!$H$6:$H$326,MATCH(A16,Aktiv!$A$6:$A$326,0)),"")</f>
        <v>248</v>
      </c>
      <c r="I16" s="137">
        <f>IFERROR(INDEX(Aktiv!$I$6:$I$326,MATCH(A16,Aktiv!$A$6:$A$326,0)),"")</f>
        <v>259</v>
      </c>
      <c r="J16" s="137">
        <f>IFERROR(INDEX(Aktiv!$J$6:$J$326,MATCH(A16,Aktiv!$A$6:$A$326,0)),"")</f>
        <v>288</v>
      </c>
      <c r="K16" s="141">
        <f>IFERROR(ROUND(G16*Steuerungsdaten!$B$5,0),"-")</f>
        <v>83</v>
      </c>
      <c r="L16" s="137">
        <f>IFERROR(ROUND(H16*Steuerungsdaten!$B$5,0),"-")</f>
        <v>285</v>
      </c>
      <c r="M16" s="137">
        <f>IFERROR(ROUND(I16*Steuerungsdaten!$B$5,0),"-")</f>
        <v>298</v>
      </c>
      <c r="N16" s="137">
        <f>IFERROR(ROUND(J16*Steuerungsdaten!$B$5,0),"-")</f>
        <v>331</v>
      </c>
      <c r="O16" s="143" t="str">
        <f>IF(ISNA(MATCH(A16,Aktiv!$A$6:$A$326,0)),"⚠ nicht im Modell","")</f>
        <v/>
      </c>
    </row>
    <row r="17" spans="1:15" ht="18" customHeight="1" x14ac:dyDescent="0.25">
      <c r="A17" s="135" t="s">
        <v>25</v>
      </c>
      <c r="B17" s="136" t="s">
        <v>7</v>
      </c>
      <c r="C17" s="136" t="s">
        <v>8</v>
      </c>
      <c r="D17" s="136" t="s">
        <v>26</v>
      </c>
      <c r="E17" s="138">
        <v>420</v>
      </c>
      <c r="F17" s="138">
        <v>420</v>
      </c>
      <c r="G17" s="137">
        <f>IFERROR(INDEX(Aktiv!$G$6:$G$326,MATCH(A17,Aktiv!$A$6:$A$326,0)),"")</f>
        <v>31</v>
      </c>
      <c r="H17" s="137">
        <f>IFERROR(INDEX(Aktiv!$H$6:$H$326,MATCH(A17,Aktiv!$A$6:$A$326,0)),"")</f>
        <v>106</v>
      </c>
      <c r="I17" s="137">
        <f>IFERROR(INDEX(Aktiv!$I$6:$I$326,MATCH(A17,Aktiv!$A$6:$A$326,0)),"")</f>
        <v>120</v>
      </c>
      <c r="J17" s="137">
        <f>IFERROR(INDEX(Aktiv!$J$6:$J$326,MATCH(A17,Aktiv!$A$6:$A$326,0)),"")</f>
        <v>145</v>
      </c>
      <c r="K17" s="141">
        <f>IFERROR(ROUND(G17*Steuerungsdaten!$B$5,0),"-")</f>
        <v>36</v>
      </c>
      <c r="L17" s="137">
        <f>IFERROR(ROUND(H17*Steuerungsdaten!$B$5,0),"-")</f>
        <v>122</v>
      </c>
      <c r="M17" s="137">
        <f>IFERROR(ROUND(I17*Steuerungsdaten!$B$5,0),"-")</f>
        <v>138</v>
      </c>
      <c r="N17" s="137">
        <f>IFERROR(ROUND(J17*Steuerungsdaten!$B$5,0),"-")</f>
        <v>167</v>
      </c>
      <c r="O17" s="143" t="str">
        <f>IF(ISNA(MATCH(A17,Aktiv!$A$6:$A$326,0)),"⚠ nicht im Modell","")</f>
        <v/>
      </c>
    </row>
    <row r="18" spans="1:15" ht="18" customHeight="1" x14ac:dyDescent="0.25">
      <c r="A18" s="135">
        <v>3100</v>
      </c>
      <c r="B18" s="136" t="s">
        <v>7</v>
      </c>
      <c r="C18" s="136" t="s">
        <v>27</v>
      </c>
      <c r="D18" s="136" t="s">
        <v>28</v>
      </c>
      <c r="E18" s="138">
        <v>360</v>
      </c>
      <c r="F18" s="138">
        <v>180</v>
      </c>
      <c r="G18" s="137">
        <f>IFERROR(INDEX(Aktiv!$G$6:$G$326,MATCH(A18,Aktiv!$A$6:$A$326,0)),"")</f>
        <v>25</v>
      </c>
      <c r="H18" s="137">
        <f>IFERROR(INDEX(Aktiv!$H$6:$H$326,MATCH(A18,Aktiv!$A$6:$A$326,0)),"")</f>
        <v>103</v>
      </c>
      <c r="I18" s="137">
        <f>IFERROR(INDEX(Aktiv!$I$6:$I$326,MATCH(A18,Aktiv!$A$6:$A$326,0)),"")</f>
        <v>120</v>
      </c>
      <c r="J18" s="137">
        <f>IFERROR(INDEX(Aktiv!$J$6:$J$326,MATCH(A18,Aktiv!$A$6:$A$326,0)),"")</f>
        <v>145</v>
      </c>
      <c r="K18" s="141">
        <f>IFERROR(ROUND(G18*Steuerungsdaten!$B$5,0),"-")</f>
        <v>29</v>
      </c>
      <c r="L18" s="137">
        <f>IFERROR(ROUND(H18*Steuerungsdaten!$B$5,0),"-")</f>
        <v>118</v>
      </c>
      <c r="M18" s="137">
        <f>IFERROR(ROUND(I18*Steuerungsdaten!$B$5,0),"-")</f>
        <v>138</v>
      </c>
      <c r="N18" s="137">
        <f>IFERROR(ROUND(J18*Steuerungsdaten!$B$5,0),"-")</f>
        <v>167</v>
      </c>
      <c r="O18" s="143" t="str">
        <f>IF(ISNA(MATCH(A18,Aktiv!$A$6:$A$326,0)),"⚠ nicht im Modell","")</f>
        <v/>
      </c>
    </row>
    <row r="19" spans="1:15" ht="18" customHeight="1" x14ac:dyDescent="0.25">
      <c r="A19" s="135">
        <v>3101</v>
      </c>
      <c r="B19" s="136" t="s">
        <v>7</v>
      </c>
      <c r="C19" s="136" t="s">
        <v>27</v>
      </c>
      <c r="D19" s="136" t="s">
        <v>29</v>
      </c>
      <c r="E19" s="138">
        <v>360</v>
      </c>
      <c r="F19" s="138">
        <v>360</v>
      </c>
      <c r="G19" s="137">
        <f>IFERROR(INDEX(Aktiv!$G$6:$G$326,MATCH(A19,Aktiv!$A$6:$A$326,0)),"")</f>
        <v>25</v>
      </c>
      <c r="H19" s="137">
        <f>IFERROR(INDEX(Aktiv!$H$6:$H$326,MATCH(A19,Aktiv!$A$6:$A$326,0)),"")</f>
        <v>103</v>
      </c>
      <c r="I19" s="137">
        <f>IFERROR(INDEX(Aktiv!$I$6:$I$326,MATCH(A19,Aktiv!$A$6:$A$326,0)),"")</f>
        <v>120</v>
      </c>
      <c r="J19" s="137">
        <f>IFERROR(INDEX(Aktiv!$J$6:$J$326,MATCH(A19,Aktiv!$A$6:$A$326,0)),"")</f>
        <v>145</v>
      </c>
      <c r="K19" s="141">
        <f>IFERROR(ROUND(G19*Steuerungsdaten!$B$5,0),"-")</f>
        <v>29</v>
      </c>
      <c r="L19" s="137">
        <f>IFERROR(ROUND(H19*Steuerungsdaten!$B$5,0),"-")</f>
        <v>118</v>
      </c>
      <c r="M19" s="137">
        <f>IFERROR(ROUND(I19*Steuerungsdaten!$B$5,0),"-")</f>
        <v>138</v>
      </c>
      <c r="N19" s="137">
        <f>IFERROR(ROUND(J19*Steuerungsdaten!$B$5,0),"-")</f>
        <v>167</v>
      </c>
      <c r="O19" s="143" t="str">
        <f>IF(ISNA(MATCH(A19,Aktiv!$A$6:$A$326,0)),"⚠ nicht im Modell","")</f>
        <v/>
      </c>
    </row>
    <row r="20" spans="1:15" ht="18" customHeight="1" x14ac:dyDescent="0.25">
      <c r="A20" s="135">
        <v>3102</v>
      </c>
      <c r="B20" s="136" t="s">
        <v>7</v>
      </c>
      <c r="C20" s="136" t="s">
        <v>27</v>
      </c>
      <c r="D20" s="136" t="s">
        <v>30</v>
      </c>
      <c r="E20" s="138">
        <v>360</v>
      </c>
      <c r="F20" s="138">
        <v>720</v>
      </c>
      <c r="G20" s="137">
        <f>IFERROR(INDEX(Aktiv!$G$6:$G$326,MATCH(A20,Aktiv!$A$6:$A$326,0)),"")</f>
        <v>46</v>
      </c>
      <c r="H20" s="137">
        <f>IFERROR(INDEX(Aktiv!$H$6:$H$326,MATCH(A20,Aktiv!$A$6:$A$326,0)),"")</f>
        <v>156</v>
      </c>
      <c r="I20" s="137">
        <f>IFERROR(INDEX(Aktiv!$I$6:$I$326,MATCH(A20,Aktiv!$A$6:$A$326,0)),"")</f>
        <v>163</v>
      </c>
      <c r="J20" s="137">
        <f>IFERROR(INDEX(Aktiv!$J$6:$J$326,MATCH(A20,Aktiv!$A$6:$A$326,0)),"")</f>
        <v>181</v>
      </c>
      <c r="K20" s="141">
        <f>IFERROR(ROUND(G20*Steuerungsdaten!$B$5,0),"-")</f>
        <v>53</v>
      </c>
      <c r="L20" s="137">
        <f>IFERROR(ROUND(H20*Steuerungsdaten!$B$5,0),"-")</f>
        <v>179</v>
      </c>
      <c r="M20" s="137">
        <f>IFERROR(ROUND(I20*Steuerungsdaten!$B$5,0),"-")</f>
        <v>187</v>
      </c>
      <c r="N20" s="137">
        <f>IFERROR(ROUND(J20*Steuerungsdaten!$B$5,0),"-")</f>
        <v>208</v>
      </c>
      <c r="O20" s="143" t="str">
        <f>IF(ISNA(MATCH(A20,Aktiv!$A$6:$A$326,0)),"⚠ nicht im Modell","")</f>
        <v/>
      </c>
    </row>
    <row r="21" spans="1:15" ht="18" customHeight="1" x14ac:dyDescent="0.25">
      <c r="A21" s="135">
        <v>3103</v>
      </c>
      <c r="B21" s="136" t="s">
        <v>7</v>
      </c>
      <c r="C21" s="136" t="s">
        <v>27</v>
      </c>
      <c r="D21" s="136" t="s">
        <v>31</v>
      </c>
      <c r="E21" s="138">
        <v>360</v>
      </c>
      <c r="F21" s="138">
        <v>1080</v>
      </c>
      <c r="G21" s="137">
        <f>IFERROR(INDEX(Aktiv!$G$6:$G$326,MATCH(A21,Aktiv!$A$6:$A$326,0)),"")</f>
        <v>68</v>
      </c>
      <c r="H21" s="137">
        <f>IFERROR(INDEX(Aktiv!$H$6:$H$326,MATCH(A21,Aktiv!$A$6:$A$326,0)),"")</f>
        <v>235</v>
      </c>
      <c r="I21" s="137">
        <f>IFERROR(INDEX(Aktiv!$I$6:$I$326,MATCH(A21,Aktiv!$A$6:$A$326,0)),"")</f>
        <v>244</v>
      </c>
      <c r="J21" s="137">
        <f>IFERROR(INDEX(Aktiv!$J$6:$J$326,MATCH(A21,Aktiv!$A$6:$A$326,0)),"")</f>
        <v>272</v>
      </c>
      <c r="K21" s="141">
        <f>IFERROR(ROUND(G21*Steuerungsdaten!$B$5,0),"-")</f>
        <v>78</v>
      </c>
      <c r="L21" s="137">
        <f>IFERROR(ROUND(H21*Steuerungsdaten!$B$5,0),"-")</f>
        <v>270</v>
      </c>
      <c r="M21" s="137">
        <f>IFERROR(ROUND(I21*Steuerungsdaten!$B$5,0),"-")</f>
        <v>281</v>
      </c>
      <c r="N21" s="137">
        <f>IFERROR(ROUND(J21*Steuerungsdaten!$B$5,0),"-")</f>
        <v>313</v>
      </c>
      <c r="O21" s="143" t="str">
        <f>IF(ISNA(MATCH(A21,Aktiv!$A$6:$A$326,0)),"⚠ nicht im Modell","")</f>
        <v/>
      </c>
    </row>
    <row r="22" spans="1:15" ht="18" customHeight="1" x14ac:dyDescent="0.25">
      <c r="A22" s="135">
        <v>3104</v>
      </c>
      <c r="B22" s="136" t="s">
        <v>7</v>
      </c>
      <c r="C22" s="136" t="s">
        <v>27</v>
      </c>
      <c r="D22" s="136" t="s">
        <v>32</v>
      </c>
      <c r="E22" s="138">
        <v>360</v>
      </c>
      <c r="F22" s="138">
        <v>1440</v>
      </c>
      <c r="G22" s="137">
        <f>IFERROR(INDEX(Aktiv!$G$6:$G$326,MATCH(A22,Aktiv!$A$6:$A$326,0)),"")</f>
        <v>91</v>
      </c>
      <c r="H22" s="137">
        <f>IFERROR(INDEX(Aktiv!$H$6:$H$326,MATCH(A22,Aktiv!$A$6:$A$326,0)),"")</f>
        <v>313</v>
      </c>
      <c r="I22" s="137">
        <f>IFERROR(INDEX(Aktiv!$I$6:$I$326,MATCH(A22,Aktiv!$A$6:$A$326,0)),"")</f>
        <v>326</v>
      </c>
      <c r="J22" s="137">
        <f>IFERROR(INDEX(Aktiv!$J$6:$J$326,MATCH(A22,Aktiv!$A$6:$A$326,0)),"")</f>
        <v>363</v>
      </c>
      <c r="K22" s="141">
        <f>IFERROR(ROUND(G22*Steuerungsdaten!$B$5,0),"-")</f>
        <v>105</v>
      </c>
      <c r="L22" s="137">
        <f>IFERROR(ROUND(H22*Steuerungsdaten!$B$5,0),"-")</f>
        <v>360</v>
      </c>
      <c r="M22" s="137">
        <f>IFERROR(ROUND(I22*Steuerungsdaten!$B$5,0),"-")</f>
        <v>375</v>
      </c>
      <c r="N22" s="137">
        <f>IFERROR(ROUND(J22*Steuerungsdaten!$B$5,0),"-")</f>
        <v>417</v>
      </c>
      <c r="O22" s="143" t="str">
        <f>IF(ISNA(MATCH(A22,Aktiv!$A$6:$A$326,0)),"⚠ nicht im Modell","")</f>
        <v/>
      </c>
    </row>
    <row r="23" spans="1:15" ht="18" customHeight="1" x14ac:dyDescent="0.25">
      <c r="A23" s="135">
        <v>3105</v>
      </c>
      <c r="B23" s="136" t="s">
        <v>7</v>
      </c>
      <c r="C23" s="136" t="s">
        <v>27</v>
      </c>
      <c r="D23" s="136" t="s">
        <v>33</v>
      </c>
      <c r="E23" s="138">
        <v>360</v>
      </c>
      <c r="F23" s="138">
        <v>1800</v>
      </c>
      <c r="G23" s="137">
        <f>IFERROR(INDEX(Aktiv!$G$6:$G$326,MATCH(A23,Aktiv!$A$6:$A$326,0)),"")</f>
        <v>114</v>
      </c>
      <c r="H23" s="137">
        <f>IFERROR(INDEX(Aktiv!$H$6:$H$326,MATCH(A23,Aktiv!$A$6:$A$326,0)),"")</f>
        <v>391</v>
      </c>
      <c r="I23" s="137">
        <f>IFERROR(INDEX(Aktiv!$I$6:$I$326,MATCH(A23,Aktiv!$A$6:$A$326,0)),"")</f>
        <v>407</v>
      </c>
      <c r="J23" s="137">
        <f>IFERROR(INDEX(Aktiv!$J$6:$J$326,MATCH(A23,Aktiv!$A$6:$A$326,0)),"")</f>
        <v>453</v>
      </c>
      <c r="K23" s="141">
        <f>IFERROR(ROUND(G23*Steuerungsdaten!$B$5,0),"-")</f>
        <v>131</v>
      </c>
      <c r="L23" s="137">
        <f>IFERROR(ROUND(H23*Steuerungsdaten!$B$5,0),"-")</f>
        <v>450</v>
      </c>
      <c r="M23" s="137">
        <f>IFERROR(ROUND(I23*Steuerungsdaten!$B$5,0),"-")</f>
        <v>468</v>
      </c>
      <c r="N23" s="137">
        <f>IFERROR(ROUND(J23*Steuerungsdaten!$B$5,0),"-")</f>
        <v>521</v>
      </c>
      <c r="O23" s="143" t="str">
        <f>IF(ISNA(MATCH(A23,Aktiv!$A$6:$A$326,0)),"⚠ nicht im Modell","")</f>
        <v/>
      </c>
    </row>
    <row r="24" spans="1:15" ht="18" customHeight="1" x14ac:dyDescent="0.25">
      <c r="A24" s="135">
        <v>3106</v>
      </c>
      <c r="B24" s="136" t="s">
        <v>7</v>
      </c>
      <c r="C24" s="136" t="s">
        <v>27</v>
      </c>
      <c r="D24" s="136" t="s">
        <v>34</v>
      </c>
      <c r="E24" s="138">
        <v>580</v>
      </c>
      <c r="F24" s="138">
        <v>180</v>
      </c>
      <c r="G24" s="137">
        <f>IFERROR(INDEX(Aktiv!$G$6:$G$326,MATCH(A24,Aktiv!$A$6:$A$326,0)),"")</f>
        <v>25</v>
      </c>
      <c r="H24" s="137">
        <f>IFERROR(INDEX(Aktiv!$H$6:$H$326,MATCH(A24,Aktiv!$A$6:$A$326,0)),"")</f>
        <v>103</v>
      </c>
      <c r="I24" s="137">
        <f>IFERROR(INDEX(Aktiv!$I$6:$I$326,MATCH(A24,Aktiv!$A$6:$A$326,0)),"")</f>
        <v>120</v>
      </c>
      <c r="J24" s="137">
        <f>IFERROR(INDEX(Aktiv!$J$6:$J$326,MATCH(A24,Aktiv!$A$6:$A$326,0)),"")</f>
        <v>145</v>
      </c>
      <c r="K24" s="141">
        <f>IFERROR(ROUND(G24*Steuerungsdaten!$B$5,0),"-")</f>
        <v>29</v>
      </c>
      <c r="L24" s="137">
        <f>IFERROR(ROUND(H24*Steuerungsdaten!$B$5,0),"-")</f>
        <v>118</v>
      </c>
      <c r="M24" s="137">
        <f>IFERROR(ROUND(I24*Steuerungsdaten!$B$5,0),"-")</f>
        <v>138</v>
      </c>
      <c r="N24" s="137">
        <f>IFERROR(ROUND(J24*Steuerungsdaten!$B$5,0),"-")</f>
        <v>167</v>
      </c>
      <c r="O24" s="143" t="str">
        <f>IF(ISNA(MATCH(A24,Aktiv!$A$6:$A$326,0)),"⚠ nicht im Modell","")</f>
        <v/>
      </c>
    </row>
    <row r="25" spans="1:15" ht="18" customHeight="1" x14ac:dyDescent="0.25">
      <c r="A25" s="135">
        <v>3107</v>
      </c>
      <c r="B25" s="136" t="s">
        <v>7</v>
      </c>
      <c r="C25" s="136" t="s">
        <v>27</v>
      </c>
      <c r="D25" s="136" t="s">
        <v>35</v>
      </c>
      <c r="E25" s="138">
        <v>580</v>
      </c>
      <c r="F25" s="138">
        <v>360</v>
      </c>
      <c r="G25" s="137">
        <f>IFERROR(INDEX(Aktiv!$G$6:$G$326,MATCH(A25,Aktiv!$A$6:$A$326,0)),"")</f>
        <v>37</v>
      </c>
      <c r="H25" s="137">
        <f>IFERROR(INDEX(Aktiv!$H$6:$H$326,MATCH(A25,Aktiv!$A$6:$A$326,0)),"")</f>
        <v>126</v>
      </c>
      <c r="I25" s="137">
        <f>IFERROR(INDEX(Aktiv!$I$6:$I$326,MATCH(A25,Aktiv!$A$6:$A$326,0)),"")</f>
        <v>131</v>
      </c>
      <c r="J25" s="137">
        <f>IFERROR(INDEX(Aktiv!$J$6:$J$326,MATCH(A25,Aktiv!$A$6:$A$326,0)),"")</f>
        <v>146</v>
      </c>
      <c r="K25" s="141">
        <f>IFERROR(ROUND(G25*Steuerungsdaten!$B$5,0),"-")</f>
        <v>43</v>
      </c>
      <c r="L25" s="137">
        <f>IFERROR(ROUND(H25*Steuerungsdaten!$B$5,0),"-")</f>
        <v>145</v>
      </c>
      <c r="M25" s="137">
        <f>IFERROR(ROUND(I25*Steuerungsdaten!$B$5,0),"-")</f>
        <v>151</v>
      </c>
      <c r="N25" s="137">
        <f>IFERROR(ROUND(J25*Steuerungsdaten!$B$5,0),"-")</f>
        <v>168</v>
      </c>
      <c r="O25" s="143" t="str">
        <f>IF(ISNA(MATCH(A25,Aktiv!$A$6:$A$326,0)),"⚠ nicht im Modell","")</f>
        <v/>
      </c>
    </row>
    <row r="26" spans="1:15" ht="18" customHeight="1" x14ac:dyDescent="0.25">
      <c r="A26" s="135">
        <v>3108</v>
      </c>
      <c r="B26" s="136" t="s">
        <v>7</v>
      </c>
      <c r="C26" s="136" t="s">
        <v>27</v>
      </c>
      <c r="D26" s="136" t="s">
        <v>36</v>
      </c>
      <c r="E26" s="138">
        <v>580</v>
      </c>
      <c r="F26" s="138">
        <v>720</v>
      </c>
      <c r="G26" s="137">
        <f>IFERROR(INDEX(Aktiv!$G$6:$G$326,MATCH(A26,Aktiv!$A$6:$A$326,0)),"")</f>
        <v>73</v>
      </c>
      <c r="H26" s="137">
        <f>IFERROR(INDEX(Aktiv!$H$6:$H$326,MATCH(A26,Aktiv!$A$6:$A$326,0)),"")</f>
        <v>252</v>
      </c>
      <c r="I26" s="137">
        <f>IFERROR(INDEX(Aktiv!$I$6:$I$326,MATCH(A26,Aktiv!$A$6:$A$326,0)),"")</f>
        <v>262</v>
      </c>
      <c r="J26" s="137">
        <f>IFERROR(INDEX(Aktiv!$J$6:$J$326,MATCH(A26,Aktiv!$A$6:$A$326,0)),"")</f>
        <v>292</v>
      </c>
      <c r="K26" s="141">
        <f>IFERROR(ROUND(G26*Steuerungsdaten!$B$5,0),"-")</f>
        <v>84</v>
      </c>
      <c r="L26" s="137">
        <f>IFERROR(ROUND(H26*Steuerungsdaten!$B$5,0),"-")</f>
        <v>290</v>
      </c>
      <c r="M26" s="137">
        <f>IFERROR(ROUND(I26*Steuerungsdaten!$B$5,0),"-")</f>
        <v>301</v>
      </c>
      <c r="N26" s="137">
        <f>IFERROR(ROUND(J26*Steuerungsdaten!$B$5,0),"-")</f>
        <v>336</v>
      </c>
      <c r="O26" s="143" t="str">
        <f>IF(ISNA(MATCH(A26,Aktiv!$A$6:$A$326,0)),"⚠ nicht im Modell","")</f>
        <v/>
      </c>
    </row>
    <row r="27" spans="1:15" ht="18" customHeight="1" x14ac:dyDescent="0.25">
      <c r="A27" s="135">
        <v>3109</v>
      </c>
      <c r="B27" s="136" t="s">
        <v>7</v>
      </c>
      <c r="C27" s="136" t="s">
        <v>27</v>
      </c>
      <c r="D27" s="136" t="s">
        <v>37</v>
      </c>
      <c r="E27" s="138">
        <v>580</v>
      </c>
      <c r="F27" s="138">
        <v>1080</v>
      </c>
      <c r="G27" s="137">
        <f>IFERROR(INDEX(Aktiv!$G$6:$G$326,MATCH(A27,Aktiv!$A$6:$A$326,0)),"")</f>
        <v>110</v>
      </c>
      <c r="H27" s="137">
        <f>IFERROR(INDEX(Aktiv!$H$6:$H$326,MATCH(A27,Aktiv!$A$6:$A$326,0)),"")</f>
        <v>378</v>
      </c>
      <c r="I27" s="137">
        <f>IFERROR(INDEX(Aktiv!$I$6:$I$326,MATCH(A27,Aktiv!$A$6:$A$326,0)),"")</f>
        <v>394</v>
      </c>
      <c r="J27" s="137">
        <f>IFERROR(INDEX(Aktiv!$J$6:$J$326,MATCH(A27,Aktiv!$A$6:$A$326,0)),"")</f>
        <v>438</v>
      </c>
      <c r="K27" s="141">
        <f>IFERROR(ROUND(G27*Steuerungsdaten!$B$5,0),"-")</f>
        <v>127</v>
      </c>
      <c r="L27" s="137">
        <f>IFERROR(ROUND(H27*Steuerungsdaten!$B$5,0),"-")</f>
        <v>435</v>
      </c>
      <c r="M27" s="137">
        <f>IFERROR(ROUND(I27*Steuerungsdaten!$B$5,0),"-")</f>
        <v>453</v>
      </c>
      <c r="N27" s="137">
        <f>IFERROR(ROUND(J27*Steuerungsdaten!$B$5,0),"-")</f>
        <v>504</v>
      </c>
      <c r="O27" s="143" t="str">
        <f>IF(ISNA(MATCH(A27,Aktiv!$A$6:$A$326,0)),"⚠ nicht im Modell","")</f>
        <v/>
      </c>
    </row>
    <row r="28" spans="1:15" ht="18" customHeight="1" x14ac:dyDescent="0.25">
      <c r="A28" s="135">
        <v>3110</v>
      </c>
      <c r="B28" s="136" t="s">
        <v>7</v>
      </c>
      <c r="C28" s="136" t="s">
        <v>27</v>
      </c>
      <c r="D28" s="136" t="s">
        <v>38</v>
      </c>
      <c r="E28" s="138">
        <v>580</v>
      </c>
      <c r="F28" s="138">
        <v>1440</v>
      </c>
      <c r="G28" s="137">
        <f>IFERROR(INDEX(Aktiv!$G$6:$G$326,MATCH(A28,Aktiv!$A$6:$A$326,0)),"")</f>
        <v>147</v>
      </c>
      <c r="H28" s="137">
        <f>IFERROR(INDEX(Aktiv!$H$6:$H$326,MATCH(A28,Aktiv!$A$6:$A$326,0)),"")</f>
        <v>504</v>
      </c>
      <c r="I28" s="137">
        <f>IFERROR(INDEX(Aktiv!$I$6:$I$326,MATCH(A28,Aktiv!$A$6:$A$326,0)),"")</f>
        <v>525</v>
      </c>
      <c r="J28" s="137">
        <f>IFERROR(INDEX(Aktiv!$J$6:$J$326,MATCH(A28,Aktiv!$A$6:$A$326,0)),"")</f>
        <v>584</v>
      </c>
      <c r="K28" s="141">
        <f>IFERROR(ROUND(G28*Steuerungsdaten!$B$5,0),"-")</f>
        <v>169</v>
      </c>
      <c r="L28" s="137">
        <f>IFERROR(ROUND(H28*Steuerungsdaten!$B$5,0),"-")</f>
        <v>580</v>
      </c>
      <c r="M28" s="137">
        <f>IFERROR(ROUND(I28*Steuerungsdaten!$B$5,0),"-")</f>
        <v>604</v>
      </c>
      <c r="N28" s="137">
        <f>IFERROR(ROUND(J28*Steuerungsdaten!$B$5,0),"-")</f>
        <v>672</v>
      </c>
      <c r="O28" s="143" t="str">
        <f>IF(ISNA(MATCH(A28,Aktiv!$A$6:$A$326,0)),"⚠ nicht im Modell","")</f>
        <v/>
      </c>
    </row>
    <row r="29" spans="1:15" ht="18" customHeight="1" x14ac:dyDescent="0.25">
      <c r="A29" s="135">
        <v>3111</v>
      </c>
      <c r="B29" s="136" t="s">
        <v>7</v>
      </c>
      <c r="C29" s="136" t="s">
        <v>27</v>
      </c>
      <c r="D29" s="136" t="s">
        <v>39</v>
      </c>
      <c r="E29" s="138">
        <v>580</v>
      </c>
      <c r="F29" s="138">
        <v>1800</v>
      </c>
      <c r="G29" s="137">
        <f>IFERROR(INDEX(Aktiv!$G$6:$G$326,MATCH(A29,Aktiv!$A$6:$A$326,0)),"")</f>
        <v>184</v>
      </c>
      <c r="H29" s="137">
        <f>IFERROR(INDEX(Aktiv!$H$6:$H$326,MATCH(A29,Aktiv!$A$6:$A$326,0)),"")</f>
        <v>630</v>
      </c>
      <c r="I29" s="137">
        <f>IFERROR(INDEX(Aktiv!$I$6:$I$326,MATCH(A29,Aktiv!$A$6:$A$326,0)),"")</f>
        <v>656</v>
      </c>
      <c r="J29" s="137">
        <f>IFERROR(INDEX(Aktiv!$J$6:$J$326,MATCH(A29,Aktiv!$A$6:$A$326,0)),"")</f>
        <v>730</v>
      </c>
      <c r="K29" s="141">
        <f>IFERROR(ROUND(G29*Steuerungsdaten!$B$5,0),"-")</f>
        <v>212</v>
      </c>
      <c r="L29" s="137">
        <f>IFERROR(ROUND(H29*Steuerungsdaten!$B$5,0),"-")</f>
        <v>725</v>
      </c>
      <c r="M29" s="137">
        <f>IFERROR(ROUND(I29*Steuerungsdaten!$B$5,0),"-")</f>
        <v>754</v>
      </c>
      <c r="N29" s="137">
        <f>IFERROR(ROUND(J29*Steuerungsdaten!$B$5,0),"-")</f>
        <v>840</v>
      </c>
      <c r="O29" s="143" t="str">
        <f>IF(ISNA(MATCH(A29,Aktiv!$A$6:$A$326,0)),"⚠ nicht im Modell","")</f>
        <v/>
      </c>
    </row>
    <row r="30" spans="1:15" ht="18" customHeight="1" x14ac:dyDescent="0.25">
      <c r="A30" s="135">
        <v>3112</v>
      </c>
      <c r="B30" s="136" t="s">
        <v>7</v>
      </c>
      <c r="C30" s="136" t="s">
        <v>27</v>
      </c>
      <c r="D30" s="136" t="s">
        <v>40</v>
      </c>
      <c r="E30" s="138">
        <v>180</v>
      </c>
      <c r="F30" s="138">
        <v>780</v>
      </c>
      <c r="G30" s="137">
        <f>IFERROR(INDEX(Aktiv!$G$6:$G$326,MATCH(A30,Aktiv!$A$6:$A$326,0)),"")</f>
        <v>25</v>
      </c>
      <c r="H30" s="137">
        <f>IFERROR(INDEX(Aktiv!$H$6:$H$326,MATCH(A30,Aktiv!$A$6:$A$326,0)),"")</f>
        <v>103</v>
      </c>
      <c r="I30" s="137">
        <f>IFERROR(INDEX(Aktiv!$I$6:$I$326,MATCH(A30,Aktiv!$A$6:$A$326,0)),"")</f>
        <v>120</v>
      </c>
      <c r="J30" s="137">
        <f>IFERROR(INDEX(Aktiv!$J$6:$J$326,MATCH(A30,Aktiv!$A$6:$A$326,0)),"")</f>
        <v>145</v>
      </c>
      <c r="K30" s="141">
        <f>IFERROR(ROUND(G30*Steuerungsdaten!$B$5,0),"-")</f>
        <v>29</v>
      </c>
      <c r="L30" s="137">
        <f>IFERROR(ROUND(H30*Steuerungsdaten!$B$5,0),"-")</f>
        <v>118</v>
      </c>
      <c r="M30" s="137">
        <f>IFERROR(ROUND(I30*Steuerungsdaten!$B$5,0),"-")</f>
        <v>138</v>
      </c>
      <c r="N30" s="137">
        <f>IFERROR(ROUND(J30*Steuerungsdaten!$B$5,0),"-")</f>
        <v>167</v>
      </c>
      <c r="O30" s="143" t="str">
        <f>IF(ISNA(MATCH(A30,Aktiv!$A$6:$A$326,0)),"⚠ nicht im Modell","")</f>
        <v/>
      </c>
    </row>
    <row r="31" spans="1:15" ht="18" customHeight="1" x14ac:dyDescent="0.25">
      <c r="A31" s="135">
        <v>3113</v>
      </c>
      <c r="B31" s="136" t="s">
        <v>7</v>
      </c>
      <c r="C31" s="136" t="s">
        <v>27</v>
      </c>
      <c r="D31" s="136" t="s">
        <v>41</v>
      </c>
      <c r="E31" s="138">
        <v>180</v>
      </c>
      <c r="F31" s="138">
        <v>980</v>
      </c>
      <c r="G31" s="137">
        <f>IFERROR(INDEX(Aktiv!$G$6:$G$326,MATCH(A31,Aktiv!$A$6:$A$326,0)),"")</f>
        <v>31</v>
      </c>
      <c r="H31" s="137">
        <f>IFERROR(INDEX(Aktiv!$H$6:$H$326,MATCH(A31,Aktiv!$A$6:$A$326,0)),"")</f>
        <v>106</v>
      </c>
      <c r="I31" s="137">
        <f>IFERROR(INDEX(Aktiv!$I$6:$I$326,MATCH(A31,Aktiv!$A$6:$A$326,0)),"")</f>
        <v>120</v>
      </c>
      <c r="J31" s="137">
        <f>IFERROR(INDEX(Aktiv!$J$6:$J$326,MATCH(A31,Aktiv!$A$6:$A$326,0)),"")</f>
        <v>145</v>
      </c>
      <c r="K31" s="141">
        <f>IFERROR(ROUND(G31*Steuerungsdaten!$B$5,0),"-")</f>
        <v>36</v>
      </c>
      <c r="L31" s="137">
        <f>IFERROR(ROUND(H31*Steuerungsdaten!$B$5,0),"-")</f>
        <v>122</v>
      </c>
      <c r="M31" s="137">
        <f>IFERROR(ROUND(I31*Steuerungsdaten!$B$5,0),"-")</f>
        <v>138</v>
      </c>
      <c r="N31" s="137">
        <f>IFERROR(ROUND(J31*Steuerungsdaten!$B$5,0),"-")</f>
        <v>167</v>
      </c>
      <c r="O31" s="143" t="str">
        <f>IF(ISNA(MATCH(A31,Aktiv!$A$6:$A$326,0)),"⚠ nicht im Modell","")</f>
        <v/>
      </c>
    </row>
    <row r="32" spans="1:15" ht="18" customHeight="1" x14ac:dyDescent="0.25">
      <c r="A32" s="135">
        <v>3114</v>
      </c>
      <c r="B32" s="136" t="s">
        <v>7</v>
      </c>
      <c r="C32" s="136" t="s">
        <v>27</v>
      </c>
      <c r="D32" s="136" t="s">
        <v>42</v>
      </c>
      <c r="E32" s="138">
        <v>360</v>
      </c>
      <c r="F32" s="138">
        <v>780</v>
      </c>
      <c r="G32" s="137">
        <f>IFERROR(INDEX(Aktiv!$G$6:$G$326,MATCH(A32,Aktiv!$A$6:$A$326,0)),"")</f>
        <v>49</v>
      </c>
      <c r="H32" s="137">
        <f>IFERROR(INDEX(Aktiv!$H$6:$H$326,MATCH(A32,Aktiv!$A$6:$A$326,0)),"")</f>
        <v>169</v>
      </c>
      <c r="I32" s="137">
        <f>IFERROR(INDEX(Aktiv!$I$6:$I$326,MATCH(A32,Aktiv!$A$6:$A$326,0)),"")</f>
        <v>177</v>
      </c>
      <c r="J32" s="137">
        <f>IFERROR(INDEX(Aktiv!$J$6:$J$326,MATCH(A32,Aktiv!$A$6:$A$326,0)),"")</f>
        <v>196</v>
      </c>
      <c r="K32" s="141">
        <f>IFERROR(ROUND(G32*Steuerungsdaten!$B$5,0),"-")</f>
        <v>56</v>
      </c>
      <c r="L32" s="137">
        <f>IFERROR(ROUND(H32*Steuerungsdaten!$B$5,0),"-")</f>
        <v>194</v>
      </c>
      <c r="M32" s="137">
        <f>IFERROR(ROUND(I32*Steuerungsdaten!$B$5,0),"-")</f>
        <v>204</v>
      </c>
      <c r="N32" s="137">
        <f>IFERROR(ROUND(J32*Steuerungsdaten!$B$5,0),"-")</f>
        <v>225</v>
      </c>
      <c r="O32" s="143" t="str">
        <f>IF(ISNA(MATCH(A32,Aktiv!$A$6:$A$326,0)),"⚠ nicht im Modell","")</f>
        <v/>
      </c>
    </row>
    <row r="33" spans="1:15" ht="18" customHeight="1" x14ac:dyDescent="0.25">
      <c r="A33" s="135">
        <v>3115</v>
      </c>
      <c r="B33" s="136" t="s">
        <v>7</v>
      </c>
      <c r="C33" s="136" t="s">
        <v>27</v>
      </c>
      <c r="D33" s="136" t="s">
        <v>43</v>
      </c>
      <c r="E33" s="138">
        <v>360</v>
      </c>
      <c r="F33" s="138">
        <v>980</v>
      </c>
      <c r="G33" s="137">
        <f>IFERROR(INDEX(Aktiv!$G$6:$G$326,MATCH(A33,Aktiv!$A$6:$A$326,0)),"")</f>
        <v>62</v>
      </c>
      <c r="H33" s="137">
        <f>IFERROR(INDEX(Aktiv!$H$6:$H$326,MATCH(A33,Aktiv!$A$6:$A$326,0)),"")</f>
        <v>213</v>
      </c>
      <c r="I33" s="137">
        <f>IFERROR(INDEX(Aktiv!$I$6:$I$326,MATCH(A33,Aktiv!$A$6:$A$326,0)),"")</f>
        <v>222</v>
      </c>
      <c r="J33" s="137">
        <f>IFERROR(INDEX(Aktiv!$J$6:$J$326,MATCH(A33,Aktiv!$A$6:$A$326,0)),"")</f>
        <v>247</v>
      </c>
      <c r="K33" s="141">
        <f>IFERROR(ROUND(G33*Steuerungsdaten!$B$5,0),"-")</f>
        <v>71</v>
      </c>
      <c r="L33" s="137">
        <f>IFERROR(ROUND(H33*Steuerungsdaten!$B$5,0),"-")</f>
        <v>245</v>
      </c>
      <c r="M33" s="137">
        <f>IFERROR(ROUND(I33*Steuerungsdaten!$B$5,0),"-")</f>
        <v>255</v>
      </c>
      <c r="N33" s="137">
        <f>IFERROR(ROUND(J33*Steuerungsdaten!$B$5,0),"-")</f>
        <v>284</v>
      </c>
      <c r="O33" s="143" t="str">
        <f>IF(ISNA(MATCH(A33,Aktiv!$A$6:$A$326,0)),"⚠ nicht im Modell","")</f>
        <v/>
      </c>
    </row>
    <row r="34" spans="1:15" ht="18" customHeight="1" x14ac:dyDescent="0.25">
      <c r="A34" s="135">
        <v>3116</v>
      </c>
      <c r="B34" s="136" t="s">
        <v>7</v>
      </c>
      <c r="C34" s="136" t="s">
        <v>27</v>
      </c>
      <c r="D34" s="136" t="s">
        <v>44</v>
      </c>
      <c r="E34" s="138">
        <v>720</v>
      </c>
      <c r="F34" s="138">
        <v>780</v>
      </c>
      <c r="G34" s="137">
        <f>IFERROR(INDEX(Aktiv!$G$6:$G$326,MATCH(A34,Aktiv!$A$6:$A$326,0)),"")</f>
        <v>99</v>
      </c>
      <c r="H34" s="137">
        <f>IFERROR(INDEX(Aktiv!$H$6:$H$326,MATCH(A34,Aktiv!$A$6:$A$326,0)),"")</f>
        <v>339</v>
      </c>
      <c r="I34" s="137">
        <f>IFERROR(INDEX(Aktiv!$I$6:$I$326,MATCH(A34,Aktiv!$A$6:$A$326,0)),"")</f>
        <v>353</v>
      </c>
      <c r="J34" s="137">
        <f>IFERROR(INDEX(Aktiv!$J$6:$J$326,MATCH(A34,Aktiv!$A$6:$A$326,0)),"")</f>
        <v>393</v>
      </c>
      <c r="K34" s="141">
        <f>IFERROR(ROUND(G34*Steuerungsdaten!$B$5,0),"-")</f>
        <v>114</v>
      </c>
      <c r="L34" s="137">
        <f>IFERROR(ROUND(H34*Steuerungsdaten!$B$5,0),"-")</f>
        <v>390</v>
      </c>
      <c r="M34" s="137">
        <f>IFERROR(ROUND(I34*Steuerungsdaten!$B$5,0),"-")</f>
        <v>406</v>
      </c>
      <c r="N34" s="137">
        <f>IFERROR(ROUND(J34*Steuerungsdaten!$B$5,0),"-")</f>
        <v>452</v>
      </c>
      <c r="O34" s="143" t="str">
        <f>IF(ISNA(MATCH(A34,Aktiv!$A$6:$A$326,0)),"⚠ nicht im Modell","")</f>
        <v/>
      </c>
    </row>
    <row r="35" spans="1:15" ht="18" customHeight="1" x14ac:dyDescent="0.25">
      <c r="A35" s="135">
        <v>3117</v>
      </c>
      <c r="B35" s="136" t="s">
        <v>7</v>
      </c>
      <c r="C35" s="136" t="s">
        <v>27</v>
      </c>
      <c r="D35" s="136" t="s">
        <v>45</v>
      </c>
      <c r="E35" s="138">
        <v>720</v>
      </c>
      <c r="F35" s="138">
        <v>980</v>
      </c>
      <c r="G35" s="137">
        <f>IFERROR(INDEX(Aktiv!$G$6:$G$326,MATCH(A35,Aktiv!$A$6:$A$326,0)),"")</f>
        <v>124</v>
      </c>
      <c r="H35" s="137">
        <f>IFERROR(INDEX(Aktiv!$H$6:$H$326,MATCH(A35,Aktiv!$A$6:$A$326,0)),"")</f>
        <v>426</v>
      </c>
      <c r="I35" s="137">
        <f>IFERROR(INDEX(Aktiv!$I$6:$I$326,MATCH(A35,Aktiv!$A$6:$A$326,0)),"")</f>
        <v>444</v>
      </c>
      <c r="J35" s="137">
        <f>IFERROR(INDEX(Aktiv!$J$6:$J$326,MATCH(A35,Aktiv!$A$6:$A$326,0)),"")</f>
        <v>494</v>
      </c>
      <c r="K35" s="141">
        <f>IFERROR(ROUND(G35*Steuerungsdaten!$B$5,0),"-")</f>
        <v>143</v>
      </c>
      <c r="L35" s="137">
        <f>IFERROR(ROUND(H35*Steuerungsdaten!$B$5,0),"-")</f>
        <v>490</v>
      </c>
      <c r="M35" s="137">
        <f>IFERROR(ROUND(I35*Steuerungsdaten!$B$5,0),"-")</f>
        <v>511</v>
      </c>
      <c r="N35" s="137">
        <f>IFERROR(ROUND(J35*Steuerungsdaten!$B$5,0),"-")</f>
        <v>568</v>
      </c>
      <c r="O35" s="143" t="str">
        <f>IF(ISNA(MATCH(A35,Aktiv!$A$6:$A$326,0)),"⚠ nicht im Modell","")</f>
        <v/>
      </c>
    </row>
    <row r="36" spans="1:15" ht="18" customHeight="1" x14ac:dyDescent="0.25">
      <c r="A36" s="135">
        <v>3118</v>
      </c>
      <c r="B36" s="136" t="s">
        <v>7</v>
      </c>
      <c r="C36" s="136" t="s">
        <v>27</v>
      </c>
      <c r="D36" s="136" t="s">
        <v>46</v>
      </c>
      <c r="E36" s="138">
        <v>1080</v>
      </c>
      <c r="F36" s="138">
        <v>780</v>
      </c>
      <c r="G36" s="137">
        <f>IFERROR(INDEX(Aktiv!$G$6:$G$326,MATCH(A36,Aktiv!$A$6:$A$326,0)),"")</f>
        <v>148</v>
      </c>
      <c r="H36" s="137">
        <f>IFERROR(INDEX(Aktiv!$H$6:$H$326,MATCH(A36,Aktiv!$A$6:$A$326,0)),"")</f>
        <v>508</v>
      </c>
      <c r="I36" s="137">
        <f>IFERROR(INDEX(Aktiv!$I$6:$I$326,MATCH(A36,Aktiv!$A$6:$A$326,0)),"")</f>
        <v>530</v>
      </c>
      <c r="J36" s="137" t="str">
        <f>IFERROR(INDEX(Aktiv!$J$6:$J$326,MATCH(A36,Aktiv!$A$6:$A$326,0)),"")</f>
        <v>-</v>
      </c>
      <c r="K36" s="141">
        <f>IFERROR(ROUND(G36*Steuerungsdaten!$B$5,0),"-")</f>
        <v>170</v>
      </c>
      <c r="L36" s="137">
        <f>IFERROR(ROUND(H36*Steuerungsdaten!$B$5,0),"-")</f>
        <v>584</v>
      </c>
      <c r="M36" s="137">
        <f>IFERROR(ROUND(I36*Steuerungsdaten!$B$5,0),"-")</f>
        <v>610</v>
      </c>
      <c r="N36" s="137" t="str">
        <f>IFERROR(ROUND(J36*Steuerungsdaten!$B$5,0),"-")</f>
        <v>-</v>
      </c>
      <c r="O36" s="143" t="str">
        <f>IF(ISNA(MATCH(A36,Aktiv!$A$6:$A$326,0)),"⚠ nicht im Modell","")</f>
        <v/>
      </c>
    </row>
    <row r="37" spans="1:15" ht="18" customHeight="1" x14ac:dyDescent="0.25">
      <c r="A37" s="135">
        <v>3119</v>
      </c>
      <c r="B37" s="136" t="s">
        <v>7</v>
      </c>
      <c r="C37" s="136" t="s">
        <v>27</v>
      </c>
      <c r="D37" s="136" t="s">
        <v>47</v>
      </c>
      <c r="E37" s="138">
        <v>1080</v>
      </c>
      <c r="F37" s="138">
        <v>980</v>
      </c>
      <c r="G37" s="137">
        <f>IFERROR(INDEX(Aktiv!$G$6:$G$326,MATCH(A37,Aktiv!$A$6:$A$326,0)),"")</f>
        <v>186</v>
      </c>
      <c r="H37" s="137">
        <f>IFERROR(INDEX(Aktiv!$H$6:$H$326,MATCH(A37,Aktiv!$A$6:$A$326,0)),"")</f>
        <v>639</v>
      </c>
      <c r="I37" s="137">
        <f>IFERROR(INDEX(Aktiv!$I$6:$I$326,MATCH(A37,Aktiv!$A$6:$A$326,0)),"")</f>
        <v>665</v>
      </c>
      <c r="J37" s="137" t="str">
        <f>IFERROR(INDEX(Aktiv!$J$6:$J$326,MATCH(A37,Aktiv!$A$6:$A$326,0)),"")</f>
        <v>-</v>
      </c>
      <c r="K37" s="141">
        <f>IFERROR(ROUND(G37*Steuerungsdaten!$B$5,0),"-")</f>
        <v>214</v>
      </c>
      <c r="L37" s="137">
        <f>IFERROR(ROUND(H37*Steuerungsdaten!$B$5,0),"-")</f>
        <v>735</v>
      </c>
      <c r="M37" s="137">
        <f>IFERROR(ROUND(I37*Steuerungsdaten!$B$5,0),"-")</f>
        <v>765</v>
      </c>
      <c r="N37" s="137" t="str">
        <f>IFERROR(ROUND(J37*Steuerungsdaten!$B$5,0),"-")</f>
        <v>-</v>
      </c>
      <c r="O37" s="143" t="str">
        <f>IF(ISNA(MATCH(A37,Aktiv!$A$6:$A$326,0)),"⚠ nicht im Modell","")</f>
        <v/>
      </c>
    </row>
    <row r="38" spans="1:15" ht="18" customHeight="1" x14ac:dyDescent="0.25">
      <c r="A38" s="135">
        <v>3120</v>
      </c>
      <c r="B38" s="136" t="s">
        <v>7</v>
      </c>
      <c r="C38" s="136" t="s">
        <v>27</v>
      </c>
      <c r="D38" s="136" t="s">
        <v>48</v>
      </c>
      <c r="E38" s="138">
        <v>1440</v>
      </c>
      <c r="F38" s="138">
        <v>780</v>
      </c>
      <c r="G38" s="137">
        <f>IFERROR(INDEX(Aktiv!$G$6:$G$326,MATCH(A38,Aktiv!$A$6:$A$326,0)),"")</f>
        <v>198</v>
      </c>
      <c r="H38" s="137">
        <f>IFERROR(INDEX(Aktiv!$H$6:$H$326,MATCH(A38,Aktiv!$A$6:$A$326,0)),"")</f>
        <v>678</v>
      </c>
      <c r="I38" s="137">
        <f>IFERROR(INDEX(Aktiv!$I$6:$I$326,MATCH(A38,Aktiv!$A$6:$A$326,0)),"")</f>
        <v>706</v>
      </c>
      <c r="J38" s="137" t="str">
        <f>IFERROR(INDEX(Aktiv!$J$6:$J$326,MATCH(A38,Aktiv!$A$6:$A$326,0)),"")</f>
        <v>-</v>
      </c>
      <c r="K38" s="141">
        <f>IFERROR(ROUND(G38*Steuerungsdaten!$B$5,0),"-")</f>
        <v>228</v>
      </c>
      <c r="L38" s="137">
        <f>IFERROR(ROUND(H38*Steuerungsdaten!$B$5,0),"-")</f>
        <v>780</v>
      </c>
      <c r="M38" s="137">
        <f>IFERROR(ROUND(I38*Steuerungsdaten!$B$5,0),"-")</f>
        <v>812</v>
      </c>
      <c r="N38" s="137" t="str">
        <f>IFERROR(ROUND(J38*Steuerungsdaten!$B$5,0),"-")</f>
        <v>-</v>
      </c>
      <c r="O38" s="143" t="str">
        <f>IF(ISNA(MATCH(A38,Aktiv!$A$6:$A$326,0)),"⚠ nicht im Modell","")</f>
        <v/>
      </c>
    </row>
    <row r="39" spans="1:15" ht="18" customHeight="1" x14ac:dyDescent="0.25">
      <c r="A39" s="135">
        <v>3121</v>
      </c>
      <c r="B39" s="136" t="s">
        <v>7</v>
      </c>
      <c r="C39" s="136" t="s">
        <v>27</v>
      </c>
      <c r="D39" s="136" t="s">
        <v>49</v>
      </c>
      <c r="E39" s="138">
        <v>1440</v>
      </c>
      <c r="F39" s="138">
        <v>980</v>
      </c>
      <c r="G39" s="137">
        <f>IFERROR(INDEX(Aktiv!$G$6:$G$326,MATCH(A39,Aktiv!$A$6:$A$326,0)),"")</f>
        <v>248</v>
      </c>
      <c r="H39" s="137">
        <f>IFERROR(INDEX(Aktiv!$H$6:$H$326,MATCH(A39,Aktiv!$A$6:$A$326,0)),"")</f>
        <v>852</v>
      </c>
      <c r="I39" s="137">
        <f>IFERROR(INDEX(Aktiv!$I$6:$I$326,MATCH(A39,Aktiv!$A$6:$A$326,0)),"")</f>
        <v>887</v>
      </c>
      <c r="J39" s="137" t="str">
        <f>IFERROR(INDEX(Aktiv!$J$6:$J$326,MATCH(A39,Aktiv!$A$6:$A$326,0)),"")</f>
        <v>-</v>
      </c>
      <c r="K39" s="141">
        <f>IFERROR(ROUND(G39*Steuerungsdaten!$B$5,0),"-")</f>
        <v>285</v>
      </c>
      <c r="L39" s="137">
        <f>IFERROR(ROUND(H39*Steuerungsdaten!$B$5,0),"-")</f>
        <v>980</v>
      </c>
      <c r="M39" s="137">
        <f>IFERROR(ROUND(I39*Steuerungsdaten!$B$5,0),"-")</f>
        <v>1020</v>
      </c>
      <c r="N39" s="137" t="str">
        <f>IFERROR(ROUND(J39*Steuerungsdaten!$B$5,0),"-")</f>
        <v>-</v>
      </c>
      <c r="O39" s="143" t="str">
        <f>IF(ISNA(MATCH(A39,Aktiv!$A$6:$A$326,0)),"⚠ nicht im Modell","")</f>
        <v/>
      </c>
    </row>
    <row r="40" spans="1:15" ht="18" customHeight="1" x14ac:dyDescent="0.25">
      <c r="A40" s="135">
        <v>3122</v>
      </c>
      <c r="B40" s="136" t="s">
        <v>7</v>
      </c>
      <c r="C40" s="136" t="s">
        <v>27</v>
      </c>
      <c r="D40" s="136" t="s">
        <v>50</v>
      </c>
      <c r="E40" s="138">
        <v>1800</v>
      </c>
      <c r="F40" s="138">
        <v>780</v>
      </c>
      <c r="G40" s="137">
        <f>IFERROR(INDEX(Aktiv!$G$6:$G$326,MATCH(A40,Aktiv!$A$6:$A$326,0)),"")</f>
        <v>247</v>
      </c>
      <c r="H40" s="137">
        <f>IFERROR(INDEX(Aktiv!$H$6:$H$326,MATCH(A40,Aktiv!$A$6:$A$326,0)),"")</f>
        <v>847</v>
      </c>
      <c r="I40" s="137">
        <f>IFERROR(INDEX(Aktiv!$I$6:$I$326,MATCH(A40,Aktiv!$A$6:$A$326,0)),"")</f>
        <v>883</v>
      </c>
      <c r="J40" s="137" t="str">
        <f>IFERROR(INDEX(Aktiv!$J$6:$J$326,MATCH(A40,Aktiv!$A$6:$A$326,0)),"")</f>
        <v>-</v>
      </c>
      <c r="K40" s="141">
        <f>IFERROR(ROUND(G40*Steuerungsdaten!$B$5,0),"-")</f>
        <v>284</v>
      </c>
      <c r="L40" s="137">
        <f>IFERROR(ROUND(H40*Steuerungsdaten!$B$5,0),"-")</f>
        <v>974</v>
      </c>
      <c r="M40" s="137">
        <f>IFERROR(ROUND(I40*Steuerungsdaten!$B$5,0),"-")</f>
        <v>1015</v>
      </c>
      <c r="N40" s="137" t="str">
        <f>IFERROR(ROUND(J40*Steuerungsdaten!$B$5,0),"-")</f>
        <v>-</v>
      </c>
      <c r="O40" s="143" t="str">
        <f>IF(ISNA(MATCH(A40,Aktiv!$A$6:$A$326,0)),"⚠ nicht im Modell","")</f>
        <v/>
      </c>
    </row>
    <row r="41" spans="1:15" ht="18" customHeight="1" x14ac:dyDescent="0.25">
      <c r="A41" s="135">
        <v>3123</v>
      </c>
      <c r="B41" s="136" t="s">
        <v>7</v>
      </c>
      <c r="C41" s="136" t="s">
        <v>27</v>
      </c>
      <c r="D41" s="136" t="s">
        <v>51</v>
      </c>
      <c r="E41" s="138">
        <v>1800</v>
      </c>
      <c r="F41" s="138">
        <v>980</v>
      </c>
      <c r="G41" s="137">
        <f>IFERROR(INDEX(Aktiv!$G$6:$G$326,MATCH(A41,Aktiv!$A$6:$A$326,0)),"")</f>
        <v>310</v>
      </c>
      <c r="H41" s="137">
        <f>IFERROR(INDEX(Aktiv!$H$6:$H$326,MATCH(A41,Aktiv!$A$6:$A$326,0)),"")</f>
        <v>1064</v>
      </c>
      <c r="I41" s="137">
        <f>IFERROR(INDEX(Aktiv!$I$6:$I$326,MATCH(A41,Aktiv!$A$6:$A$326,0)),"")</f>
        <v>1109</v>
      </c>
      <c r="J41" s="137" t="str">
        <f>IFERROR(INDEX(Aktiv!$J$6:$J$326,MATCH(A41,Aktiv!$A$6:$A$326,0)),"")</f>
        <v>-</v>
      </c>
      <c r="K41" s="141">
        <f>IFERROR(ROUND(G41*Steuerungsdaten!$B$5,0),"-")</f>
        <v>357</v>
      </c>
      <c r="L41" s="137">
        <f>IFERROR(ROUND(H41*Steuerungsdaten!$B$5,0),"-")</f>
        <v>1224</v>
      </c>
      <c r="M41" s="137">
        <f>IFERROR(ROUND(I41*Steuerungsdaten!$B$5,0),"-")</f>
        <v>1275</v>
      </c>
      <c r="N41" s="137" t="str">
        <f>IFERROR(ROUND(J41*Steuerungsdaten!$B$5,0),"-")</f>
        <v>-</v>
      </c>
      <c r="O41" s="143" t="str">
        <f>IF(ISNA(MATCH(A41,Aktiv!$A$6:$A$326,0)),"⚠ nicht im Modell","")</f>
        <v/>
      </c>
    </row>
    <row r="42" spans="1:15" ht="18" customHeight="1" x14ac:dyDescent="0.25">
      <c r="A42" s="135">
        <v>3124</v>
      </c>
      <c r="B42" s="136" t="s">
        <v>7</v>
      </c>
      <c r="C42" s="136" t="s">
        <v>27</v>
      </c>
      <c r="D42" s="136" t="s">
        <v>52</v>
      </c>
      <c r="E42" s="138">
        <v>580</v>
      </c>
      <c r="F42" s="138">
        <v>580</v>
      </c>
      <c r="G42" s="137">
        <f>IFERROR(INDEX(Aktiv!$G$6:$G$326,MATCH(A42,Aktiv!$A$6:$A$326,0)),"")</f>
        <v>59</v>
      </c>
      <c r="H42" s="137">
        <f>IFERROR(INDEX(Aktiv!$H$6:$H$326,MATCH(A42,Aktiv!$A$6:$A$326,0)),"")</f>
        <v>203</v>
      </c>
      <c r="I42" s="137">
        <f>IFERROR(INDEX(Aktiv!$I$6:$I$326,MATCH(A42,Aktiv!$A$6:$A$326,0)),"")</f>
        <v>211</v>
      </c>
      <c r="J42" s="137" t="str">
        <f>IFERROR(INDEX(Aktiv!$J$6:$J$326,MATCH(A42,Aktiv!$A$6:$A$326,0)),"")</f>
        <v>-</v>
      </c>
      <c r="K42" s="141">
        <f>IFERROR(ROUND(G42*Steuerungsdaten!$B$5,0),"-")</f>
        <v>68</v>
      </c>
      <c r="L42" s="137">
        <f>IFERROR(ROUND(H42*Steuerungsdaten!$B$5,0),"-")</f>
        <v>233</v>
      </c>
      <c r="M42" s="137">
        <f>IFERROR(ROUND(I42*Steuerungsdaten!$B$5,0),"-")</f>
        <v>243</v>
      </c>
      <c r="N42" s="137" t="str">
        <f>IFERROR(ROUND(J42*Steuerungsdaten!$B$5,0),"-")</f>
        <v>-</v>
      </c>
      <c r="O42" s="143" t="str">
        <f>IF(ISNA(MATCH(A42,Aktiv!$A$6:$A$326,0)),"⚠ nicht im Modell","")</f>
        <v/>
      </c>
    </row>
    <row r="43" spans="1:15" ht="18" customHeight="1" x14ac:dyDescent="0.25">
      <c r="A43" s="135" t="s">
        <v>53</v>
      </c>
      <c r="B43" s="136" t="s">
        <v>7</v>
      </c>
      <c r="C43" s="136" t="s">
        <v>27</v>
      </c>
      <c r="D43" s="136" t="s">
        <v>54</v>
      </c>
      <c r="E43" s="138">
        <v>660</v>
      </c>
      <c r="F43" s="138">
        <v>360</v>
      </c>
      <c r="G43" s="137">
        <f>IFERROR(INDEX(Aktiv!$G$6:$G$326,MATCH(A43,Aktiv!$A$6:$A$326,0)),"")</f>
        <v>42</v>
      </c>
      <c r="H43" s="137">
        <f>IFERROR(INDEX(Aktiv!$H$6:$H$326,MATCH(A43,Aktiv!$A$6:$A$326,0)),"")</f>
        <v>143</v>
      </c>
      <c r="I43" s="137">
        <f>IFERROR(INDEX(Aktiv!$I$6:$I$326,MATCH(A43,Aktiv!$A$6:$A$326,0)),"")</f>
        <v>149</v>
      </c>
      <c r="J43" s="137" t="str">
        <f>IFERROR(INDEX(Aktiv!$J$6:$J$326,MATCH(A43,Aktiv!$A$6:$A$326,0)),"")</f>
        <v>-</v>
      </c>
      <c r="K43" s="141">
        <f>IFERROR(ROUND(G43*Steuerungsdaten!$B$5,0),"-")</f>
        <v>48</v>
      </c>
      <c r="L43" s="137">
        <f>IFERROR(ROUND(H43*Steuerungsdaten!$B$5,0),"-")</f>
        <v>164</v>
      </c>
      <c r="M43" s="137">
        <f>IFERROR(ROUND(I43*Steuerungsdaten!$B$5,0),"-")</f>
        <v>171</v>
      </c>
      <c r="N43" s="137" t="str">
        <f>IFERROR(ROUND(J43*Steuerungsdaten!$B$5,0),"-")</f>
        <v>-</v>
      </c>
      <c r="O43" s="143" t="str">
        <f>IF(ISNA(MATCH(A43,Aktiv!$A$6:$A$326,0)),"⚠ nicht im Modell","")</f>
        <v/>
      </c>
    </row>
    <row r="44" spans="1:15" ht="18" customHeight="1" x14ac:dyDescent="0.25">
      <c r="A44" s="135">
        <v>3200</v>
      </c>
      <c r="B44" s="136" t="s">
        <v>7</v>
      </c>
      <c r="C44" s="136" t="s">
        <v>55</v>
      </c>
      <c r="D44" s="136" t="s">
        <v>56</v>
      </c>
      <c r="E44" s="138">
        <v>360</v>
      </c>
      <c r="F44" s="138">
        <v>360</v>
      </c>
      <c r="G44" s="137">
        <f>IFERROR(INDEX(Aktiv!$G$6:$G$326,MATCH(A44,Aktiv!$A$6:$A$326,0)),"")</f>
        <v>25</v>
      </c>
      <c r="H44" s="137">
        <f>IFERROR(INDEX(Aktiv!$H$6:$H$326,MATCH(A44,Aktiv!$A$6:$A$326,0)),"")</f>
        <v>103</v>
      </c>
      <c r="I44" s="137">
        <f>IFERROR(INDEX(Aktiv!$I$6:$I$326,MATCH(A44,Aktiv!$A$6:$A$326,0)),"")</f>
        <v>120</v>
      </c>
      <c r="J44" s="137">
        <f>IFERROR(INDEX(Aktiv!$J$6:$J$326,MATCH(A44,Aktiv!$A$6:$A$326,0)),"")</f>
        <v>145</v>
      </c>
      <c r="K44" s="141">
        <f>IFERROR(ROUND(G44*Steuerungsdaten!$B$5,0),"-")</f>
        <v>29</v>
      </c>
      <c r="L44" s="137">
        <f>IFERROR(ROUND(H44*Steuerungsdaten!$B$5,0),"-")</f>
        <v>118</v>
      </c>
      <c r="M44" s="137">
        <f>IFERROR(ROUND(I44*Steuerungsdaten!$B$5,0),"-")</f>
        <v>138</v>
      </c>
      <c r="N44" s="137">
        <f>IFERROR(ROUND(J44*Steuerungsdaten!$B$5,0),"-")</f>
        <v>167</v>
      </c>
      <c r="O44" s="143" t="str">
        <f>IF(ISNA(MATCH(A44,Aktiv!$A$6:$A$326,0)),"⚠ nicht im Modell","")</f>
        <v/>
      </c>
    </row>
    <row r="45" spans="1:15" ht="18" customHeight="1" x14ac:dyDescent="0.25">
      <c r="A45" s="135">
        <v>3201</v>
      </c>
      <c r="B45" s="136" t="s">
        <v>7</v>
      </c>
      <c r="C45" s="136" t="s">
        <v>55</v>
      </c>
      <c r="D45" s="136" t="s">
        <v>57</v>
      </c>
      <c r="E45" s="138">
        <v>360</v>
      </c>
      <c r="F45" s="138">
        <v>720</v>
      </c>
      <c r="G45" s="137">
        <f>IFERROR(INDEX(Aktiv!$G$6:$G$326,MATCH(A45,Aktiv!$A$6:$A$326,0)),"")</f>
        <v>46</v>
      </c>
      <c r="H45" s="137">
        <f>IFERROR(INDEX(Aktiv!$H$6:$H$326,MATCH(A45,Aktiv!$A$6:$A$326,0)),"")</f>
        <v>156</v>
      </c>
      <c r="I45" s="137">
        <f>IFERROR(INDEX(Aktiv!$I$6:$I$326,MATCH(A45,Aktiv!$A$6:$A$326,0)),"")</f>
        <v>163</v>
      </c>
      <c r="J45" s="137">
        <f>IFERROR(INDEX(Aktiv!$J$6:$J$326,MATCH(A45,Aktiv!$A$6:$A$326,0)),"")</f>
        <v>181</v>
      </c>
      <c r="K45" s="141">
        <f>IFERROR(ROUND(G45*Steuerungsdaten!$B$5,0),"-")</f>
        <v>53</v>
      </c>
      <c r="L45" s="137">
        <f>IFERROR(ROUND(H45*Steuerungsdaten!$B$5,0),"-")</f>
        <v>179</v>
      </c>
      <c r="M45" s="137">
        <f>IFERROR(ROUND(I45*Steuerungsdaten!$B$5,0),"-")</f>
        <v>187</v>
      </c>
      <c r="N45" s="137">
        <f>IFERROR(ROUND(J45*Steuerungsdaten!$B$5,0),"-")</f>
        <v>208</v>
      </c>
      <c r="O45" s="143" t="str">
        <f>IF(ISNA(MATCH(A45,Aktiv!$A$6:$A$326,0)),"⚠ nicht im Modell","")</f>
        <v/>
      </c>
    </row>
    <row r="46" spans="1:15" ht="18" customHeight="1" x14ac:dyDescent="0.25">
      <c r="A46" s="135">
        <v>3202</v>
      </c>
      <c r="B46" s="136" t="s">
        <v>7</v>
      </c>
      <c r="C46" s="136" t="s">
        <v>55</v>
      </c>
      <c r="D46" s="136" t="s">
        <v>58</v>
      </c>
      <c r="E46" s="138">
        <v>360</v>
      </c>
      <c r="F46" s="138">
        <v>1080</v>
      </c>
      <c r="G46" s="137">
        <f>IFERROR(INDEX(Aktiv!$G$6:$G$326,MATCH(A46,Aktiv!$A$6:$A$326,0)),"")</f>
        <v>68</v>
      </c>
      <c r="H46" s="137">
        <f>IFERROR(INDEX(Aktiv!$H$6:$H$326,MATCH(A46,Aktiv!$A$6:$A$326,0)),"")</f>
        <v>235</v>
      </c>
      <c r="I46" s="137">
        <f>IFERROR(INDEX(Aktiv!$I$6:$I$326,MATCH(A46,Aktiv!$A$6:$A$326,0)),"")</f>
        <v>244</v>
      </c>
      <c r="J46" s="137">
        <f>IFERROR(INDEX(Aktiv!$J$6:$J$326,MATCH(A46,Aktiv!$A$6:$A$326,0)),"")</f>
        <v>272</v>
      </c>
      <c r="K46" s="141">
        <f>IFERROR(ROUND(G46*Steuerungsdaten!$B$5,0),"-")</f>
        <v>78</v>
      </c>
      <c r="L46" s="137">
        <f>IFERROR(ROUND(H46*Steuerungsdaten!$B$5,0),"-")</f>
        <v>270</v>
      </c>
      <c r="M46" s="137">
        <f>IFERROR(ROUND(I46*Steuerungsdaten!$B$5,0),"-")</f>
        <v>281</v>
      </c>
      <c r="N46" s="137">
        <f>IFERROR(ROUND(J46*Steuerungsdaten!$B$5,0),"-")</f>
        <v>313</v>
      </c>
      <c r="O46" s="143" t="str">
        <f>IF(ISNA(MATCH(A46,Aktiv!$A$6:$A$326,0)),"⚠ nicht im Modell","")</f>
        <v/>
      </c>
    </row>
    <row r="47" spans="1:15" ht="18" customHeight="1" x14ac:dyDescent="0.25">
      <c r="A47" s="135">
        <v>3203</v>
      </c>
      <c r="B47" s="136" t="s">
        <v>7</v>
      </c>
      <c r="C47" s="136" t="s">
        <v>55</v>
      </c>
      <c r="D47" s="136" t="s">
        <v>59</v>
      </c>
      <c r="E47" s="138">
        <v>360</v>
      </c>
      <c r="F47" s="138">
        <v>1440</v>
      </c>
      <c r="G47" s="137">
        <f>IFERROR(INDEX(Aktiv!$G$6:$G$326,MATCH(A47,Aktiv!$A$6:$A$326,0)),"")</f>
        <v>91</v>
      </c>
      <c r="H47" s="137">
        <f>IFERROR(INDEX(Aktiv!$H$6:$H$326,MATCH(A47,Aktiv!$A$6:$A$326,0)),"")</f>
        <v>313</v>
      </c>
      <c r="I47" s="137">
        <f>IFERROR(INDEX(Aktiv!$I$6:$I$326,MATCH(A47,Aktiv!$A$6:$A$326,0)),"")</f>
        <v>326</v>
      </c>
      <c r="J47" s="137">
        <f>IFERROR(INDEX(Aktiv!$J$6:$J$326,MATCH(A47,Aktiv!$A$6:$A$326,0)),"")</f>
        <v>363</v>
      </c>
      <c r="K47" s="141">
        <f>IFERROR(ROUND(G47*Steuerungsdaten!$B$5,0),"-")</f>
        <v>105</v>
      </c>
      <c r="L47" s="137">
        <f>IFERROR(ROUND(H47*Steuerungsdaten!$B$5,0),"-")</f>
        <v>360</v>
      </c>
      <c r="M47" s="137">
        <f>IFERROR(ROUND(I47*Steuerungsdaten!$B$5,0),"-")</f>
        <v>375</v>
      </c>
      <c r="N47" s="137">
        <f>IFERROR(ROUND(J47*Steuerungsdaten!$B$5,0),"-")</f>
        <v>417</v>
      </c>
      <c r="O47" s="143" t="str">
        <f>IF(ISNA(MATCH(A47,Aktiv!$A$6:$A$326,0)),"⚠ nicht im Modell","")</f>
        <v/>
      </c>
    </row>
    <row r="48" spans="1:15" ht="18" customHeight="1" x14ac:dyDescent="0.25">
      <c r="A48" s="135">
        <v>3204</v>
      </c>
      <c r="B48" s="136" t="s">
        <v>7</v>
      </c>
      <c r="C48" s="136" t="s">
        <v>55</v>
      </c>
      <c r="D48" s="136" t="s">
        <v>60</v>
      </c>
      <c r="E48" s="138">
        <v>360</v>
      </c>
      <c r="F48" s="138">
        <v>1800</v>
      </c>
      <c r="G48" s="137">
        <f>IFERROR(INDEX(Aktiv!$G$6:$G$326,MATCH(A48,Aktiv!$A$6:$A$326,0)),"")</f>
        <v>114</v>
      </c>
      <c r="H48" s="137">
        <f>IFERROR(INDEX(Aktiv!$H$6:$H$326,MATCH(A48,Aktiv!$A$6:$A$326,0)),"")</f>
        <v>391</v>
      </c>
      <c r="I48" s="137">
        <f>IFERROR(INDEX(Aktiv!$I$6:$I$326,MATCH(A48,Aktiv!$A$6:$A$326,0)),"")</f>
        <v>407</v>
      </c>
      <c r="J48" s="137">
        <f>IFERROR(INDEX(Aktiv!$J$6:$J$326,MATCH(A48,Aktiv!$A$6:$A$326,0)),"")</f>
        <v>453</v>
      </c>
      <c r="K48" s="141">
        <f>IFERROR(ROUND(G48*Steuerungsdaten!$B$5,0),"-")</f>
        <v>131</v>
      </c>
      <c r="L48" s="137">
        <f>IFERROR(ROUND(H48*Steuerungsdaten!$B$5,0),"-")</f>
        <v>450</v>
      </c>
      <c r="M48" s="137">
        <f>IFERROR(ROUND(I48*Steuerungsdaten!$B$5,0),"-")</f>
        <v>468</v>
      </c>
      <c r="N48" s="137">
        <f>IFERROR(ROUND(J48*Steuerungsdaten!$B$5,0),"-")</f>
        <v>521</v>
      </c>
      <c r="O48" s="143" t="str">
        <f>IF(ISNA(MATCH(A48,Aktiv!$A$6:$A$326,0)),"⚠ nicht im Modell","")</f>
        <v/>
      </c>
    </row>
    <row r="49" spans="1:15" ht="18" customHeight="1" x14ac:dyDescent="0.25">
      <c r="A49" s="135">
        <v>3205</v>
      </c>
      <c r="B49" s="136" t="s">
        <v>7</v>
      </c>
      <c r="C49" s="136" t="s">
        <v>55</v>
      </c>
      <c r="D49" s="136" t="s">
        <v>61</v>
      </c>
      <c r="E49" s="138">
        <v>580</v>
      </c>
      <c r="F49" s="138">
        <v>360</v>
      </c>
      <c r="G49" s="137">
        <f>IFERROR(INDEX(Aktiv!$G$6:$G$326,MATCH(A49,Aktiv!$A$6:$A$326,0)),"")</f>
        <v>37</v>
      </c>
      <c r="H49" s="137">
        <f>IFERROR(INDEX(Aktiv!$H$6:$H$326,MATCH(A49,Aktiv!$A$6:$A$326,0)),"")</f>
        <v>126</v>
      </c>
      <c r="I49" s="137">
        <f>IFERROR(INDEX(Aktiv!$I$6:$I$326,MATCH(A49,Aktiv!$A$6:$A$326,0)),"")</f>
        <v>131</v>
      </c>
      <c r="J49" s="137">
        <f>IFERROR(INDEX(Aktiv!$J$6:$J$326,MATCH(A49,Aktiv!$A$6:$A$326,0)),"")</f>
        <v>146</v>
      </c>
      <c r="K49" s="141">
        <f>IFERROR(ROUND(G49*Steuerungsdaten!$B$5,0),"-")</f>
        <v>43</v>
      </c>
      <c r="L49" s="137">
        <f>IFERROR(ROUND(H49*Steuerungsdaten!$B$5,0),"-")</f>
        <v>145</v>
      </c>
      <c r="M49" s="137">
        <f>IFERROR(ROUND(I49*Steuerungsdaten!$B$5,0),"-")</f>
        <v>151</v>
      </c>
      <c r="N49" s="137">
        <f>IFERROR(ROUND(J49*Steuerungsdaten!$B$5,0),"-")</f>
        <v>168</v>
      </c>
      <c r="O49" s="143" t="str">
        <f>IF(ISNA(MATCH(A49,Aktiv!$A$6:$A$326,0)),"⚠ nicht im Modell","")</f>
        <v/>
      </c>
    </row>
    <row r="50" spans="1:15" ht="18" customHeight="1" x14ac:dyDescent="0.25">
      <c r="A50" s="135">
        <v>3206</v>
      </c>
      <c r="B50" s="136" t="s">
        <v>7</v>
      </c>
      <c r="C50" s="136" t="s">
        <v>55</v>
      </c>
      <c r="D50" s="136" t="s">
        <v>62</v>
      </c>
      <c r="E50" s="138">
        <v>580</v>
      </c>
      <c r="F50" s="138">
        <v>720</v>
      </c>
      <c r="G50" s="137">
        <f>IFERROR(INDEX(Aktiv!$G$6:$G$326,MATCH(A50,Aktiv!$A$6:$A$326,0)),"")</f>
        <v>73</v>
      </c>
      <c r="H50" s="137">
        <f>IFERROR(INDEX(Aktiv!$H$6:$H$326,MATCH(A50,Aktiv!$A$6:$A$326,0)),"")</f>
        <v>252</v>
      </c>
      <c r="I50" s="137">
        <f>IFERROR(INDEX(Aktiv!$I$6:$I$326,MATCH(A50,Aktiv!$A$6:$A$326,0)),"")</f>
        <v>262</v>
      </c>
      <c r="J50" s="137">
        <f>IFERROR(INDEX(Aktiv!$J$6:$J$326,MATCH(A50,Aktiv!$A$6:$A$326,0)),"")</f>
        <v>292</v>
      </c>
      <c r="K50" s="141">
        <f>IFERROR(ROUND(G50*Steuerungsdaten!$B$5,0),"-")</f>
        <v>84</v>
      </c>
      <c r="L50" s="137">
        <f>IFERROR(ROUND(H50*Steuerungsdaten!$B$5,0),"-")</f>
        <v>290</v>
      </c>
      <c r="M50" s="137">
        <f>IFERROR(ROUND(I50*Steuerungsdaten!$B$5,0),"-")</f>
        <v>301</v>
      </c>
      <c r="N50" s="137">
        <f>IFERROR(ROUND(J50*Steuerungsdaten!$B$5,0),"-")</f>
        <v>336</v>
      </c>
      <c r="O50" s="143" t="str">
        <f>IF(ISNA(MATCH(A50,Aktiv!$A$6:$A$326,0)),"⚠ nicht im Modell","")</f>
        <v/>
      </c>
    </row>
    <row r="51" spans="1:15" ht="18" customHeight="1" x14ac:dyDescent="0.25">
      <c r="A51" s="135">
        <v>3207</v>
      </c>
      <c r="B51" s="136" t="s">
        <v>7</v>
      </c>
      <c r="C51" s="136" t="s">
        <v>55</v>
      </c>
      <c r="D51" s="136" t="s">
        <v>63</v>
      </c>
      <c r="E51" s="138">
        <v>580</v>
      </c>
      <c r="F51" s="138">
        <v>1080</v>
      </c>
      <c r="G51" s="137">
        <f>IFERROR(INDEX(Aktiv!$G$6:$G$326,MATCH(A51,Aktiv!$A$6:$A$326,0)),"")</f>
        <v>110</v>
      </c>
      <c r="H51" s="137">
        <f>IFERROR(INDEX(Aktiv!$H$6:$H$326,MATCH(A51,Aktiv!$A$6:$A$326,0)),"")</f>
        <v>378</v>
      </c>
      <c r="I51" s="137">
        <f>IFERROR(INDEX(Aktiv!$I$6:$I$326,MATCH(A51,Aktiv!$A$6:$A$326,0)),"")</f>
        <v>394</v>
      </c>
      <c r="J51" s="137">
        <f>IFERROR(INDEX(Aktiv!$J$6:$J$326,MATCH(A51,Aktiv!$A$6:$A$326,0)),"")</f>
        <v>438</v>
      </c>
      <c r="K51" s="141">
        <f>IFERROR(ROUND(G51*Steuerungsdaten!$B$5,0),"-")</f>
        <v>127</v>
      </c>
      <c r="L51" s="137">
        <f>IFERROR(ROUND(H51*Steuerungsdaten!$B$5,0),"-")</f>
        <v>435</v>
      </c>
      <c r="M51" s="137">
        <f>IFERROR(ROUND(I51*Steuerungsdaten!$B$5,0),"-")</f>
        <v>453</v>
      </c>
      <c r="N51" s="137">
        <f>IFERROR(ROUND(J51*Steuerungsdaten!$B$5,0),"-")</f>
        <v>504</v>
      </c>
      <c r="O51" s="143" t="str">
        <f>IF(ISNA(MATCH(A51,Aktiv!$A$6:$A$326,0)),"⚠ nicht im Modell","")</f>
        <v/>
      </c>
    </row>
    <row r="52" spans="1:15" ht="18" customHeight="1" x14ac:dyDescent="0.25">
      <c r="A52" s="135">
        <v>3208</v>
      </c>
      <c r="B52" s="136" t="s">
        <v>7</v>
      </c>
      <c r="C52" s="136" t="s">
        <v>55</v>
      </c>
      <c r="D52" s="136" t="s">
        <v>64</v>
      </c>
      <c r="E52" s="138">
        <v>580</v>
      </c>
      <c r="F52" s="138">
        <v>1440</v>
      </c>
      <c r="G52" s="137">
        <f>IFERROR(INDEX(Aktiv!$G$6:$G$326,MATCH(A52,Aktiv!$A$6:$A$326,0)),"")</f>
        <v>147</v>
      </c>
      <c r="H52" s="137">
        <f>IFERROR(INDEX(Aktiv!$H$6:$H$326,MATCH(A52,Aktiv!$A$6:$A$326,0)),"")</f>
        <v>504</v>
      </c>
      <c r="I52" s="137">
        <f>IFERROR(INDEX(Aktiv!$I$6:$I$326,MATCH(A52,Aktiv!$A$6:$A$326,0)),"")</f>
        <v>525</v>
      </c>
      <c r="J52" s="137">
        <f>IFERROR(INDEX(Aktiv!$J$6:$J$326,MATCH(A52,Aktiv!$A$6:$A$326,0)),"")</f>
        <v>584</v>
      </c>
      <c r="K52" s="141">
        <f>IFERROR(ROUND(G52*Steuerungsdaten!$B$5,0),"-")</f>
        <v>169</v>
      </c>
      <c r="L52" s="137">
        <f>IFERROR(ROUND(H52*Steuerungsdaten!$B$5,0),"-")</f>
        <v>580</v>
      </c>
      <c r="M52" s="137">
        <f>IFERROR(ROUND(I52*Steuerungsdaten!$B$5,0),"-")</f>
        <v>604</v>
      </c>
      <c r="N52" s="137">
        <f>IFERROR(ROUND(J52*Steuerungsdaten!$B$5,0),"-")</f>
        <v>672</v>
      </c>
      <c r="O52" s="143" t="str">
        <f>IF(ISNA(MATCH(A52,Aktiv!$A$6:$A$326,0)),"⚠ nicht im Modell","")</f>
        <v/>
      </c>
    </row>
    <row r="53" spans="1:15" ht="18" customHeight="1" x14ac:dyDescent="0.25">
      <c r="A53" s="135">
        <v>3209</v>
      </c>
      <c r="B53" s="136" t="s">
        <v>7</v>
      </c>
      <c r="C53" s="136" t="s">
        <v>55</v>
      </c>
      <c r="D53" s="136" t="s">
        <v>65</v>
      </c>
      <c r="E53" s="138">
        <v>580</v>
      </c>
      <c r="F53" s="138">
        <v>1800</v>
      </c>
      <c r="G53" s="137">
        <f>IFERROR(INDEX(Aktiv!$G$6:$G$326,MATCH(A53,Aktiv!$A$6:$A$326,0)),"")</f>
        <v>184</v>
      </c>
      <c r="H53" s="137">
        <f>IFERROR(INDEX(Aktiv!$H$6:$H$326,MATCH(A53,Aktiv!$A$6:$A$326,0)),"")</f>
        <v>630</v>
      </c>
      <c r="I53" s="137">
        <f>IFERROR(INDEX(Aktiv!$I$6:$I$326,MATCH(A53,Aktiv!$A$6:$A$326,0)),"")</f>
        <v>656</v>
      </c>
      <c r="J53" s="137">
        <f>IFERROR(INDEX(Aktiv!$J$6:$J$326,MATCH(A53,Aktiv!$A$6:$A$326,0)),"")</f>
        <v>730</v>
      </c>
      <c r="K53" s="141">
        <f>IFERROR(ROUND(G53*Steuerungsdaten!$B$5,0),"-")</f>
        <v>212</v>
      </c>
      <c r="L53" s="137">
        <f>IFERROR(ROUND(H53*Steuerungsdaten!$B$5,0),"-")</f>
        <v>725</v>
      </c>
      <c r="M53" s="137">
        <f>IFERROR(ROUND(I53*Steuerungsdaten!$B$5,0),"-")</f>
        <v>754</v>
      </c>
      <c r="N53" s="137">
        <f>IFERROR(ROUND(J53*Steuerungsdaten!$B$5,0),"-")</f>
        <v>840</v>
      </c>
      <c r="O53" s="143" t="str">
        <f>IF(ISNA(MATCH(A53,Aktiv!$A$6:$A$326,0)),"⚠ nicht im Modell","")</f>
        <v/>
      </c>
    </row>
    <row r="54" spans="1:15" ht="18" customHeight="1" x14ac:dyDescent="0.25">
      <c r="A54" s="135">
        <v>3210</v>
      </c>
      <c r="B54" s="136" t="s">
        <v>7</v>
      </c>
      <c r="C54" s="136" t="s">
        <v>55</v>
      </c>
      <c r="D54" s="136" t="s">
        <v>66</v>
      </c>
      <c r="E54" s="138">
        <v>180</v>
      </c>
      <c r="F54" s="138">
        <v>780</v>
      </c>
      <c r="G54" s="137">
        <f>IFERROR(INDEX(Aktiv!$G$6:$G$326,MATCH(A54,Aktiv!$A$6:$A$326,0)),"")</f>
        <v>25</v>
      </c>
      <c r="H54" s="137">
        <f>IFERROR(INDEX(Aktiv!$H$6:$H$326,MATCH(A54,Aktiv!$A$6:$A$326,0)),"")</f>
        <v>103</v>
      </c>
      <c r="I54" s="137">
        <f>IFERROR(INDEX(Aktiv!$I$6:$I$326,MATCH(A54,Aktiv!$A$6:$A$326,0)),"")</f>
        <v>120</v>
      </c>
      <c r="J54" s="137">
        <f>IFERROR(INDEX(Aktiv!$J$6:$J$326,MATCH(A54,Aktiv!$A$6:$A$326,0)),"")</f>
        <v>145</v>
      </c>
      <c r="K54" s="141">
        <f>IFERROR(ROUND(G54*Steuerungsdaten!$B$5,0),"-")</f>
        <v>29</v>
      </c>
      <c r="L54" s="137">
        <f>IFERROR(ROUND(H54*Steuerungsdaten!$B$5,0),"-")</f>
        <v>118</v>
      </c>
      <c r="M54" s="137">
        <f>IFERROR(ROUND(I54*Steuerungsdaten!$B$5,0),"-")</f>
        <v>138</v>
      </c>
      <c r="N54" s="137">
        <f>IFERROR(ROUND(J54*Steuerungsdaten!$B$5,0),"-")</f>
        <v>167</v>
      </c>
      <c r="O54" s="143" t="str">
        <f>IF(ISNA(MATCH(A54,Aktiv!$A$6:$A$326,0)),"⚠ nicht im Modell","")</f>
        <v/>
      </c>
    </row>
    <row r="55" spans="1:15" ht="18" customHeight="1" x14ac:dyDescent="0.25">
      <c r="A55" s="135">
        <v>3211</v>
      </c>
      <c r="B55" s="136" t="s">
        <v>7</v>
      </c>
      <c r="C55" s="136" t="s">
        <v>55</v>
      </c>
      <c r="D55" s="136" t="s">
        <v>67</v>
      </c>
      <c r="E55" s="138">
        <v>180</v>
      </c>
      <c r="F55" s="138">
        <v>980</v>
      </c>
      <c r="G55" s="137">
        <f>IFERROR(INDEX(Aktiv!$G$6:$G$326,MATCH(A55,Aktiv!$A$6:$A$326,0)),"")</f>
        <v>31</v>
      </c>
      <c r="H55" s="137">
        <f>IFERROR(INDEX(Aktiv!$H$6:$H$326,MATCH(A55,Aktiv!$A$6:$A$326,0)),"")</f>
        <v>106</v>
      </c>
      <c r="I55" s="137">
        <f>IFERROR(INDEX(Aktiv!$I$6:$I$326,MATCH(A55,Aktiv!$A$6:$A$326,0)),"")</f>
        <v>120</v>
      </c>
      <c r="J55" s="137">
        <f>IFERROR(INDEX(Aktiv!$J$6:$J$326,MATCH(A55,Aktiv!$A$6:$A$326,0)),"")</f>
        <v>145</v>
      </c>
      <c r="K55" s="141">
        <f>IFERROR(ROUND(G55*Steuerungsdaten!$B$5,0),"-")</f>
        <v>36</v>
      </c>
      <c r="L55" s="137">
        <f>IFERROR(ROUND(H55*Steuerungsdaten!$B$5,0),"-")</f>
        <v>122</v>
      </c>
      <c r="M55" s="137">
        <f>IFERROR(ROUND(I55*Steuerungsdaten!$B$5,0),"-")</f>
        <v>138</v>
      </c>
      <c r="N55" s="137">
        <f>IFERROR(ROUND(J55*Steuerungsdaten!$B$5,0),"-")</f>
        <v>167</v>
      </c>
      <c r="O55" s="143" t="str">
        <f>IF(ISNA(MATCH(A55,Aktiv!$A$6:$A$326,0)),"⚠ nicht im Modell","")</f>
        <v/>
      </c>
    </row>
    <row r="56" spans="1:15" ht="18" customHeight="1" x14ac:dyDescent="0.25">
      <c r="A56" s="135">
        <v>3212</v>
      </c>
      <c r="B56" s="136" t="s">
        <v>7</v>
      </c>
      <c r="C56" s="136" t="s">
        <v>55</v>
      </c>
      <c r="D56" s="136" t="s">
        <v>68</v>
      </c>
      <c r="E56" s="138">
        <v>360</v>
      </c>
      <c r="F56" s="138">
        <v>780</v>
      </c>
      <c r="G56" s="137">
        <f>IFERROR(INDEX(Aktiv!$G$6:$G$326,MATCH(A56,Aktiv!$A$6:$A$326,0)),"")</f>
        <v>49</v>
      </c>
      <c r="H56" s="137">
        <f>IFERROR(INDEX(Aktiv!$H$6:$H$326,MATCH(A56,Aktiv!$A$6:$A$326,0)),"")</f>
        <v>169</v>
      </c>
      <c r="I56" s="137">
        <f>IFERROR(INDEX(Aktiv!$I$6:$I$326,MATCH(A56,Aktiv!$A$6:$A$326,0)),"")</f>
        <v>177</v>
      </c>
      <c r="J56" s="137">
        <f>IFERROR(INDEX(Aktiv!$J$6:$J$326,MATCH(A56,Aktiv!$A$6:$A$326,0)),"")</f>
        <v>196</v>
      </c>
      <c r="K56" s="141">
        <f>IFERROR(ROUND(G56*Steuerungsdaten!$B$5,0),"-")</f>
        <v>56</v>
      </c>
      <c r="L56" s="137">
        <f>IFERROR(ROUND(H56*Steuerungsdaten!$B$5,0),"-")</f>
        <v>194</v>
      </c>
      <c r="M56" s="137">
        <f>IFERROR(ROUND(I56*Steuerungsdaten!$B$5,0),"-")</f>
        <v>204</v>
      </c>
      <c r="N56" s="137">
        <f>IFERROR(ROUND(J56*Steuerungsdaten!$B$5,0),"-")</f>
        <v>225</v>
      </c>
      <c r="O56" s="143" t="str">
        <f>IF(ISNA(MATCH(A56,Aktiv!$A$6:$A$326,0)),"⚠ nicht im Modell","")</f>
        <v/>
      </c>
    </row>
    <row r="57" spans="1:15" ht="18" customHeight="1" x14ac:dyDescent="0.25">
      <c r="A57" s="135">
        <v>3213</v>
      </c>
      <c r="B57" s="136" t="s">
        <v>7</v>
      </c>
      <c r="C57" s="136" t="s">
        <v>55</v>
      </c>
      <c r="D57" s="136" t="s">
        <v>69</v>
      </c>
      <c r="E57" s="138">
        <v>360</v>
      </c>
      <c r="F57" s="138">
        <v>980</v>
      </c>
      <c r="G57" s="137">
        <f>IFERROR(INDEX(Aktiv!$G$6:$G$326,MATCH(A57,Aktiv!$A$6:$A$326,0)),"")</f>
        <v>62</v>
      </c>
      <c r="H57" s="137">
        <f>IFERROR(INDEX(Aktiv!$H$6:$H$326,MATCH(A57,Aktiv!$A$6:$A$326,0)),"")</f>
        <v>213</v>
      </c>
      <c r="I57" s="137">
        <f>IFERROR(INDEX(Aktiv!$I$6:$I$326,MATCH(A57,Aktiv!$A$6:$A$326,0)),"")</f>
        <v>222</v>
      </c>
      <c r="J57" s="137">
        <f>IFERROR(INDEX(Aktiv!$J$6:$J$326,MATCH(A57,Aktiv!$A$6:$A$326,0)),"")</f>
        <v>247</v>
      </c>
      <c r="K57" s="141">
        <f>IFERROR(ROUND(G57*Steuerungsdaten!$B$5,0),"-")</f>
        <v>71</v>
      </c>
      <c r="L57" s="137">
        <f>IFERROR(ROUND(H57*Steuerungsdaten!$B$5,0),"-")</f>
        <v>245</v>
      </c>
      <c r="M57" s="137">
        <f>IFERROR(ROUND(I57*Steuerungsdaten!$B$5,0),"-")</f>
        <v>255</v>
      </c>
      <c r="N57" s="137">
        <f>IFERROR(ROUND(J57*Steuerungsdaten!$B$5,0),"-")</f>
        <v>284</v>
      </c>
      <c r="O57" s="143" t="str">
        <f>IF(ISNA(MATCH(A57,Aktiv!$A$6:$A$326,0)),"⚠ nicht im Modell","")</f>
        <v/>
      </c>
    </row>
    <row r="58" spans="1:15" ht="18" customHeight="1" x14ac:dyDescent="0.25">
      <c r="A58" s="135">
        <v>3214</v>
      </c>
      <c r="B58" s="136" t="s">
        <v>7</v>
      </c>
      <c r="C58" s="136" t="s">
        <v>55</v>
      </c>
      <c r="D58" s="136" t="s">
        <v>70</v>
      </c>
      <c r="E58" s="138">
        <v>720</v>
      </c>
      <c r="F58" s="138">
        <v>780</v>
      </c>
      <c r="G58" s="137">
        <f>IFERROR(INDEX(Aktiv!$G$6:$G$326,MATCH(A58,Aktiv!$A$6:$A$326,0)),"")</f>
        <v>99</v>
      </c>
      <c r="H58" s="137">
        <f>IFERROR(INDEX(Aktiv!$H$6:$H$326,MATCH(A58,Aktiv!$A$6:$A$326,0)),"")</f>
        <v>339</v>
      </c>
      <c r="I58" s="137">
        <f>IFERROR(INDEX(Aktiv!$I$6:$I$326,MATCH(A58,Aktiv!$A$6:$A$326,0)),"")</f>
        <v>353</v>
      </c>
      <c r="J58" s="137">
        <f>IFERROR(INDEX(Aktiv!$J$6:$J$326,MATCH(A58,Aktiv!$A$6:$A$326,0)),"")</f>
        <v>393</v>
      </c>
      <c r="K58" s="141">
        <f>IFERROR(ROUND(G58*Steuerungsdaten!$B$5,0),"-")</f>
        <v>114</v>
      </c>
      <c r="L58" s="137">
        <f>IFERROR(ROUND(H58*Steuerungsdaten!$B$5,0),"-")</f>
        <v>390</v>
      </c>
      <c r="M58" s="137">
        <f>IFERROR(ROUND(I58*Steuerungsdaten!$B$5,0),"-")</f>
        <v>406</v>
      </c>
      <c r="N58" s="137">
        <f>IFERROR(ROUND(J58*Steuerungsdaten!$B$5,0),"-")</f>
        <v>452</v>
      </c>
      <c r="O58" s="143" t="str">
        <f>IF(ISNA(MATCH(A58,Aktiv!$A$6:$A$326,0)),"⚠ nicht im Modell","")</f>
        <v/>
      </c>
    </row>
    <row r="59" spans="1:15" ht="18" customHeight="1" x14ac:dyDescent="0.25">
      <c r="A59" s="135">
        <v>3215</v>
      </c>
      <c r="B59" s="136" t="s">
        <v>7</v>
      </c>
      <c r="C59" s="136" t="s">
        <v>55</v>
      </c>
      <c r="D59" s="136" t="s">
        <v>71</v>
      </c>
      <c r="E59" s="138">
        <v>720</v>
      </c>
      <c r="F59" s="138">
        <v>980</v>
      </c>
      <c r="G59" s="137">
        <f>IFERROR(INDEX(Aktiv!$G$6:$G$326,MATCH(A59,Aktiv!$A$6:$A$326,0)),"")</f>
        <v>124</v>
      </c>
      <c r="H59" s="137">
        <f>IFERROR(INDEX(Aktiv!$H$6:$H$326,MATCH(A59,Aktiv!$A$6:$A$326,0)),"")</f>
        <v>426</v>
      </c>
      <c r="I59" s="137">
        <f>IFERROR(INDEX(Aktiv!$I$6:$I$326,MATCH(A59,Aktiv!$A$6:$A$326,0)),"")</f>
        <v>444</v>
      </c>
      <c r="J59" s="137">
        <f>IFERROR(INDEX(Aktiv!$J$6:$J$326,MATCH(A59,Aktiv!$A$6:$A$326,0)),"")</f>
        <v>494</v>
      </c>
      <c r="K59" s="141">
        <f>IFERROR(ROUND(G59*Steuerungsdaten!$B$5,0),"-")</f>
        <v>143</v>
      </c>
      <c r="L59" s="137">
        <f>IFERROR(ROUND(H59*Steuerungsdaten!$B$5,0),"-")</f>
        <v>490</v>
      </c>
      <c r="M59" s="137">
        <f>IFERROR(ROUND(I59*Steuerungsdaten!$B$5,0),"-")</f>
        <v>511</v>
      </c>
      <c r="N59" s="137">
        <f>IFERROR(ROUND(J59*Steuerungsdaten!$B$5,0),"-")</f>
        <v>568</v>
      </c>
      <c r="O59" s="143" t="str">
        <f>IF(ISNA(MATCH(A59,Aktiv!$A$6:$A$326,0)),"⚠ nicht im Modell","")</f>
        <v/>
      </c>
    </row>
    <row r="60" spans="1:15" ht="18" customHeight="1" x14ac:dyDescent="0.25">
      <c r="A60" s="135">
        <v>3216</v>
      </c>
      <c r="B60" s="136" t="s">
        <v>7</v>
      </c>
      <c r="C60" s="136" t="s">
        <v>55</v>
      </c>
      <c r="D60" s="136" t="s">
        <v>72</v>
      </c>
      <c r="E60" s="138">
        <v>1080</v>
      </c>
      <c r="F60" s="138">
        <v>780</v>
      </c>
      <c r="G60" s="137">
        <f>IFERROR(INDEX(Aktiv!$G$6:$G$326,MATCH(A60,Aktiv!$A$6:$A$326,0)),"")</f>
        <v>148</v>
      </c>
      <c r="H60" s="137">
        <f>IFERROR(INDEX(Aktiv!$H$6:$H$326,MATCH(A60,Aktiv!$A$6:$A$326,0)),"")</f>
        <v>508</v>
      </c>
      <c r="I60" s="137">
        <f>IFERROR(INDEX(Aktiv!$I$6:$I$326,MATCH(A60,Aktiv!$A$6:$A$326,0)),"")</f>
        <v>530</v>
      </c>
      <c r="J60" s="137">
        <f>IFERROR(INDEX(Aktiv!$J$6:$J$326,MATCH(A60,Aktiv!$A$6:$A$326,0)),"")</f>
        <v>589</v>
      </c>
      <c r="K60" s="141">
        <f>IFERROR(ROUND(G60*Steuerungsdaten!$B$5,0),"-")</f>
        <v>170</v>
      </c>
      <c r="L60" s="137">
        <f>IFERROR(ROUND(H60*Steuerungsdaten!$B$5,0),"-")</f>
        <v>584</v>
      </c>
      <c r="M60" s="137">
        <f>IFERROR(ROUND(I60*Steuerungsdaten!$B$5,0),"-")</f>
        <v>610</v>
      </c>
      <c r="N60" s="137">
        <f>IFERROR(ROUND(J60*Steuerungsdaten!$B$5,0),"-")</f>
        <v>677</v>
      </c>
      <c r="O60" s="143" t="str">
        <f>IF(ISNA(MATCH(A60,Aktiv!$A$6:$A$326,0)),"⚠ nicht im Modell","")</f>
        <v/>
      </c>
    </row>
    <row r="61" spans="1:15" ht="18" customHeight="1" x14ac:dyDescent="0.25">
      <c r="A61" s="135">
        <v>3217</v>
      </c>
      <c r="B61" s="136" t="s">
        <v>7</v>
      </c>
      <c r="C61" s="136" t="s">
        <v>55</v>
      </c>
      <c r="D61" s="136" t="s">
        <v>73</v>
      </c>
      <c r="E61" s="138">
        <v>1080</v>
      </c>
      <c r="F61" s="138">
        <v>980</v>
      </c>
      <c r="G61" s="137">
        <f>IFERROR(INDEX(Aktiv!$G$6:$G$326,MATCH(A61,Aktiv!$A$6:$A$326,0)),"")</f>
        <v>186</v>
      </c>
      <c r="H61" s="137">
        <f>IFERROR(INDEX(Aktiv!$H$6:$H$326,MATCH(A61,Aktiv!$A$6:$A$326,0)),"")</f>
        <v>639</v>
      </c>
      <c r="I61" s="137">
        <f>IFERROR(INDEX(Aktiv!$I$6:$I$326,MATCH(A61,Aktiv!$A$6:$A$326,0)),"")</f>
        <v>665</v>
      </c>
      <c r="J61" s="137">
        <f>IFERROR(INDEX(Aktiv!$J$6:$J$326,MATCH(A61,Aktiv!$A$6:$A$326,0)),"")</f>
        <v>740</v>
      </c>
      <c r="K61" s="141">
        <f>IFERROR(ROUND(G61*Steuerungsdaten!$B$5,0),"-")</f>
        <v>214</v>
      </c>
      <c r="L61" s="137">
        <f>IFERROR(ROUND(H61*Steuerungsdaten!$B$5,0),"-")</f>
        <v>735</v>
      </c>
      <c r="M61" s="137">
        <f>IFERROR(ROUND(I61*Steuerungsdaten!$B$5,0),"-")</f>
        <v>765</v>
      </c>
      <c r="N61" s="137">
        <f>IFERROR(ROUND(J61*Steuerungsdaten!$B$5,0),"-")</f>
        <v>851</v>
      </c>
      <c r="O61" s="143" t="str">
        <f>IF(ISNA(MATCH(A61,Aktiv!$A$6:$A$326,0)),"⚠ nicht im Modell","")</f>
        <v/>
      </c>
    </row>
    <row r="62" spans="1:15" ht="18" customHeight="1" x14ac:dyDescent="0.25">
      <c r="A62" s="135">
        <v>3218</v>
      </c>
      <c r="B62" s="136" t="s">
        <v>7</v>
      </c>
      <c r="C62" s="136" t="s">
        <v>55</v>
      </c>
      <c r="D62" s="136" t="s">
        <v>74</v>
      </c>
      <c r="E62" s="138">
        <v>1440</v>
      </c>
      <c r="F62" s="138">
        <v>780</v>
      </c>
      <c r="G62" s="137">
        <f>IFERROR(INDEX(Aktiv!$G$6:$G$326,MATCH(A62,Aktiv!$A$6:$A$326,0)),"")</f>
        <v>198</v>
      </c>
      <c r="H62" s="137">
        <f>IFERROR(INDEX(Aktiv!$H$6:$H$326,MATCH(A62,Aktiv!$A$6:$A$326,0)),"")</f>
        <v>678</v>
      </c>
      <c r="I62" s="137">
        <f>IFERROR(INDEX(Aktiv!$I$6:$I$326,MATCH(A62,Aktiv!$A$6:$A$326,0)),"")</f>
        <v>706</v>
      </c>
      <c r="J62" s="137">
        <f>IFERROR(INDEX(Aktiv!$J$6:$J$326,MATCH(A62,Aktiv!$A$6:$A$326,0)),"")</f>
        <v>786</v>
      </c>
      <c r="K62" s="141">
        <f>IFERROR(ROUND(G62*Steuerungsdaten!$B$5,0),"-")</f>
        <v>228</v>
      </c>
      <c r="L62" s="137">
        <f>IFERROR(ROUND(H62*Steuerungsdaten!$B$5,0),"-")</f>
        <v>780</v>
      </c>
      <c r="M62" s="137">
        <f>IFERROR(ROUND(I62*Steuerungsdaten!$B$5,0),"-")</f>
        <v>812</v>
      </c>
      <c r="N62" s="137">
        <f>IFERROR(ROUND(J62*Steuerungsdaten!$B$5,0),"-")</f>
        <v>904</v>
      </c>
      <c r="O62" s="143" t="str">
        <f>IF(ISNA(MATCH(A62,Aktiv!$A$6:$A$326,0)),"⚠ nicht im Modell","")</f>
        <v/>
      </c>
    </row>
    <row r="63" spans="1:15" ht="18" customHeight="1" x14ac:dyDescent="0.25">
      <c r="A63" s="135">
        <v>3219</v>
      </c>
      <c r="B63" s="136" t="s">
        <v>7</v>
      </c>
      <c r="C63" s="136" t="s">
        <v>55</v>
      </c>
      <c r="D63" s="136" t="s">
        <v>75</v>
      </c>
      <c r="E63" s="138">
        <v>1440</v>
      </c>
      <c r="F63" s="138">
        <v>980</v>
      </c>
      <c r="G63" s="137">
        <f>IFERROR(INDEX(Aktiv!$G$6:$G$326,MATCH(A63,Aktiv!$A$6:$A$326,0)),"")</f>
        <v>248</v>
      </c>
      <c r="H63" s="137">
        <f>IFERROR(INDEX(Aktiv!$H$6:$H$326,MATCH(A63,Aktiv!$A$6:$A$326,0)),"")</f>
        <v>852</v>
      </c>
      <c r="I63" s="137">
        <f>IFERROR(INDEX(Aktiv!$I$6:$I$326,MATCH(A63,Aktiv!$A$6:$A$326,0)),"")</f>
        <v>887</v>
      </c>
      <c r="J63" s="137">
        <f>IFERROR(INDEX(Aktiv!$J$6:$J$326,MATCH(A63,Aktiv!$A$6:$A$326,0)),"")</f>
        <v>987</v>
      </c>
      <c r="K63" s="141">
        <f>IFERROR(ROUND(G63*Steuerungsdaten!$B$5,0),"-")</f>
        <v>285</v>
      </c>
      <c r="L63" s="137">
        <f>IFERROR(ROUND(H63*Steuerungsdaten!$B$5,0),"-")</f>
        <v>980</v>
      </c>
      <c r="M63" s="137">
        <f>IFERROR(ROUND(I63*Steuerungsdaten!$B$5,0),"-")</f>
        <v>1020</v>
      </c>
      <c r="N63" s="137">
        <f>IFERROR(ROUND(J63*Steuerungsdaten!$B$5,0),"-")</f>
        <v>1135</v>
      </c>
      <c r="O63" s="143" t="str">
        <f>IF(ISNA(MATCH(A63,Aktiv!$A$6:$A$326,0)),"⚠ nicht im Modell","")</f>
        <v/>
      </c>
    </row>
    <row r="64" spans="1:15" ht="18" customHeight="1" x14ac:dyDescent="0.25">
      <c r="A64" s="135">
        <v>3220</v>
      </c>
      <c r="B64" s="136" t="s">
        <v>7</v>
      </c>
      <c r="C64" s="136" t="s">
        <v>55</v>
      </c>
      <c r="D64" s="136" t="s">
        <v>76</v>
      </c>
      <c r="E64" s="138">
        <v>1800</v>
      </c>
      <c r="F64" s="138">
        <v>780</v>
      </c>
      <c r="G64" s="137">
        <f>IFERROR(INDEX(Aktiv!$G$6:$G$326,MATCH(A64,Aktiv!$A$6:$A$326,0)),"")</f>
        <v>247</v>
      </c>
      <c r="H64" s="137">
        <f>IFERROR(INDEX(Aktiv!$H$6:$H$326,MATCH(A64,Aktiv!$A$6:$A$326,0)),"")</f>
        <v>847</v>
      </c>
      <c r="I64" s="137">
        <f>IFERROR(INDEX(Aktiv!$I$6:$I$326,MATCH(A64,Aktiv!$A$6:$A$326,0)),"")</f>
        <v>883</v>
      </c>
      <c r="J64" s="137">
        <f>IFERROR(INDEX(Aktiv!$J$6:$J$326,MATCH(A64,Aktiv!$A$6:$A$326,0)),"")</f>
        <v>982</v>
      </c>
      <c r="K64" s="141">
        <f>IFERROR(ROUND(G64*Steuerungsdaten!$B$5,0),"-")</f>
        <v>284</v>
      </c>
      <c r="L64" s="137">
        <f>IFERROR(ROUND(H64*Steuerungsdaten!$B$5,0),"-")</f>
        <v>974</v>
      </c>
      <c r="M64" s="137">
        <f>IFERROR(ROUND(I64*Steuerungsdaten!$B$5,0),"-")</f>
        <v>1015</v>
      </c>
      <c r="N64" s="137">
        <f>IFERROR(ROUND(J64*Steuerungsdaten!$B$5,0),"-")</f>
        <v>1129</v>
      </c>
      <c r="O64" s="143" t="str">
        <f>IF(ISNA(MATCH(A64,Aktiv!$A$6:$A$326,0)),"⚠ nicht im Modell","")</f>
        <v/>
      </c>
    </row>
    <row r="65" spans="1:15" ht="18" customHeight="1" x14ac:dyDescent="0.25">
      <c r="A65" s="135">
        <v>3221</v>
      </c>
      <c r="B65" s="136" t="s">
        <v>7</v>
      </c>
      <c r="C65" s="136" t="s">
        <v>55</v>
      </c>
      <c r="D65" s="136" t="s">
        <v>77</v>
      </c>
      <c r="E65" s="138">
        <v>1800</v>
      </c>
      <c r="F65" s="138">
        <v>980</v>
      </c>
      <c r="G65" s="137">
        <f>IFERROR(INDEX(Aktiv!$G$6:$G$326,MATCH(A65,Aktiv!$A$6:$A$326,0)),"")</f>
        <v>310</v>
      </c>
      <c r="H65" s="137">
        <f>IFERROR(INDEX(Aktiv!$H$6:$H$326,MATCH(A65,Aktiv!$A$6:$A$326,0)),"")</f>
        <v>1064</v>
      </c>
      <c r="I65" s="137">
        <f>IFERROR(INDEX(Aktiv!$I$6:$I$326,MATCH(A65,Aktiv!$A$6:$A$326,0)),"")</f>
        <v>1109</v>
      </c>
      <c r="J65" s="137">
        <f>IFERROR(INDEX(Aktiv!$J$6:$J$326,MATCH(A65,Aktiv!$A$6:$A$326,0)),"")</f>
        <v>1234</v>
      </c>
      <c r="K65" s="141">
        <f>IFERROR(ROUND(G65*Steuerungsdaten!$B$5,0),"-")</f>
        <v>357</v>
      </c>
      <c r="L65" s="137">
        <f>IFERROR(ROUND(H65*Steuerungsdaten!$B$5,0),"-")</f>
        <v>1224</v>
      </c>
      <c r="M65" s="137">
        <f>IFERROR(ROUND(I65*Steuerungsdaten!$B$5,0),"-")</f>
        <v>1275</v>
      </c>
      <c r="N65" s="137">
        <f>IFERROR(ROUND(J65*Steuerungsdaten!$B$5,0),"-")</f>
        <v>1419</v>
      </c>
      <c r="O65" s="143" t="str">
        <f>IF(ISNA(MATCH(A65,Aktiv!$A$6:$A$326,0)),"⚠ nicht im Modell","")</f>
        <v/>
      </c>
    </row>
    <row r="66" spans="1:15" ht="18" customHeight="1" x14ac:dyDescent="0.25">
      <c r="A66" s="135">
        <v>3300</v>
      </c>
      <c r="B66" s="136" t="s">
        <v>7</v>
      </c>
      <c r="C66" s="136" t="s">
        <v>78</v>
      </c>
      <c r="D66" s="136" t="s">
        <v>79</v>
      </c>
      <c r="E66" s="138">
        <v>360</v>
      </c>
      <c r="F66" s="138">
        <v>180</v>
      </c>
      <c r="G66" s="137">
        <f>IFERROR(INDEX(Aktiv!$G$6:$G$326,MATCH(A66,Aktiv!$A$6:$A$326,0)),"")</f>
        <v>25</v>
      </c>
      <c r="H66" s="137">
        <f>IFERROR(INDEX(Aktiv!$H$6:$H$326,MATCH(A66,Aktiv!$A$6:$A$326,0)),"")</f>
        <v>103</v>
      </c>
      <c r="I66" s="137">
        <f>IFERROR(INDEX(Aktiv!$I$6:$I$326,MATCH(A66,Aktiv!$A$6:$A$326,0)),"")</f>
        <v>120</v>
      </c>
      <c r="J66" s="137">
        <f>IFERROR(INDEX(Aktiv!$J$6:$J$326,MATCH(A66,Aktiv!$A$6:$A$326,0)),"")</f>
        <v>145</v>
      </c>
      <c r="K66" s="141">
        <f>IFERROR(ROUND(G66*Steuerungsdaten!$B$5,0),"-")</f>
        <v>29</v>
      </c>
      <c r="L66" s="137">
        <f>IFERROR(ROUND(H66*Steuerungsdaten!$B$5,0),"-")</f>
        <v>118</v>
      </c>
      <c r="M66" s="137">
        <f>IFERROR(ROUND(I66*Steuerungsdaten!$B$5,0),"-")</f>
        <v>138</v>
      </c>
      <c r="N66" s="137">
        <f>IFERROR(ROUND(J66*Steuerungsdaten!$B$5,0),"-")</f>
        <v>167</v>
      </c>
      <c r="O66" s="143" t="str">
        <f>IF(ISNA(MATCH(A66,Aktiv!$A$6:$A$326,0)),"⚠ nicht im Modell","")</f>
        <v/>
      </c>
    </row>
    <row r="67" spans="1:15" ht="18" customHeight="1" x14ac:dyDescent="0.25">
      <c r="A67" s="135">
        <v>3301</v>
      </c>
      <c r="B67" s="136" t="s">
        <v>7</v>
      </c>
      <c r="C67" s="136" t="s">
        <v>78</v>
      </c>
      <c r="D67" s="136" t="s">
        <v>80</v>
      </c>
      <c r="E67" s="138">
        <v>420</v>
      </c>
      <c r="F67" s="138">
        <v>180</v>
      </c>
      <c r="G67" s="137">
        <f>IFERROR(INDEX(Aktiv!$G$6:$G$326,MATCH(A67,Aktiv!$A$6:$A$326,0)),"")</f>
        <v>25</v>
      </c>
      <c r="H67" s="137">
        <f>IFERROR(INDEX(Aktiv!$H$6:$H$326,MATCH(A67,Aktiv!$A$6:$A$326,0)),"")</f>
        <v>103</v>
      </c>
      <c r="I67" s="137">
        <f>IFERROR(INDEX(Aktiv!$I$6:$I$326,MATCH(A67,Aktiv!$A$6:$A$326,0)),"")</f>
        <v>120</v>
      </c>
      <c r="J67" s="137">
        <f>IFERROR(INDEX(Aktiv!$J$6:$J$326,MATCH(A67,Aktiv!$A$6:$A$326,0)),"")</f>
        <v>145</v>
      </c>
      <c r="K67" s="141">
        <f>IFERROR(ROUND(G67*Steuerungsdaten!$B$5,0),"-")</f>
        <v>29</v>
      </c>
      <c r="L67" s="137">
        <f>IFERROR(ROUND(H67*Steuerungsdaten!$B$5,0),"-")</f>
        <v>118</v>
      </c>
      <c r="M67" s="137">
        <f>IFERROR(ROUND(I67*Steuerungsdaten!$B$5,0),"-")</f>
        <v>138</v>
      </c>
      <c r="N67" s="137">
        <f>IFERROR(ROUND(J67*Steuerungsdaten!$B$5,0),"-")</f>
        <v>167</v>
      </c>
      <c r="O67" s="143" t="str">
        <f>IF(ISNA(MATCH(A67,Aktiv!$A$6:$A$326,0)),"⚠ nicht im Modell","")</f>
        <v/>
      </c>
    </row>
    <row r="68" spans="1:15" ht="18" customHeight="1" x14ac:dyDescent="0.25">
      <c r="A68" s="135">
        <v>3302</v>
      </c>
      <c r="B68" s="136" t="s">
        <v>7</v>
      </c>
      <c r="C68" s="136" t="s">
        <v>78</v>
      </c>
      <c r="D68" s="136" t="s">
        <v>81</v>
      </c>
      <c r="E68" s="138">
        <v>580</v>
      </c>
      <c r="F68" s="138">
        <v>180</v>
      </c>
      <c r="G68" s="137">
        <f>IFERROR(INDEX(Aktiv!$G$6:$G$326,MATCH(A68,Aktiv!$A$6:$A$326,0)),"")</f>
        <v>25</v>
      </c>
      <c r="H68" s="137">
        <f>IFERROR(INDEX(Aktiv!$H$6:$H$326,MATCH(A68,Aktiv!$A$6:$A$326,0)),"")</f>
        <v>103</v>
      </c>
      <c r="I68" s="137">
        <f>IFERROR(INDEX(Aktiv!$I$6:$I$326,MATCH(A68,Aktiv!$A$6:$A$326,0)),"")</f>
        <v>120</v>
      </c>
      <c r="J68" s="137">
        <f>IFERROR(INDEX(Aktiv!$J$6:$J$326,MATCH(A68,Aktiv!$A$6:$A$326,0)),"")</f>
        <v>145</v>
      </c>
      <c r="K68" s="141">
        <f>IFERROR(ROUND(G68*Steuerungsdaten!$B$5,0),"-")</f>
        <v>29</v>
      </c>
      <c r="L68" s="137">
        <f>IFERROR(ROUND(H68*Steuerungsdaten!$B$5,0),"-")</f>
        <v>118</v>
      </c>
      <c r="M68" s="137">
        <f>IFERROR(ROUND(I68*Steuerungsdaten!$B$5,0),"-")</f>
        <v>138</v>
      </c>
      <c r="N68" s="137">
        <f>IFERROR(ROUND(J68*Steuerungsdaten!$B$5,0),"-")</f>
        <v>167</v>
      </c>
      <c r="O68" s="143" t="str">
        <f>IF(ISNA(MATCH(A68,Aktiv!$A$6:$A$326,0)),"⚠ nicht im Modell","")</f>
        <v/>
      </c>
    </row>
    <row r="69" spans="1:15" ht="18" customHeight="1" x14ac:dyDescent="0.25">
      <c r="A69" s="135">
        <v>3303</v>
      </c>
      <c r="B69" s="136" t="s">
        <v>7</v>
      </c>
      <c r="C69" s="136" t="s">
        <v>78</v>
      </c>
      <c r="D69" s="136" t="s">
        <v>82</v>
      </c>
      <c r="E69" s="138">
        <v>780</v>
      </c>
      <c r="F69" s="138">
        <v>180</v>
      </c>
      <c r="G69" s="137">
        <f>IFERROR(INDEX(Aktiv!$G$6:$G$326,MATCH(A69,Aktiv!$A$6:$A$326,0)),"")</f>
        <v>25</v>
      </c>
      <c r="H69" s="137">
        <f>IFERROR(INDEX(Aktiv!$H$6:$H$326,MATCH(A69,Aktiv!$A$6:$A$326,0)),"")</f>
        <v>103</v>
      </c>
      <c r="I69" s="137">
        <f>IFERROR(INDEX(Aktiv!$I$6:$I$326,MATCH(A69,Aktiv!$A$6:$A$326,0)),"")</f>
        <v>120</v>
      </c>
      <c r="J69" s="137">
        <f>IFERROR(INDEX(Aktiv!$J$6:$J$326,MATCH(A69,Aktiv!$A$6:$A$326,0)),"")</f>
        <v>145</v>
      </c>
      <c r="K69" s="141">
        <f>IFERROR(ROUND(G69*Steuerungsdaten!$B$5,0),"-")</f>
        <v>29</v>
      </c>
      <c r="L69" s="137">
        <f>IFERROR(ROUND(H69*Steuerungsdaten!$B$5,0),"-")</f>
        <v>118</v>
      </c>
      <c r="M69" s="137">
        <f>IFERROR(ROUND(I69*Steuerungsdaten!$B$5,0),"-")</f>
        <v>138</v>
      </c>
      <c r="N69" s="137">
        <f>IFERROR(ROUND(J69*Steuerungsdaten!$B$5,0),"-")</f>
        <v>167</v>
      </c>
      <c r="O69" s="143" t="str">
        <f>IF(ISNA(MATCH(A69,Aktiv!$A$6:$A$326,0)),"⚠ nicht im Modell","")</f>
        <v/>
      </c>
    </row>
    <row r="70" spans="1:15" ht="18" customHeight="1" x14ac:dyDescent="0.25">
      <c r="A70" s="135">
        <v>3304</v>
      </c>
      <c r="B70" s="136" t="s">
        <v>7</v>
      </c>
      <c r="C70" s="136" t="s">
        <v>78</v>
      </c>
      <c r="D70" s="136" t="s">
        <v>83</v>
      </c>
      <c r="E70" s="138">
        <v>980</v>
      </c>
      <c r="F70" s="138">
        <v>180</v>
      </c>
      <c r="G70" s="137">
        <f>IFERROR(INDEX(Aktiv!$G$6:$G$326,MATCH(A70,Aktiv!$A$6:$A$326,0)),"")</f>
        <v>31</v>
      </c>
      <c r="H70" s="137">
        <f>IFERROR(INDEX(Aktiv!$H$6:$H$326,MATCH(A70,Aktiv!$A$6:$A$326,0)),"")</f>
        <v>106</v>
      </c>
      <c r="I70" s="137">
        <f>IFERROR(INDEX(Aktiv!$I$6:$I$326,MATCH(A70,Aktiv!$A$6:$A$326,0)),"")</f>
        <v>120</v>
      </c>
      <c r="J70" s="137">
        <f>IFERROR(INDEX(Aktiv!$J$6:$J$326,MATCH(A70,Aktiv!$A$6:$A$326,0)),"")</f>
        <v>145</v>
      </c>
      <c r="K70" s="141">
        <f>IFERROR(ROUND(G70*Steuerungsdaten!$B$5,0),"-")</f>
        <v>36</v>
      </c>
      <c r="L70" s="137">
        <f>IFERROR(ROUND(H70*Steuerungsdaten!$B$5,0),"-")</f>
        <v>122</v>
      </c>
      <c r="M70" s="137">
        <f>IFERROR(ROUND(I70*Steuerungsdaten!$B$5,0),"-")</f>
        <v>138</v>
      </c>
      <c r="N70" s="137">
        <f>IFERROR(ROUND(J70*Steuerungsdaten!$B$5,0),"-")</f>
        <v>167</v>
      </c>
      <c r="O70" s="143" t="str">
        <f>IF(ISNA(MATCH(A70,Aktiv!$A$6:$A$326,0)),"⚠ nicht im Modell","")</f>
        <v/>
      </c>
    </row>
    <row r="71" spans="1:15" ht="18" customHeight="1" x14ac:dyDescent="0.25">
      <c r="A71" s="135">
        <v>3305</v>
      </c>
      <c r="B71" s="136" t="s">
        <v>7</v>
      </c>
      <c r="C71" s="136" t="s">
        <v>78</v>
      </c>
      <c r="D71" s="136" t="s">
        <v>84</v>
      </c>
      <c r="E71" s="138">
        <v>360</v>
      </c>
      <c r="F71" s="138">
        <v>360</v>
      </c>
      <c r="G71" s="137">
        <f>IFERROR(INDEX(Aktiv!$G$6:$G$326,MATCH(A71,Aktiv!$A$6:$A$326,0)),"")</f>
        <v>25</v>
      </c>
      <c r="H71" s="137">
        <f>IFERROR(INDEX(Aktiv!$H$6:$H$326,MATCH(A71,Aktiv!$A$6:$A$326,0)),"")</f>
        <v>103</v>
      </c>
      <c r="I71" s="137">
        <f>IFERROR(INDEX(Aktiv!$I$6:$I$326,MATCH(A71,Aktiv!$A$6:$A$326,0)),"")</f>
        <v>120</v>
      </c>
      <c r="J71" s="137">
        <f>IFERROR(INDEX(Aktiv!$J$6:$J$326,MATCH(A71,Aktiv!$A$6:$A$326,0)),"")</f>
        <v>145</v>
      </c>
      <c r="K71" s="141">
        <f>IFERROR(ROUND(G71*Steuerungsdaten!$B$5,0),"-")</f>
        <v>29</v>
      </c>
      <c r="L71" s="137">
        <f>IFERROR(ROUND(H71*Steuerungsdaten!$B$5,0),"-")</f>
        <v>118</v>
      </c>
      <c r="M71" s="137">
        <f>IFERROR(ROUND(I71*Steuerungsdaten!$B$5,0),"-")</f>
        <v>138</v>
      </c>
      <c r="N71" s="137">
        <f>IFERROR(ROUND(J71*Steuerungsdaten!$B$5,0),"-")</f>
        <v>167</v>
      </c>
      <c r="O71" s="143" t="str">
        <f>IF(ISNA(MATCH(A71,Aktiv!$A$6:$A$326,0)),"⚠ nicht im Modell","")</f>
        <v/>
      </c>
    </row>
    <row r="72" spans="1:15" ht="18" customHeight="1" x14ac:dyDescent="0.25">
      <c r="A72" s="135">
        <v>3306</v>
      </c>
      <c r="B72" s="136" t="s">
        <v>7</v>
      </c>
      <c r="C72" s="136" t="s">
        <v>78</v>
      </c>
      <c r="D72" s="136" t="s">
        <v>85</v>
      </c>
      <c r="E72" s="138">
        <v>420</v>
      </c>
      <c r="F72" s="138">
        <v>360</v>
      </c>
      <c r="G72" s="137">
        <f>IFERROR(INDEX(Aktiv!$G$6:$G$326,MATCH(A72,Aktiv!$A$6:$A$326,0)),"")</f>
        <v>27</v>
      </c>
      <c r="H72" s="137">
        <f>IFERROR(INDEX(Aktiv!$H$6:$H$326,MATCH(A72,Aktiv!$A$6:$A$326,0)),"")</f>
        <v>103</v>
      </c>
      <c r="I72" s="137">
        <f>IFERROR(INDEX(Aktiv!$I$6:$I$326,MATCH(A72,Aktiv!$A$6:$A$326,0)),"")</f>
        <v>120</v>
      </c>
      <c r="J72" s="137">
        <f>IFERROR(INDEX(Aktiv!$J$6:$J$326,MATCH(A72,Aktiv!$A$6:$A$326,0)),"")</f>
        <v>145</v>
      </c>
      <c r="K72" s="141">
        <f>IFERROR(ROUND(G72*Steuerungsdaten!$B$5,0),"-")</f>
        <v>31</v>
      </c>
      <c r="L72" s="137">
        <f>IFERROR(ROUND(H72*Steuerungsdaten!$B$5,0),"-")</f>
        <v>118</v>
      </c>
      <c r="M72" s="137">
        <f>IFERROR(ROUND(I72*Steuerungsdaten!$B$5,0),"-")</f>
        <v>138</v>
      </c>
      <c r="N72" s="137">
        <f>IFERROR(ROUND(J72*Steuerungsdaten!$B$5,0),"-")</f>
        <v>167</v>
      </c>
      <c r="O72" s="143" t="str">
        <f>IF(ISNA(MATCH(A72,Aktiv!$A$6:$A$326,0)),"⚠ nicht im Modell","")</f>
        <v/>
      </c>
    </row>
    <row r="73" spans="1:15" ht="18" customHeight="1" x14ac:dyDescent="0.25">
      <c r="A73" s="135">
        <v>3307</v>
      </c>
      <c r="B73" s="136" t="s">
        <v>7</v>
      </c>
      <c r="C73" s="136" t="s">
        <v>78</v>
      </c>
      <c r="D73" s="136" t="s">
        <v>86</v>
      </c>
      <c r="E73" s="138">
        <v>580</v>
      </c>
      <c r="F73" s="138">
        <v>360</v>
      </c>
      <c r="G73" s="137">
        <f>IFERROR(INDEX(Aktiv!$G$6:$G$326,MATCH(A73,Aktiv!$A$6:$A$326,0)),"")</f>
        <v>37</v>
      </c>
      <c r="H73" s="137">
        <f>IFERROR(INDEX(Aktiv!$H$6:$H$326,MATCH(A73,Aktiv!$A$6:$A$326,0)),"")</f>
        <v>126</v>
      </c>
      <c r="I73" s="137">
        <f>IFERROR(INDEX(Aktiv!$I$6:$I$326,MATCH(A73,Aktiv!$A$6:$A$326,0)),"")</f>
        <v>131</v>
      </c>
      <c r="J73" s="137">
        <f>IFERROR(INDEX(Aktiv!$J$6:$J$326,MATCH(A73,Aktiv!$A$6:$A$326,0)),"")</f>
        <v>146</v>
      </c>
      <c r="K73" s="141">
        <f>IFERROR(ROUND(G73*Steuerungsdaten!$B$5,0),"-")</f>
        <v>43</v>
      </c>
      <c r="L73" s="137">
        <f>IFERROR(ROUND(H73*Steuerungsdaten!$B$5,0),"-")</f>
        <v>145</v>
      </c>
      <c r="M73" s="137">
        <f>IFERROR(ROUND(I73*Steuerungsdaten!$B$5,0),"-")</f>
        <v>151</v>
      </c>
      <c r="N73" s="137">
        <f>IFERROR(ROUND(J73*Steuerungsdaten!$B$5,0),"-")</f>
        <v>168</v>
      </c>
      <c r="O73" s="143" t="str">
        <f>IF(ISNA(MATCH(A73,Aktiv!$A$6:$A$326,0)),"⚠ nicht im Modell","")</f>
        <v/>
      </c>
    </row>
    <row r="74" spans="1:15" ht="18" customHeight="1" x14ac:dyDescent="0.25">
      <c r="A74" s="135">
        <v>3308</v>
      </c>
      <c r="B74" s="136" t="s">
        <v>7</v>
      </c>
      <c r="C74" s="136" t="s">
        <v>78</v>
      </c>
      <c r="D74" s="136" t="s">
        <v>87</v>
      </c>
      <c r="E74" s="138">
        <v>780</v>
      </c>
      <c r="F74" s="138">
        <v>360</v>
      </c>
      <c r="G74" s="137">
        <f>IFERROR(INDEX(Aktiv!$G$6:$G$326,MATCH(A74,Aktiv!$A$6:$A$326,0)),"")</f>
        <v>49</v>
      </c>
      <c r="H74" s="137">
        <f>IFERROR(INDEX(Aktiv!$H$6:$H$326,MATCH(A74,Aktiv!$A$6:$A$326,0)),"")</f>
        <v>169</v>
      </c>
      <c r="I74" s="137">
        <f>IFERROR(INDEX(Aktiv!$I$6:$I$326,MATCH(A74,Aktiv!$A$6:$A$326,0)),"")</f>
        <v>177</v>
      </c>
      <c r="J74" s="137">
        <f>IFERROR(INDEX(Aktiv!$J$6:$J$326,MATCH(A74,Aktiv!$A$6:$A$326,0)),"")</f>
        <v>196</v>
      </c>
      <c r="K74" s="141">
        <f>IFERROR(ROUND(G74*Steuerungsdaten!$B$5,0),"-")</f>
        <v>56</v>
      </c>
      <c r="L74" s="137">
        <f>IFERROR(ROUND(H74*Steuerungsdaten!$B$5,0),"-")</f>
        <v>194</v>
      </c>
      <c r="M74" s="137">
        <f>IFERROR(ROUND(I74*Steuerungsdaten!$B$5,0),"-")</f>
        <v>204</v>
      </c>
      <c r="N74" s="137">
        <f>IFERROR(ROUND(J74*Steuerungsdaten!$B$5,0),"-")</f>
        <v>225</v>
      </c>
      <c r="O74" s="143" t="str">
        <f>IF(ISNA(MATCH(A74,Aktiv!$A$6:$A$326,0)),"⚠ nicht im Modell","")</f>
        <v/>
      </c>
    </row>
    <row r="75" spans="1:15" ht="18" customHeight="1" x14ac:dyDescent="0.25">
      <c r="A75" s="135">
        <v>3309</v>
      </c>
      <c r="B75" s="136" t="s">
        <v>7</v>
      </c>
      <c r="C75" s="136" t="s">
        <v>78</v>
      </c>
      <c r="D75" s="136" t="s">
        <v>88</v>
      </c>
      <c r="E75" s="138">
        <v>980</v>
      </c>
      <c r="F75" s="138">
        <v>360</v>
      </c>
      <c r="G75" s="137">
        <f>IFERROR(INDEX(Aktiv!$G$6:$G$326,MATCH(A75,Aktiv!$A$6:$A$326,0)),"")</f>
        <v>62</v>
      </c>
      <c r="H75" s="137">
        <f>IFERROR(INDEX(Aktiv!$H$6:$H$326,MATCH(A75,Aktiv!$A$6:$A$326,0)),"")</f>
        <v>213</v>
      </c>
      <c r="I75" s="137">
        <f>IFERROR(INDEX(Aktiv!$I$6:$I$326,MATCH(A75,Aktiv!$A$6:$A$326,0)),"")</f>
        <v>222</v>
      </c>
      <c r="J75" s="137">
        <f>IFERROR(INDEX(Aktiv!$J$6:$J$326,MATCH(A75,Aktiv!$A$6:$A$326,0)),"")</f>
        <v>247</v>
      </c>
      <c r="K75" s="141">
        <f>IFERROR(ROUND(G75*Steuerungsdaten!$B$5,0),"-")</f>
        <v>71</v>
      </c>
      <c r="L75" s="137">
        <f>IFERROR(ROUND(H75*Steuerungsdaten!$B$5,0),"-")</f>
        <v>245</v>
      </c>
      <c r="M75" s="137">
        <f>IFERROR(ROUND(I75*Steuerungsdaten!$B$5,0),"-")</f>
        <v>255</v>
      </c>
      <c r="N75" s="137">
        <f>IFERROR(ROUND(J75*Steuerungsdaten!$B$5,0),"-")</f>
        <v>284</v>
      </c>
      <c r="O75" s="143" t="str">
        <f>IF(ISNA(MATCH(A75,Aktiv!$A$6:$A$326,0)),"⚠ nicht im Modell","")</f>
        <v/>
      </c>
    </row>
    <row r="76" spans="1:15" ht="18" customHeight="1" x14ac:dyDescent="0.25">
      <c r="A76" s="135">
        <v>3310</v>
      </c>
      <c r="B76" s="136" t="s">
        <v>7</v>
      </c>
      <c r="C76" s="136" t="s">
        <v>78</v>
      </c>
      <c r="D76" s="136" t="s">
        <v>89</v>
      </c>
      <c r="E76" s="138">
        <v>360</v>
      </c>
      <c r="F76" s="138">
        <v>720</v>
      </c>
      <c r="G76" s="137">
        <f>IFERROR(INDEX(Aktiv!$G$6:$G$326,MATCH(A76,Aktiv!$A$6:$A$326,0)),"")</f>
        <v>46</v>
      </c>
      <c r="H76" s="137">
        <f>IFERROR(INDEX(Aktiv!$H$6:$H$326,MATCH(A76,Aktiv!$A$6:$A$326,0)),"")</f>
        <v>156</v>
      </c>
      <c r="I76" s="137">
        <f>IFERROR(INDEX(Aktiv!$I$6:$I$326,MATCH(A76,Aktiv!$A$6:$A$326,0)),"")</f>
        <v>163</v>
      </c>
      <c r="J76" s="137">
        <f>IFERROR(INDEX(Aktiv!$J$6:$J$326,MATCH(A76,Aktiv!$A$6:$A$326,0)),"")</f>
        <v>181</v>
      </c>
      <c r="K76" s="141">
        <f>IFERROR(ROUND(G76*Steuerungsdaten!$B$5,0),"-")</f>
        <v>53</v>
      </c>
      <c r="L76" s="137">
        <f>IFERROR(ROUND(H76*Steuerungsdaten!$B$5,0),"-")</f>
        <v>179</v>
      </c>
      <c r="M76" s="137">
        <f>IFERROR(ROUND(I76*Steuerungsdaten!$B$5,0),"-")</f>
        <v>187</v>
      </c>
      <c r="N76" s="137">
        <f>IFERROR(ROUND(J76*Steuerungsdaten!$B$5,0),"-")</f>
        <v>208</v>
      </c>
      <c r="O76" s="143" t="str">
        <f>IF(ISNA(MATCH(A76,Aktiv!$A$6:$A$326,0)),"⚠ nicht im Modell","")</f>
        <v/>
      </c>
    </row>
    <row r="77" spans="1:15" ht="18" customHeight="1" x14ac:dyDescent="0.25">
      <c r="A77" s="135">
        <v>3311</v>
      </c>
      <c r="B77" s="136" t="s">
        <v>7</v>
      </c>
      <c r="C77" s="136" t="s">
        <v>78</v>
      </c>
      <c r="D77" s="136" t="s">
        <v>90</v>
      </c>
      <c r="E77" s="138">
        <v>420</v>
      </c>
      <c r="F77" s="138">
        <v>720</v>
      </c>
      <c r="G77" s="137">
        <f>IFERROR(INDEX(Aktiv!$G$6:$G$326,MATCH(A77,Aktiv!$A$6:$A$326,0)),"")</f>
        <v>53</v>
      </c>
      <c r="H77" s="137">
        <f>IFERROR(INDEX(Aktiv!$H$6:$H$326,MATCH(A77,Aktiv!$A$6:$A$326,0)),"")</f>
        <v>182</v>
      </c>
      <c r="I77" s="137">
        <f>IFERROR(INDEX(Aktiv!$I$6:$I$326,MATCH(A77,Aktiv!$A$6:$A$326,0)),"")</f>
        <v>190</v>
      </c>
      <c r="J77" s="137">
        <f>IFERROR(INDEX(Aktiv!$J$6:$J$326,MATCH(A77,Aktiv!$A$6:$A$326,0)),"")</f>
        <v>212</v>
      </c>
      <c r="K77" s="141">
        <f>IFERROR(ROUND(G77*Steuerungsdaten!$B$5,0),"-")</f>
        <v>61</v>
      </c>
      <c r="L77" s="137">
        <f>IFERROR(ROUND(H77*Steuerungsdaten!$B$5,0),"-")</f>
        <v>209</v>
      </c>
      <c r="M77" s="137">
        <f>IFERROR(ROUND(I77*Steuerungsdaten!$B$5,0),"-")</f>
        <v>219</v>
      </c>
      <c r="N77" s="137">
        <f>IFERROR(ROUND(J77*Steuerungsdaten!$B$5,0),"-")</f>
        <v>244</v>
      </c>
      <c r="O77" s="143" t="str">
        <f>IF(ISNA(MATCH(A77,Aktiv!$A$6:$A$326,0)),"⚠ nicht im Modell","")</f>
        <v/>
      </c>
    </row>
    <row r="78" spans="1:15" ht="18" customHeight="1" x14ac:dyDescent="0.25">
      <c r="A78" s="135">
        <v>3312</v>
      </c>
      <c r="B78" s="136" t="s">
        <v>7</v>
      </c>
      <c r="C78" s="136" t="s">
        <v>78</v>
      </c>
      <c r="D78" s="136" t="s">
        <v>91</v>
      </c>
      <c r="E78" s="138">
        <v>580</v>
      </c>
      <c r="F78" s="138">
        <v>720</v>
      </c>
      <c r="G78" s="137">
        <f>IFERROR(INDEX(Aktiv!$G$6:$G$326,MATCH(A78,Aktiv!$A$6:$A$326,0)),"")</f>
        <v>73</v>
      </c>
      <c r="H78" s="137">
        <f>IFERROR(INDEX(Aktiv!$H$6:$H$326,MATCH(A78,Aktiv!$A$6:$A$326,0)),"")</f>
        <v>252</v>
      </c>
      <c r="I78" s="137">
        <f>IFERROR(INDEX(Aktiv!$I$6:$I$326,MATCH(A78,Aktiv!$A$6:$A$326,0)),"")</f>
        <v>262</v>
      </c>
      <c r="J78" s="137">
        <f>IFERROR(INDEX(Aktiv!$J$6:$J$326,MATCH(A78,Aktiv!$A$6:$A$326,0)),"")</f>
        <v>292</v>
      </c>
      <c r="K78" s="141">
        <f>IFERROR(ROUND(G78*Steuerungsdaten!$B$5,0),"-")</f>
        <v>84</v>
      </c>
      <c r="L78" s="137">
        <f>IFERROR(ROUND(H78*Steuerungsdaten!$B$5,0),"-")</f>
        <v>290</v>
      </c>
      <c r="M78" s="137">
        <f>IFERROR(ROUND(I78*Steuerungsdaten!$B$5,0),"-")</f>
        <v>301</v>
      </c>
      <c r="N78" s="137">
        <f>IFERROR(ROUND(J78*Steuerungsdaten!$B$5,0),"-")</f>
        <v>336</v>
      </c>
      <c r="O78" s="143" t="str">
        <f>IF(ISNA(MATCH(A78,Aktiv!$A$6:$A$326,0)),"⚠ nicht im Modell","")</f>
        <v/>
      </c>
    </row>
    <row r="79" spans="1:15" ht="18" customHeight="1" x14ac:dyDescent="0.25">
      <c r="A79" s="135">
        <v>3313</v>
      </c>
      <c r="B79" s="136" t="s">
        <v>7</v>
      </c>
      <c r="C79" s="136" t="s">
        <v>78</v>
      </c>
      <c r="D79" s="136" t="s">
        <v>92</v>
      </c>
      <c r="E79" s="138">
        <v>780</v>
      </c>
      <c r="F79" s="138">
        <v>720</v>
      </c>
      <c r="G79" s="137">
        <f>IFERROR(INDEX(Aktiv!$G$6:$G$326,MATCH(A79,Aktiv!$A$6:$A$326,0)),"")</f>
        <v>99</v>
      </c>
      <c r="H79" s="137">
        <f>IFERROR(INDEX(Aktiv!$H$6:$H$326,MATCH(A79,Aktiv!$A$6:$A$326,0)),"")</f>
        <v>339</v>
      </c>
      <c r="I79" s="137">
        <f>IFERROR(INDEX(Aktiv!$I$6:$I$326,MATCH(A79,Aktiv!$A$6:$A$326,0)),"")</f>
        <v>353</v>
      </c>
      <c r="J79" s="137">
        <f>IFERROR(INDEX(Aktiv!$J$6:$J$326,MATCH(A79,Aktiv!$A$6:$A$326,0)),"")</f>
        <v>393</v>
      </c>
      <c r="K79" s="141">
        <f>IFERROR(ROUND(G79*Steuerungsdaten!$B$5,0),"-")</f>
        <v>114</v>
      </c>
      <c r="L79" s="137">
        <f>IFERROR(ROUND(H79*Steuerungsdaten!$B$5,0),"-")</f>
        <v>390</v>
      </c>
      <c r="M79" s="137">
        <f>IFERROR(ROUND(I79*Steuerungsdaten!$B$5,0),"-")</f>
        <v>406</v>
      </c>
      <c r="N79" s="137">
        <f>IFERROR(ROUND(J79*Steuerungsdaten!$B$5,0),"-")</f>
        <v>452</v>
      </c>
      <c r="O79" s="143" t="str">
        <f>IF(ISNA(MATCH(A79,Aktiv!$A$6:$A$326,0)),"⚠ nicht im Modell","")</f>
        <v/>
      </c>
    </row>
    <row r="80" spans="1:15" ht="18" customHeight="1" x14ac:dyDescent="0.25">
      <c r="A80" s="135">
        <v>3314</v>
      </c>
      <c r="B80" s="136" t="s">
        <v>7</v>
      </c>
      <c r="C80" s="136" t="s">
        <v>78</v>
      </c>
      <c r="D80" s="136" t="s">
        <v>93</v>
      </c>
      <c r="E80" s="138">
        <v>980</v>
      </c>
      <c r="F80" s="138">
        <v>720</v>
      </c>
      <c r="G80" s="137">
        <f>IFERROR(INDEX(Aktiv!$G$6:$G$326,MATCH(A80,Aktiv!$A$6:$A$326,0)),"")</f>
        <v>124</v>
      </c>
      <c r="H80" s="137">
        <f>IFERROR(INDEX(Aktiv!$H$6:$H$326,MATCH(A80,Aktiv!$A$6:$A$326,0)),"")</f>
        <v>426</v>
      </c>
      <c r="I80" s="137">
        <f>IFERROR(INDEX(Aktiv!$I$6:$I$326,MATCH(A80,Aktiv!$A$6:$A$326,0)),"")</f>
        <v>444</v>
      </c>
      <c r="J80" s="137">
        <f>IFERROR(INDEX(Aktiv!$J$6:$J$326,MATCH(A80,Aktiv!$A$6:$A$326,0)),"")</f>
        <v>494</v>
      </c>
      <c r="K80" s="141">
        <f>IFERROR(ROUND(G80*Steuerungsdaten!$B$5,0),"-")</f>
        <v>143</v>
      </c>
      <c r="L80" s="137">
        <f>IFERROR(ROUND(H80*Steuerungsdaten!$B$5,0),"-")</f>
        <v>490</v>
      </c>
      <c r="M80" s="137">
        <f>IFERROR(ROUND(I80*Steuerungsdaten!$B$5,0),"-")</f>
        <v>511</v>
      </c>
      <c r="N80" s="137">
        <f>IFERROR(ROUND(J80*Steuerungsdaten!$B$5,0),"-")</f>
        <v>568</v>
      </c>
      <c r="O80" s="143" t="str">
        <f>IF(ISNA(MATCH(A80,Aktiv!$A$6:$A$326,0)),"⚠ nicht im Modell","")</f>
        <v/>
      </c>
    </row>
    <row r="81" spans="1:15" ht="18" customHeight="1" x14ac:dyDescent="0.25">
      <c r="A81" s="135">
        <v>3315</v>
      </c>
      <c r="B81" s="136" t="s">
        <v>7</v>
      </c>
      <c r="C81" s="136" t="s">
        <v>78</v>
      </c>
      <c r="D81" s="136" t="s">
        <v>94</v>
      </c>
      <c r="E81" s="138">
        <v>360</v>
      </c>
      <c r="F81" s="138">
        <v>1080</v>
      </c>
      <c r="G81" s="137">
        <f>IFERROR(INDEX(Aktiv!$G$6:$G$326,MATCH(A81,Aktiv!$A$6:$A$326,0)),"")</f>
        <v>68</v>
      </c>
      <c r="H81" s="137">
        <f>IFERROR(INDEX(Aktiv!$H$6:$H$326,MATCH(A81,Aktiv!$A$6:$A$326,0)),"")</f>
        <v>235</v>
      </c>
      <c r="I81" s="137">
        <f>IFERROR(INDEX(Aktiv!$I$6:$I$326,MATCH(A81,Aktiv!$A$6:$A$326,0)),"")</f>
        <v>244</v>
      </c>
      <c r="J81" s="137">
        <f>IFERROR(INDEX(Aktiv!$J$6:$J$326,MATCH(A81,Aktiv!$A$6:$A$326,0)),"")</f>
        <v>272</v>
      </c>
      <c r="K81" s="141">
        <f>IFERROR(ROUND(G81*Steuerungsdaten!$B$5,0),"-")</f>
        <v>78</v>
      </c>
      <c r="L81" s="137">
        <f>IFERROR(ROUND(H81*Steuerungsdaten!$B$5,0),"-")</f>
        <v>270</v>
      </c>
      <c r="M81" s="137">
        <f>IFERROR(ROUND(I81*Steuerungsdaten!$B$5,0),"-")</f>
        <v>281</v>
      </c>
      <c r="N81" s="137">
        <f>IFERROR(ROUND(J81*Steuerungsdaten!$B$5,0),"-")</f>
        <v>313</v>
      </c>
      <c r="O81" s="143" t="str">
        <f>IF(ISNA(MATCH(A81,Aktiv!$A$6:$A$326,0)),"⚠ nicht im Modell","")</f>
        <v/>
      </c>
    </row>
    <row r="82" spans="1:15" ht="18" customHeight="1" x14ac:dyDescent="0.25">
      <c r="A82" s="135">
        <v>3316</v>
      </c>
      <c r="B82" s="136" t="s">
        <v>7</v>
      </c>
      <c r="C82" s="136" t="s">
        <v>78</v>
      </c>
      <c r="D82" s="136" t="s">
        <v>95</v>
      </c>
      <c r="E82" s="138">
        <v>420</v>
      </c>
      <c r="F82" s="138">
        <v>1080</v>
      </c>
      <c r="G82" s="137">
        <f>IFERROR(INDEX(Aktiv!$G$6:$G$326,MATCH(A82,Aktiv!$A$6:$A$326,0)),"")</f>
        <v>80</v>
      </c>
      <c r="H82" s="137">
        <f>IFERROR(INDEX(Aktiv!$H$6:$H$326,MATCH(A82,Aktiv!$A$6:$A$326,0)),"")</f>
        <v>274</v>
      </c>
      <c r="I82" s="137">
        <f>IFERROR(INDEX(Aktiv!$I$6:$I$326,MATCH(A82,Aktiv!$A$6:$A$326,0)),"")</f>
        <v>285</v>
      </c>
      <c r="J82" s="137">
        <f>IFERROR(INDEX(Aktiv!$J$6:$J$326,MATCH(A82,Aktiv!$A$6:$A$326,0)),"")</f>
        <v>317</v>
      </c>
      <c r="K82" s="141">
        <f>IFERROR(ROUND(G82*Steuerungsdaten!$B$5,0),"-")</f>
        <v>92</v>
      </c>
      <c r="L82" s="137">
        <f>IFERROR(ROUND(H82*Steuerungsdaten!$B$5,0),"-")</f>
        <v>315</v>
      </c>
      <c r="M82" s="137">
        <f>IFERROR(ROUND(I82*Steuerungsdaten!$B$5,0),"-")</f>
        <v>328</v>
      </c>
      <c r="N82" s="137">
        <f>IFERROR(ROUND(J82*Steuerungsdaten!$B$5,0),"-")</f>
        <v>365</v>
      </c>
      <c r="O82" s="143" t="str">
        <f>IF(ISNA(MATCH(A82,Aktiv!$A$6:$A$326,0)),"⚠ nicht im Modell","")</f>
        <v/>
      </c>
    </row>
    <row r="83" spans="1:15" ht="18" customHeight="1" x14ac:dyDescent="0.25">
      <c r="A83" s="135">
        <v>3317</v>
      </c>
      <c r="B83" s="136" t="s">
        <v>7</v>
      </c>
      <c r="C83" s="136" t="s">
        <v>78</v>
      </c>
      <c r="D83" s="136" t="s">
        <v>96</v>
      </c>
      <c r="E83" s="138">
        <v>580</v>
      </c>
      <c r="F83" s="138">
        <v>1080</v>
      </c>
      <c r="G83" s="137">
        <f>IFERROR(INDEX(Aktiv!$G$6:$G$326,MATCH(A83,Aktiv!$A$6:$A$326,0)),"")</f>
        <v>110</v>
      </c>
      <c r="H83" s="137">
        <f>IFERROR(INDEX(Aktiv!$H$6:$H$326,MATCH(A83,Aktiv!$A$6:$A$326,0)),"")</f>
        <v>378</v>
      </c>
      <c r="I83" s="137">
        <f>IFERROR(INDEX(Aktiv!$I$6:$I$326,MATCH(A83,Aktiv!$A$6:$A$326,0)),"")</f>
        <v>394</v>
      </c>
      <c r="J83" s="137">
        <f>IFERROR(INDEX(Aktiv!$J$6:$J$326,MATCH(A83,Aktiv!$A$6:$A$326,0)),"")</f>
        <v>438</v>
      </c>
      <c r="K83" s="141">
        <f>IFERROR(ROUND(G83*Steuerungsdaten!$B$5,0),"-")</f>
        <v>127</v>
      </c>
      <c r="L83" s="137">
        <f>IFERROR(ROUND(H83*Steuerungsdaten!$B$5,0),"-")</f>
        <v>435</v>
      </c>
      <c r="M83" s="137">
        <f>IFERROR(ROUND(I83*Steuerungsdaten!$B$5,0),"-")</f>
        <v>453</v>
      </c>
      <c r="N83" s="137">
        <f>IFERROR(ROUND(J83*Steuerungsdaten!$B$5,0),"-")</f>
        <v>504</v>
      </c>
      <c r="O83" s="143" t="str">
        <f>IF(ISNA(MATCH(A83,Aktiv!$A$6:$A$326,0)),"⚠ nicht im Modell","")</f>
        <v/>
      </c>
    </row>
    <row r="84" spans="1:15" ht="18" customHeight="1" x14ac:dyDescent="0.25">
      <c r="A84" s="135">
        <v>3318</v>
      </c>
      <c r="B84" s="136" t="s">
        <v>7</v>
      </c>
      <c r="C84" s="136" t="s">
        <v>78</v>
      </c>
      <c r="D84" s="136" t="s">
        <v>97</v>
      </c>
      <c r="E84" s="138">
        <v>780</v>
      </c>
      <c r="F84" s="138">
        <v>1080</v>
      </c>
      <c r="G84" s="137">
        <f>IFERROR(INDEX(Aktiv!$G$6:$G$326,MATCH(A84,Aktiv!$A$6:$A$326,0)),"")</f>
        <v>148</v>
      </c>
      <c r="H84" s="137">
        <f>IFERROR(INDEX(Aktiv!$H$6:$H$326,MATCH(A84,Aktiv!$A$6:$A$326,0)),"")</f>
        <v>508</v>
      </c>
      <c r="I84" s="137">
        <f>IFERROR(INDEX(Aktiv!$I$6:$I$326,MATCH(A84,Aktiv!$A$6:$A$326,0)),"")</f>
        <v>530</v>
      </c>
      <c r="J84" s="137">
        <f>IFERROR(INDEX(Aktiv!$J$6:$J$326,MATCH(A84,Aktiv!$A$6:$A$326,0)),"")</f>
        <v>589</v>
      </c>
      <c r="K84" s="141">
        <f>IFERROR(ROUND(G84*Steuerungsdaten!$B$5,0),"-")</f>
        <v>170</v>
      </c>
      <c r="L84" s="137">
        <f>IFERROR(ROUND(H84*Steuerungsdaten!$B$5,0),"-")</f>
        <v>584</v>
      </c>
      <c r="M84" s="137">
        <f>IFERROR(ROUND(I84*Steuerungsdaten!$B$5,0),"-")</f>
        <v>610</v>
      </c>
      <c r="N84" s="137">
        <f>IFERROR(ROUND(J84*Steuerungsdaten!$B$5,0),"-")</f>
        <v>677</v>
      </c>
      <c r="O84" s="143" t="str">
        <f>IF(ISNA(MATCH(A84,Aktiv!$A$6:$A$326,0)),"⚠ nicht im Modell","")</f>
        <v/>
      </c>
    </row>
    <row r="85" spans="1:15" ht="18" customHeight="1" x14ac:dyDescent="0.25">
      <c r="A85" s="135">
        <v>3319</v>
      </c>
      <c r="B85" s="136" t="s">
        <v>7</v>
      </c>
      <c r="C85" s="136" t="s">
        <v>78</v>
      </c>
      <c r="D85" s="136" t="s">
        <v>98</v>
      </c>
      <c r="E85" s="138">
        <v>980</v>
      </c>
      <c r="F85" s="138">
        <v>1080</v>
      </c>
      <c r="G85" s="137">
        <f>IFERROR(INDEX(Aktiv!$G$6:$G$326,MATCH(A85,Aktiv!$A$6:$A$326,0)),"")</f>
        <v>186</v>
      </c>
      <c r="H85" s="137">
        <f>IFERROR(INDEX(Aktiv!$H$6:$H$326,MATCH(A85,Aktiv!$A$6:$A$326,0)),"")</f>
        <v>639</v>
      </c>
      <c r="I85" s="137">
        <f>IFERROR(INDEX(Aktiv!$I$6:$I$326,MATCH(A85,Aktiv!$A$6:$A$326,0)),"")</f>
        <v>665</v>
      </c>
      <c r="J85" s="137">
        <f>IFERROR(INDEX(Aktiv!$J$6:$J$326,MATCH(A85,Aktiv!$A$6:$A$326,0)),"")</f>
        <v>740</v>
      </c>
      <c r="K85" s="141">
        <f>IFERROR(ROUND(G85*Steuerungsdaten!$B$5,0),"-")</f>
        <v>214</v>
      </c>
      <c r="L85" s="137">
        <f>IFERROR(ROUND(H85*Steuerungsdaten!$B$5,0),"-")</f>
        <v>735</v>
      </c>
      <c r="M85" s="137">
        <f>IFERROR(ROUND(I85*Steuerungsdaten!$B$5,0),"-")</f>
        <v>765</v>
      </c>
      <c r="N85" s="137">
        <f>IFERROR(ROUND(J85*Steuerungsdaten!$B$5,0),"-")</f>
        <v>851</v>
      </c>
      <c r="O85" s="143" t="str">
        <f>IF(ISNA(MATCH(A85,Aktiv!$A$6:$A$326,0)),"⚠ nicht im Modell","")</f>
        <v/>
      </c>
    </row>
    <row r="86" spans="1:15" ht="18" customHeight="1" x14ac:dyDescent="0.25">
      <c r="A86" s="135">
        <v>3320</v>
      </c>
      <c r="B86" s="136" t="s">
        <v>7</v>
      </c>
      <c r="C86" s="136" t="s">
        <v>78</v>
      </c>
      <c r="D86" s="136" t="s">
        <v>99</v>
      </c>
      <c r="E86" s="138">
        <v>360</v>
      </c>
      <c r="F86" s="138">
        <v>1440</v>
      </c>
      <c r="G86" s="137">
        <f>IFERROR(INDEX(Aktiv!$G$6:$G$326,MATCH(A86,Aktiv!$A$6:$A$326,0)),"")</f>
        <v>91</v>
      </c>
      <c r="H86" s="137">
        <f>IFERROR(INDEX(Aktiv!$H$6:$H$326,MATCH(A86,Aktiv!$A$6:$A$326,0)),"")</f>
        <v>313</v>
      </c>
      <c r="I86" s="137">
        <f>IFERROR(INDEX(Aktiv!$I$6:$I$326,MATCH(A86,Aktiv!$A$6:$A$326,0)),"")</f>
        <v>326</v>
      </c>
      <c r="J86" s="137">
        <f>IFERROR(INDEX(Aktiv!$J$6:$J$326,MATCH(A86,Aktiv!$A$6:$A$326,0)),"")</f>
        <v>363</v>
      </c>
      <c r="K86" s="141">
        <f>IFERROR(ROUND(G86*Steuerungsdaten!$B$5,0),"-")</f>
        <v>105</v>
      </c>
      <c r="L86" s="137">
        <f>IFERROR(ROUND(H86*Steuerungsdaten!$B$5,0),"-")</f>
        <v>360</v>
      </c>
      <c r="M86" s="137">
        <f>IFERROR(ROUND(I86*Steuerungsdaten!$B$5,0),"-")</f>
        <v>375</v>
      </c>
      <c r="N86" s="137">
        <f>IFERROR(ROUND(J86*Steuerungsdaten!$B$5,0),"-")</f>
        <v>417</v>
      </c>
      <c r="O86" s="143" t="str">
        <f>IF(ISNA(MATCH(A86,Aktiv!$A$6:$A$326,0)),"⚠ nicht im Modell","")</f>
        <v/>
      </c>
    </row>
    <row r="87" spans="1:15" ht="18" customHeight="1" x14ac:dyDescent="0.25">
      <c r="A87" s="135">
        <v>3321</v>
      </c>
      <c r="B87" s="136" t="s">
        <v>7</v>
      </c>
      <c r="C87" s="136" t="s">
        <v>78</v>
      </c>
      <c r="D87" s="136" t="s">
        <v>100</v>
      </c>
      <c r="E87" s="138">
        <v>420</v>
      </c>
      <c r="F87" s="138">
        <v>1440</v>
      </c>
      <c r="G87" s="137">
        <f>IFERROR(INDEX(Aktiv!$G$6:$G$326,MATCH(A87,Aktiv!$A$6:$A$326,0)),"")</f>
        <v>106</v>
      </c>
      <c r="H87" s="137">
        <f>IFERROR(INDEX(Aktiv!$H$6:$H$326,MATCH(A87,Aktiv!$A$6:$A$326,0)),"")</f>
        <v>365</v>
      </c>
      <c r="I87" s="137">
        <f>IFERROR(INDEX(Aktiv!$I$6:$I$326,MATCH(A87,Aktiv!$A$6:$A$326,0)),"")</f>
        <v>380</v>
      </c>
      <c r="J87" s="137">
        <f>IFERROR(INDEX(Aktiv!$J$6:$J$326,MATCH(A87,Aktiv!$A$6:$A$326,0)),"")</f>
        <v>423</v>
      </c>
      <c r="K87" s="141">
        <f>IFERROR(ROUND(G87*Steuerungsdaten!$B$5,0),"-")</f>
        <v>122</v>
      </c>
      <c r="L87" s="137">
        <f>IFERROR(ROUND(H87*Steuerungsdaten!$B$5,0),"-")</f>
        <v>420</v>
      </c>
      <c r="M87" s="137">
        <f>IFERROR(ROUND(I87*Steuerungsdaten!$B$5,0),"-")</f>
        <v>437</v>
      </c>
      <c r="N87" s="137">
        <f>IFERROR(ROUND(J87*Steuerungsdaten!$B$5,0),"-")</f>
        <v>486</v>
      </c>
      <c r="O87" s="143" t="str">
        <f>IF(ISNA(MATCH(A87,Aktiv!$A$6:$A$326,0)),"⚠ nicht im Modell","")</f>
        <v/>
      </c>
    </row>
    <row r="88" spans="1:15" ht="18" customHeight="1" x14ac:dyDescent="0.25">
      <c r="A88" s="135">
        <v>3322</v>
      </c>
      <c r="B88" s="136" t="s">
        <v>7</v>
      </c>
      <c r="C88" s="136" t="s">
        <v>78</v>
      </c>
      <c r="D88" s="136" t="s">
        <v>101</v>
      </c>
      <c r="E88" s="138">
        <v>580</v>
      </c>
      <c r="F88" s="138">
        <v>1440</v>
      </c>
      <c r="G88" s="137">
        <f>IFERROR(INDEX(Aktiv!$G$6:$G$326,MATCH(A88,Aktiv!$A$6:$A$326,0)),"")</f>
        <v>147</v>
      </c>
      <c r="H88" s="137">
        <f>IFERROR(INDEX(Aktiv!$H$6:$H$326,MATCH(A88,Aktiv!$A$6:$A$326,0)),"")</f>
        <v>504</v>
      </c>
      <c r="I88" s="137">
        <f>IFERROR(INDEX(Aktiv!$I$6:$I$326,MATCH(A88,Aktiv!$A$6:$A$326,0)),"")</f>
        <v>525</v>
      </c>
      <c r="J88" s="137">
        <f>IFERROR(INDEX(Aktiv!$J$6:$J$326,MATCH(A88,Aktiv!$A$6:$A$326,0)),"")</f>
        <v>584</v>
      </c>
      <c r="K88" s="141">
        <f>IFERROR(ROUND(G88*Steuerungsdaten!$B$5,0),"-")</f>
        <v>169</v>
      </c>
      <c r="L88" s="137">
        <f>IFERROR(ROUND(H88*Steuerungsdaten!$B$5,0),"-")</f>
        <v>580</v>
      </c>
      <c r="M88" s="137">
        <f>IFERROR(ROUND(I88*Steuerungsdaten!$B$5,0),"-")</f>
        <v>604</v>
      </c>
      <c r="N88" s="137">
        <f>IFERROR(ROUND(J88*Steuerungsdaten!$B$5,0),"-")</f>
        <v>672</v>
      </c>
      <c r="O88" s="143" t="str">
        <f>IF(ISNA(MATCH(A88,Aktiv!$A$6:$A$326,0)),"⚠ nicht im Modell","")</f>
        <v/>
      </c>
    </row>
    <row r="89" spans="1:15" ht="18" customHeight="1" x14ac:dyDescent="0.25">
      <c r="A89" s="135">
        <v>3323</v>
      </c>
      <c r="B89" s="136" t="s">
        <v>7</v>
      </c>
      <c r="C89" s="136" t="s">
        <v>78</v>
      </c>
      <c r="D89" s="136" t="s">
        <v>102</v>
      </c>
      <c r="E89" s="138">
        <v>780</v>
      </c>
      <c r="F89" s="138">
        <v>1440</v>
      </c>
      <c r="G89" s="137">
        <f>IFERROR(INDEX(Aktiv!$G$6:$G$326,MATCH(A89,Aktiv!$A$6:$A$326,0)),"")</f>
        <v>198</v>
      </c>
      <c r="H89" s="137">
        <f>IFERROR(INDEX(Aktiv!$H$6:$H$326,MATCH(A89,Aktiv!$A$6:$A$326,0)),"")</f>
        <v>678</v>
      </c>
      <c r="I89" s="137">
        <f>IFERROR(INDEX(Aktiv!$I$6:$I$326,MATCH(A89,Aktiv!$A$6:$A$326,0)),"")</f>
        <v>706</v>
      </c>
      <c r="J89" s="137">
        <f>IFERROR(INDEX(Aktiv!$J$6:$J$326,MATCH(A89,Aktiv!$A$6:$A$326,0)),"")</f>
        <v>786</v>
      </c>
      <c r="K89" s="141">
        <f>IFERROR(ROUND(G89*Steuerungsdaten!$B$5,0),"-")</f>
        <v>228</v>
      </c>
      <c r="L89" s="137">
        <f>IFERROR(ROUND(H89*Steuerungsdaten!$B$5,0),"-")</f>
        <v>780</v>
      </c>
      <c r="M89" s="137">
        <f>IFERROR(ROUND(I89*Steuerungsdaten!$B$5,0),"-")</f>
        <v>812</v>
      </c>
      <c r="N89" s="137">
        <f>IFERROR(ROUND(J89*Steuerungsdaten!$B$5,0),"-")</f>
        <v>904</v>
      </c>
      <c r="O89" s="143" t="str">
        <f>IF(ISNA(MATCH(A89,Aktiv!$A$6:$A$326,0)),"⚠ nicht im Modell","")</f>
        <v/>
      </c>
    </row>
    <row r="90" spans="1:15" ht="18" customHeight="1" x14ac:dyDescent="0.25">
      <c r="A90" s="135">
        <v>3324</v>
      </c>
      <c r="B90" s="136" t="s">
        <v>7</v>
      </c>
      <c r="C90" s="136" t="s">
        <v>78</v>
      </c>
      <c r="D90" s="136" t="s">
        <v>103</v>
      </c>
      <c r="E90" s="138">
        <v>980</v>
      </c>
      <c r="F90" s="138">
        <v>1440</v>
      </c>
      <c r="G90" s="137">
        <f>IFERROR(INDEX(Aktiv!$G$6:$G$326,MATCH(A90,Aktiv!$A$6:$A$326,0)),"")</f>
        <v>248</v>
      </c>
      <c r="H90" s="137">
        <f>IFERROR(INDEX(Aktiv!$H$6:$H$326,MATCH(A90,Aktiv!$A$6:$A$326,0)),"")</f>
        <v>852</v>
      </c>
      <c r="I90" s="137">
        <f>IFERROR(INDEX(Aktiv!$I$6:$I$326,MATCH(A90,Aktiv!$A$6:$A$326,0)),"")</f>
        <v>887</v>
      </c>
      <c r="J90" s="137">
        <f>IFERROR(INDEX(Aktiv!$J$6:$J$326,MATCH(A90,Aktiv!$A$6:$A$326,0)),"")</f>
        <v>987</v>
      </c>
      <c r="K90" s="141">
        <f>IFERROR(ROUND(G90*Steuerungsdaten!$B$5,0),"-")</f>
        <v>285</v>
      </c>
      <c r="L90" s="137">
        <f>IFERROR(ROUND(H90*Steuerungsdaten!$B$5,0),"-")</f>
        <v>980</v>
      </c>
      <c r="M90" s="137">
        <f>IFERROR(ROUND(I90*Steuerungsdaten!$B$5,0),"-")</f>
        <v>1020</v>
      </c>
      <c r="N90" s="137">
        <f>IFERROR(ROUND(J90*Steuerungsdaten!$B$5,0),"-")</f>
        <v>1135</v>
      </c>
      <c r="O90" s="143" t="str">
        <f>IF(ISNA(MATCH(A90,Aktiv!$A$6:$A$326,0)),"⚠ nicht im Modell","")</f>
        <v/>
      </c>
    </row>
    <row r="91" spans="1:15" ht="18" customHeight="1" x14ac:dyDescent="0.25">
      <c r="A91" s="135">
        <v>3325</v>
      </c>
      <c r="B91" s="136" t="s">
        <v>7</v>
      </c>
      <c r="C91" s="136" t="s">
        <v>78</v>
      </c>
      <c r="D91" s="136" t="s">
        <v>104</v>
      </c>
      <c r="E91" s="138">
        <v>360</v>
      </c>
      <c r="F91" s="138">
        <v>1800</v>
      </c>
      <c r="G91" s="137">
        <f>IFERROR(INDEX(Aktiv!$G$6:$G$326,MATCH(A91,Aktiv!$A$6:$A$326,0)),"")</f>
        <v>114</v>
      </c>
      <c r="H91" s="137">
        <f>IFERROR(INDEX(Aktiv!$H$6:$H$326,MATCH(A91,Aktiv!$A$6:$A$326,0)),"")</f>
        <v>391</v>
      </c>
      <c r="I91" s="137">
        <f>IFERROR(INDEX(Aktiv!$I$6:$I$326,MATCH(A91,Aktiv!$A$6:$A$326,0)),"")</f>
        <v>407</v>
      </c>
      <c r="J91" s="137">
        <f>IFERROR(INDEX(Aktiv!$J$6:$J$326,MATCH(A91,Aktiv!$A$6:$A$326,0)),"")</f>
        <v>453</v>
      </c>
      <c r="K91" s="141">
        <f>IFERROR(ROUND(G91*Steuerungsdaten!$B$5,0),"-")</f>
        <v>131</v>
      </c>
      <c r="L91" s="137">
        <f>IFERROR(ROUND(H91*Steuerungsdaten!$B$5,0),"-")</f>
        <v>450</v>
      </c>
      <c r="M91" s="137">
        <f>IFERROR(ROUND(I91*Steuerungsdaten!$B$5,0),"-")</f>
        <v>468</v>
      </c>
      <c r="N91" s="137">
        <f>IFERROR(ROUND(J91*Steuerungsdaten!$B$5,0),"-")</f>
        <v>521</v>
      </c>
      <c r="O91" s="143" t="str">
        <f>IF(ISNA(MATCH(A91,Aktiv!$A$6:$A$326,0)),"⚠ nicht im Modell","")</f>
        <v/>
      </c>
    </row>
    <row r="92" spans="1:15" ht="18" customHeight="1" x14ac:dyDescent="0.25">
      <c r="A92" s="135">
        <v>3326</v>
      </c>
      <c r="B92" s="136" t="s">
        <v>7</v>
      </c>
      <c r="C92" s="136" t="s">
        <v>78</v>
      </c>
      <c r="D92" s="136" t="s">
        <v>105</v>
      </c>
      <c r="E92" s="138">
        <v>420</v>
      </c>
      <c r="F92" s="138">
        <v>1800</v>
      </c>
      <c r="G92" s="137">
        <f>IFERROR(INDEX(Aktiv!$G$6:$G$326,MATCH(A92,Aktiv!$A$6:$A$326,0)),"")</f>
        <v>133</v>
      </c>
      <c r="H92" s="137">
        <f>IFERROR(INDEX(Aktiv!$H$6:$H$326,MATCH(A92,Aktiv!$A$6:$A$326,0)),"")</f>
        <v>456</v>
      </c>
      <c r="I92" s="137">
        <f>IFERROR(INDEX(Aktiv!$I$6:$I$326,MATCH(A92,Aktiv!$A$6:$A$326,0)),"")</f>
        <v>475</v>
      </c>
      <c r="J92" s="137">
        <f>IFERROR(INDEX(Aktiv!$J$6:$J$326,MATCH(A92,Aktiv!$A$6:$A$326,0)),"")</f>
        <v>529</v>
      </c>
      <c r="K92" s="141">
        <f>IFERROR(ROUND(G92*Steuerungsdaten!$B$5,0),"-")</f>
        <v>153</v>
      </c>
      <c r="L92" s="137">
        <f>IFERROR(ROUND(H92*Steuerungsdaten!$B$5,0),"-")</f>
        <v>524</v>
      </c>
      <c r="M92" s="137">
        <f>IFERROR(ROUND(I92*Steuerungsdaten!$B$5,0),"-")</f>
        <v>546</v>
      </c>
      <c r="N92" s="137">
        <f>IFERROR(ROUND(J92*Steuerungsdaten!$B$5,0),"-")</f>
        <v>608</v>
      </c>
      <c r="O92" s="143" t="str">
        <f>IF(ISNA(MATCH(A92,Aktiv!$A$6:$A$326,0)),"⚠ nicht im Modell","")</f>
        <v/>
      </c>
    </row>
    <row r="93" spans="1:15" ht="18" customHeight="1" x14ac:dyDescent="0.25">
      <c r="A93" s="135">
        <v>3327</v>
      </c>
      <c r="B93" s="136" t="s">
        <v>7</v>
      </c>
      <c r="C93" s="136" t="s">
        <v>78</v>
      </c>
      <c r="D93" s="136" t="s">
        <v>106</v>
      </c>
      <c r="E93" s="138">
        <v>580</v>
      </c>
      <c r="F93" s="138">
        <v>1800</v>
      </c>
      <c r="G93" s="137">
        <f>IFERROR(INDEX(Aktiv!$G$6:$G$326,MATCH(A93,Aktiv!$A$6:$A$326,0)),"")</f>
        <v>184</v>
      </c>
      <c r="H93" s="137">
        <f>IFERROR(INDEX(Aktiv!$H$6:$H$326,MATCH(A93,Aktiv!$A$6:$A$326,0)),"")</f>
        <v>630</v>
      </c>
      <c r="I93" s="137">
        <f>IFERROR(INDEX(Aktiv!$I$6:$I$326,MATCH(A93,Aktiv!$A$6:$A$326,0)),"")</f>
        <v>656</v>
      </c>
      <c r="J93" s="137">
        <f>IFERROR(INDEX(Aktiv!$J$6:$J$326,MATCH(A93,Aktiv!$A$6:$A$326,0)),"")</f>
        <v>730</v>
      </c>
      <c r="K93" s="141">
        <f>IFERROR(ROUND(G93*Steuerungsdaten!$B$5,0),"-")</f>
        <v>212</v>
      </c>
      <c r="L93" s="137">
        <f>IFERROR(ROUND(H93*Steuerungsdaten!$B$5,0),"-")</f>
        <v>725</v>
      </c>
      <c r="M93" s="137">
        <f>IFERROR(ROUND(I93*Steuerungsdaten!$B$5,0),"-")</f>
        <v>754</v>
      </c>
      <c r="N93" s="137">
        <f>IFERROR(ROUND(J93*Steuerungsdaten!$B$5,0),"-")</f>
        <v>840</v>
      </c>
      <c r="O93" s="143" t="str">
        <f>IF(ISNA(MATCH(A93,Aktiv!$A$6:$A$326,0)),"⚠ nicht im Modell","")</f>
        <v/>
      </c>
    </row>
    <row r="94" spans="1:15" ht="18" customHeight="1" x14ac:dyDescent="0.25">
      <c r="A94" s="135">
        <v>3328</v>
      </c>
      <c r="B94" s="136" t="s">
        <v>7</v>
      </c>
      <c r="C94" s="136" t="s">
        <v>78</v>
      </c>
      <c r="D94" s="136" t="s">
        <v>107</v>
      </c>
      <c r="E94" s="138">
        <v>780</v>
      </c>
      <c r="F94" s="138">
        <v>1800</v>
      </c>
      <c r="G94" s="137" t="str">
        <f>IFERROR(INDEX(Aktiv!$G$6:$G$326,MATCH(A94,Aktiv!$A$6:$A$326,0)),"")</f>
        <v>-</v>
      </c>
      <c r="H94" s="137" t="str">
        <f>IFERROR(INDEX(Aktiv!$H$6:$H$326,MATCH(A94,Aktiv!$A$6:$A$326,0)),"")</f>
        <v>-</v>
      </c>
      <c r="I94" s="137" t="str">
        <f>IFERROR(INDEX(Aktiv!$I$6:$I$326,MATCH(A94,Aktiv!$A$6:$A$326,0)),"")</f>
        <v>-</v>
      </c>
      <c r="J94" s="137" t="str">
        <f>IFERROR(INDEX(Aktiv!$J$6:$J$326,MATCH(A94,Aktiv!$A$6:$A$326,0)),"")</f>
        <v>-</v>
      </c>
      <c r="K94" s="141" t="str">
        <f>IFERROR(ROUND(G94*Steuerungsdaten!$B$5,0),"-")</f>
        <v>-</v>
      </c>
      <c r="L94" s="137" t="str">
        <f>IFERROR(ROUND(H94*Steuerungsdaten!$B$5,0),"-")</f>
        <v>-</v>
      </c>
      <c r="M94" s="137" t="str">
        <f>IFERROR(ROUND(I94*Steuerungsdaten!$B$5,0),"-")</f>
        <v>-</v>
      </c>
      <c r="N94" s="137" t="str">
        <f>IFERROR(ROUND(J94*Steuerungsdaten!$B$5,0),"-")</f>
        <v>-</v>
      </c>
      <c r="O94" s="143" t="str">
        <f>IF(ISNA(MATCH(A94,Aktiv!$A$6:$A$326,0)),"⚠ nicht im Modell","")</f>
        <v/>
      </c>
    </row>
    <row r="95" spans="1:15" ht="18" customHeight="1" x14ac:dyDescent="0.25">
      <c r="A95" s="135">
        <v>3329</v>
      </c>
      <c r="B95" s="136" t="s">
        <v>7</v>
      </c>
      <c r="C95" s="136" t="s">
        <v>78</v>
      </c>
      <c r="D95" s="136" t="s">
        <v>108</v>
      </c>
      <c r="E95" s="138">
        <v>980</v>
      </c>
      <c r="F95" s="138">
        <v>1800</v>
      </c>
      <c r="G95" s="137" t="str">
        <f>IFERROR(INDEX(Aktiv!$G$6:$G$326,MATCH(A95,Aktiv!$A$6:$A$326,0)),"")</f>
        <v>-</v>
      </c>
      <c r="H95" s="137" t="str">
        <f>IFERROR(INDEX(Aktiv!$H$6:$H$326,MATCH(A95,Aktiv!$A$6:$A$326,0)),"")</f>
        <v>-</v>
      </c>
      <c r="I95" s="137" t="str">
        <f>IFERROR(INDEX(Aktiv!$I$6:$I$326,MATCH(A95,Aktiv!$A$6:$A$326,0)),"")</f>
        <v>-</v>
      </c>
      <c r="J95" s="137" t="str">
        <f>IFERROR(INDEX(Aktiv!$J$6:$J$326,MATCH(A95,Aktiv!$A$6:$A$326,0)),"")</f>
        <v>-</v>
      </c>
      <c r="K95" s="141" t="str">
        <f>IFERROR(ROUND(G95*Steuerungsdaten!$B$5,0),"-")</f>
        <v>-</v>
      </c>
      <c r="L95" s="137" t="str">
        <f>IFERROR(ROUND(H95*Steuerungsdaten!$B$5,0),"-")</f>
        <v>-</v>
      </c>
      <c r="M95" s="137" t="str">
        <f>IFERROR(ROUND(I95*Steuerungsdaten!$B$5,0),"-")</f>
        <v>-</v>
      </c>
      <c r="N95" s="137" t="str">
        <f>IFERROR(ROUND(J95*Steuerungsdaten!$B$5,0),"-")</f>
        <v>-</v>
      </c>
      <c r="O95" s="143" t="str">
        <f>IF(ISNA(MATCH(A95,Aktiv!$A$6:$A$326,0)),"⚠ nicht im Modell","")</f>
        <v/>
      </c>
    </row>
    <row r="96" spans="1:15" ht="18" customHeight="1" x14ac:dyDescent="0.25">
      <c r="A96" s="135">
        <v>3500</v>
      </c>
      <c r="B96" s="136" t="s">
        <v>7</v>
      </c>
      <c r="C96" s="136" t="s">
        <v>109</v>
      </c>
      <c r="D96" s="136" t="s">
        <v>110</v>
      </c>
      <c r="E96" s="138">
        <v>360</v>
      </c>
      <c r="F96" s="138">
        <v>180</v>
      </c>
      <c r="G96" s="137">
        <f>IFERROR(INDEX(Aktiv!$G$6:$G$326,MATCH(A96,Aktiv!$A$6:$A$326,0)),"")</f>
        <v>25</v>
      </c>
      <c r="H96" s="137">
        <f>IFERROR(INDEX(Aktiv!$H$6:$H$326,MATCH(A96,Aktiv!$A$6:$A$326,0)),"")</f>
        <v>103</v>
      </c>
      <c r="I96" s="137">
        <f>IFERROR(INDEX(Aktiv!$I$6:$I$326,MATCH(A96,Aktiv!$A$6:$A$326,0)),"")</f>
        <v>120</v>
      </c>
      <c r="J96" s="137">
        <f>IFERROR(INDEX(Aktiv!$J$6:$J$326,MATCH(A96,Aktiv!$A$6:$A$326,0)),"")</f>
        <v>145</v>
      </c>
      <c r="K96" s="141">
        <f>IFERROR(ROUND(G96*Steuerungsdaten!$B$5,0),"-")</f>
        <v>29</v>
      </c>
      <c r="L96" s="137">
        <f>IFERROR(ROUND(H96*Steuerungsdaten!$B$5,0),"-")</f>
        <v>118</v>
      </c>
      <c r="M96" s="137">
        <f>IFERROR(ROUND(I96*Steuerungsdaten!$B$5,0),"-")</f>
        <v>138</v>
      </c>
      <c r="N96" s="137">
        <f>IFERROR(ROUND(J96*Steuerungsdaten!$B$5,0),"-")</f>
        <v>167</v>
      </c>
      <c r="O96" s="143" t="str">
        <f>IF(ISNA(MATCH(A96,Aktiv!$A$6:$A$326,0)),"⚠ nicht im Modell","")</f>
        <v/>
      </c>
    </row>
    <row r="97" spans="1:15" ht="18" customHeight="1" x14ac:dyDescent="0.25">
      <c r="A97" s="135">
        <v>3501</v>
      </c>
      <c r="B97" s="136" t="s">
        <v>7</v>
      </c>
      <c r="C97" s="136" t="s">
        <v>109</v>
      </c>
      <c r="D97" s="136" t="s">
        <v>111</v>
      </c>
      <c r="E97" s="138">
        <v>360</v>
      </c>
      <c r="F97" s="138">
        <v>360</v>
      </c>
      <c r="G97" s="137">
        <f>IFERROR(INDEX(Aktiv!$G$6:$G$326,MATCH(A97,Aktiv!$A$6:$A$326,0)),"")</f>
        <v>25</v>
      </c>
      <c r="H97" s="137">
        <f>IFERROR(INDEX(Aktiv!$H$6:$H$326,MATCH(A97,Aktiv!$A$6:$A$326,0)),"")</f>
        <v>103</v>
      </c>
      <c r="I97" s="137">
        <f>IFERROR(INDEX(Aktiv!$I$6:$I$326,MATCH(A97,Aktiv!$A$6:$A$326,0)),"")</f>
        <v>120</v>
      </c>
      <c r="J97" s="137">
        <f>IFERROR(INDEX(Aktiv!$J$6:$J$326,MATCH(A97,Aktiv!$A$6:$A$326,0)),"")</f>
        <v>145</v>
      </c>
      <c r="K97" s="141">
        <f>IFERROR(ROUND(G97*Steuerungsdaten!$B$5,0),"-")</f>
        <v>29</v>
      </c>
      <c r="L97" s="137">
        <f>IFERROR(ROUND(H97*Steuerungsdaten!$B$5,0),"-")</f>
        <v>118</v>
      </c>
      <c r="M97" s="137">
        <f>IFERROR(ROUND(I97*Steuerungsdaten!$B$5,0),"-")</f>
        <v>138</v>
      </c>
      <c r="N97" s="137">
        <f>IFERROR(ROUND(J97*Steuerungsdaten!$B$5,0),"-")</f>
        <v>167</v>
      </c>
      <c r="O97" s="143" t="str">
        <f>IF(ISNA(MATCH(A97,Aktiv!$A$6:$A$326,0)),"⚠ nicht im Modell","")</f>
        <v/>
      </c>
    </row>
    <row r="98" spans="1:15" ht="18" customHeight="1" x14ac:dyDescent="0.25">
      <c r="A98" s="135">
        <v>3502</v>
      </c>
      <c r="B98" s="136" t="s">
        <v>7</v>
      </c>
      <c r="C98" s="136" t="s">
        <v>109</v>
      </c>
      <c r="D98" s="136" t="s">
        <v>112</v>
      </c>
      <c r="E98" s="138">
        <v>360</v>
      </c>
      <c r="F98" s="138">
        <v>720</v>
      </c>
      <c r="G98" s="137">
        <f>IFERROR(INDEX(Aktiv!$G$6:$G$326,MATCH(A98,Aktiv!$A$6:$A$326,0)),"")</f>
        <v>46</v>
      </c>
      <c r="H98" s="137">
        <f>IFERROR(INDEX(Aktiv!$H$6:$H$326,MATCH(A98,Aktiv!$A$6:$A$326,0)),"")</f>
        <v>156</v>
      </c>
      <c r="I98" s="137">
        <f>IFERROR(INDEX(Aktiv!$I$6:$I$326,MATCH(A98,Aktiv!$A$6:$A$326,0)),"")</f>
        <v>163</v>
      </c>
      <c r="J98" s="137">
        <f>IFERROR(INDEX(Aktiv!$J$6:$J$326,MATCH(A98,Aktiv!$A$6:$A$326,0)),"")</f>
        <v>181</v>
      </c>
      <c r="K98" s="141">
        <f>IFERROR(ROUND(G98*Steuerungsdaten!$B$5,0),"-")</f>
        <v>53</v>
      </c>
      <c r="L98" s="137">
        <f>IFERROR(ROUND(H98*Steuerungsdaten!$B$5,0),"-")</f>
        <v>179</v>
      </c>
      <c r="M98" s="137">
        <f>IFERROR(ROUND(I98*Steuerungsdaten!$B$5,0),"-")</f>
        <v>187</v>
      </c>
      <c r="N98" s="137">
        <f>IFERROR(ROUND(J98*Steuerungsdaten!$B$5,0),"-")</f>
        <v>208</v>
      </c>
      <c r="O98" s="143" t="str">
        <f>IF(ISNA(MATCH(A98,Aktiv!$A$6:$A$326,0)),"⚠ nicht im Modell","")</f>
        <v/>
      </c>
    </row>
    <row r="99" spans="1:15" ht="18" customHeight="1" x14ac:dyDescent="0.25">
      <c r="A99" s="135">
        <v>3503</v>
      </c>
      <c r="B99" s="136" t="s">
        <v>7</v>
      </c>
      <c r="C99" s="136" t="s">
        <v>109</v>
      </c>
      <c r="D99" s="136" t="s">
        <v>113</v>
      </c>
      <c r="E99" s="138">
        <v>360</v>
      </c>
      <c r="F99" s="138">
        <v>1080</v>
      </c>
      <c r="G99" s="137">
        <f>IFERROR(INDEX(Aktiv!$G$6:$G$326,MATCH(A99,Aktiv!$A$6:$A$326,0)),"")</f>
        <v>68</v>
      </c>
      <c r="H99" s="137">
        <f>IFERROR(INDEX(Aktiv!$H$6:$H$326,MATCH(A99,Aktiv!$A$6:$A$326,0)),"")</f>
        <v>235</v>
      </c>
      <c r="I99" s="137">
        <f>IFERROR(INDEX(Aktiv!$I$6:$I$326,MATCH(A99,Aktiv!$A$6:$A$326,0)),"")</f>
        <v>244</v>
      </c>
      <c r="J99" s="137">
        <f>IFERROR(INDEX(Aktiv!$J$6:$J$326,MATCH(A99,Aktiv!$A$6:$A$326,0)),"")</f>
        <v>272</v>
      </c>
      <c r="K99" s="141">
        <f>IFERROR(ROUND(G99*Steuerungsdaten!$B$5,0),"-")</f>
        <v>78</v>
      </c>
      <c r="L99" s="137">
        <f>IFERROR(ROUND(H99*Steuerungsdaten!$B$5,0),"-")</f>
        <v>270</v>
      </c>
      <c r="M99" s="137">
        <f>IFERROR(ROUND(I99*Steuerungsdaten!$B$5,0),"-")</f>
        <v>281</v>
      </c>
      <c r="N99" s="137">
        <f>IFERROR(ROUND(J99*Steuerungsdaten!$B$5,0),"-")</f>
        <v>313</v>
      </c>
      <c r="O99" s="143" t="str">
        <f>IF(ISNA(MATCH(A99,Aktiv!$A$6:$A$326,0)),"⚠ nicht im Modell","")</f>
        <v/>
      </c>
    </row>
    <row r="100" spans="1:15" ht="18" customHeight="1" x14ac:dyDescent="0.25">
      <c r="A100" s="135">
        <v>3504</v>
      </c>
      <c r="B100" s="136" t="s">
        <v>7</v>
      </c>
      <c r="C100" s="136" t="s">
        <v>109</v>
      </c>
      <c r="D100" s="136" t="s">
        <v>114</v>
      </c>
      <c r="E100" s="138">
        <v>360</v>
      </c>
      <c r="F100" s="138">
        <v>1440</v>
      </c>
      <c r="G100" s="137">
        <f>IFERROR(INDEX(Aktiv!$G$6:$G$326,MATCH(A100,Aktiv!$A$6:$A$326,0)),"")</f>
        <v>91</v>
      </c>
      <c r="H100" s="137">
        <f>IFERROR(INDEX(Aktiv!$H$6:$H$326,MATCH(A100,Aktiv!$A$6:$A$326,0)),"")</f>
        <v>313</v>
      </c>
      <c r="I100" s="137">
        <f>IFERROR(INDEX(Aktiv!$I$6:$I$326,MATCH(A100,Aktiv!$A$6:$A$326,0)),"")</f>
        <v>326</v>
      </c>
      <c r="J100" s="137">
        <f>IFERROR(INDEX(Aktiv!$J$6:$J$326,MATCH(A100,Aktiv!$A$6:$A$326,0)),"")</f>
        <v>363</v>
      </c>
      <c r="K100" s="141">
        <f>IFERROR(ROUND(G100*Steuerungsdaten!$B$5,0),"-")</f>
        <v>105</v>
      </c>
      <c r="L100" s="137">
        <f>IFERROR(ROUND(H100*Steuerungsdaten!$B$5,0),"-")</f>
        <v>360</v>
      </c>
      <c r="M100" s="137">
        <f>IFERROR(ROUND(I100*Steuerungsdaten!$B$5,0),"-")</f>
        <v>375</v>
      </c>
      <c r="N100" s="137">
        <f>IFERROR(ROUND(J100*Steuerungsdaten!$B$5,0),"-")</f>
        <v>417</v>
      </c>
      <c r="O100" s="143" t="str">
        <f>IF(ISNA(MATCH(A100,Aktiv!$A$6:$A$326,0)),"⚠ nicht im Modell","")</f>
        <v/>
      </c>
    </row>
    <row r="101" spans="1:15" ht="18" customHeight="1" x14ac:dyDescent="0.25">
      <c r="A101" s="135">
        <v>3505</v>
      </c>
      <c r="B101" s="136" t="s">
        <v>7</v>
      </c>
      <c r="C101" s="136" t="s">
        <v>109</v>
      </c>
      <c r="D101" s="136" t="s">
        <v>115</v>
      </c>
      <c r="E101" s="138">
        <v>360</v>
      </c>
      <c r="F101" s="138">
        <v>1800</v>
      </c>
      <c r="G101" s="137">
        <f>IFERROR(INDEX(Aktiv!$G$6:$G$326,MATCH(A101,Aktiv!$A$6:$A$326,0)),"")</f>
        <v>114</v>
      </c>
      <c r="H101" s="137">
        <f>IFERROR(INDEX(Aktiv!$H$6:$H$326,MATCH(A101,Aktiv!$A$6:$A$326,0)),"")</f>
        <v>391</v>
      </c>
      <c r="I101" s="137">
        <f>IFERROR(INDEX(Aktiv!$I$6:$I$326,MATCH(A101,Aktiv!$A$6:$A$326,0)),"")</f>
        <v>407</v>
      </c>
      <c r="J101" s="137">
        <f>IFERROR(INDEX(Aktiv!$J$6:$J$326,MATCH(A101,Aktiv!$A$6:$A$326,0)),"")</f>
        <v>453</v>
      </c>
      <c r="K101" s="141">
        <f>IFERROR(ROUND(G101*Steuerungsdaten!$B$5,0),"-")</f>
        <v>131</v>
      </c>
      <c r="L101" s="137">
        <f>IFERROR(ROUND(H101*Steuerungsdaten!$B$5,0),"-")</f>
        <v>450</v>
      </c>
      <c r="M101" s="137">
        <f>IFERROR(ROUND(I101*Steuerungsdaten!$B$5,0),"-")</f>
        <v>468</v>
      </c>
      <c r="N101" s="137">
        <f>IFERROR(ROUND(J101*Steuerungsdaten!$B$5,0),"-")</f>
        <v>521</v>
      </c>
      <c r="O101" s="143" t="str">
        <f>IF(ISNA(MATCH(A101,Aktiv!$A$6:$A$326,0)),"⚠ nicht im Modell","")</f>
        <v/>
      </c>
    </row>
    <row r="102" spans="1:15" ht="18" customHeight="1" x14ac:dyDescent="0.25">
      <c r="A102" s="135">
        <v>3506</v>
      </c>
      <c r="B102" s="136" t="s">
        <v>7</v>
      </c>
      <c r="C102" s="136" t="s">
        <v>109</v>
      </c>
      <c r="D102" s="136" t="s">
        <v>116</v>
      </c>
      <c r="E102" s="138">
        <v>580</v>
      </c>
      <c r="F102" s="138">
        <v>180</v>
      </c>
      <c r="G102" s="137">
        <f>IFERROR(INDEX(Aktiv!$G$6:$G$326,MATCH(A102,Aktiv!$A$6:$A$326,0)),"")</f>
        <v>25</v>
      </c>
      <c r="H102" s="137">
        <f>IFERROR(INDEX(Aktiv!$H$6:$H$326,MATCH(A102,Aktiv!$A$6:$A$326,0)),"")</f>
        <v>103</v>
      </c>
      <c r="I102" s="137">
        <f>IFERROR(INDEX(Aktiv!$I$6:$I$326,MATCH(A102,Aktiv!$A$6:$A$326,0)),"")</f>
        <v>120</v>
      </c>
      <c r="J102" s="137">
        <f>IFERROR(INDEX(Aktiv!$J$6:$J$326,MATCH(A102,Aktiv!$A$6:$A$326,0)),"")</f>
        <v>145</v>
      </c>
      <c r="K102" s="141">
        <f>IFERROR(ROUND(G102*Steuerungsdaten!$B$5,0),"-")</f>
        <v>29</v>
      </c>
      <c r="L102" s="137">
        <f>IFERROR(ROUND(H102*Steuerungsdaten!$B$5,0),"-")</f>
        <v>118</v>
      </c>
      <c r="M102" s="137">
        <f>IFERROR(ROUND(I102*Steuerungsdaten!$B$5,0),"-")</f>
        <v>138</v>
      </c>
      <c r="N102" s="137">
        <f>IFERROR(ROUND(J102*Steuerungsdaten!$B$5,0),"-")</f>
        <v>167</v>
      </c>
      <c r="O102" s="143" t="str">
        <f>IF(ISNA(MATCH(A102,Aktiv!$A$6:$A$326,0)),"⚠ nicht im Modell","")</f>
        <v/>
      </c>
    </row>
    <row r="103" spans="1:15" ht="18" customHeight="1" x14ac:dyDescent="0.25">
      <c r="A103" s="135">
        <v>3507</v>
      </c>
      <c r="B103" s="136" t="s">
        <v>7</v>
      </c>
      <c r="C103" s="136" t="s">
        <v>109</v>
      </c>
      <c r="D103" s="136" t="s">
        <v>117</v>
      </c>
      <c r="E103" s="138">
        <v>580</v>
      </c>
      <c r="F103" s="138">
        <v>360</v>
      </c>
      <c r="G103" s="137">
        <f>IFERROR(INDEX(Aktiv!$G$6:$G$326,MATCH(A103,Aktiv!$A$6:$A$326,0)),"")</f>
        <v>37</v>
      </c>
      <c r="H103" s="137">
        <f>IFERROR(INDEX(Aktiv!$H$6:$H$326,MATCH(A103,Aktiv!$A$6:$A$326,0)),"")</f>
        <v>126</v>
      </c>
      <c r="I103" s="137">
        <f>IFERROR(INDEX(Aktiv!$I$6:$I$326,MATCH(A103,Aktiv!$A$6:$A$326,0)),"")</f>
        <v>131</v>
      </c>
      <c r="J103" s="137">
        <f>IFERROR(INDEX(Aktiv!$J$6:$J$326,MATCH(A103,Aktiv!$A$6:$A$326,0)),"")</f>
        <v>146</v>
      </c>
      <c r="K103" s="141">
        <f>IFERROR(ROUND(G103*Steuerungsdaten!$B$5,0),"-")</f>
        <v>43</v>
      </c>
      <c r="L103" s="137">
        <f>IFERROR(ROUND(H103*Steuerungsdaten!$B$5,0),"-")</f>
        <v>145</v>
      </c>
      <c r="M103" s="137">
        <f>IFERROR(ROUND(I103*Steuerungsdaten!$B$5,0),"-")</f>
        <v>151</v>
      </c>
      <c r="N103" s="137">
        <f>IFERROR(ROUND(J103*Steuerungsdaten!$B$5,0),"-")</f>
        <v>168</v>
      </c>
      <c r="O103" s="143" t="str">
        <f>IF(ISNA(MATCH(A103,Aktiv!$A$6:$A$326,0)),"⚠ nicht im Modell","")</f>
        <v/>
      </c>
    </row>
    <row r="104" spans="1:15" ht="18" customHeight="1" x14ac:dyDescent="0.25">
      <c r="A104" s="135">
        <v>3508</v>
      </c>
      <c r="B104" s="136" t="s">
        <v>7</v>
      </c>
      <c r="C104" s="136" t="s">
        <v>109</v>
      </c>
      <c r="D104" s="136" t="s">
        <v>118</v>
      </c>
      <c r="E104" s="138">
        <v>580</v>
      </c>
      <c r="F104" s="138">
        <v>720</v>
      </c>
      <c r="G104" s="137">
        <f>IFERROR(INDEX(Aktiv!$G$6:$G$326,MATCH(A104,Aktiv!$A$6:$A$326,0)),"")</f>
        <v>73</v>
      </c>
      <c r="H104" s="137">
        <f>IFERROR(INDEX(Aktiv!$H$6:$H$326,MATCH(A104,Aktiv!$A$6:$A$326,0)),"")</f>
        <v>252</v>
      </c>
      <c r="I104" s="137">
        <f>IFERROR(INDEX(Aktiv!$I$6:$I$326,MATCH(A104,Aktiv!$A$6:$A$326,0)),"")</f>
        <v>262</v>
      </c>
      <c r="J104" s="137">
        <f>IFERROR(INDEX(Aktiv!$J$6:$J$326,MATCH(A104,Aktiv!$A$6:$A$326,0)),"")</f>
        <v>292</v>
      </c>
      <c r="K104" s="141">
        <f>IFERROR(ROUND(G104*Steuerungsdaten!$B$5,0),"-")</f>
        <v>84</v>
      </c>
      <c r="L104" s="137">
        <f>IFERROR(ROUND(H104*Steuerungsdaten!$B$5,0),"-")</f>
        <v>290</v>
      </c>
      <c r="M104" s="137">
        <f>IFERROR(ROUND(I104*Steuerungsdaten!$B$5,0),"-")</f>
        <v>301</v>
      </c>
      <c r="N104" s="137">
        <f>IFERROR(ROUND(J104*Steuerungsdaten!$B$5,0),"-")</f>
        <v>336</v>
      </c>
      <c r="O104" s="143" t="str">
        <f>IF(ISNA(MATCH(A104,Aktiv!$A$6:$A$326,0)),"⚠ nicht im Modell","")</f>
        <v/>
      </c>
    </row>
    <row r="105" spans="1:15" ht="18" customHeight="1" x14ac:dyDescent="0.25">
      <c r="A105" s="135">
        <v>3509</v>
      </c>
      <c r="B105" s="136" t="s">
        <v>7</v>
      </c>
      <c r="C105" s="136" t="s">
        <v>109</v>
      </c>
      <c r="D105" s="136" t="s">
        <v>119</v>
      </c>
      <c r="E105" s="138">
        <v>580</v>
      </c>
      <c r="F105" s="138">
        <v>1080</v>
      </c>
      <c r="G105" s="137">
        <f>IFERROR(INDEX(Aktiv!$G$6:$G$326,MATCH(A105,Aktiv!$A$6:$A$326,0)),"")</f>
        <v>110</v>
      </c>
      <c r="H105" s="137">
        <f>IFERROR(INDEX(Aktiv!$H$6:$H$326,MATCH(A105,Aktiv!$A$6:$A$326,0)),"")</f>
        <v>378</v>
      </c>
      <c r="I105" s="137">
        <f>IFERROR(INDEX(Aktiv!$I$6:$I$326,MATCH(A105,Aktiv!$A$6:$A$326,0)),"")</f>
        <v>394</v>
      </c>
      <c r="J105" s="137">
        <f>IFERROR(INDEX(Aktiv!$J$6:$J$326,MATCH(A105,Aktiv!$A$6:$A$326,0)),"")</f>
        <v>438</v>
      </c>
      <c r="K105" s="141">
        <f>IFERROR(ROUND(G105*Steuerungsdaten!$B$5,0),"-")</f>
        <v>127</v>
      </c>
      <c r="L105" s="137">
        <f>IFERROR(ROUND(H105*Steuerungsdaten!$B$5,0),"-")</f>
        <v>435</v>
      </c>
      <c r="M105" s="137">
        <f>IFERROR(ROUND(I105*Steuerungsdaten!$B$5,0),"-")</f>
        <v>453</v>
      </c>
      <c r="N105" s="137">
        <f>IFERROR(ROUND(J105*Steuerungsdaten!$B$5,0),"-")</f>
        <v>504</v>
      </c>
      <c r="O105" s="143" t="str">
        <f>IF(ISNA(MATCH(A105,Aktiv!$A$6:$A$326,0)),"⚠ nicht im Modell","")</f>
        <v/>
      </c>
    </row>
    <row r="106" spans="1:15" ht="18" customHeight="1" x14ac:dyDescent="0.25">
      <c r="A106" s="135">
        <v>3510</v>
      </c>
      <c r="B106" s="136" t="s">
        <v>7</v>
      </c>
      <c r="C106" s="136" t="s">
        <v>109</v>
      </c>
      <c r="D106" s="136" t="s">
        <v>120</v>
      </c>
      <c r="E106" s="138">
        <v>580</v>
      </c>
      <c r="F106" s="138">
        <v>1440</v>
      </c>
      <c r="G106" s="137">
        <f>IFERROR(INDEX(Aktiv!$G$6:$G$326,MATCH(A106,Aktiv!$A$6:$A$326,0)),"")</f>
        <v>147</v>
      </c>
      <c r="H106" s="137">
        <f>IFERROR(INDEX(Aktiv!$H$6:$H$326,MATCH(A106,Aktiv!$A$6:$A$326,0)),"")</f>
        <v>504</v>
      </c>
      <c r="I106" s="137">
        <f>IFERROR(INDEX(Aktiv!$I$6:$I$326,MATCH(A106,Aktiv!$A$6:$A$326,0)),"")</f>
        <v>525</v>
      </c>
      <c r="J106" s="137">
        <f>IFERROR(INDEX(Aktiv!$J$6:$J$326,MATCH(A106,Aktiv!$A$6:$A$326,0)),"")</f>
        <v>584</v>
      </c>
      <c r="K106" s="141">
        <f>IFERROR(ROUND(G106*Steuerungsdaten!$B$5,0),"-")</f>
        <v>169</v>
      </c>
      <c r="L106" s="137">
        <f>IFERROR(ROUND(H106*Steuerungsdaten!$B$5,0),"-")</f>
        <v>580</v>
      </c>
      <c r="M106" s="137">
        <f>IFERROR(ROUND(I106*Steuerungsdaten!$B$5,0),"-")</f>
        <v>604</v>
      </c>
      <c r="N106" s="137">
        <f>IFERROR(ROUND(J106*Steuerungsdaten!$B$5,0),"-")</f>
        <v>672</v>
      </c>
      <c r="O106" s="143" t="str">
        <f>IF(ISNA(MATCH(A106,Aktiv!$A$6:$A$326,0)),"⚠ nicht im Modell","")</f>
        <v/>
      </c>
    </row>
    <row r="107" spans="1:15" ht="18" customHeight="1" x14ac:dyDescent="0.25">
      <c r="A107" s="135">
        <v>3511</v>
      </c>
      <c r="B107" s="136" t="s">
        <v>7</v>
      </c>
      <c r="C107" s="136" t="s">
        <v>109</v>
      </c>
      <c r="D107" s="136" t="s">
        <v>121</v>
      </c>
      <c r="E107" s="138">
        <v>580</v>
      </c>
      <c r="F107" s="138">
        <v>1800</v>
      </c>
      <c r="G107" s="137">
        <f>IFERROR(INDEX(Aktiv!$G$6:$G$326,MATCH(A107,Aktiv!$A$6:$A$326,0)),"")</f>
        <v>184</v>
      </c>
      <c r="H107" s="137">
        <f>IFERROR(INDEX(Aktiv!$H$6:$H$326,MATCH(A107,Aktiv!$A$6:$A$326,0)),"")</f>
        <v>630</v>
      </c>
      <c r="I107" s="137">
        <f>IFERROR(INDEX(Aktiv!$I$6:$I$326,MATCH(A107,Aktiv!$A$6:$A$326,0)),"")</f>
        <v>656</v>
      </c>
      <c r="J107" s="137">
        <f>IFERROR(INDEX(Aktiv!$J$6:$J$326,MATCH(A107,Aktiv!$A$6:$A$326,0)),"")</f>
        <v>730</v>
      </c>
      <c r="K107" s="141">
        <f>IFERROR(ROUND(G107*Steuerungsdaten!$B$5,0),"-")</f>
        <v>212</v>
      </c>
      <c r="L107" s="137">
        <f>IFERROR(ROUND(H107*Steuerungsdaten!$B$5,0),"-")</f>
        <v>725</v>
      </c>
      <c r="M107" s="137">
        <f>IFERROR(ROUND(I107*Steuerungsdaten!$B$5,0),"-")</f>
        <v>754</v>
      </c>
      <c r="N107" s="137">
        <f>IFERROR(ROUND(J107*Steuerungsdaten!$B$5,0),"-")</f>
        <v>840</v>
      </c>
      <c r="O107" s="143" t="str">
        <f>IF(ISNA(MATCH(A107,Aktiv!$A$6:$A$326,0)),"⚠ nicht im Modell","")</f>
        <v/>
      </c>
    </row>
    <row r="108" spans="1:15" ht="18" customHeight="1" x14ac:dyDescent="0.25">
      <c r="A108" s="135">
        <v>3512</v>
      </c>
      <c r="B108" s="136" t="s">
        <v>7</v>
      </c>
      <c r="C108" s="136" t="s">
        <v>109</v>
      </c>
      <c r="D108" s="136" t="s">
        <v>122</v>
      </c>
      <c r="E108" s="138">
        <v>180</v>
      </c>
      <c r="F108" s="138">
        <v>780</v>
      </c>
      <c r="G108" s="137" t="str">
        <f>IFERROR(INDEX(Aktiv!$G$6:$G$326,MATCH(A108,Aktiv!$A$6:$A$326,0)),"")</f>
        <v>-</v>
      </c>
      <c r="H108" s="137" t="str">
        <f>IFERROR(INDEX(Aktiv!$H$6:$H$326,MATCH(A108,Aktiv!$A$6:$A$326,0)),"")</f>
        <v>-</v>
      </c>
      <c r="I108" s="137" t="str">
        <f>IFERROR(INDEX(Aktiv!$I$6:$I$326,MATCH(A108,Aktiv!$A$6:$A$326,0)),"")</f>
        <v>-</v>
      </c>
      <c r="J108" s="137" t="str">
        <f>IFERROR(INDEX(Aktiv!$J$6:$J$326,MATCH(A108,Aktiv!$A$6:$A$326,0)),"")</f>
        <v>-</v>
      </c>
      <c r="K108" s="141" t="str">
        <f>IFERROR(ROUND(G108*Steuerungsdaten!$B$5,0),"-")</f>
        <v>-</v>
      </c>
      <c r="L108" s="137" t="str">
        <f>IFERROR(ROUND(H108*Steuerungsdaten!$B$5,0),"-")</f>
        <v>-</v>
      </c>
      <c r="M108" s="137" t="str">
        <f>IFERROR(ROUND(I108*Steuerungsdaten!$B$5,0),"-")</f>
        <v>-</v>
      </c>
      <c r="N108" s="137" t="str">
        <f>IFERROR(ROUND(J108*Steuerungsdaten!$B$5,0),"-")</f>
        <v>-</v>
      </c>
      <c r="O108" s="143" t="str">
        <f>IF(ISNA(MATCH(A108,Aktiv!$A$6:$A$326,0)),"⚠ nicht im Modell","")</f>
        <v/>
      </c>
    </row>
    <row r="109" spans="1:15" ht="18" customHeight="1" x14ac:dyDescent="0.25">
      <c r="A109" s="135">
        <v>3513</v>
      </c>
      <c r="B109" s="136" t="s">
        <v>7</v>
      </c>
      <c r="C109" s="136" t="s">
        <v>109</v>
      </c>
      <c r="D109" s="136" t="s">
        <v>123</v>
      </c>
      <c r="E109" s="138">
        <v>180</v>
      </c>
      <c r="F109" s="138">
        <v>980</v>
      </c>
      <c r="G109" s="137" t="str">
        <f>IFERROR(INDEX(Aktiv!$G$6:$G$326,MATCH(A109,Aktiv!$A$6:$A$326,0)),"")</f>
        <v>-</v>
      </c>
      <c r="H109" s="137" t="str">
        <f>IFERROR(INDEX(Aktiv!$H$6:$H$326,MATCH(A109,Aktiv!$A$6:$A$326,0)),"")</f>
        <v>-</v>
      </c>
      <c r="I109" s="137" t="str">
        <f>IFERROR(INDEX(Aktiv!$I$6:$I$326,MATCH(A109,Aktiv!$A$6:$A$326,0)),"")</f>
        <v>-</v>
      </c>
      <c r="J109" s="137" t="str">
        <f>IFERROR(INDEX(Aktiv!$J$6:$J$326,MATCH(A109,Aktiv!$A$6:$A$326,0)),"")</f>
        <v>-</v>
      </c>
      <c r="K109" s="141" t="str">
        <f>IFERROR(ROUND(G109*Steuerungsdaten!$B$5,0),"-")</f>
        <v>-</v>
      </c>
      <c r="L109" s="137" t="str">
        <f>IFERROR(ROUND(H109*Steuerungsdaten!$B$5,0),"-")</f>
        <v>-</v>
      </c>
      <c r="M109" s="137" t="str">
        <f>IFERROR(ROUND(I109*Steuerungsdaten!$B$5,0),"-")</f>
        <v>-</v>
      </c>
      <c r="N109" s="137" t="str">
        <f>IFERROR(ROUND(J109*Steuerungsdaten!$B$5,0),"-")</f>
        <v>-</v>
      </c>
      <c r="O109" s="143" t="str">
        <f>IF(ISNA(MATCH(A109,Aktiv!$A$6:$A$326,0)),"⚠ nicht im Modell","")</f>
        <v/>
      </c>
    </row>
    <row r="110" spans="1:15" ht="18" customHeight="1" x14ac:dyDescent="0.25">
      <c r="A110" s="135">
        <v>3514</v>
      </c>
      <c r="B110" s="136" t="s">
        <v>7</v>
      </c>
      <c r="C110" s="136" t="s">
        <v>109</v>
      </c>
      <c r="D110" s="136" t="s">
        <v>124</v>
      </c>
      <c r="E110" s="138">
        <v>360</v>
      </c>
      <c r="F110" s="138">
        <v>780</v>
      </c>
      <c r="G110" s="137" t="str">
        <f>IFERROR(INDEX(Aktiv!$G$6:$G$326,MATCH(A110,Aktiv!$A$6:$A$326,0)),"")</f>
        <v>-</v>
      </c>
      <c r="H110" s="137" t="str">
        <f>IFERROR(INDEX(Aktiv!$H$6:$H$326,MATCH(A110,Aktiv!$A$6:$A$326,0)),"")</f>
        <v>-</v>
      </c>
      <c r="I110" s="137" t="str">
        <f>IFERROR(INDEX(Aktiv!$I$6:$I$326,MATCH(A110,Aktiv!$A$6:$A$326,0)),"")</f>
        <v>-</v>
      </c>
      <c r="J110" s="137" t="str">
        <f>IFERROR(INDEX(Aktiv!$J$6:$J$326,MATCH(A110,Aktiv!$A$6:$A$326,0)),"")</f>
        <v>-</v>
      </c>
      <c r="K110" s="141" t="str">
        <f>IFERROR(ROUND(G110*Steuerungsdaten!$B$5,0),"-")</f>
        <v>-</v>
      </c>
      <c r="L110" s="137" t="str">
        <f>IFERROR(ROUND(H110*Steuerungsdaten!$B$5,0),"-")</f>
        <v>-</v>
      </c>
      <c r="M110" s="137" t="str">
        <f>IFERROR(ROUND(I110*Steuerungsdaten!$B$5,0),"-")</f>
        <v>-</v>
      </c>
      <c r="N110" s="137" t="str">
        <f>IFERROR(ROUND(J110*Steuerungsdaten!$B$5,0),"-")</f>
        <v>-</v>
      </c>
      <c r="O110" s="143" t="str">
        <f>IF(ISNA(MATCH(A110,Aktiv!$A$6:$A$326,0)),"⚠ nicht im Modell","")</f>
        <v/>
      </c>
    </row>
    <row r="111" spans="1:15" ht="18" customHeight="1" x14ac:dyDescent="0.25">
      <c r="A111" s="135">
        <v>3515</v>
      </c>
      <c r="B111" s="136" t="s">
        <v>7</v>
      </c>
      <c r="C111" s="136" t="s">
        <v>109</v>
      </c>
      <c r="D111" s="136" t="s">
        <v>125</v>
      </c>
      <c r="E111" s="138">
        <v>360</v>
      </c>
      <c r="F111" s="138">
        <v>980</v>
      </c>
      <c r="G111" s="137" t="str">
        <f>IFERROR(INDEX(Aktiv!$G$6:$G$326,MATCH(A111,Aktiv!$A$6:$A$326,0)),"")</f>
        <v>-</v>
      </c>
      <c r="H111" s="137" t="str">
        <f>IFERROR(INDEX(Aktiv!$H$6:$H$326,MATCH(A111,Aktiv!$A$6:$A$326,0)),"")</f>
        <v>-</v>
      </c>
      <c r="I111" s="137" t="str">
        <f>IFERROR(INDEX(Aktiv!$I$6:$I$326,MATCH(A111,Aktiv!$A$6:$A$326,0)),"")</f>
        <v>-</v>
      </c>
      <c r="J111" s="137" t="str">
        <f>IFERROR(INDEX(Aktiv!$J$6:$J$326,MATCH(A111,Aktiv!$A$6:$A$326,0)),"")</f>
        <v>-</v>
      </c>
      <c r="K111" s="141" t="str">
        <f>IFERROR(ROUND(G111*Steuerungsdaten!$B$5,0),"-")</f>
        <v>-</v>
      </c>
      <c r="L111" s="137" t="str">
        <f>IFERROR(ROUND(H111*Steuerungsdaten!$B$5,0),"-")</f>
        <v>-</v>
      </c>
      <c r="M111" s="137" t="str">
        <f>IFERROR(ROUND(I111*Steuerungsdaten!$B$5,0),"-")</f>
        <v>-</v>
      </c>
      <c r="N111" s="137" t="str">
        <f>IFERROR(ROUND(J111*Steuerungsdaten!$B$5,0),"-")</f>
        <v>-</v>
      </c>
      <c r="O111" s="143" t="str">
        <f>IF(ISNA(MATCH(A111,Aktiv!$A$6:$A$326,0)),"⚠ nicht im Modell","")</f>
        <v/>
      </c>
    </row>
    <row r="112" spans="1:15" ht="18" customHeight="1" x14ac:dyDescent="0.25">
      <c r="A112" s="135">
        <v>3516</v>
      </c>
      <c r="B112" s="136" t="s">
        <v>7</v>
      </c>
      <c r="C112" s="136" t="s">
        <v>109</v>
      </c>
      <c r="D112" s="136" t="s">
        <v>126</v>
      </c>
      <c r="E112" s="138">
        <v>720</v>
      </c>
      <c r="F112" s="138">
        <v>780</v>
      </c>
      <c r="G112" s="137" t="str">
        <f>IFERROR(INDEX(Aktiv!$G$6:$G$326,MATCH(A112,Aktiv!$A$6:$A$326,0)),"")</f>
        <v>-</v>
      </c>
      <c r="H112" s="137" t="str">
        <f>IFERROR(INDEX(Aktiv!$H$6:$H$326,MATCH(A112,Aktiv!$A$6:$A$326,0)),"")</f>
        <v>-</v>
      </c>
      <c r="I112" s="137" t="str">
        <f>IFERROR(INDEX(Aktiv!$I$6:$I$326,MATCH(A112,Aktiv!$A$6:$A$326,0)),"")</f>
        <v>-</v>
      </c>
      <c r="J112" s="137" t="str">
        <f>IFERROR(INDEX(Aktiv!$J$6:$J$326,MATCH(A112,Aktiv!$A$6:$A$326,0)),"")</f>
        <v>-</v>
      </c>
      <c r="K112" s="141" t="str">
        <f>IFERROR(ROUND(G112*Steuerungsdaten!$B$5,0),"-")</f>
        <v>-</v>
      </c>
      <c r="L112" s="137" t="str">
        <f>IFERROR(ROUND(H112*Steuerungsdaten!$B$5,0),"-")</f>
        <v>-</v>
      </c>
      <c r="M112" s="137" t="str">
        <f>IFERROR(ROUND(I112*Steuerungsdaten!$B$5,0),"-")</f>
        <v>-</v>
      </c>
      <c r="N112" s="137" t="str">
        <f>IFERROR(ROUND(J112*Steuerungsdaten!$B$5,0),"-")</f>
        <v>-</v>
      </c>
      <c r="O112" s="143" t="str">
        <f>IF(ISNA(MATCH(A112,Aktiv!$A$6:$A$326,0)),"⚠ nicht im Modell","")</f>
        <v/>
      </c>
    </row>
    <row r="113" spans="1:15" ht="18" customHeight="1" x14ac:dyDescent="0.25">
      <c r="A113" s="135">
        <v>3517</v>
      </c>
      <c r="B113" s="136" t="s">
        <v>7</v>
      </c>
      <c r="C113" s="136" t="s">
        <v>109</v>
      </c>
      <c r="D113" s="136" t="s">
        <v>127</v>
      </c>
      <c r="E113" s="138">
        <v>720</v>
      </c>
      <c r="F113" s="138">
        <v>980</v>
      </c>
      <c r="G113" s="137" t="str">
        <f>IFERROR(INDEX(Aktiv!$G$6:$G$326,MATCH(A113,Aktiv!$A$6:$A$326,0)),"")</f>
        <v>-</v>
      </c>
      <c r="H113" s="137" t="str">
        <f>IFERROR(INDEX(Aktiv!$H$6:$H$326,MATCH(A113,Aktiv!$A$6:$A$326,0)),"")</f>
        <v>-</v>
      </c>
      <c r="I113" s="137" t="str">
        <f>IFERROR(INDEX(Aktiv!$I$6:$I$326,MATCH(A113,Aktiv!$A$6:$A$326,0)),"")</f>
        <v>-</v>
      </c>
      <c r="J113" s="137" t="str">
        <f>IFERROR(INDEX(Aktiv!$J$6:$J$326,MATCH(A113,Aktiv!$A$6:$A$326,0)),"")</f>
        <v>-</v>
      </c>
      <c r="K113" s="141" t="str">
        <f>IFERROR(ROUND(G113*Steuerungsdaten!$B$5,0),"-")</f>
        <v>-</v>
      </c>
      <c r="L113" s="137" t="str">
        <f>IFERROR(ROUND(H113*Steuerungsdaten!$B$5,0),"-")</f>
        <v>-</v>
      </c>
      <c r="M113" s="137" t="str">
        <f>IFERROR(ROUND(I113*Steuerungsdaten!$B$5,0),"-")</f>
        <v>-</v>
      </c>
      <c r="N113" s="137" t="str">
        <f>IFERROR(ROUND(J113*Steuerungsdaten!$B$5,0),"-")</f>
        <v>-</v>
      </c>
      <c r="O113" s="143" t="str">
        <f>IF(ISNA(MATCH(A113,Aktiv!$A$6:$A$326,0)),"⚠ nicht im Modell","")</f>
        <v/>
      </c>
    </row>
    <row r="114" spans="1:15" ht="18" customHeight="1" x14ac:dyDescent="0.25">
      <c r="A114" s="135">
        <v>3518</v>
      </c>
      <c r="B114" s="136" t="s">
        <v>7</v>
      </c>
      <c r="C114" s="136" t="s">
        <v>109</v>
      </c>
      <c r="D114" s="136" t="s">
        <v>128</v>
      </c>
      <c r="E114" s="138">
        <v>1080</v>
      </c>
      <c r="F114" s="138">
        <v>780</v>
      </c>
      <c r="G114" s="137" t="str">
        <f>IFERROR(INDEX(Aktiv!$G$6:$G$326,MATCH(A114,Aktiv!$A$6:$A$326,0)),"")</f>
        <v>-</v>
      </c>
      <c r="H114" s="137" t="str">
        <f>IFERROR(INDEX(Aktiv!$H$6:$H$326,MATCH(A114,Aktiv!$A$6:$A$326,0)),"")</f>
        <v>-</v>
      </c>
      <c r="I114" s="137" t="str">
        <f>IFERROR(INDEX(Aktiv!$I$6:$I$326,MATCH(A114,Aktiv!$A$6:$A$326,0)),"")</f>
        <v>-</v>
      </c>
      <c r="J114" s="137" t="str">
        <f>IFERROR(INDEX(Aktiv!$J$6:$J$326,MATCH(A114,Aktiv!$A$6:$A$326,0)),"")</f>
        <v>-</v>
      </c>
      <c r="K114" s="141" t="str">
        <f>IFERROR(ROUND(G114*Steuerungsdaten!$B$5,0),"-")</f>
        <v>-</v>
      </c>
      <c r="L114" s="137" t="str">
        <f>IFERROR(ROUND(H114*Steuerungsdaten!$B$5,0),"-")</f>
        <v>-</v>
      </c>
      <c r="M114" s="137" t="str">
        <f>IFERROR(ROUND(I114*Steuerungsdaten!$B$5,0),"-")</f>
        <v>-</v>
      </c>
      <c r="N114" s="137" t="str">
        <f>IFERROR(ROUND(J114*Steuerungsdaten!$B$5,0),"-")</f>
        <v>-</v>
      </c>
      <c r="O114" s="143" t="str">
        <f>IF(ISNA(MATCH(A114,Aktiv!$A$6:$A$326,0)),"⚠ nicht im Modell","")</f>
        <v/>
      </c>
    </row>
    <row r="115" spans="1:15" ht="18" customHeight="1" x14ac:dyDescent="0.25">
      <c r="A115" s="135">
        <v>3519</v>
      </c>
      <c r="B115" s="136" t="s">
        <v>7</v>
      </c>
      <c r="C115" s="136" t="s">
        <v>109</v>
      </c>
      <c r="D115" s="136" t="s">
        <v>129</v>
      </c>
      <c r="E115" s="138">
        <v>1080</v>
      </c>
      <c r="F115" s="138">
        <v>980</v>
      </c>
      <c r="G115" s="137" t="str">
        <f>IFERROR(INDEX(Aktiv!$G$6:$G$326,MATCH(A115,Aktiv!$A$6:$A$326,0)),"")</f>
        <v>-</v>
      </c>
      <c r="H115" s="137" t="str">
        <f>IFERROR(INDEX(Aktiv!$H$6:$H$326,MATCH(A115,Aktiv!$A$6:$A$326,0)),"")</f>
        <v>-</v>
      </c>
      <c r="I115" s="137" t="str">
        <f>IFERROR(INDEX(Aktiv!$I$6:$I$326,MATCH(A115,Aktiv!$A$6:$A$326,0)),"")</f>
        <v>-</v>
      </c>
      <c r="J115" s="137" t="str">
        <f>IFERROR(INDEX(Aktiv!$J$6:$J$326,MATCH(A115,Aktiv!$A$6:$A$326,0)),"")</f>
        <v>-</v>
      </c>
      <c r="K115" s="141" t="str">
        <f>IFERROR(ROUND(G115*Steuerungsdaten!$B$5,0),"-")</f>
        <v>-</v>
      </c>
      <c r="L115" s="137" t="str">
        <f>IFERROR(ROUND(H115*Steuerungsdaten!$B$5,0),"-")</f>
        <v>-</v>
      </c>
      <c r="M115" s="137" t="str">
        <f>IFERROR(ROUND(I115*Steuerungsdaten!$B$5,0),"-")</f>
        <v>-</v>
      </c>
      <c r="N115" s="137" t="str">
        <f>IFERROR(ROUND(J115*Steuerungsdaten!$B$5,0),"-")</f>
        <v>-</v>
      </c>
      <c r="O115" s="143" t="str">
        <f>IF(ISNA(MATCH(A115,Aktiv!$A$6:$A$326,0)),"⚠ nicht im Modell","")</f>
        <v/>
      </c>
    </row>
    <row r="116" spans="1:15" ht="18" customHeight="1" x14ac:dyDescent="0.25">
      <c r="A116" s="135">
        <v>3520</v>
      </c>
      <c r="B116" s="136" t="s">
        <v>7</v>
      </c>
      <c r="C116" s="136" t="s">
        <v>109</v>
      </c>
      <c r="D116" s="136" t="s">
        <v>130</v>
      </c>
      <c r="E116" s="138">
        <v>1440</v>
      </c>
      <c r="F116" s="138">
        <v>780</v>
      </c>
      <c r="G116" s="137" t="str">
        <f>IFERROR(INDEX(Aktiv!$G$6:$G$326,MATCH(A116,Aktiv!$A$6:$A$326,0)),"")</f>
        <v>-</v>
      </c>
      <c r="H116" s="137" t="str">
        <f>IFERROR(INDEX(Aktiv!$H$6:$H$326,MATCH(A116,Aktiv!$A$6:$A$326,0)),"")</f>
        <v>-</v>
      </c>
      <c r="I116" s="137" t="str">
        <f>IFERROR(INDEX(Aktiv!$I$6:$I$326,MATCH(A116,Aktiv!$A$6:$A$326,0)),"")</f>
        <v>-</v>
      </c>
      <c r="J116" s="137" t="str">
        <f>IFERROR(INDEX(Aktiv!$J$6:$J$326,MATCH(A116,Aktiv!$A$6:$A$326,0)),"")</f>
        <v>-</v>
      </c>
      <c r="K116" s="141" t="str">
        <f>IFERROR(ROUND(G116*Steuerungsdaten!$B$5,0),"-")</f>
        <v>-</v>
      </c>
      <c r="L116" s="137" t="str">
        <f>IFERROR(ROUND(H116*Steuerungsdaten!$B$5,0),"-")</f>
        <v>-</v>
      </c>
      <c r="M116" s="137" t="str">
        <f>IFERROR(ROUND(I116*Steuerungsdaten!$B$5,0),"-")</f>
        <v>-</v>
      </c>
      <c r="N116" s="137" t="str">
        <f>IFERROR(ROUND(J116*Steuerungsdaten!$B$5,0),"-")</f>
        <v>-</v>
      </c>
      <c r="O116" s="143" t="str">
        <f>IF(ISNA(MATCH(A116,Aktiv!$A$6:$A$326,0)),"⚠ nicht im Modell","")</f>
        <v/>
      </c>
    </row>
    <row r="117" spans="1:15" ht="18" customHeight="1" x14ac:dyDescent="0.25">
      <c r="A117" s="135">
        <v>3521</v>
      </c>
      <c r="B117" s="136" t="s">
        <v>7</v>
      </c>
      <c r="C117" s="136" t="s">
        <v>109</v>
      </c>
      <c r="D117" s="136" t="s">
        <v>131</v>
      </c>
      <c r="E117" s="138">
        <v>1440</v>
      </c>
      <c r="F117" s="138">
        <v>980</v>
      </c>
      <c r="G117" s="137" t="str">
        <f>IFERROR(INDEX(Aktiv!$G$6:$G$326,MATCH(A117,Aktiv!$A$6:$A$326,0)),"")</f>
        <v>-</v>
      </c>
      <c r="H117" s="137" t="str">
        <f>IFERROR(INDEX(Aktiv!$H$6:$H$326,MATCH(A117,Aktiv!$A$6:$A$326,0)),"")</f>
        <v>-</v>
      </c>
      <c r="I117" s="137" t="str">
        <f>IFERROR(INDEX(Aktiv!$I$6:$I$326,MATCH(A117,Aktiv!$A$6:$A$326,0)),"")</f>
        <v>-</v>
      </c>
      <c r="J117" s="137" t="str">
        <f>IFERROR(INDEX(Aktiv!$J$6:$J$326,MATCH(A117,Aktiv!$A$6:$A$326,0)),"")</f>
        <v>-</v>
      </c>
      <c r="K117" s="141" t="str">
        <f>IFERROR(ROUND(G117*Steuerungsdaten!$B$5,0),"-")</f>
        <v>-</v>
      </c>
      <c r="L117" s="137" t="str">
        <f>IFERROR(ROUND(H117*Steuerungsdaten!$B$5,0),"-")</f>
        <v>-</v>
      </c>
      <c r="M117" s="137" t="str">
        <f>IFERROR(ROUND(I117*Steuerungsdaten!$B$5,0),"-")</f>
        <v>-</v>
      </c>
      <c r="N117" s="137" t="str">
        <f>IFERROR(ROUND(J117*Steuerungsdaten!$B$5,0),"-")</f>
        <v>-</v>
      </c>
      <c r="O117" s="143" t="str">
        <f>IF(ISNA(MATCH(A117,Aktiv!$A$6:$A$326,0)),"⚠ nicht im Modell","")</f>
        <v/>
      </c>
    </row>
    <row r="118" spans="1:15" ht="18" customHeight="1" x14ac:dyDescent="0.25">
      <c r="A118" s="135">
        <v>3522</v>
      </c>
      <c r="B118" s="136" t="s">
        <v>7</v>
      </c>
      <c r="C118" s="136" t="s">
        <v>109</v>
      </c>
      <c r="D118" s="136" t="s">
        <v>132</v>
      </c>
      <c r="E118" s="138">
        <v>1800</v>
      </c>
      <c r="F118" s="138">
        <v>780</v>
      </c>
      <c r="G118" s="137" t="str">
        <f>IFERROR(INDEX(Aktiv!$G$6:$G$326,MATCH(A118,Aktiv!$A$6:$A$326,0)),"")</f>
        <v>-</v>
      </c>
      <c r="H118" s="137" t="str">
        <f>IFERROR(INDEX(Aktiv!$H$6:$H$326,MATCH(A118,Aktiv!$A$6:$A$326,0)),"")</f>
        <v>-</v>
      </c>
      <c r="I118" s="137" t="str">
        <f>IFERROR(INDEX(Aktiv!$I$6:$I$326,MATCH(A118,Aktiv!$A$6:$A$326,0)),"")</f>
        <v>-</v>
      </c>
      <c r="J118" s="137" t="str">
        <f>IFERROR(INDEX(Aktiv!$J$6:$J$326,MATCH(A118,Aktiv!$A$6:$A$326,0)),"")</f>
        <v>-</v>
      </c>
      <c r="K118" s="141" t="str">
        <f>IFERROR(ROUND(G118*Steuerungsdaten!$B$5,0),"-")</f>
        <v>-</v>
      </c>
      <c r="L118" s="137" t="str">
        <f>IFERROR(ROUND(H118*Steuerungsdaten!$B$5,0),"-")</f>
        <v>-</v>
      </c>
      <c r="M118" s="137" t="str">
        <f>IFERROR(ROUND(I118*Steuerungsdaten!$B$5,0),"-")</f>
        <v>-</v>
      </c>
      <c r="N118" s="137" t="str">
        <f>IFERROR(ROUND(J118*Steuerungsdaten!$B$5,0),"-")</f>
        <v>-</v>
      </c>
      <c r="O118" s="143" t="str">
        <f>IF(ISNA(MATCH(A118,Aktiv!$A$6:$A$326,0)),"⚠ nicht im Modell","")</f>
        <v/>
      </c>
    </row>
    <row r="119" spans="1:15" ht="18" customHeight="1" x14ac:dyDescent="0.25">
      <c r="A119" s="135">
        <v>3523</v>
      </c>
      <c r="B119" s="136" t="s">
        <v>7</v>
      </c>
      <c r="C119" s="136" t="s">
        <v>109</v>
      </c>
      <c r="D119" s="136" t="s">
        <v>133</v>
      </c>
      <c r="E119" s="138">
        <v>1800</v>
      </c>
      <c r="F119" s="138">
        <v>980</v>
      </c>
      <c r="G119" s="137" t="str">
        <f>IFERROR(INDEX(Aktiv!$G$6:$G$326,MATCH(A119,Aktiv!$A$6:$A$326,0)),"")</f>
        <v>-</v>
      </c>
      <c r="H119" s="137" t="str">
        <f>IFERROR(INDEX(Aktiv!$H$6:$H$326,MATCH(A119,Aktiv!$A$6:$A$326,0)),"")</f>
        <v>-</v>
      </c>
      <c r="I119" s="137" t="str">
        <f>IFERROR(INDEX(Aktiv!$I$6:$I$326,MATCH(A119,Aktiv!$A$6:$A$326,0)),"")</f>
        <v>-</v>
      </c>
      <c r="J119" s="137" t="str">
        <f>IFERROR(INDEX(Aktiv!$J$6:$J$326,MATCH(A119,Aktiv!$A$6:$A$326,0)),"")</f>
        <v>-</v>
      </c>
      <c r="K119" s="141" t="str">
        <f>IFERROR(ROUND(G119*Steuerungsdaten!$B$5,0),"-")</f>
        <v>-</v>
      </c>
      <c r="L119" s="137" t="str">
        <f>IFERROR(ROUND(H119*Steuerungsdaten!$B$5,0),"-")</f>
        <v>-</v>
      </c>
      <c r="M119" s="137" t="str">
        <f>IFERROR(ROUND(I119*Steuerungsdaten!$B$5,0),"-")</f>
        <v>-</v>
      </c>
      <c r="N119" s="137" t="str">
        <f>IFERROR(ROUND(J119*Steuerungsdaten!$B$5,0),"-")</f>
        <v>-</v>
      </c>
      <c r="O119" s="143" t="str">
        <f>IF(ISNA(MATCH(A119,Aktiv!$A$6:$A$326,0)),"⚠ nicht im Modell","")</f>
        <v/>
      </c>
    </row>
    <row r="120" spans="1:15" ht="18" customHeight="1" x14ac:dyDescent="0.25">
      <c r="A120" s="135">
        <v>3524</v>
      </c>
      <c r="B120" s="136" t="s">
        <v>7</v>
      </c>
      <c r="C120" s="136" t="s">
        <v>109</v>
      </c>
      <c r="D120" s="136" t="s">
        <v>134</v>
      </c>
      <c r="E120" s="138">
        <v>580</v>
      </c>
      <c r="F120" s="138">
        <v>580</v>
      </c>
      <c r="G120" s="137" t="str">
        <f>IFERROR(INDEX(Aktiv!$G$6:$G$326,MATCH(A120,Aktiv!$A$6:$A$326,0)),"")</f>
        <v>-</v>
      </c>
      <c r="H120" s="137" t="str">
        <f>IFERROR(INDEX(Aktiv!$H$6:$H$326,MATCH(A120,Aktiv!$A$6:$A$326,0)),"")</f>
        <v>-</v>
      </c>
      <c r="I120" s="137" t="str">
        <f>IFERROR(INDEX(Aktiv!$I$6:$I$326,MATCH(A120,Aktiv!$A$6:$A$326,0)),"")</f>
        <v>-</v>
      </c>
      <c r="J120" s="137" t="str">
        <f>IFERROR(INDEX(Aktiv!$J$6:$J$326,MATCH(A120,Aktiv!$A$6:$A$326,0)),"")</f>
        <v>-</v>
      </c>
      <c r="K120" s="141" t="str">
        <f>IFERROR(ROUND(G120*Steuerungsdaten!$B$5,0),"-")</f>
        <v>-</v>
      </c>
      <c r="L120" s="137" t="str">
        <f>IFERROR(ROUND(H120*Steuerungsdaten!$B$5,0),"-")</f>
        <v>-</v>
      </c>
      <c r="M120" s="137" t="str">
        <f>IFERROR(ROUND(I120*Steuerungsdaten!$B$5,0),"-")</f>
        <v>-</v>
      </c>
      <c r="N120" s="137" t="str">
        <f>IFERROR(ROUND(J120*Steuerungsdaten!$B$5,0),"-")</f>
        <v>-</v>
      </c>
      <c r="O120" s="143" t="str">
        <f>IF(ISNA(MATCH(A120,Aktiv!$A$6:$A$326,0)),"⚠ nicht im Modell","")</f>
        <v/>
      </c>
    </row>
    <row r="121" spans="1:15" ht="18" customHeight="1" x14ac:dyDescent="0.25">
      <c r="A121" s="135">
        <v>3600</v>
      </c>
      <c r="B121" s="136" t="s">
        <v>7</v>
      </c>
      <c r="C121" s="136" t="s">
        <v>135</v>
      </c>
      <c r="D121" s="136" t="s">
        <v>136</v>
      </c>
      <c r="E121" s="138">
        <v>360</v>
      </c>
      <c r="F121" s="138">
        <v>360</v>
      </c>
      <c r="G121" s="137">
        <f>IFERROR(INDEX(Aktiv!$G$6:$G$326,MATCH(A121,Aktiv!$A$6:$A$326,0)),"")</f>
        <v>25</v>
      </c>
      <c r="H121" s="137">
        <f>IFERROR(INDEX(Aktiv!$H$6:$H$326,MATCH(A121,Aktiv!$A$6:$A$326,0)),"")</f>
        <v>103</v>
      </c>
      <c r="I121" s="137">
        <f>IFERROR(INDEX(Aktiv!$I$6:$I$326,MATCH(A121,Aktiv!$A$6:$A$326,0)),"")</f>
        <v>120</v>
      </c>
      <c r="J121" s="137">
        <f>IFERROR(INDEX(Aktiv!$J$6:$J$326,MATCH(A121,Aktiv!$A$6:$A$326,0)),"")</f>
        <v>145</v>
      </c>
      <c r="K121" s="141">
        <f>IFERROR(ROUND(G121*Steuerungsdaten!$B$5,0),"-")</f>
        <v>29</v>
      </c>
      <c r="L121" s="137">
        <f>IFERROR(ROUND(H121*Steuerungsdaten!$B$5,0),"-")</f>
        <v>118</v>
      </c>
      <c r="M121" s="137">
        <f>IFERROR(ROUND(I121*Steuerungsdaten!$B$5,0),"-")</f>
        <v>138</v>
      </c>
      <c r="N121" s="137">
        <f>IFERROR(ROUND(J121*Steuerungsdaten!$B$5,0),"-")</f>
        <v>167</v>
      </c>
      <c r="O121" s="143" t="str">
        <f>IF(ISNA(MATCH(A121,Aktiv!$A$6:$A$326,0)),"⚠ nicht im Modell","")</f>
        <v/>
      </c>
    </row>
    <row r="122" spans="1:15" ht="18" customHeight="1" x14ac:dyDescent="0.25">
      <c r="A122" s="135">
        <v>3601</v>
      </c>
      <c r="B122" s="136" t="s">
        <v>7</v>
      </c>
      <c r="C122" s="136" t="s">
        <v>135</v>
      </c>
      <c r="D122" s="136" t="s">
        <v>137</v>
      </c>
      <c r="E122" s="138">
        <v>360</v>
      </c>
      <c r="F122" s="138">
        <v>720</v>
      </c>
      <c r="G122" s="137">
        <f>IFERROR(INDEX(Aktiv!$G$6:$G$326,MATCH(A122,Aktiv!$A$6:$A$326,0)),"")</f>
        <v>46</v>
      </c>
      <c r="H122" s="137">
        <f>IFERROR(INDEX(Aktiv!$H$6:$H$326,MATCH(A122,Aktiv!$A$6:$A$326,0)),"")</f>
        <v>156</v>
      </c>
      <c r="I122" s="137">
        <f>IFERROR(INDEX(Aktiv!$I$6:$I$326,MATCH(A122,Aktiv!$A$6:$A$326,0)),"")</f>
        <v>163</v>
      </c>
      <c r="J122" s="137">
        <f>IFERROR(INDEX(Aktiv!$J$6:$J$326,MATCH(A122,Aktiv!$A$6:$A$326,0)),"")</f>
        <v>181</v>
      </c>
      <c r="K122" s="141">
        <f>IFERROR(ROUND(G122*Steuerungsdaten!$B$5,0),"-")</f>
        <v>53</v>
      </c>
      <c r="L122" s="137">
        <f>IFERROR(ROUND(H122*Steuerungsdaten!$B$5,0),"-")</f>
        <v>179</v>
      </c>
      <c r="M122" s="137">
        <f>IFERROR(ROUND(I122*Steuerungsdaten!$B$5,0),"-")</f>
        <v>187</v>
      </c>
      <c r="N122" s="137">
        <f>IFERROR(ROUND(J122*Steuerungsdaten!$B$5,0),"-")</f>
        <v>208</v>
      </c>
      <c r="O122" s="143" t="str">
        <f>IF(ISNA(MATCH(A122,Aktiv!$A$6:$A$326,0)),"⚠ nicht im Modell","")</f>
        <v/>
      </c>
    </row>
    <row r="123" spans="1:15" ht="18" customHeight="1" x14ac:dyDescent="0.25">
      <c r="A123" s="135">
        <v>3602</v>
      </c>
      <c r="B123" s="136" t="s">
        <v>7</v>
      </c>
      <c r="C123" s="136" t="s">
        <v>135</v>
      </c>
      <c r="D123" s="136" t="s">
        <v>138</v>
      </c>
      <c r="E123" s="138">
        <v>360</v>
      </c>
      <c r="F123" s="138">
        <v>1080</v>
      </c>
      <c r="G123" s="137">
        <f>IFERROR(INDEX(Aktiv!$G$6:$G$326,MATCH(A123,Aktiv!$A$6:$A$326,0)),"")</f>
        <v>68</v>
      </c>
      <c r="H123" s="137">
        <f>IFERROR(INDEX(Aktiv!$H$6:$H$326,MATCH(A123,Aktiv!$A$6:$A$326,0)),"")</f>
        <v>235</v>
      </c>
      <c r="I123" s="137">
        <f>IFERROR(INDEX(Aktiv!$I$6:$I$326,MATCH(A123,Aktiv!$A$6:$A$326,0)),"")</f>
        <v>244</v>
      </c>
      <c r="J123" s="137">
        <f>IFERROR(INDEX(Aktiv!$J$6:$J$326,MATCH(A123,Aktiv!$A$6:$A$326,0)),"")</f>
        <v>272</v>
      </c>
      <c r="K123" s="141">
        <f>IFERROR(ROUND(G123*Steuerungsdaten!$B$5,0),"-")</f>
        <v>78</v>
      </c>
      <c r="L123" s="137">
        <f>IFERROR(ROUND(H123*Steuerungsdaten!$B$5,0),"-")</f>
        <v>270</v>
      </c>
      <c r="M123" s="137">
        <f>IFERROR(ROUND(I123*Steuerungsdaten!$B$5,0),"-")</f>
        <v>281</v>
      </c>
      <c r="N123" s="137">
        <f>IFERROR(ROUND(J123*Steuerungsdaten!$B$5,0),"-")</f>
        <v>313</v>
      </c>
      <c r="O123" s="143" t="str">
        <f>IF(ISNA(MATCH(A123,Aktiv!$A$6:$A$326,0)),"⚠ nicht im Modell","")</f>
        <v/>
      </c>
    </row>
    <row r="124" spans="1:15" ht="18" customHeight="1" x14ac:dyDescent="0.25">
      <c r="A124" s="135">
        <v>3603</v>
      </c>
      <c r="B124" s="136" t="s">
        <v>7</v>
      </c>
      <c r="C124" s="136" t="s">
        <v>135</v>
      </c>
      <c r="D124" s="136" t="s">
        <v>139</v>
      </c>
      <c r="E124" s="138">
        <v>360</v>
      </c>
      <c r="F124" s="138">
        <v>1440</v>
      </c>
      <c r="G124" s="137">
        <f>IFERROR(INDEX(Aktiv!$G$6:$G$326,MATCH(A124,Aktiv!$A$6:$A$326,0)),"")</f>
        <v>91</v>
      </c>
      <c r="H124" s="137">
        <f>IFERROR(INDEX(Aktiv!$H$6:$H$326,MATCH(A124,Aktiv!$A$6:$A$326,0)),"")</f>
        <v>313</v>
      </c>
      <c r="I124" s="137">
        <f>IFERROR(INDEX(Aktiv!$I$6:$I$326,MATCH(A124,Aktiv!$A$6:$A$326,0)),"")</f>
        <v>326</v>
      </c>
      <c r="J124" s="137">
        <f>IFERROR(INDEX(Aktiv!$J$6:$J$326,MATCH(A124,Aktiv!$A$6:$A$326,0)),"")</f>
        <v>363</v>
      </c>
      <c r="K124" s="141">
        <f>IFERROR(ROUND(G124*Steuerungsdaten!$B$5,0),"-")</f>
        <v>105</v>
      </c>
      <c r="L124" s="137">
        <f>IFERROR(ROUND(H124*Steuerungsdaten!$B$5,0),"-")</f>
        <v>360</v>
      </c>
      <c r="M124" s="137">
        <f>IFERROR(ROUND(I124*Steuerungsdaten!$B$5,0),"-")</f>
        <v>375</v>
      </c>
      <c r="N124" s="137">
        <f>IFERROR(ROUND(J124*Steuerungsdaten!$B$5,0),"-")</f>
        <v>417</v>
      </c>
      <c r="O124" s="143" t="str">
        <f>IF(ISNA(MATCH(A124,Aktiv!$A$6:$A$326,0)),"⚠ nicht im Modell","")</f>
        <v/>
      </c>
    </row>
    <row r="125" spans="1:15" ht="18" customHeight="1" x14ac:dyDescent="0.25">
      <c r="A125" s="135">
        <v>3604</v>
      </c>
      <c r="B125" s="136" t="s">
        <v>7</v>
      </c>
      <c r="C125" s="136" t="s">
        <v>135</v>
      </c>
      <c r="D125" s="136" t="s">
        <v>140</v>
      </c>
      <c r="E125" s="138">
        <v>360</v>
      </c>
      <c r="F125" s="138">
        <v>1800</v>
      </c>
      <c r="G125" s="137">
        <f>IFERROR(INDEX(Aktiv!$G$6:$G$326,MATCH(A125,Aktiv!$A$6:$A$326,0)),"")</f>
        <v>114</v>
      </c>
      <c r="H125" s="137">
        <f>IFERROR(INDEX(Aktiv!$H$6:$H$326,MATCH(A125,Aktiv!$A$6:$A$326,0)),"")</f>
        <v>391</v>
      </c>
      <c r="I125" s="137">
        <f>IFERROR(INDEX(Aktiv!$I$6:$I$326,MATCH(A125,Aktiv!$A$6:$A$326,0)),"")</f>
        <v>407</v>
      </c>
      <c r="J125" s="137">
        <f>IFERROR(INDEX(Aktiv!$J$6:$J$326,MATCH(A125,Aktiv!$A$6:$A$326,0)),"")</f>
        <v>453</v>
      </c>
      <c r="K125" s="141">
        <f>IFERROR(ROUND(G125*Steuerungsdaten!$B$5,0),"-")</f>
        <v>131</v>
      </c>
      <c r="L125" s="137">
        <f>IFERROR(ROUND(H125*Steuerungsdaten!$B$5,0),"-")</f>
        <v>450</v>
      </c>
      <c r="M125" s="137">
        <f>IFERROR(ROUND(I125*Steuerungsdaten!$B$5,0),"-")</f>
        <v>468</v>
      </c>
      <c r="N125" s="137">
        <f>IFERROR(ROUND(J125*Steuerungsdaten!$B$5,0),"-")</f>
        <v>521</v>
      </c>
      <c r="O125" s="143" t="str">
        <f>IF(ISNA(MATCH(A125,Aktiv!$A$6:$A$326,0)),"⚠ nicht im Modell","")</f>
        <v/>
      </c>
    </row>
    <row r="126" spans="1:15" ht="18" customHeight="1" x14ac:dyDescent="0.25">
      <c r="A126" s="135">
        <v>3605</v>
      </c>
      <c r="B126" s="136" t="s">
        <v>7</v>
      </c>
      <c r="C126" s="136" t="s">
        <v>135</v>
      </c>
      <c r="D126" s="136" t="s">
        <v>141</v>
      </c>
      <c r="E126" s="138">
        <v>580</v>
      </c>
      <c r="F126" s="138">
        <v>360</v>
      </c>
      <c r="G126" s="137">
        <f>IFERROR(INDEX(Aktiv!$G$6:$G$326,MATCH(A126,Aktiv!$A$6:$A$326,0)),"")</f>
        <v>37</v>
      </c>
      <c r="H126" s="137">
        <f>IFERROR(INDEX(Aktiv!$H$6:$H$326,MATCH(A126,Aktiv!$A$6:$A$326,0)),"")</f>
        <v>126</v>
      </c>
      <c r="I126" s="137">
        <f>IFERROR(INDEX(Aktiv!$I$6:$I$326,MATCH(A126,Aktiv!$A$6:$A$326,0)),"")</f>
        <v>131</v>
      </c>
      <c r="J126" s="137">
        <f>IFERROR(INDEX(Aktiv!$J$6:$J$326,MATCH(A126,Aktiv!$A$6:$A$326,0)),"")</f>
        <v>146</v>
      </c>
      <c r="K126" s="141">
        <f>IFERROR(ROUND(G126*Steuerungsdaten!$B$5,0),"-")</f>
        <v>43</v>
      </c>
      <c r="L126" s="137">
        <f>IFERROR(ROUND(H126*Steuerungsdaten!$B$5,0),"-")</f>
        <v>145</v>
      </c>
      <c r="M126" s="137">
        <f>IFERROR(ROUND(I126*Steuerungsdaten!$B$5,0),"-")</f>
        <v>151</v>
      </c>
      <c r="N126" s="137">
        <f>IFERROR(ROUND(J126*Steuerungsdaten!$B$5,0),"-")</f>
        <v>168</v>
      </c>
      <c r="O126" s="143" t="str">
        <f>IF(ISNA(MATCH(A126,Aktiv!$A$6:$A$326,0)),"⚠ nicht im Modell","")</f>
        <v/>
      </c>
    </row>
    <row r="127" spans="1:15" ht="18" customHeight="1" x14ac:dyDescent="0.25">
      <c r="A127" s="135">
        <v>3606</v>
      </c>
      <c r="B127" s="136" t="s">
        <v>7</v>
      </c>
      <c r="C127" s="136" t="s">
        <v>135</v>
      </c>
      <c r="D127" s="136" t="s">
        <v>142</v>
      </c>
      <c r="E127" s="138">
        <v>580</v>
      </c>
      <c r="F127" s="138">
        <v>720</v>
      </c>
      <c r="G127" s="137">
        <f>IFERROR(INDEX(Aktiv!$G$6:$G$326,MATCH(A127,Aktiv!$A$6:$A$326,0)),"")</f>
        <v>73</v>
      </c>
      <c r="H127" s="137">
        <f>IFERROR(INDEX(Aktiv!$H$6:$H$326,MATCH(A127,Aktiv!$A$6:$A$326,0)),"")</f>
        <v>252</v>
      </c>
      <c r="I127" s="137">
        <f>IFERROR(INDEX(Aktiv!$I$6:$I$326,MATCH(A127,Aktiv!$A$6:$A$326,0)),"")</f>
        <v>262</v>
      </c>
      <c r="J127" s="137">
        <f>IFERROR(INDEX(Aktiv!$J$6:$J$326,MATCH(A127,Aktiv!$A$6:$A$326,0)),"")</f>
        <v>292</v>
      </c>
      <c r="K127" s="141">
        <f>IFERROR(ROUND(G127*Steuerungsdaten!$B$5,0),"-")</f>
        <v>84</v>
      </c>
      <c r="L127" s="137">
        <f>IFERROR(ROUND(H127*Steuerungsdaten!$B$5,0),"-")</f>
        <v>290</v>
      </c>
      <c r="M127" s="137">
        <f>IFERROR(ROUND(I127*Steuerungsdaten!$B$5,0),"-")</f>
        <v>301</v>
      </c>
      <c r="N127" s="137">
        <f>IFERROR(ROUND(J127*Steuerungsdaten!$B$5,0),"-")</f>
        <v>336</v>
      </c>
      <c r="O127" s="143" t="str">
        <f>IF(ISNA(MATCH(A127,Aktiv!$A$6:$A$326,0)),"⚠ nicht im Modell","")</f>
        <v/>
      </c>
    </row>
    <row r="128" spans="1:15" ht="18" customHeight="1" x14ac:dyDescent="0.25">
      <c r="A128" s="135">
        <v>3607</v>
      </c>
      <c r="B128" s="136" t="s">
        <v>7</v>
      </c>
      <c r="C128" s="136" t="s">
        <v>135</v>
      </c>
      <c r="D128" s="136" t="s">
        <v>143</v>
      </c>
      <c r="E128" s="138">
        <v>580</v>
      </c>
      <c r="F128" s="138">
        <v>1080</v>
      </c>
      <c r="G128" s="137">
        <f>IFERROR(INDEX(Aktiv!$G$6:$G$326,MATCH(A128,Aktiv!$A$6:$A$326,0)),"")</f>
        <v>110</v>
      </c>
      <c r="H128" s="137">
        <f>IFERROR(INDEX(Aktiv!$H$6:$H$326,MATCH(A128,Aktiv!$A$6:$A$326,0)),"")</f>
        <v>378</v>
      </c>
      <c r="I128" s="137">
        <f>IFERROR(INDEX(Aktiv!$I$6:$I$326,MATCH(A128,Aktiv!$A$6:$A$326,0)),"")</f>
        <v>394</v>
      </c>
      <c r="J128" s="137">
        <f>IFERROR(INDEX(Aktiv!$J$6:$J$326,MATCH(A128,Aktiv!$A$6:$A$326,0)),"")</f>
        <v>438</v>
      </c>
      <c r="K128" s="141">
        <f>IFERROR(ROUND(G128*Steuerungsdaten!$B$5,0),"-")</f>
        <v>127</v>
      </c>
      <c r="L128" s="137">
        <f>IFERROR(ROUND(H128*Steuerungsdaten!$B$5,0),"-")</f>
        <v>435</v>
      </c>
      <c r="M128" s="137">
        <f>IFERROR(ROUND(I128*Steuerungsdaten!$B$5,0),"-")</f>
        <v>453</v>
      </c>
      <c r="N128" s="137">
        <f>IFERROR(ROUND(J128*Steuerungsdaten!$B$5,0),"-")</f>
        <v>504</v>
      </c>
      <c r="O128" s="143" t="str">
        <f>IF(ISNA(MATCH(A128,Aktiv!$A$6:$A$326,0)),"⚠ nicht im Modell","")</f>
        <v/>
      </c>
    </row>
    <row r="129" spans="1:15" ht="18" customHeight="1" x14ac:dyDescent="0.25">
      <c r="A129" s="135">
        <v>3608</v>
      </c>
      <c r="B129" s="136" t="s">
        <v>7</v>
      </c>
      <c r="C129" s="136" t="s">
        <v>135</v>
      </c>
      <c r="D129" s="136" t="s">
        <v>144</v>
      </c>
      <c r="E129" s="138">
        <v>580</v>
      </c>
      <c r="F129" s="138">
        <v>1440</v>
      </c>
      <c r="G129" s="137">
        <f>IFERROR(INDEX(Aktiv!$G$6:$G$326,MATCH(A129,Aktiv!$A$6:$A$326,0)),"")</f>
        <v>147</v>
      </c>
      <c r="H129" s="137">
        <f>IFERROR(INDEX(Aktiv!$H$6:$H$326,MATCH(A129,Aktiv!$A$6:$A$326,0)),"")</f>
        <v>504</v>
      </c>
      <c r="I129" s="137">
        <f>IFERROR(INDEX(Aktiv!$I$6:$I$326,MATCH(A129,Aktiv!$A$6:$A$326,0)),"")</f>
        <v>525</v>
      </c>
      <c r="J129" s="137">
        <f>IFERROR(INDEX(Aktiv!$J$6:$J$326,MATCH(A129,Aktiv!$A$6:$A$326,0)),"")</f>
        <v>584</v>
      </c>
      <c r="K129" s="141">
        <f>IFERROR(ROUND(G129*Steuerungsdaten!$B$5,0),"-")</f>
        <v>169</v>
      </c>
      <c r="L129" s="137">
        <f>IFERROR(ROUND(H129*Steuerungsdaten!$B$5,0),"-")</f>
        <v>580</v>
      </c>
      <c r="M129" s="137">
        <f>IFERROR(ROUND(I129*Steuerungsdaten!$B$5,0),"-")</f>
        <v>604</v>
      </c>
      <c r="N129" s="137">
        <f>IFERROR(ROUND(J129*Steuerungsdaten!$B$5,0),"-")</f>
        <v>672</v>
      </c>
      <c r="O129" s="143" t="str">
        <f>IF(ISNA(MATCH(A129,Aktiv!$A$6:$A$326,0)),"⚠ nicht im Modell","")</f>
        <v/>
      </c>
    </row>
    <row r="130" spans="1:15" ht="18" customHeight="1" x14ac:dyDescent="0.25">
      <c r="A130" s="135">
        <v>3609</v>
      </c>
      <c r="B130" s="136" t="s">
        <v>7</v>
      </c>
      <c r="C130" s="136" t="s">
        <v>135</v>
      </c>
      <c r="D130" s="136" t="s">
        <v>145</v>
      </c>
      <c r="E130" s="138">
        <v>580</v>
      </c>
      <c r="F130" s="138">
        <v>1800</v>
      </c>
      <c r="G130" s="137">
        <f>IFERROR(INDEX(Aktiv!$G$6:$G$326,MATCH(A130,Aktiv!$A$6:$A$326,0)),"")</f>
        <v>184</v>
      </c>
      <c r="H130" s="137">
        <f>IFERROR(INDEX(Aktiv!$H$6:$H$326,MATCH(A130,Aktiv!$A$6:$A$326,0)),"")</f>
        <v>630</v>
      </c>
      <c r="I130" s="137">
        <f>IFERROR(INDEX(Aktiv!$I$6:$I$326,MATCH(A130,Aktiv!$A$6:$A$326,0)),"")</f>
        <v>656</v>
      </c>
      <c r="J130" s="137">
        <f>IFERROR(INDEX(Aktiv!$J$6:$J$326,MATCH(A130,Aktiv!$A$6:$A$326,0)),"")</f>
        <v>730</v>
      </c>
      <c r="K130" s="141">
        <f>IFERROR(ROUND(G130*Steuerungsdaten!$B$5,0),"-")</f>
        <v>212</v>
      </c>
      <c r="L130" s="137">
        <f>IFERROR(ROUND(H130*Steuerungsdaten!$B$5,0),"-")</f>
        <v>725</v>
      </c>
      <c r="M130" s="137">
        <f>IFERROR(ROUND(I130*Steuerungsdaten!$B$5,0),"-")</f>
        <v>754</v>
      </c>
      <c r="N130" s="137">
        <f>IFERROR(ROUND(J130*Steuerungsdaten!$B$5,0),"-")</f>
        <v>840</v>
      </c>
      <c r="O130" s="143" t="str">
        <f>IF(ISNA(MATCH(A130,Aktiv!$A$6:$A$326,0)),"⚠ nicht im Modell","")</f>
        <v/>
      </c>
    </row>
    <row r="131" spans="1:15" ht="18" customHeight="1" x14ac:dyDescent="0.25">
      <c r="A131" s="135">
        <v>3610</v>
      </c>
      <c r="B131" s="136" t="s">
        <v>7</v>
      </c>
      <c r="C131" s="136" t="s">
        <v>135</v>
      </c>
      <c r="D131" s="136" t="s">
        <v>146</v>
      </c>
      <c r="E131" s="138">
        <v>720</v>
      </c>
      <c r="F131" s="138">
        <v>780</v>
      </c>
      <c r="G131" s="137" t="str">
        <f>IFERROR(INDEX(Aktiv!$G$6:$G$326,MATCH(A131,Aktiv!$A$6:$A$326,0)),"")</f>
        <v>-</v>
      </c>
      <c r="H131" s="137" t="str">
        <f>IFERROR(INDEX(Aktiv!$H$6:$H$326,MATCH(A131,Aktiv!$A$6:$A$326,0)),"")</f>
        <v>-</v>
      </c>
      <c r="I131" s="137" t="str">
        <f>IFERROR(INDEX(Aktiv!$I$6:$I$326,MATCH(A131,Aktiv!$A$6:$A$326,0)),"")</f>
        <v>-</v>
      </c>
      <c r="J131" s="137" t="str">
        <f>IFERROR(INDEX(Aktiv!$J$6:$J$326,MATCH(A131,Aktiv!$A$6:$A$326,0)),"")</f>
        <v>-</v>
      </c>
      <c r="K131" s="141" t="str">
        <f>IFERROR(ROUND(G131*Steuerungsdaten!$B$5,0),"-")</f>
        <v>-</v>
      </c>
      <c r="L131" s="137" t="str">
        <f>IFERROR(ROUND(H131*Steuerungsdaten!$B$5,0),"-")</f>
        <v>-</v>
      </c>
      <c r="M131" s="137" t="str">
        <f>IFERROR(ROUND(I131*Steuerungsdaten!$B$5,0),"-")</f>
        <v>-</v>
      </c>
      <c r="N131" s="137" t="str">
        <f>IFERROR(ROUND(J131*Steuerungsdaten!$B$5,0),"-")</f>
        <v>-</v>
      </c>
      <c r="O131" s="143" t="str">
        <f>IF(ISNA(MATCH(A131,Aktiv!$A$6:$A$326,0)),"⚠ nicht im Modell","")</f>
        <v/>
      </c>
    </row>
    <row r="132" spans="1:15" ht="18" customHeight="1" x14ac:dyDescent="0.25">
      <c r="A132" s="135">
        <v>3611</v>
      </c>
      <c r="B132" s="136" t="s">
        <v>7</v>
      </c>
      <c r="C132" s="136" t="s">
        <v>135</v>
      </c>
      <c r="D132" s="136" t="s">
        <v>147</v>
      </c>
      <c r="E132" s="138">
        <v>720</v>
      </c>
      <c r="F132" s="138">
        <v>980</v>
      </c>
      <c r="G132" s="137" t="str">
        <f>IFERROR(INDEX(Aktiv!$G$6:$G$326,MATCH(A132,Aktiv!$A$6:$A$326,0)),"")</f>
        <v>-</v>
      </c>
      <c r="H132" s="137" t="str">
        <f>IFERROR(INDEX(Aktiv!$H$6:$H$326,MATCH(A132,Aktiv!$A$6:$A$326,0)),"")</f>
        <v>-</v>
      </c>
      <c r="I132" s="137" t="str">
        <f>IFERROR(INDEX(Aktiv!$I$6:$I$326,MATCH(A132,Aktiv!$A$6:$A$326,0)),"")</f>
        <v>-</v>
      </c>
      <c r="J132" s="137" t="str">
        <f>IFERROR(INDEX(Aktiv!$J$6:$J$326,MATCH(A132,Aktiv!$A$6:$A$326,0)),"")</f>
        <v>-</v>
      </c>
      <c r="K132" s="141" t="str">
        <f>IFERROR(ROUND(G132*Steuerungsdaten!$B$5,0),"-")</f>
        <v>-</v>
      </c>
      <c r="L132" s="137" t="str">
        <f>IFERROR(ROUND(H132*Steuerungsdaten!$B$5,0),"-")</f>
        <v>-</v>
      </c>
      <c r="M132" s="137" t="str">
        <f>IFERROR(ROUND(I132*Steuerungsdaten!$B$5,0),"-")</f>
        <v>-</v>
      </c>
      <c r="N132" s="137" t="str">
        <f>IFERROR(ROUND(J132*Steuerungsdaten!$B$5,0),"-")</f>
        <v>-</v>
      </c>
      <c r="O132" s="143" t="str">
        <f>IF(ISNA(MATCH(A132,Aktiv!$A$6:$A$326,0)),"⚠ nicht im Modell","")</f>
        <v/>
      </c>
    </row>
    <row r="133" spans="1:15" ht="18" customHeight="1" x14ac:dyDescent="0.25">
      <c r="A133" s="135">
        <v>3612</v>
      </c>
      <c r="B133" s="136" t="s">
        <v>7</v>
      </c>
      <c r="C133" s="136" t="s">
        <v>135</v>
      </c>
      <c r="D133" s="136" t="s">
        <v>148</v>
      </c>
      <c r="E133" s="138">
        <v>1080</v>
      </c>
      <c r="F133" s="138">
        <v>780</v>
      </c>
      <c r="G133" s="137" t="str">
        <f>IFERROR(INDEX(Aktiv!$G$6:$G$326,MATCH(A133,Aktiv!$A$6:$A$326,0)),"")</f>
        <v>-</v>
      </c>
      <c r="H133" s="137" t="str">
        <f>IFERROR(INDEX(Aktiv!$H$6:$H$326,MATCH(A133,Aktiv!$A$6:$A$326,0)),"")</f>
        <v>-</v>
      </c>
      <c r="I133" s="137" t="str">
        <f>IFERROR(INDEX(Aktiv!$I$6:$I$326,MATCH(A133,Aktiv!$A$6:$A$326,0)),"")</f>
        <v>-</v>
      </c>
      <c r="J133" s="137" t="str">
        <f>IFERROR(INDEX(Aktiv!$J$6:$J$326,MATCH(A133,Aktiv!$A$6:$A$326,0)),"")</f>
        <v>-</v>
      </c>
      <c r="K133" s="141" t="str">
        <f>IFERROR(ROUND(G133*Steuerungsdaten!$B$5,0),"-")</f>
        <v>-</v>
      </c>
      <c r="L133" s="137" t="str">
        <f>IFERROR(ROUND(H133*Steuerungsdaten!$B$5,0),"-")</f>
        <v>-</v>
      </c>
      <c r="M133" s="137" t="str">
        <f>IFERROR(ROUND(I133*Steuerungsdaten!$B$5,0),"-")</f>
        <v>-</v>
      </c>
      <c r="N133" s="137" t="str">
        <f>IFERROR(ROUND(J133*Steuerungsdaten!$B$5,0),"-")</f>
        <v>-</v>
      </c>
      <c r="O133" s="143" t="str">
        <f>IF(ISNA(MATCH(A133,Aktiv!$A$6:$A$326,0)),"⚠ nicht im Modell","")</f>
        <v/>
      </c>
    </row>
    <row r="134" spans="1:15" ht="18" customHeight="1" x14ac:dyDescent="0.25">
      <c r="A134" s="135">
        <v>3613</v>
      </c>
      <c r="B134" s="136" t="s">
        <v>7</v>
      </c>
      <c r="C134" s="136" t="s">
        <v>135</v>
      </c>
      <c r="D134" s="136" t="s">
        <v>149</v>
      </c>
      <c r="E134" s="138">
        <v>1080</v>
      </c>
      <c r="F134" s="138">
        <v>980</v>
      </c>
      <c r="G134" s="137" t="str">
        <f>IFERROR(INDEX(Aktiv!$G$6:$G$326,MATCH(A134,Aktiv!$A$6:$A$326,0)),"")</f>
        <v>-</v>
      </c>
      <c r="H134" s="137" t="str">
        <f>IFERROR(INDEX(Aktiv!$H$6:$H$326,MATCH(A134,Aktiv!$A$6:$A$326,0)),"")</f>
        <v>-</v>
      </c>
      <c r="I134" s="137" t="str">
        <f>IFERROR(INDEX(Aktiv!$I$6:$I$326,MATCH(A134,Aktiv!$A$6:$A$326,0)),"")</f>
        <v>-</v>
      </c>
      <c r="J134" s="137" t="str">
        <f>IFERROR(INDEX(Aktiv!$J$6:$J$326,MATCH(A134,Aktiv!$A$6:$A$326,0)),"")</f>
        <v>-</v>
      </c>
      <c r="K134" s="141" t="str">
        <f>IFERROR(ROUND(G134*Steuerungsdaten!$B$5,0),"-")</f>
        <v>-</v>
      </c>
      <c r="L134" s="137" t="str">
        <f>IFERROR(ROUND(H134*Steuerungsdaten!$B$5,0),"-")</f>
        <v>-</v>
      </c>
      <c r="M134" s="137" t="str">
        <f>IFERROR(ROUND(I134*Steuerungsdaten!$B$5,0),"-")</f>
        <v>-</v>
      </c>
      <c r="N134" s="137" t="str">
        <f>IFERROR(ROUND(J134*Steuerungsdaten!$B$5,0),"-")</f>
        <v>-</v>
      </c>
      <c r="O134" s="143" t="str">
        <f>IF(ISNA(MATCH(A134,Aktiv!$A$6:$A$326,0)),"⚠ nicht im Modell","")</f>
        <v/>
      </c>
    </row>
    <row r="135" spans="1:15" ht="18" customHeight="1" x14ac:dyDescent="0.25">
      <c r="A135" s="135">
        <v>3614</v>
      </c>
      <c r="B135" s="136" t="s">
        <v>7</v>
      </c>
      <c r="C135" s="136" t="s">
        <v>135</v>
      </c>
      <c r="D135" s="136" t="s">
        <v>150</v>
      </c>
      <c r="E135" s="138">
        <v>1440</v>
      </c>
      <c r="F135" s="138">
        <v>780</v>
      </c>
      <c r="G135" s="137" t="str">
        <f>IFERROR(INDEX(Aktiv!$G$6:$G$326,MATCH(A135,Aktiv!$A$6:$A$326,0)),"")</f>
        <v>-</v>
      </c>
      <c r="H135" s="137" t="str">
        <f>IFERROR(INDEX(Aktiv!$H$6:$H$326,MATCH(A135,Aktiv!$A$6:$A$326,0)),"")</f>
        <v>-</v>
      </c>
      <c r="I135" s="137" t="str">
        <f>IFERROR(INDEX(Aktiv!$I$6:$I$326,MATCH(A135,Aktiv!$A$6:$A$326,0)),"")</f>
        <v>-</v>
      </c>
      <c r="J135" s="137" t="str">
        <f>IFERROR(INDEX(Aktiv!$J$6:$J$326,MATCH(A135,Aktiv!$A$6:$A$326,0)),"")</f>
        <v>-</v>
      </c>
      <c r="K135" s="141" t="str">
        <f>IFERROR(ROUND(G135*Steuerungsdaten!$B$5,0),"-")</f>
        <v>-</v>
      </c>
      <c r="L135" s="137" t="str">
        <f>IFERROR(ROUND(H135*Steuerungsdaten!$B$5,0),"-")</f>
        <v>-</v>
      </c>
      <c r="M135" s="137" t="str">
        <f>IFERROR(ROUND(I135*Steuerungsdaten!$B$5,0),"-")</f>
        <v>-</v>
      </c>
      <c r="N135" s="137" t="str">
        <f>IFERROR(ROUND(J135*Steuerungsdaten!$B$5,0),"-")</f>
        <v>-</v>
      </c>
      <c r="O135" s="143" t="str">
        <f>IF(ISNA(MATCH(A135,Aktiv!$A$6:$A$326,0)),"⚠ nicht im Modell","")</f>
        <v/>
      </c>
    </row>
    <row r="136" spans="1:15" ht="18" customHeight="1" x14ac:dyDescent="0.25">
      <c r="A136" s="135">
        <v>3615</v>
      </c>
      <c r="B136" s="136" t="s">
        <v>7</v>
      </c>
      <c r="C136" s="136" t="s">
        <v>135</v>
      </c>
      <c r="D136" s="136" t="s">
        <v>151</v>
      </c>
      <c r="E136" s="138">
        <v>1440</v>
      </c>
      <c r="F136" s="138">
        <v>980</v>
      </c>
      <c r="G136" s="137" t="str">
        <f>IFERROR(INDEX(Aktiv!$G$6:$G$326,MATCH(A136,Aktiv!$A$6:$A$326,0)),"")</f>
        <v>-</v>
      </c>
      <c r="H136" s="137" t="str">
        <f>IFERROR(INDEX(Aktiv!$H$6:$H$326,MATCH(A136,Aktiv!$A$6:$A$326,0)),"")</f>
        <v>-</v>
      </c>
      <c r="I136" s="137" t="str">
        <f>IFERROR(INDEX(Aktiv!$I$6:$I$326,MATCH(A136,Aktiv!$A$6:$A$326,0)),"")</f>
        <v>-</v>
      </c>
      <c r="J136" s="137" t="str">
        <f>IFERROR(INDEX(Aktiv!$J$6:$J$326,MATCH(A136,Aktiv!$A$6:$A$326,0)),"")</f>
        <v>-</v>
      </c>
      <c r="K136" s="141" t="str">
        <f>IFERROR(ROUND(G136*Steuerungsdaten!$B$5,0),"-")</f>
        <v>-</v>
      </c>
      <c r="L136" s="137" t="str">
        <f>IFERROR(ROUND(H136*Steuerungsdaten!$B$5,0),"-")</f>
        <v>-</v>
      </c>
      <c r="M136" s="137" t="str">
        <f>IFERROR(ROUND(I136*Steuerungsdaten!$B$5,0),"-")</f>
        <v>-</v>
      </c>
      <c r="N136" s="137" t="str">
        <f>IFERROR(ROUND(J136*Steuerungsdaten!$B$5,0),"-")</f>
        <v>-</v>
      </c>
      <c r="O136" s="143" t="str">
        <f>IF(ISNA(MATCH(A136,Aktiv!$A$6:$A$326,0)),"⚠ nicht im Modell","")</f>
        <v/>
      </c>
    </row>
    <row r="137" spans="1:15" ht="18" customHeight="1" x14ac:dyDescent="0.25">
      <c r="A137" s="135">
        <v>3616</v>
      </c>
      <c r="B137" s="136" t="s">
        <v>7</v>
      </c>
      <c r="C137" s="136" t="s">
        <v>135</v>
      </c>
      <c r="D137" s="136" t="s">
        <v>152</v>
      </c>
      <c r="E137" s="138">
        <v>1800</v>
      </c>
      <c r="F137" s="138">
        <v>780</v>
      </c>
      <c r="G137" s="137" t="str">
        <f>IFERROR(INDEX(Aktiv!$G$6:$G$326,MATCH(A137,Aktiv!$A$6:$A$326,0)),"")</f>
        <v>-</v>
      </c>
      <c r="H137" s="137" t="str">
        <f>IFERROR(INDEX(Aktiv!$H$6:$H$326,MATCH(A137,Aktiv!$A$6:$A$326,0)),"")</f>
        <v>-</v>
      </c>
      <c r="I137" s="137" t="str">
        <f>IFERROR(INDEX(Aktiv!$I$6:$I$326,MATCH(A137,Aktiv!$A$6:$A$326,0)),"")</f>
        <v>-</v>
      </c>
      <c r="J137" s="137" t="str">
        <f>IFERROR(INDEX(Aktiv!$J$6:$J$326,MATCH(A137,Aktiv!$A$6:$A$326,0)),"")</f>
        <v>-</v>
      </c>
      <c r="K137" s="141" t="str">
        <f>IFERROR(ROUND(G137*Steuerungsdaten!$B$5,0),"-")</f>
        <v>-</v>
      </c>
      <c r="L137" s="137" t="str">
        <f>IFERROR(ROUND(H137*Steuerungsdaten!$B$5,0),"-")</f>
        <v>-</v>
      </c>
      <c r="M137" s="137" t="str">
        <f>IFERROR(ROUND(I137*Steuerungsdaten!$B$5,0),"-")</f>
        <v>-</v>
      </c>
      <c r="N137" s="137" t="str">
        <f>IFERROR(ROUND(J137*Steuerungsdaten!$B$5,0),"-")</f>
        <v>-</v>
      </c>
      <c r="O137" s="143" t="str">
        <f>IF(ISNA(MATCH(A137,Aktiv!$A$6:$A$326,0)),"⚠ nicht im Modell","")</f>
        <v/>
      </c>
    </row>
    <row r="138" spans="1:15" ht="18" customHeight="1" x14ac:dyDescent="0.25">
      <c r="A138" s="135">
        <v>3617</v>
      </c>
      <c r="B138" s="136" t="s">
        <v>7</v>
      </c>
      <c r="C138" s="136" t="s">
        <v>135</v>
      </c>
      <c r="D138" s="136" t="s">
        <v>153</v>
      </c>
      <c r="E138" s="138">
        <v>1800</v>
      </c>
      <c r="F138" s="138">
        <v>980</v>
      </c>
      <c r="G138" s="137" t="str">
        <f>IFERROR(INDEX(Aktiv!$G$6:$G$326,MATCH(A138,Aktiv!$A$6:$A$326,0)),"")</f>
        <v>-</v>
      </c>
      <c r="H138" s="137" t="str">
        <f>IFERROR(INDEX(Aktiv!$H$6:$H$326,MATCH(A138,Aktiv!$A$6:$A$326,0)),"")</f>
        <v>-</v>
      </c>
      <c r="I138" s="137" t="str">
        <f>IFERROR(INDEX(Aktiv!$I$6:$I$326,MATCH(A138,Aktiv!$A$6:$A$326,0)),"")</f>
        <v>-</v>
      </c>
      <c r="J138" s="137" t="str">
        <f>IFERROR(INDEX(Aktiv!$J$6:$J$326,MATCH(A138,Aktiv!$A$6:$A$326,0)),"")</f>
        <v>-</v>
      </c>
      <c r="K138" s="141" t="str">
        <f>IFERROR(ROUND(G138*Steuerungsdaten!$B$5,0),"-")</f>
        <v>-</v>
      </c>
      <c r="L138" s="137" t="str">
        <f>IFERROR(ROUND(H138*Steuerungsdaten!$B$5,0),"-")</f>
        <v>-</v>
      </c>
      <c r="M138" s="137" t="str">
        <f>IFERROR(ROUND(I138*Steuerungsdaten!$B$5,0),"-")</f>
        <v>-</v>
      </c>
      <c r="N138" s="137" t="str">
        <f>IFERROR(ROUND(J138*Steuerungsdaten!$B$5,0),"-")</f>
        <v>-</v>
      </c>
      <c r="O138" s="143" t="str">
        <f>IF(ISNA(MATCH(A138,Aktiv!$A$6:$A$326,0)),"⚠ nicht im Modell","")</f>
        <v/>
      </c>
    </row>
    <row r="139" spans="1:15" ht="18" customHeight="1" x14ac:dyDescent="0.25">
      <c r="A139" s="135">
        <v>3620</v>
      </c>
      <c r="B139" s="136" t="s">
        <v>7</v>
      </c>
      <c r="C139" s="136" t="s">
        <v>154</v>
      </c>
      <c r="D139" s="136" t="s">
        <v>155</v>
      </c>
      <c r="E139" s="138">
        <v>360</v>
      </c>
      <c r="F139" s="138">
        <v>360</v>
      </c>
      <c r="G139" s="137">
        <f>IFERROR(INDEX(Aktiv!$G$6:$G$326,MATCH(A139,Aktiv!$A$6:$A$326,0)),"")</f>
        <v>25</v>
      </c>
      <c r="H139" s="137">
        <f>IFERROR(INDEX(Aktiv!$H$6:$H$326,MATCH(A139,Aktiv!$A$6:$A$326,0)),"")</f>
        <v>103</v>
      </c>
      <c r="I139" s="137">
        <f>IFERROR(INDEX(Aktiv!$I$6:$I$326,MATCH(A139,Aktiv!$A$6:$A$326,0)),"")</f>
        <v>120</v>
      </c>
      <c r="J139" s="137">
        <f>IFERROR(INDEX(Aktiv!$J$6:$J$326,MATCH(A139,Aktiv!$A$6:$A$326,0)),"")</f>
        <v>145</v>
      </c>
      <c r="K139" s="141">
        <f>IFERROR(ROUND(G139*Steuerungsdaten!$B$5,0),"-")</f>
        <v>29</v>
      </c>
      <c r="L139" s="137">
        <f>IFERROR(ROUND(H139*Steuerungsdaten!$B$5,0),"-")</f>
        <v>118</v>
      </c>
      <c r="M139" s="137">
        <f>IFERROR(ROUND(I139*Steuerungsdaten!$B$5,0),"-")</f>
        <v>138</v>
      </c>
      <c r="N139" s="137">
        <f>IFERROR(ROUND(J139*Steuerungsdaten!$B$5,0),"-")</f>
        <v>167</v>
      </c>
      <c r="O139" s="143" t="str">
        <f>IF(ISNA(MATCH(A139,Aktiv!$A$6:$A$326,0)),"⚠ nicht im Modell","")</f>
        <v/>
      </c>
    </row>
    <row r="140" spans="1:15" ht="18" customHeight="1" x14ac:dyDescent="0.25">
      <c r="A140" s="135">
        <v>3621</v>
      </c>
      <c r="B140" s="136" t="s">
        <v>7</v>
      </c>
      <c r="C140" s="136" t="s">
        <v>154</v>
      </c>
      <c r="D140" s="136" t="s">
        <v>156</v>
      </c>
      <c r="E140" s="138">
        <v>360</v>
      </c>
      <c r="F140" s="138">
        <v>720</v>
      </c>
      <c r="G140" s="137">
        <f>IFERROR(INDEX(Aktiv!$G$6:$G$326,MATCH(A140,Aktiv!$A$6:$A$326,0)),"")</f>
        <v>46</v>
      </c>
      <c r="H140" s="137">
        <f>IFERROR(INDEX(Aktiv!$H$6:$H$326,MATCH(A140,Aktiv!$A$6:$A$326,0)),"")</f>
        <v>156</v>
      </c>
      <c r="I140" s="137">
        <f>IFERROR(INDEX(Aktiv!$I$6:$I$326,MATCH(A140,Aktiv!$A$6:$A$326,0)),"")</f>
        <v>163</v>
      </c>
      <c r="J140" s="137">
        <f>IFERROR(INDEX(Aktiv!$J$6:$J$326,MATCH(A140,Aktiv!$A$6:$A$326,0)),"")</f>
        <v>181</v>
      </c>
      <c r="K140" s="141">
        <f>IFERROR(ROUND(G140*Steuerungsdaten!$B$5,0),"-")</f>
        <v>53</v>
      </c>
      <c r="L140" s="137">
        <f>IFERROR(ROUND(H140*Steuerungsdaten!$B$5,0),"-")</f>
        <v>179</v>
      </c>
      <c r="M140" s="137">
        <f>IFERROR(ROUND(I140*Steuerungsdaten!$B$5,0),"-")</f>
        <v>187</v>
      </c>
      <c r="N140" s="137">
        <f>IFERROR(ROUND(J140*Steuerungsdaten!$B$5,0),"-")</f>
        <v>208</v>
      </c>
      <c r="O140" s="143" t="str">
        <f>IF(ISNA(MATCH(A140,Aktiv!$A$6:$A$326,0)),"⚠ nicht im Modell","")</f>
        <v/>
      </c>
    </row>
    <row r="141" spans="1:15" ht="18" customHeight="1" x14ac:dyDescent="0.25">
      <c r="A141" s="135">
        <v>3622</v>
      </c>
      <c r="B141" s="136" t="s">
        <v>7</v>
      </c>
      <c r="C141" s="136" t="s">
        <v>154</v>
      </c>
      <c r="D141" s="136" t="s">
        <v>157</v>
      </c>
      <c r="E141" s="138">
        <v>360</v>
      </c>
      <c r="F141" s="138">
        <v>1080</v>
      </c>
      <c r="G141" s="137">
        <f>IFERROR(INDEX(Aktiv!$G$6:$G$326,MATCH(A141,Aktiv!$A$6:$A$326,0)),"")</f>
        <v>68</v>
      </c>
      <c r="H141" s="137">
        <f>IFERROR(INDEX(Aktiv!$H$6:$H$326,MATCH(A141,Aktiv!$A$6:$A$326,0)),"")</f>
        <v>235</v>
      </c>
      <c r="I141" s="137">
        <f>IFERROR(INDEX(Aktiv!$I$6:$I$326,MATCH(A141,Aktiv!$A$6:$A$326,0)),"")</f>
        <v>244</v>
      </c>
      <c r="J141" s="137">
        <f>IFERROR(INDEX(Aktiv!$J$6:$J$326,MATCH(A141,Aktiv!$A$6:$A$326,0)),"")</f>
        <v>272</v>
      </c>
      <c r="K141" s="141">
        <f>IFERROR(ROUND(G141*Steuerungsdaten!$B$5,0),"-")</f>
        <v>78</v>
      </c>
      <c r="L141" s="137">
        <f>IFERROR(ROUND(H141*Steuerungsdaten!$B$5,0),"-")</f>
        <v>270</v>
      </c>
      <c r="M141" s="137">
        <f>IFERROR(ROUND(I141*Steuerungsdaten!$B$5,0),"-")</f>
        <v>281</v>
      </c>
      <c r="N141" s="137">
        <f>IFERROR(ROUND(J141*Steuerungsdaten!$B$5,0),"-")</f>
        <v>313</v>
      </c>
      <c r="O141" s="143" t="str">
        <f>IF(ISNA(MATCH(A141,Aktiv!$A$6:$A$326,0)),"⚠ nicht im Modell","")</f>
        <v/>
      </c>
    </row>
    <row r="142" spans="1:15" ht="18" customHeight="1" x14ac:dyDescent="0.25">
      <c r="A142" s="135">
        <v>3623</v>
      </c>
      <c r="B142" s="136" t="s">
        <v>7</v>
      </c>
      <c r="C142" s="136" t="s">
        <v>154</v>
      </c>
      <c r="D142" s="136" t="s">
        <v>158</v>
      </c>
      <c r="E142" s="138">
        <v>360</v>
      </c>
      <c r="F142" s="138">
        <v>1440</v>
      </c>
      <c r="G142" s="137">
        <f>IFERROR(INDEX(Aktiv!$G$6:$G$326,MATCH(A142,Aktiv!$A$6:$A$326,0)),"")</f>
        <v>91</v>
      </c>
      <c r="H142" s="137">
        <f>IFERROR(INDEX(Aktiv!$H$6:$H$326,MATCH(A142,Aktiv!$A$6:$A$326,0)),"")</f>
        <v>313</v>
      </c>
      <c r="I142" s="137">
        <f>IFERROR(INDEX(Aktiv!$I$6:$I$326,MATCH(A142,Aktiv!$A$6:$A$326,0)),"")</f>
        <v>326</v>
      </c>
      <c r="J142" s="137">
        <f>IFERROR(INDEX(Aktiv!$J$6:$J$326,MATCH(A142,Aktiv!$A$6:$A$326,0)),"")</f>
        <v>363</v>
      </c>
      <c r="K142" s="141">
        <f>IFERROR(ROUND(G142*Steuerungsdaten!$B$5,0),"-")</f>
        <v>105</v>
      </c>
      <c r="L142" s="137">
        <f>IFERROR(ROUND(H142*Steuerungsdaten!$B$5,0),"-")</f>
        <v>360</v>
      </c>
      <c r="M142" s="137">
        <f>IFERROR(ROUND(I142*Steuerungsdaten!$B$5,0),"-")</f>
        <v>375</v>
      </c>
      <c r="N142" s="137">
        <f>IFERROR(ROUND(J142*Steuerungsdaten!$B$5,0),"-")</f>
        <v>417</v>
      </c>
      <c r="O142" s="143" t="str">
        <f>IF(ISNA(MATCH(A142,Aktiv!$A$6:$A$326,0)),"⚠ nicht im Modell","")</f>
        <v/>
      </c>
    </row>
    <row r="143" spans="1:15" ht="18" customHeight="1" x14ac:dyDescent="0.25">
      <c r="A143" s="135">
        <v>3624</v>
      </c>
      <c r="B143" s="136" t="s">
        <v>7</v>
      </c>
      <c r="C143" s="136" t="s">
        <v>154</v>
      </c>
      <c r="D143" s="136" t="s">
        <v>159</v>
      </c>
      <c r="E143" s="138">
        <v>360</v>
      </c>
      <c r="F143" s="138">
        <v>1800</v>
      </c>
      <c r="G143" s="137">
        <f>IFERROR(INDEX(Aktiv!$G$6:$G$326,MATCH(A143,Aktiv!$A$6:$A$326,0)),"")</f>
        <v>114</v>
      </c>
      <c r="H143" s="137">
        <f>IFERROR(INDEX(Aktiv!$H$6:$H$326,MATCH(A143,Aktiv!$A$6:$A$326,0)),"")</f>
        <v>391</v>
      </c>
      <c r="I143" s="137">
        <f>IFERROR(INDEX(Aktiv!$I$6:$I$326,MATCH(A143,Aktiv!$A$6:$A$326,0)),"")</f>
        <v>407</v>
      </c>
      <c r="J143" s="137">
        <f>IFERROR(INDEX(Aktiv!$J$6:$J$326,MATCH(A143,Aktiv!$A$6:$A$326,0)),"")</f>
        <v>453</v>
      </c>
      <c r="K143" s="141">
        <f>IFERROR(ROUND(G143*Steuerungsdaten!$B$5,0),"-")</f>
        <v>131</v>
      </c>
      <c r="L143" s="137">
        <f>IFERROR(ROUND(H143*Steuerungsdaten!$B$5,0),"-")</f>
        <v>450</v>
      </c>
      <c r="M143" s="137">
        <f>IFERROR(ROUND(I143*Steuerungsdaten!$B$5,0),"-")</f>
        <v>468</v>
      </c>
      <c r="N143" s="137">
        <f>IFERROR(ROUND(J143*Steuerungsdaten!$B$5,0),"-")</f>
        <v>521</v>
      </c>
      <c r="O143" s="143" t="str">
        <f>IF(ISNA(MATCH(A143,Aktiv!$A$6:$A$326,0)),"⚠ nicht im Modell","")</f>
        <v/>
      </c>
    </row>
    <row r="144" spans="1:15" ht="18" customHeight="1" x14ac:dyDescent="0.25">
      <c r="A144" s="135">
        <v>3625</v>
      </c>
      <c r="B144" s="136" t="s">
        <v>7</v>
      </c>
      <c r="C144" s="136" t="s">
        <v>154</v>
      </c>
      <c r="D144" s="136" t="s">
        <v>160</v>
      </c>
      <c r="E144" s="138">
        <v>580</v>
      </c>
      <c r="F144" s="138">
        <v>360</v>
      </c>
      <c r="G144" s="137">
        <f>IFERROR(INDEX(Aktiv!$G$6:$G$326,MATCH(A144,Aktiv!$A$6:$A$326,0)),"")</f>
        <v>37</v>
      </c>
      <c r="H144" s="137">
        <f>IFERROR(INDEX(Aktiv!$H$6:$H$326,MATCH(A144,Aktiv!$A$6:$A$326,0)),"")</f>
        <v>126</v>
      </c>
      <c r="I144" s="137">
        <f>IFERROR(INDEX(Aktiv!$I$6:$I$326,MATCH(A144,Aktiv!$A$6:$A$326,0)),"")</f>
        <v>131</v>
      </c>
      <c r="J144" s="137">
        <f>IFERROR(INDEX(Aktiv!$J$6:$J$326,MATCH(A144,Aktiv!$A$6:$A$326,0)),"")</f>
        <v>146</v>
      </c>
      <c r="K144" s="141">
        <f>IFERROR(ROUND(G144*Steuerungsdaten!$B$5,0),"-")</f>
        <v>43</v>
      </c>
      <c r="L144" s="137">
        <f>IFERROR(ROUND(H144*Steuerungsdaten!$B$5,0),"-")</f>
        <v>145</v>
      </c>
      <c r="M144" s="137">
        <f>IFERROR(ROUND(I144*Steuerungsdaten!$B$5,0),"-")</f>
        <v>151</v>
      </c>
      <c r="N144" s="137">
        <f>IFERROR(ROUND(J144*Steuerungsdaten!$B$5,0),"-")</f>
        <v>168</v>
      </c>
      <c r="O144" s="143" t="str">
        <f>IF(ISNA(MATCH(A144,Aktiv!$A$6:$A$326,0)),"⚠ nicht im Modell","")</f>
        <v/>
      </c>
    </row>
    <row r="145" spans="1:15" ht="18" customHeight="1" x14ac:dyDescent="0.25">
      <c r="A145" s="135">
        <v>3626</v>
      </c>
      <c r="B145" s="136" t="s">
        <v>7</v>
      </c>
      <c r="C145" s="136" t="s">
        <v>154</v>
      </c>
      <c r="D145" s="136" t="s">
        <v>161</v>
      </c>
      <c r="E145" s="138">
        <v>580</v>
      </c>
      <c r="F145" s="138">
        <v>720</v>
      </c>
      <c r="G145" s="137">
        <f>IFERROR(INDEX(Aktiv!$G$6:$G$326,MATCH(A145,Aktiv!$A$6:$A$326,0)),"")</f>
        <v>73</v>
      </c>
      <c r="H145" s="137">
        <f>IFERROR(INDEX(Aktiv!$H$6:$H$326,MATCH(A145,Aktiv!$A$6:$A$326,0)),"")</f>
        <v>252</v>
      </c>
      <c r="I145" s="137">
        <f>IFERROR(INDEX(Aktiv!$I$6:$I$326,MATCH(A145,Aktiv!$A$6:$A$326,0)),"")</f>
        <v>262</v>
      </c>
      <c r="J145" s="137">
        <f>IFERROR(INDEX(Aktiv!$J$6:$J$326,MATCH(A145,Aktiv!$A$6:$A$326,0)),"")</f>
        <v>292</v>
      </c>
      <c r="K145" s="141">
        <f>IFERROR(ROUND(G145*Steuerungsdaten!$B$5,0),"-")</f>
        <v>84</v>
      </c>
      <c r="L145" s="137">
        <f>IFERROR(ROUND(H145*Steuerungsdaten!$B$5,0),"-")</f>
        <v>290</v>
      </c>
      <c r="M145" s="137">
        <f>IFERROR(ROUND(I145*Steuerungsdaten!$B$5,0),"-")</f>
        <v>301</v>
      </c>
      <c r="N145" s="137">
        <f>IFERROR(ROUND(J145*Steuerungsdaten!$B$5,0),"-")</f>
        <v>336</v>
      </c>
      <c r="O145" s="143" t="str">
        <f>IF(ISNA(MATCH(A145,Aktiv!$A$6:$A$326,0)),"⚠ nicht im Modell","")</f>
        <v/>
      </c>
    </row>
    <row r="146" spans="1:15" ht="18" customHeight="1" x14ac:dyDescent="0.25">
      <c r="A146" s="135">
        <v>3627</v>
      </c>
      <c r="B146" s="136" t="s">
        <v>7</v>
      </c>
      <c r="C146" s="136" t="s">
        <v>154</v>
      </c>
      <c r="D146" s="136" t="s">
        <v>162</v>
      </c>
      <c r="E146" s="138">
        <v>580</v>
      </c>
      <c r="F146" s="138">
        <v>1080</v>
      </c>
      <c r="G146" s="137">
        <f>IFERROR(INDEX(Aktiv!$G$6:$G$326,MATCH(A146,Aktiv!$A$6:$A$326,0)),"")</f>
        <v>110</v>
      </c>
      <c r="H146" s="137">
        <f>IFERROR(INDEX(Aktiv!$H$6:$H$326,MATCH(A146,Aktiv!$A$6:$A$326,0)),"")</f>
        <v>378</v>
      </c>
      <c r="I146" s="137">
        <f>IFERROR(INDEX(Aktiv!$I$6:$I$326,MATCH(A146,Aktiv!$A$6:$A$326,0)),"")</f>
        <v>394</v>
      </c>
      <c r="J146" s="137">
        <f>IFERROR(INDEX(Aktiv!$J$6:$J$326,MATCH(A146,Aktiv!$A$6:$A$326,0)),"")</f>
        <v>438</v>
      </c>
      <c r="K146" s="141">
        <f>IFERROR(ROUND(G146*Steuerungsdaten!$B$5,0),"-")</f>
        <v>127</v>
      </c>
      <c r="L146" s="137">
        <f>IFERROR(ROUND(H146*Steuerungsdaten!$B$5,0),"-")</f>
        <v>435</v>
      </c>
      <c r="M146" s="137">
        <f>IFERROR(ROUND(I146*Steuerungsdaten!$B$5,0),"-")</f>
        <v>453</v>
      </c>
      <c r="N146" s="137">
        <f>IFERROR(ROUND(J146*Steuerungsdaten!$B$5,0),"-")</f>
        <v>504</v>
      </c>
      <c r="O146" s="143" t="str">
        <f>IF(ISNA(MATCH(A146,Aktiv!$A$6:$A$326,0)),"⚠ nicht im Modell","")</f>
        <v/>
      </c>
    </row>
    <row r="147" spans="1:15" ht="18" customHeight="1" x14ac:dyDescent="0.25">
      <c r="A147" s="135">
        <v>3628</v>
      </c>
      <c r="B147" s="136" t="s">
        <v>7</v>
      </c>
      <c r="C147" s="136" t="s">
        <v>154</v>
      </c>
      <c r="D147" s="136" t="s">
        <v>163</v>
      </c>
      <c r="E147" s="138">
        <v>580</v>
      </c>
      <c r="F147" s="138">
        <v>1440</v>
      </c>
      <c r="G147" s="137">
        <f>IFERROR(INDEX(Aktiv!$G$6:$G$326,MATCH(A147,Aktiv!$A$6:$A$326,0)),"")</f>
        <v>147</v>
      </c>
      <c r="H147" s="137">
        <f>IFERROR(INDEX(Aktiv!$H$6:$H$326,MATCH(A147,Aktiv!$A$6:$A$326,0)),"")</f>
        <v>504</v>
      </c>
      <c r="I147" s="137">
        <f>IFERROR(INDEX(Aktiv!$I$6:$I$326,MATCH(A147,Aktiv!$A$6:$A$326,0)),"")</f>
        <v>525</v>
      </c>
      <c r="J147" s="137">
        <f>IFERROR(INDEX(Aktiv!$J$6:$J$326,MATCH(A147,Aktiv!$A$6:$A$326,0)),"")</f>
        <v>584</v>
      </c>
      <c r="K147" s="141">
        <f>IFERROR(ROUND(G147*Steuerungsdaten!$B$5,0),"-")</f>
        <v>169</v>
      </c>
      <c r="L147" s="137">
        <f>IFERROR(ROUND(H147*Steuerungsdaten!$B$5,0),"-")</f>
        <v>580</v>
      </c>
      <c r="M147" s="137">
        <f>IFERROR(ROUND(I147*Steuerungsdaten!$B$5,0),"-")</f>
        <v>604</v>
      </c>
      <c r="N147" s="137">
        <f>IFERROR(ROUND(J147*Steuerungsdaten!$B$5,0),"-")</f>
        <v>672</v>
      </c>
      <c r="O147" s="143" t="str">
        <f>IF(ISNA(MATCH(A147,Aktiv!$A$6:$A$326,0)),"⚠ nicht im Modell","")</f>
        <v/>
      </c>
    </row>
    <row r="148" spans="1:15" ht="18" customHeight="1" x14ac:dyDescent="0.25">
      <c r="A148" s="135">
        <v>3629</v>
      </c>
      <c r="B148" s="136" t="s">
        <v>7</v>
      </c>
      <c r="C148" s="136" t="s">
        <v>154</v>
      </c>
      <c r="D148" s="136" t="s">
        <v>164</v>
      </c>
      <c r="E148" s="138">
        <v>580</v>
      </c>
      <c r="F148" s="138">
        <v>1800</v>
      </c>
      <c r="G148" s="137">
        <f>IFERROR(INDEX(Aktiv!$G$6:$G$326,MATCH(A148,Aktiv!$A$6:$A$326,0)),"")</f>
        <v>184</v>
      </c>
      <c r="H148" s="137">
        <f>IFERROR(INDEX(Aktiv!$H$6:$H$326,MATCH(A148,Aktiv!$A$6:$A$326,0)),"")</f>
        <v>630</v>
      </c>
      <c r="I148" s="137">
        <f>IFERROR(INDEX(Aktiv!$I$6:$I$326,MATCH(A148,Aktiv!$A$6:$A$326,0)),"")</f>
        <v>656</v>
      </c>
      <c r="J148" s="137">
        <f>IFERROR(INDEX(Aktiv!$J$6:$J$326,MATCH(A148,Aktiv!$A$6:$A$326,0)),"")</f>
        <v>730</v>
      </c>
      <c r="K148" s="141">
        <f>IFERROR(ROUND(G148*Steuerungsdaten!$B$5,0),"-")</f>
        <v>212</v>
      </c>
      <c r="L148" s="137">
        <f>IFERROR(ROUND(H148*Steuerungsdaten!$B$5,0),"-")</f>
        <v>725</v>
      </c>
      <c r="M148" s="137">
        <f>IFERROR(ROUND(I148*Steuerungsdaten!$B$5,0),"-")</f>
        <v>754</v>
      </c>
      <c r="N148" s="137">
        <f>IFERROR(ROUND(J148*Steuerungsdaten!$B$5,0),"-")</f>
        <v>840</v>
      </c>
      <c r="O148" s="143" t="str">
        <f>IF(ISNA(MATCH(A148,Aktiv!$A$6:$A$326,0)),"⚠ nicht im Modell","")</f>
        <v/>
      </c>
    </row>
    <row r="149" spans="1:15" ht="18" customHeight="1" x14ac:dyDescent="0.25">
      <c r="A149" s="135">
        <v>3700</v>
      </c>
      <c r="B149" s="136" t="s">
        <v>7</v>
      </c>
      <c r="C149" s="136" t="s">
        <v>165</v>
      </c>
      <c r="D149" s="136" t="s">
        <v>166</v>
      </c>
      <c r="E149" s="138">
        <v>360</v>
      </c>
      <c r="F149" s="138">
        <v>360</v>
      </c>
      <c r="G149" s="137">
        <f>IFERROR(INDEX(Aktiv!$G$6:$G$326,MATCH(A149,Aktiv!$A$6:$A$326,0)),"")</f>
        <v>25</v>
      </c>
      <c r="H149" s="137">
        <f>IFERROR(INDEX(Aktiv!$H$6:$H$326,MATCH(A149,Aktiv!$A$6:$A$326,0)),"")</f>
        <v>103</v>
      </c>
      <c r="I149" s="137">
        <f>IFERROR(INDEX(Aktiv!$I$6:$I$326,MATCH(A149,Aktiv!$A$6:$A$326,0)),"")</f>
        <v>120</v>
      </c>
      <c r="J149" s="137">
        <f>IFERROR(INDEX(Aktiv!$J$6:$J$326,MATCH(A149,Aktiv!$A$6:$A$326,0)),"")</f>
        <v>145</v>
      </c>
      <c r="K149" s="141">
        <f>IFERROR(ROUND(G149*Steuerungsdaten!$B$5,0),"-")</f>
        <v>29</v>
      </c>
      <c r="L149" s="137">
        <f>IFERROR(ROUND(H149*Steuerungsdaten!$B$5,0),"-")</f>
        <v>118</v>
      </c>
      <c r="M149" s="137">
        <f>IFERROR(ROUND(I149*Steuerungsdaten!$B$5,0),"-")</f>
        <v>138</v>
      </c>
      <c r="N149" s="137">
        <f>IFERROR(ROUND(J149*Steuerungsdaten!$B$5,0),"-")</f>
        <v>167</v>
      </c>
      <c r="O149" s="143" t="str">
        <f>IF(ISNA(MATCH(A149,Aktiv!$A$6:$A$326,0)),"⚠ nicht im Modell","")</f>
        <v/>
      </c>
    </row>
    <row r="150" spans="1:15" ht="18" customHeight="1" x14ac:dyDescent="0.25">
      <c r="A150" s="135">
        <v>3701</v>
      </c>
      <c r="B150" s="136" t="s">
        <v>7</v>
      </c>
      <c r="C150" s="136" t="s">
        <v>165</v>
      </c>
      <c r="D150" s="136" t="s">
        <v>167</v>
      </c>
      <c r="E150" s="138">
        <v>420</v>
      </c>
      <c r="F150" s="138">
        <v>360</v>
      </c>
      <c r="G150" s="137">
        <f>IFERROR(INDEX(Aktiv!$G$6:$G$326,MATCH(A150,Aktiv!$A$6:$A$326,0)),"")</f>
        <v>27</v>
      </c>
      <c r="H150" s="137">
        <f>IFERROR(INDEX(Aktiv!$H$6:$H$326,MATCH(A150,Aktiv!$A$6:$A$326,0)),"")</f>
        <v>103</v>
      </c>
      <c r="I150" s="137">
        <f>IFERROR(INDEX(Aktiv!$I$6:$I$326,MATCH(A150,Aktiv!$A$6:$A$326,0)),"")</f>
        <v>120</v>
      </c>
      <c r="J150" s="137">
        <f>IFERROR(INDEX(Aktiv!$J$6:$J$326,MATCH(A150,Aktiv!$A$6:$A$326,0)),"")</f>
        <v>145</v>
      </c>
      <c r="K150" s="141">
        <f>IFERROR(ROUND(G150*Steuerungsdaten!$B$5,0),"-")</f>
        <v>31</v>
      </c>
      <c r="L150" s="137">
        <f>IFERROR(ROUND(H150*Steuerungsdaten!$B$5,0),"-")</f>
        <v>118</v>
      </c>
      <c r="M150" s="137">
        <f>IFERROR(ROUND(I150*Steuerungsdaten!$B$5,0),"-")</f>
        <v>138</v>
      </c>
      <c r="N150" s="137">
        <f>IFERROR(ROUND(J150*Steuerungsdaten!$B$5,0),"-")</f>
        <v>167</v>
      </c>
      <c r="O150" s="143" t="str">
        <f>IF(ISNA(MATCH(A150,Aktiv!$A$6:$A$326,0)),"⚠ nicht im Modell","")</f>
        <v/>
      </c>
    </row>
    <row r="151" spans="1:15" ht="18" customHeight="1" x14ac:dyDescent="0.25">
      <c r="A151" s="135">
        <v>3702</v>
      </c>
      <c r="B151" s="136" t="s">
        <v>7</v>
      </c>
      <c r="C151" s="136" t="s">
        <v>165</v>
      </c>
      <c r="D151" s="136" t="s">
        <v>168</v>
      </c>
      <c r="E151" s="138">
        <v>580</v>
      </c>
      <c r="F151" s="138">
        <v>360</v>
      </c>
      <c r="G151" s="137">
        <f>IFERROR(INDEX(Aktiv!$G$6:$G$326,MATCH(A151,Aktiv!$A$6:$A$326,0)),"")</f>
        <v>37</v>
      </c>
      <c r="H151" s="137">
        <f>IFERROR(INDEX(Aktiv!$H$6:$H$326,MATCH(A151,Aktiv!$A$6:$A$326,0)),"")</f>
        <v>126</v>
      </c>
      <c r="I151" s="137">
        <f>IFERROR(INDEX(Aktiv!$I$6:$I$326,MATCH(A151,Aktiv!$A$6:$A$326,0)),"")</f>
        <v>131</v>
      </c>
      <c r="J151" s="137">
        <f>IFERROR(INDEX(Aktiv!$J$6:$J$326,MATCH(A151,Aktiv!$A$6:$A$326,0)),"")</f>
        <v>146</v>
      </c>
      <c r="K151" s="141">
        <f>IFERROR(ROUND(G151*Steuerungsdaten!$B$5,0),"-")</f>
        <v>43</v>
      </c>
      <c r="L151" s="137">
        <f>IFERROR(ROUND(H151*Steuerungsdaten!$B$5,0),"-")</f>
        <v>145</v>
      </c>
      <c r="M151" s="137">
        <f>IFERROR(ROUND(I151*Steuerungsdaten!$B$5,0),"-")</f>
        <v>151</v>
      </c>
      <c r="N151" s="137">
        <f>IFERROR(ROUND(J151*Steuerungsdaten!$B$5,0),"-")</f>
        <v>168</v>
      </c>
      <c r="O151" s="143" t="str">
        <f>IF(ISNA(MATCH(A151,Aktiv!$A$6:$A$326,0)),"⚠ nicht im Modell","")</f>
        <v/>
      </c>
    </row>
    <row r="152" spans="1:15" ht="18" customHeight="1" x14ac:dyDescent="0.25">
      <c r="A152" s="135">
        <v>3703</v>
      </c>
      <c r="B152" s="136" t="s">
        <v>7</v>
      </c>
      <c r="C152" s="136" t="s">
        <v>165</v>
      </c>
      <c r="D152" s="136" t="s">
        <v>169</v>
      </c>
      <c r="E152" s="138">
        <v>780</v>
      </c>
      <c r="F152" s="138">
        <v>360</v>
      </c>
      <c r="G152" s="137">
        <f>IFERROR(INDEX(Aktiv!$G$6:$G$326,MATCH(A152,Aktiv!$A$6:$A$326,0)),"")</f>
        <v>49</v>
      </c>
      <c r="H152" s="137">
        <f>IFERROR(INDEX(Aktiv!$H$6:$H$326,MATCH(A152,Aktiv!$A$6:$A$326,0)),"")</f>
        <v>169</v>
      </c>
      <c r="I152" s="137">
        <f>IFERROR(INDEX(Aktiv!$I$6:$I$326,MATCH(A152,Aktiv!$A$6:$A$326,0)),"")</f>
        <v>177</v>
      </c>
      <c r="J152" s="137">
        <f>IFERROR(INDEX(Aktiv!$J$6:$J$326,MATCH(A152,Aktiv!$A$6:$A$326,0)),"")</f>
        <v>196</v>
      </c>
      <c r="K152" s="141">
        <f>IFERROR(ROUND(G152*Steuerungsdaten!$B$5,0),"-")</f>
        <v>56</v>
      </c>
      <c r="L152" s="137">
        <f>IFERROR(ROUND(H152*Steuerungsdaten!$B$5,0),"-")</f>
        <v>194</v>
      </c>
      <c r="M152" s="137">
        <f>IFERROR(ROUND(I152*Steuerungsdaten!$B$5,0),"-")</f>
        <v>204</v>
      </c>
      <c r="N152" s="137">
        <f>IFERROR(ROUND(J152*Steuerungsdaten!$B$5,0),"-")</f>
        <v>225</v>
      </c>
      <c r="O152" s="143" t="str">
        <f>IF(ISNA(MATCH(A152,Aktiv!$A$6:$A$326,0)),"⚠ nicht im Modell","")</f>
        <v/>
      </c>
    </row>
    <row r="153" spans="1:15" ht="18" customHeight="1" x14ac:dyDescent="0.25">
      <c r="A153" s="135">
        <v>3704</v>
      </c>
      <c r="B153" s="136" t="s">
        <v>7</v>
      </c>
      <c r="C153" s="136" t="s">
        <v>165</v>
      </c>
      <c r="D153" s="136" t="s">
        <v>170</v>
      </c>
      <c r="E153" s="138">
        <v>980</v>
      </c>
      <c r="F153" s="138">
        <v>360</v>
      </c>
      <c r="G153" s="137">
        <f>IFERROR(INDEX(Aktiv!$G$6:$G$326,MATCH(A153,Aktiv!$A$6:$A$326,0)),"")</f>
        <v>62</v>
      </c>
      <c r="H153" s="137">
        <f>IFERROR(INDEX(Aktiv!$H$6:$H$326,MATCH(A153,Aktiv!$A$6:$A$326,0)),"")</f>
        <v>213</v>
      </c>
      <c r="I153" s="137">
        <f>IFERROR(INDEX(Aktiv!$I$6:$I$326,MATCH(A153,Aktiv!$A$6:$A$326,0)),"")</f>
        <v>222</v>
      </c>
      <c r="J153" s="137">
        <f>IFERROR(INDEX(Aktiv!$J$6:$J$326,MATCH(A153,Aktiv!$A$6:$A$326,0)),"")</f>
        <v>247</v>
      </c>
      <c r="K153" s="141">
        <f>IFERROR(ROUND(G153*Steuerungsdaten!$B$5,0),"-")</f>
        <v>71</v>
      </c>
      <c r="L153" s="137">
        <f>IFERROR(ROUND(H153*Steuerungsdaten!$B$5,0),"-")</f>
        <v>245</v>
      </c>
      <c r="M153" s="137">
        <f>IFERROR(ROUND(I153*Steuerungsdaten!$B$5,0),"-")</f>
        <v>255</v>
      </c>
      <c r="N153" s="137">
        <f>IFERROR(ROUND(J153*Steuerungsdaten!$B$5,0),"-")</f>
        <v>284</v>
      </c>
      <c r="O153" s="143" t="str">
        <f>IF(ISNA(MATCH(A153,Aktiv!$A$6:$A$326,0)),"⚠ nicht im Modell","")</f>
        <v/>
      </c>
    </row>
    <row r="154" spans="1:15" ht="18" customHeight="1" x14ac:dyDescent="0.25">
      <c r="A154" s="135">
        <v>3705</v>
      </c>
      <c r="B154" s="136" t="s">
        <v>7</v>
      </c>
      <c r="C154" s="136" t="s">
        <v>165</v>
      </c>
      <c r="D154" s="136" t="s">
        <v>171</v>
      </c>
      <c r="E154" s="138">
        <v>360</v>
      </c>
      <c r="F154" s="138">
        <v>580</v>
      </c>
      <c r="G154" s="137">
        <f>IFERROR(INDEX(Aktiv!$G$6:$G$326,MATCH(A154,Aktiv!$A$6:$A$326,0)),"")</f>
        <v>37</v>
      </c>
      <c r="H154" s="137">
        <f>IFERROR(INDEX(Aktiv!$H$6:$H$326,MATCH(A154,Aktiv!$A$6:$A$326,0)),"")</f>
        <v>126</v>
      </c>
      <c r="I154" s="137">
        <f>IFERROR(INDEX(Aktiv!$I$6:$I$326,MATCH(A154,Aktiv!$A$6:$A$326,0)),"")</f>
        <v>131</v>
      </c>
      <c r="J154" s="137">
        <f>IFERROR(INDEX(Aktiv!$J$6:$J$326,MATCH(A154,Aktiv!$A$6:$A$326,0)),"")</f>
        <v>146</v>
      </c>
      <c r="K154" s="141">
        <f>IFERROR(ROUND(G154*Steuerungsdaten!$B$5,0),"-")</f>
        <v>43</v>
      </c>
      <c r="L154" s="137">
        <f>IFERROR(ROUND(H154*Steuerungsdaten!$B$5,0),"-")</f>
        <v>145</v>
      </c>
      <c r="M154" s="137">
        <f>IFERROR(ROUND(I154*Steuerungsdaten!$B$5,0),"-")</f>
        <v>151</v>
      </c>
      <c r="N154" s="137">
        <f>IFERROR(ROUND(J154*Steuerungsdaten!$B$5,0),"-")</f>
        <v>168</v>
      </c>
      <c r="O154" s="143" t="str">
        <f>IF(ISNA(MATCH(A154,Aktiv!$A$6:$A$326,0)),"⚠ nicht im Modell","")</f>
        <v/>
      </c>
    </row>
    <row r="155" spans="1:15" ht="18" customHeight="1" x14ac:dyDescent="0.25">
      <c r="A155" s="135">
        <v>3706</v>
      </c>
      <c r="B155" s="136" t="s">
        <v>7</v>
      </c>
      <c r="C155" s="136" t="s">
        <v>165</v>
      </c>
      <c r="D155" s="136" t="s">
        <v>172</v>
      </c>
      <c r="E155" s="138">
        <v>420</v>
      </c>
      <c r="F155" s="138">
        <v>580</v>
      </c>
      <c r="G155" s="137">
        <f>IFERROR(INDEX(Aktiv!$G$6:$G$326,MATCH(A155,Aktiv!$A$6:$A$326,0)),"")</f>
        <v>43</v>
      </c>
      <c r="H155" s="137">
        <f>IFERROR(INDEX(Aktiv!$H$6:$H$326,MATCH(A155,Aktiv!$A$6:$A$326,0)),"")</f>
        <v>147</v>
      </c>
      <c r="I155" s="137">
        <f>IFERROR(INDEX(Aktiv!$I$6:$I$326,MATCH(A155,Aktiv!$A$6:$A$326,0)),"")</f>
        <v>153</v>
      </c>
      <c r="J155" s="137">
        <f>IFERROR(INDEX(Aktiv!$J$6:$J$326,MATCH(A155,Aktiv!$A$6:$A$326,0)),"")</f>
        <v>170</v>
      </c>
      <c r="K155" s="141">
        <f>IFERROR(ROUND(G155*Steuerungsdaten!$B$5,0),"-")</f>
        <v>49</v>
      </c>
      <c r="L155" s="137">
        <f>IFERROR(ROUND(H155*Steuerungsdaten!$B$5,0),"-")</f>
        <v>169</v>
      </c>
      <c r="M155" s="137">
        <f>IFERROR(ROUND(I155*Steuerungsdaten!$B$5,0),"-")</f>
        <v>176</v>
      </c>
      <c r="N155" s="137">
        <f>IFERROR(ROUND(J155*Steuerungsdaten!$B$5,0),"-")</f>
        <v>196</v>
      </c>
      <c r="O155" s="143" t="str">
        <f>IF(ISNA(MATCH(A155,Aktiv!$A$6:$A$326,0)),"⚠ nicht im Modell","")</f>
        <v/>
      </c>
    </row>
    <row r="156" spans="1:15" ht="18" customHeight="1" x14ac:dyDescent="0.25">
      <c r="A156" s="135">
        <v>3707</v>
      </c>
      <c r="B156" s="136" t="s">
        <v>7</v>
      </c>
      <c r="C156" s="136" t="s">
        <v>165</v>
      </c>
      <c r="D156" s="136" t="s">
        <v>173</v>
      </c>
      <c r="E156" s="138">
        <v>580</v>
      </c>
      <c r="F156" s="138">
        <v>580</v>
      </c>
      <c r="G156" s="137">
        <f>IFERROR(INDEX(Aktiv!$G$6:$G$326,MATCH(A156,Aktiv!$A$6:$A$326,0)),"")</f>
        <v>59</v>
      </c>
      <c r="H156" s="137">
        <f>IFERROR(INDEX(Aktiv!$H$6:$H$326,MATCH(A156,Aktiv!$A$6:$A$326,0)),"")</f>
        <v>203</v>
      </c>
      <c r="I156" s="137">
        <f>IFERROR(INDEX(Aktiv!$I$6:$I$326,MATCH(A156,Aktiv!$A$6:$A$326,0)),"")</f>
        <v>211</v>
      </c>
      <c r="J156" s="137">
        <f>IFERROR(INDEX(Aktiv!$J$6:$J$326,MATCH(A156,Aktiv!$A$6:$A$326,0)),"")</f>
        <v>235</v>
      </c>
      <c r="K156" s="141">
        <f>IFERROR(ROUND(G156*Steuerungsdaten!$B$5,0),"-")</f>
        <v>68</v>
      </c>
      <c r="L156" s="137">
        <f>IFERROR(ROUND(H156*Steuerungsdaten!$B$5,0),"-")</f>
        <v>233</v>
      </c>
      <c r="M156" s="137">
        <f>IFERROR(ROUND(I156*Steuerungsdaten!$B$5,0),"-")</f>
        <v>243</v>
      </c>
      <c r="N156" s="137">
        <f>IFERROR(ROUND(J156*Steuerungsdaten!$B$5,0),"-")</f>
        <v>270</v>
      </c>
      <c r="O156" s="143" t="str">
        <f>IF(ISNA(MATCH(A156,Aktiv!$A$6:$A$326,0)),"⚠ nicht im Modell","")</f>
        <v/>
      </c>
    </row>
    <row r="157" spans="1:15" ht="18" customHeight="1" x14ac:dyDescent="0.25">
      <c r="A157" s="135">
        <v>3708</v>
      </c>
      <c r="B157" s="136" t="s">
        <v>7</v>
      </c>
      <c r="C157" s="136" t="s">
        <v>165</v>
      </c>
      <c r="D157" s="136" t="s">
        <v>174</v>
      </c>
      <c r="E157" s="138">
        <v>780</v>
      </c>
      <c r="F157" s="138">
        <v>580</v>
      </c>
      <c r="G157" s="137">
        <f>IFERROR(INDEX(Aktiv!$G$6:$G$326,MATCH(A157,Aktiv!$A$6:$A$326,0)),"")</f>
        <v>80</v>
      </c>
      <c r="H157" s="137">
        <f>IFERROR(INDEX(Aktiv!$H$6:$H$326,MATCH(A157,Aktiv!$A$6:$A$326,0)),"")</f>
        <v>273</v>
      </c>
      <c r="I157" s="137">
        <f>IFERROR(INDEX(Aktiv!$I$6:$I$326,MATCH(A157,Aktiv!$A$6:$A$326,0)),"")</f>
        <v>284</v>
      </c>
      <c r="J157" s="137">
        <f>IFERROR(INDEX(Aktiv!$J$6:$J$326,MATCH(A157,Aktiv!$A$6:$A$326,0)),"")</f>
        <v>316</v>
      </c>
      <c r="K157" s="141">
        <f>IFERROR(ROUND(G157*Steuerungsdaten!$B$5,0),"-")</f>
        <v>92</v>
      </c>
      <c r="L157" s="137">
        <f>IFERROR(ROUND(H157*Steuerungsdaten!$B$5,0),"-")</f>
        <v>314</v>
      </c>
      <c r="M157" s="137">
        <f>IFERROR(ROUND(I157*Steuerungsdaten!$B$5,0),"-")</f>
        <v>327</v>
      </c>
      <c r="N157" s="137">
        <f>IFERROR(ROUND(J157*Steuerungsdaten!$B$5,0),"-")</f>
        <v>363</v>
      </c>
      <c r="O157" s="143" t="str">
        <f>IF(ISNA(MATCH(A157,Aktiv!$A$6:$A$326,0)),"⚠ nicht im Modell","")</f>
        <v/>
      </c>
    </row>
    <row r="158" spans="1:15" ht="18" customHeight="1" x14ac:dyDescent="0.25">
      <c r="A158" s="135">
        <v>3709</v>
      </c>
      <c r="B158" s="136" t="s">
        <v>7</v>
      </c>
      <c r="C158" s="136" t="s">
        <v>165</v>
      </c>
      <c r="D158" s="136" t="s">
        <v>175</v>
      </c>
      <c r="E158" s="138">
        <v>980</v>
      </c>
      <c r="F158" s="138">
        <v>580</v>
      </c>
      <c r="G158" s="137">
        <f>IFERROR(INDEX(Aktiv!$G$6:$G$326,MATCH(A158,Aktiv!$A$6:$A$326,0)),"")</f>
        <v>100</v>
      </c>
      <c r="H158" s="137">
        <f>IFERROR(INDEX(Aktiv!$H$6:$H$326,MATCH(A158,Aktiv!$A$6:$A$326,0)),"")</f>
        <v>343</v>
      </c>
      <c r="I158" s="137">
        <f>IFERROR(INDEX(Aktiv!$I$6:$I$326,MATCH(A158,Aktiv!$A$6:$A$326,0)),"")</f>
        <v>357</v>
      </c>
      <c r="J158" s="137">
        <f>IFERROR(INDEX(Aktiv!$J$6:$J$326,MATCH(A158,Aktiv!$A$6:$A$326,0)),"")</f>
        <v>398</v>
      </c>
      <c r="K158" s="141">
        <f>IFERROR(ROUND(G158*Steuerungsdaten!$B$5,0),"-")</f>
        <v>115</v>
      </c>
      <c r="L158" s="137">
        <f>IFERROR(ROUND(H158*Steuerungsdaten!$B$5,0),"-")</f>
        <v>394</v>
      </c>
      <c r="M158" s="137">
        <f>IFERROR(ROUND(I158*Steuerungsdaten!$B$5,0),"-")</f>
        <v>411</v>
      </c>
      <c r="N158" s="137">
        <f>IFERROR(ROUND(J158*Steuerungsdaten!$B$5,0),"-")</f>
        <v>458</v>
      </c>
      <c r="O158" s="143" t="str">
        <f>IF(ISNA(MATCH(A158,Aktiv!$A$6:$A$326,0)),"⚠ nicht im Modell","")</f>
        <v/>
      </c>
    </row>
    <row r="159" spans="1:15" ht="18" customHeight="1" x14ac:dyDescent="0.25">
      <c r="A159" s="135">
        <v>3710</v>
      </c>
      <c r="B159" s="136" t="s">
        <v>7</v>
      </c>
      <c r="C159" s="136" t="s">
        <v>165</v>
      </c>
      <c r="D159" s="136" t="s">
        <v>176</v>
      </c>
      <c r="E159" s="138">
        <v>780</v>
      </c>
      <c r="F159" s="138">
        <v>780</v>
      </c>
      <c r="G159" s="137" t="str">
        <f>IFERROR(INDEX(Aktiv!$G$6:$G$326,MATCH(A159,Aktiv!$A$6:$A$326,0)),"")</f>
        <v>-</v>
      </c>
      <c r="H159" s="137" t="str">
        <f>IFERROR(INDEX(Aktiv!$H$6:$H$326,MATCH(A159,Aktiv!$A$6:$A$326,0)),"")</f>
        <v>-</v>
      </c>
      <c r="I159" s="137" t="str">
        <f>IFERROR(INDEX(Aktiv!$I$6:$I$326,MATCH(A159,Aktiv!$A$6:$A$326,0)),"")</f>
        <v>-</v>
      </c>
      <c r="J159" s="137" t="str">
        <f>IFERROR(INDEX(Aktiv!$J$6:$J$326,MATCH(A159,Aktiv!$A$6:$A$326,0)),"")</f>
        <v>-</v>
      </c>
      <c r="K159" s="141" t="str">
        <f>IFERROR(ROUND(G159*Steuerungsdaten!$B$5,0),"-")</f>
        <v>-</v>
      </c>
      <c r="L159" s="137" t="str">
        <f>IFERROR(ROUND(H159*Steuerungsdaten!$B$5,0),"-")</f>
        <v>-</v>
      </c>
      <c r="M159" s="137" t="str">
        <f>IFERROR(ROUND(I159*Steuerungsdaten!$B$5,0),"-")</f>
        <v>-</v>
      </c>
      <c r="N159" s="137" t="str">
        <f>IFERROR(ROUND(J159*Steuerungsdaten!$B$5,0),"-")</f>
        <v>-</v>
      </c>
      <c r="O159" s="143" t="str">
        <f>IF(ISNA(MATCH(A159,Aktiv!$A$6:$A$326,0)),"⚠ nicht im Modell","")</f>
        <v/>
      </c>
    </row>
    <row r="160" spans="1:15" ht="18" customHeight="1" x14ac:dyDescent="0.25">
      <c r="A160" s="135">
        <v>3711</v>
      </c>
      <c r="B160" s="136" t="s">
        <v>7</v>
      </c>
      <c r="C160" s="136" t="s">
        <v>165</v>
      </c>
      <c r="D160" s="136" t="s">
        <v>177</v>
      </c>
      <c r="E160" s="138">
        <v>980</v>
      </c>
      <c r="F160" s="138">
        <v>780</v>
      </c>
      <c r="G160" s="137" t="str">
        <f>IFERROR(INDEX(Aktiv!$G$6:$G$326,MATCH(A160,Aktiv!$A$6:$A$326,0)),"")</f>
        <v>-</v>
      </c>
      <c r="H160" s="137" t="str">
        <f>IFERROR(INDEX(Aktiv!$H$6:$H$326,MATCH(A160,Aktiv!$A$6:$A$326,0)),"")</f>
        <v>-</v>
      </c>
      <c r="I160" s="137" t="str">
        <f>IFERROR(INDEX(Aktiv!$I$6:$I$326,MATCH(A160,Aktiv!$A$6:$A$326,0)),"")</f>
        <v>-</v>
      </c>
      <c r="J160" s="137" t="str">
        <f>IFERROR(INDEX(Aktiv!$J$6:$J$326,MATCH(A160,Aktiv!$A$6:$A$326,0)),"")</f>
        <v>-</v>
      </c>
      <c r="K160" s="141" t="str">
        <f>IFERROR(ROUND(G160*Steuerungsdaten!$B$5,0),"-")</f>
        <v>-</v>
      </c>
      <c r="L160" s="137" t="str">
        <f>IFERROR(ROUND(H160*Steuerungsdaten!$B$5,0),"-")</f>
        <v>-</v>
      </c>
      <c r="M160" s="137" t="str">
        <f>IFERROR(ROUND(I160*Steuerungsdaten!$B$5,0),"-")</f>
        <v>-</v>
      </c>
      <c r="N160" s="137" t="str">
        <f>IFERROR(ROUND(J160*Steuerungsdaten!$B$5,0),"-")</f>
        <v>-</v>
      </c>
      <c r="O160" s="143" t="str">
        <f>IF(ISNA(MATCH(A160,Aktiv!$A$6:$A$326,0)),"⚠ nicht im Modell","")</f>
        <v/>
      </c>
    </row>
    <row r="161" spans="1:15" ht="18" customHeight="1" x14ac:dyDescent="0.25">
      <c r="A161" s="135">
        <v>3712</v>
      </c>
      <c r="B161" s="136" t="s">
        <v>7</v>
      </c>
      <c r="C161" s="136" t="s">
        <v>165</v>
      </c>
      <c r="D161" s="136" t="s">
        <v>178</v>
      </c>
      <c r="E161" s="138">
        <v>980</v>
      </c>
      <c r="F161" s="138">
        <v>980</v>
      </c>
      <c r="G161" s="137" t="str">
        <f>IFERROR(INDEX(Aktiv!$G$6:$G$326,MATCH(A161,Aktiv!$A$6:$A$326,0)),"")</f>
        <v>-</v>
      </c>
      <c r="H161" s="137" t="str">
        <f>IFERROR(INDEX(Aktiv!$H$6:$H$326,MATCH(A161,Aktiv!$A$6:$A$326,0)),"")</f>
        <v>-</v>
      </c>
      <c r="I161" s="137" t="str">
        <f>IFERROR(INDEX(Aktiv!$I$6:$I$326,MATCH(A161,Aktiv!$A$6:$A$326,0)),"")</f>
        <v>-</v>
      </c>
      <c r="J161" s="137" t="str">
        <f>IFERROR(INDEX(Aktiv!$J$6:$J$326,MATCH(A161,Aktiv!$A$6:$A$326,0)),"")</f>
        <v>-</v>
      </c>
      <c r="K161" s="141" t="str">
        <f>IFERROR(ROUND(G161*Steuerungsdaten!$B$5,0),"-")</f>
        <v>-</v>
      </c>
      <c r="L161" s="137" t="str">
        <f>IFERROR(ROUND(H161*Steuerungsdaten!$B$5,0),"-")</f>
        <v>-</v>
      </c>
      <c r="M161" s="137" t="str">
        <f>IFERROR(ROUND(I161*Steuerungsdaten!$B$5,0),"-")</f>
        <v>-</v>
      </c>
      <c r="N161" s="137" t="str">
        <f>IFERROR(ROUND(J161*Steuerungsdaten!$B$5,0),"-")</f>
        <v>-</v>
      </c>
      <c r="O161" s="143" t="str">
        <f>IF(ISNA(MATCH(A161,Aktiv!$A$6:$A$326,0)),"⚠ nicht im Modell","")</f>
        <v/>
      </c>
    </row>
    <row r="162" spans="1:15" ht="18" customHeight="1" x14ac:dyDescent="0.25">
      <c r="A162" s="135">
        <v>3750</v>
      </c>
      <c r="B162" s="136" t="s">
        <v>7</v>
      </c>
      <c r="C162" s="136" t="s">
        <v>179</v>
      </c>
      <c r="D162" s="136" t="s">
        <v>180</v>
      </c>
      <c r="E162" s="138">
        <v>360</v>
      </c>
      <c r="F162" s="138">
        <v>360</v>
      </c>
      <c r="G162" s="137">
        <f>IFERROR(INDEX(Aktiv!$G$6:$G$326,MATCH(A162,Aktiv!$A$6:$A$326,0)),"")</f>
        <v>25</v>
      </c>
      <c r="H162" s="137">
        <f>IFERROR(INDEX(Aktiv!$H$6:$H$326,MATCH(A162,Aktiv!$A$6:$A$326,0)),"")</f>
        <v>103</v>
      </c>
      <c r="I162" s="137">
        <f>IFERROR(INDEX(Aktiv!$I$6:$I$326,MATCH(A162,Aktiv!$A$6:$A$326,0)),"")</f>
        <v>120</v>
      </c>
      <c r="J162" s="137">
        <f>IFERROR(INDEX(Aktiv!$J$6:$J$326,MATCH(A162,Aktiv!$A$6:$A$326,0)),"")</f>
        <v>145</v>
      </c>
      <c r="K162" s="141">
        <f>IFERROR(ROUND(G162*Steuerungsdaten!$B$5,0),"-")</f>
        <v>29</v>
      </c>
      <c r="L162" s="137">
        <f>IFERROR(ROUND(H162*Steuerungsdaten!$B$5,0),"-")</f>
        <v>118</v>
      </c>
      <c r="M162" s="137">
        <f>IFERROR(ROUND(I162*Steuerungsdaten!$B$5,0),"-")</f>
        <v>138</v>
      </c>
      <c r="N162" s="137">
        <f>IFERROR(ROUND(J162*Steuerungsdaten!$B$5,0),"-")</f>
        <v>167</v>
      </c>
      <c r="O162" s="143" t="str">
        <f>IF(ISNA(MATCH(A162,Aktiv!$A$6:$A$326,0)),"⚠ nicht im Modell","")</f>
        <v/>
      </c>
    </row>
    <row r="163" spans="1:15" ht="18" customHeight="1" x14ac:dyDescent="0.25">
      <c r="A163" s="135">
        <v>3751</v>
      </c>
      <c r="B163" s="136" t="s">
        <v>7</v>
      </c>
      <c r="C163" s="136" t="s">
        <v>179</v>
      </c>
      <c r="D163" s="136" t="s">
        <v>181</v>
      </c>
      <c r="E163" s="138">
        <v>420</v>
      </c>
      <c r="F163" s="138">
        <v>360</v>
      </c>
      <c r="G163" s="137">
        <f>IFERROR(INDEX(Aktiv!$G$6:$G$326,MATCH(A163,Aktiv!$A$6:$A$326,0)),"")</f>
        <v>27</v>
      </c>
      <c r="H163" s="137">
        <f>IFERROR(INDEX(Aktiv!$H$6:$H$326,MATCH(A163,Aktiv!$A$6:$A$326,0)),"")</f>
        <v>103</v>
      </c>
      <c r="I163" s="137">
        <f>IFERROR(INDEX(Aktiv!$I$6:$I$326,MATCH(A163,Aktiv!$A$6:$A$326,0)),"")</f>
        <v>120</v>
      </c>
      <c r="J163" s="137">
        <f>IFERROR(INDEX(Aktiv!$J$6:$J$326,MATCH(A163,Aktiv!$A$6:$A$326,0)),"")</f>
        <v>145</v>
      </c>
      <c r="K163" s="141">
        <f>IFERROR(ROUND(G163*Steuerungsdaten!$B$5,0),"-")</f>
        <v>31</v>
      </c>
      <c r="L163" s="137">
        <f>IFERROR(ROUND(H163*Steuerungsdaten!$B$5,0),"-")</f>
        <v>118</v>
      </c>
      <c r="M163" s="137">
        <f>IFERROR(ROUND(I163*Steuerungsdaten!$B$5,0),"-")</f>
        <v>138</v>
      </c>
      <c r="N163" s="137">
        <f>IFERROR(ROUND(J163*Steuerungsdaten!$B$5,0),"-")</f>
        <v>167</v>
      </c>
      <c r="O163" s="143" t="str">
        <f>IF(ISNA(MATCH(A163,Aktiv!$A$6:$A$326,0)),"⚠ nicht im Modell","")</f>
        <v/>
      </c>
    </row>
    <row r="164" spans="1:15" ht="18" customHeight="1" x14ac:dyDescent="0.25">
      <c r="A164" s="135">
        <v>3752</v>
      </c>
      <c r="B164" s="136" t="s">
        <v>7</v>
      </c>
      <c r="C164" s="136" t="s">
        <v>179</v>
      </c>
      <c r="D164" s="136" t="s">
        <v>182</v>
      </c>
      <c r="E164" s="138">
        <v>580</v>
      </c>
      <c r="F164" s="138">
        <v>360</v>
      </c>
      <c r="G164" s="137">
        <f>IFERROR(INDEX(Aktiv!$G$6:$G$326,MATCH(A164,Aktiv!$A$6:$A$326,0)),"")</f>
        <v>37</v>
      </c>
      <c r="H164" s="137">
        <f>IFERROR(INDEX(Aktiv!$H$6:$H$326,MATCH(A164,Aktiv!$A$6:$A$326,0)),"")</f>
        <v>126</v>
      </c>
      <c r="I164" s="137">
        <f>IFERROR(INDEX(Aktiv!$I$6:$I$326,MATCH(A164,Aktiv!$A$6:$A$326,0)),"")</f>
        <v>131</v>
      </c>
      <c r="J164" s="137">
        <f>IFERROR(INDEX(Aktiv!$J$6:$J$326,MATCH(A164,Aktiv!$A$6:$A$326,0)),"")</f>
        <v>146</v>
      </c>
      <c r="K164" s="141">
        <f>IFERROR(ROUND(G164*Steuerungsdaten!$B$5,0),"-")</f>
        <v>43</v>
      </c>
      <c r="L164" s="137">
        <f>IFERROR(ROUND(H164*Steuerungsdaten!$B$5,0),"-")</f>
        <v>145</v>
      </c>
      <c r="M164" s="137">
        <f>IFERROR(ROUND(I164*Steuerungsdaten!$B$5,0),"-")</f>
        <v>151</v>
      </c>
      <c r="N164" s="137">
        <f>IFERROR(ROUND(J164*Steuerungsdaten!$B$5,0),"-")</f>
        <v>168</v>
      </c>
      <c r="O164" s="143" t="str">
        <f>IF(ISNA(MATCH(A164,Aktiv!$A$6:$A$326,0)),"⚠ nicht im Modell","")</f>
        <v/>
      </c>
    </row>
    <row r="165" spans="1:15" ht="18" customHeight="1" x14ac:dyDescent="0.25">
      <c r="A165" s="135">
        <v>3753</v>
      </c>
      <c r="B165" s="136" t="s">
        <v>7</v>
      </c>
      <c r="C165" s="136" t="s">
        <v>179</v>
      </c>
      <c r="D165" s="136" t="s">
        <v>183</v>
      </c>
      <c r="E165" s="138">
        <v>780</v>
      </c>
      <c r="F165" s="138">
        <v>360</v>
      </c>
      <c r="G165" s="137">
        <f>IFERROR(INDEX(Aktiv!$G$6:$G$326,MATCH(A165,Aktiv!$A$6:$A$326,0)),"")</f>
        <v>49</v>
      </c>
      <c r="H165" s="137">
        <f>IFERROR(INDEX(Aktiv!$H$6:$H$326,MATCH(A165,Aktiv!$A$6:$A$326,0)),"")</f>
        <v>169</v>
      </c>
      <c r="I165" s="137">
        <f>IFERROR(INDEX(Aktiv!$I$6:$I$326,MATCH(A165,Aktiv!$A$6:$A$326,0)),"")</f>
        <v>177</v>
      </c>
      <c r="J165" s="137">
        <f>IFERROR(INDEX(Aktiv!$J$6:$J$326,MATCH(A165,Aktiv!$A$6:$A$326,0)),"")</f>
        <v>196</v>
      </c>
      <c r="K165" s="141">
        <f>IFERROR(ROUND(G165*Steuerungsdaten!$B$5,0),"-")</f>
        <v>56</v>
      </c>
      <c r="L165" s="137">
        <f>IFERROR(ROUND(H165*Steuerungsdaten!$B$5,0),"-")</f>
        <v>194</v>
      </c>
      <c r="M165" s="137">
        <f>IFERROR(ROUND(I165*Steuerungsdaten!$B$5,0),"-")</f>
        <v>204</v>
      </c>
      <c r="N165" s="137">
        <f>IFERROR(ROUND(J165*Steuerungsdaten!$B$5,0),"-")</f>
        <v>225</v>
      </c>
      <c r="O165" s="143" t="str">
        <f>IF(ISNA(MATCH(A165,Aktiv!$A$6:$A$326,0)),"⚠ nicht im Modell","")</f>
        <v/>
      </c>
    </row>
    <row r="166" spans="1:15" ht="18" customHeight="1" x14ac:dyDescent="0.25">
      <c r="A166" s="135">
        <v>3754</v>
      </c>
      <c r="B166" s="136" t="s">
        <v>7</v>
      </c>
      <c r="C166" s="136" t="s">
        <v>179</v>
      </c>
      <c r="D166" s="136" t="s">
        <v>184</v>
      </c>
      <c r="E166" s="138">
        <v>980</v>
      </c>
      <c r="F166" s="138">
        <v>360</v>
      </c>
      <c r="G166" s="137">
        <f>IFERROR(INDEX(Aktiv!$G$6:$G$326,MATCH(A166,Aktiv!$A$6:$A$326,0)),"")</f>
        <v>62</v>
      </c>
      <c r="H166" s="137">
        <f>IFERROR(INDEX(Aktiv!$H$6:$H$326,MATCH(A166,Aktiv!$A$6:$A$326,0)),"")</f>
        <v>213</v>
      </c>
      <c r="I166" s="137">
        <f>IFERROR(INDEX(Aktiv!$I$6:$I$326,MATCH(A166,Aktiv!$A$6:$A$326,0)),"")</f>
        <v>222</v>
      </c>
      <c r="J166" s="137">
        <f>IFERROR(INDEX(Aktiv!$J$6:$J$326,MATCH(A166,Aktiv!$A$6:$A$326,0)),"")</f>
        <v>247</v>
      </c>
      <c r="K166" s="141">
        <f>IFERROR(ROUND(G166*Steuerungsdaten!$B$5,0),"-")</f>
        <v>71</v>
      </c>
      <c r="L166" s="137">
        <f>IFERROR(ROUND(H166*Steuerungsdaten!$B$5,0),"-")</f>
        <v>245</v>
      </c>
      <c r="M166" s="137">
        <f>IFERROR(ROUND(I166*Steuerungsdaten!$B$5,0),"-")</f>
        <v>255</v>
      </c>
      <c r="N166" s="137">
        <f>IFERROR(ROUND(J166*Steuerungsdaten!$B$5,0),"-")</f>
        <v>284</v>
      </c>
      <c r="O166" s="143" t="str">
        <f>IF(ISNA(MATCH(A166,Aktiv!$A$6:$A$326,0)),"⚠ nicht im Modell","")</f>
        <v/>
      </c>
    </row>
    <row r="167" spans="1:15" ht="18" customHeight="1" x14ac:dyDescent="0.25">
      <c r="A167" s="135">
        <v>3755</v>
      </c>
      <c r="B167" s="136" t="s">
        <v>7</v>
      </c>
      <c r="C167" s="136" t="s">
        <v>179</v>
      </c>
      <c r="D167" s="136" t="s">
        <v>185</v>
      </c>
      <c r="E167" s="138">
        <v>360</v>
      </c>
      <c r="F167" s="138">
        <v>580</v>
      </c>
      <c r="G167" s="137">
        <f>IFERROR(INDEX(Aktiv!$G$6:$G$326,MATCH(A167,Aktiv!$A$6:$A$326,0)),"")</f>
        <v>37</v>
      </c>
      <c r="H167" s="137">
        <f>IFERROR(INDEX(Aktiv!$H$6:$H$326,MATCH(A167,Aktiv!$A$6:$A$326,0)),"")</f>
        <v>126</v>
      </c>
      <c r="I167" s="137">
        <f>IFERROR(INDEX(Aktiv!$I$6:$I$326,MATCH(A167,Aktiv!$A$6:$A$326,0)),"")</f>
        <v>131</v>
      </c>
      <c r="J167" s="137">
        <f>IFERROR(INDEX(Aktiv!$J$6:$J$326,MATCH(A167,Aktiv!$A$6:$A$326,0)),"")</f>
        <v>146</v>
      </c>
      <c r="K167" s="141">
        <f>IFERROR(ROUND(G167*Steuerungsdaten!$B$5,0),"-")</f>
        <v>43</v>
      </c>
      <c r="L167" s="137">
        <f>IFERROR(ROUND(H167*Steuerungsdaten!$B$5,0),"-")</f>
        <v>145</v>
      </c>
      <c r="M167" s="137">
        <f>IFERROR(ROUND(I167*Steuerungsdaten!$B$5,0),"-")</f>
        <v>151</v>
      </c>
      <c r="N167" s="137">
        <f>IFERROR(ROUND(J167*Steuerungsdaten!$B$5,0),"-")</f>
        <v>168</v>
      </c>
      <c r="O167" s="143" t="str">
        <f>IF(ISNA(MATCH(A167,Aktiv!$A$6:$A$326,0)),"⚠ nicht im Modell","")</f>
        <v/>
      </c>
    </row>
    <row r="168" spans="1:15" ht="18" customHeight="1" x14ac:dyDescent="0.25">
      <c r="A168" s="135">
        <v>3756</v>
      </c>
      <c r="B168" s="136" t="s">
        <v>7</v>
      </c>
      <c r="C168" s="136" t="s">
        <v>179</v>
      </c>
      <c r="D168" s="136" t="s">
        <v>186</v>
      </c>
      <c r="E168" s="138">
        <v>420</v>
      </c>
      <c r="F168" s="138">
        <v>580</v>
      </c>
      <c r="G168" s="137">
        <f>IFERROR(INDEX(Aktiv!$G$6:$G$326,MATCH(A168,Aktiv!$A$6:$A$326,0)),"")</f>
        <v>43</v>
      </c>
      <c r="H168" s="137">
        <f>IFERROR(INDEX(Aktiv!$H$6:$H$326,MATCH(A168,Aktiv!$A$6:$A$326,0)),"")</f>
        <v>147</v>
      </c>
      <c r="I168" s="137">
        <f>IFERROR(INDEX(Aktiv!$I$6:$I$326,MATCH(A168,Aktiv!$A$6:$A$326,0)),"")</f>
        <v>153</v>
      </c>
      <c r="J168" s="137">
        <f>IFERROR(INDEX(Aktiv!$J$6:$J$326,MATCH(A168,Aktiv!$A$6:$A$326,0)),"")</f>
        <v>170</v>
      </c>
      <c r="K168" s="141">
        <f>IFERROR(ROUND(G168*Steuerungsdaten!$B$5,0),"-")</f>
        <v>49</v>
      </c>
      <c r="L168" s="137">
        <f>IFERROR(ROUND(H168*Steuerungsdaten!$B$5,0),"-")</f>
        <v>169</v>
      </c>
      <c r="M168" s="137">
        <f>IFERROR(ROUND(I168*Steuerungsdaten!$B$5,0),"-")</f>
        <v>176</v>
      </c>
      <c r="N168" s="137">
        <f>IFERROR(ROUND(J168*Steuerungsdaten!$B$5,0),"-")</f>
        <v>196</v>
      </c>
      <c r="O168" s="143" t="str">
        <f>IF(ISNA(MATCH(A168,Aktiv!$A$6:$A$326,0)),"⚠ nicht im Modell","")</f>
        <v/>
      </c>
    </row>
    <row r="169" spans="1:15" ht="18" customHeight="1" x14ac:dyDescent="0.25">
      <c r="A169" s="135">
        <v>3757</v>
      </c>
      <c r="B169" s="136" t="s">
        <v>7</v>
      </c>
      <c r="C169" s="136" t="s">
        <v>179</v>
      </c>
      <c r="D169" s="136" t="s">
        <v>187</v>
      </c>
      <c r="E169" s="138">
        <v>580</v>
      </c>
      <c r="F169" s="138">
        <v>580</v>
      </c>
      <c r="G169" s="137">
        <f>IFERROR(INDEX(Aktiv!$G$6:$G$326,MATCH(A169,Aktiv!$A$6:$A$326,0)),"")</f>
        <v>59</v>
      </c>
      <c r="H169" s="137">
        <f>IFERROR(INDEX(Aktiv!$H$6:$H$326,MATCH(A169,Aktiv!$A$6:$A$326,0)),"")</f>
        <v>203</v>
      </c>
      <c r="I169" s="137">
        <f>IFERROR(INDEX(Aktiv!$I$6:$I$326,MATCH(A169,Aktiv!$A$6:$A$326,0)),"")</f>
        <v>211</v>
      </c>
      <c r="J169" s="137">
        <f>IFERROR(INDEX(Aktiv!$J$6:$J$326,MATCH(A169,Aktiv!$A$6:$A$326,0)),"")</f>
        <v>235</v>
      </c>
      <c r="K169" s="141">
        <f>IFERROR(ROUND(G169*Steuerungsdaten!$B$5,0),"-")</f>
        <v>68</v>
      </c>
      <c r="L169" s="137">
        <f>IFERROR(ROUND(H169*Steuerungsdaten!$B$5,0),"-")</f>
        <v>233</v>
      </c>
      <c r="M169" s="137">
        <f>IFERROR(ROUND(I169*Steuerungsdaten!$B$5,0),"-")</f>
        <v>243</v>
      </c>
      <c r="N169" s="137">
        <f>IFERROR(ROUND(J169*Steuerungsdaten!$B$5,0),"-")</f>
        <v>270</v>
      </c>
      <c r="O169" s="143" t="str">
        <f>IF(ISNA(MATCH(A169,Aktiv!$A$6:$A$326,0)),"⚠ nicht im Modell","")</f>
        <v/>
      </c>
    </row>
    <row r="170" spans="1:15" ht="18" customHeight="1" x14ac:dyDescent="0.25">
      <c r="A170" s="135">
        <v>3758</v>
      </c>
      <c r="B170" s="136" t="s">
        <v>7</v>
      </c>
      <c r="C170" s="136" t="s">
        <v>179</v>
      </c>
      <c r="D170" s="136" t="s">
        <v>188</v>
      </c>
      <c r="E170" s="138">
        <v>780</v>
      </c>
      <c r="F170" s="138">
        <v>580</v>
      </c>
      <c r="G170" s="137">
        <f>IFERROR(INDEX(Aktiv!$G$6:$G$326,MATCH(A170,Aktiv!$A$6:$A$326,0)),"")</f>
        <v>80</v>
      </c>
      <c r="H170" s="137">
        <f>IFERROR(INDEX(Aktiv!$H$6:$H$326,MATCH(A170,Aktiv!$A$6:$A$326,0)),"")</f>
        <v>273</v>
      </c>
      <c r="I170" s="137">
        <f>IFERROR(INDEX(Aktiv!$I$6:$I$326,MATCH(A170,Aktiv!$A$6:$A$326,0)),"")</f>
        <v>284</v>
      </c>
      <c r="J170" s="137">
        <f>IFERROR(INDEX(Aktiv!$J$6:$J$326,MATCH(A170,Aktiv!$A$6:$A$326,0)),"")</f>
        <v>316</v>
      </c>
      <c r="K170" s="141">
        <f>IFERROR(ROUND(G170*Steuerungsdaten!$B$5,0),"-")</f>
        <v>92</v>
      </c>
      <c r="L170" s="137">
        <f>IFERROR(ROUND(H170*Steuerungsdaten!$B$5,0),"-")</f>
        <v>314</v>
      </c>
      <c r="M170" s="137">
        <f>IFERROR(ROUND(I170*Steuerungsdaten!$B$5,0),"-")</f>
        <v>327</v>
      </c>
      <c r="N170" s="137">
        <f>IFERROR(ROUND(J170*Steuerungsdaten!$B$5,0),"-")</f>
        <v>363</v>
      </c>
      <c r="O170" s="143" t="str">
        <f>IF(ISNA(MATCH(A170,Aktiv!$A$6:$A$326,0)),"⚠ nicht im Modell","")</f>
        <v/>
      </c>
    </row>
    <row r="171" spans="1:15" ht="18" customHeight="1" x14ac:dyDescent="0.25">
      <c r="A171" s="135">
        <v>3759</v>
      </c>
      <c r="B171" s="136" t="s">
        <v>7</v>
      </c>
      <c r="C171" s="136" t="s">
        <v>179</v>
      </c>
      <c r="D171" s="136" t="s">
        <v>189</v>
      </c>
      <c r="E171" s="138">
        <v>980</v>
      </c>
      <c r="F171" s="138">
        <v>580</v>
      </c>
      <c r="G171" s="137">
        <f>IFERROR(INDEX(Aktiv!$G$6:$G$326,MATCH(A171,Aktiv!$A$6:$A$326,0)),"")</f>
        <v>100</v>
      </c>
      <c r="H171" s="137">
        <f>IFERROR(INDEX(Aktiv!$H$6:$H$326,MATCH(A171,Aktiv!$A$6:$A$326,0)),"")</f>
        <v>343</v>
      </c>
      <c r="I171" s="137">
        <f>IFERROR(INDEX(Aktiv!$I$6:$I$326,MATCH(A171,Aktiv!$A$6:$A$326,0)),"")</f>
        <v>357</v>
      </c>
      <c r="J171" s="137">
        <f>IFERROR(INDEX(Aktiv!$J$6:$J$326,MATCH(A171,Aktiv!$A$6:$A$326,0)),"")</f>
        <v>398</v>
      </c>
      <c r="K171" s="141">
        <f>IFERROR(ROUND(G171*Steuerungsdaten!$B$5,0),"-")</f>
        <v>115</v>
      </c>
      <c r="L171" s="137">
        <f>IFERROR(ROUND(H171*Steuerungsdaten!$B$5,0),"-")</f>
        <v>394</v>
      </c>
      <c r="M171" s="137">
        <f>IFERROR(ROUND(I171*Steuerungsdaten!$B$5,0),"-")</f>
        <v>411</v>
      </c>
      <c r="N171" s="137">
        <f>IFERROR(ROUND(J171*Steuerungsdaten!$B$5,0),"-")</f>
        <v>458</v>
      </c>
      <c r="O171" s="143" t="str">
        <f>IF(ISNA(MATCH(A171,Aktiv!$A$6:$A$326,0)),"⚠ nicht im Modell","")</f>
        <v/>
      </c>
    </row>
    <row r="172" spans="1:15" ht="18" customHeight="1" x14ac:dyDescent="0.25">
      <c r="A172" s="135">
        <v>3760</v>
      </c>
      <c r="B172" s="136" t="s">
        <v>7</v>
      </c>
      <c r="C172" s="136" t="s">
        <v>179</v>
      </c>
      <c r="D172" s="136" t="s">
        <v>190</v>
      </c>
      <c r="E172" s="138">
        <v>780</v>
      </c>
      <c r="F172" s="138">
        <v>780</v>
      </c>
      <c r="G172" s="137" t="str">
        <f>IFERROR(INDEX(Aktiv!$G$6:$G$326,MATCH(A172,Aktiv!$A$6:$A$326,0)),"")</f>
        <v>-</v>
      </c>
      <c r="H172" s="137" t="str">
        <f>IFERROR(INDEX(Aktiv!$H$6:$H$326,MATCH(A172,Aktiv!$A$6:$A$326,0)),"")</f>
        <v>-</v>
      </c>
      <c r="I172" s="137" t="str">
        <f>IFERROR(INDEX(Aktiv!$I$6:$I$326,MATCH(A172,Aktiv!$A$6:$A$326,0)),"")</f>
        <v>-</v>
      </c>
      <c r="J172" s="137" t="str">
        <f>IFERROR(INDEX(Aktiv!$J$6:$J$326,MATCH(A172,Aktiv!$A$6:$A$326,0)),"")</f>
        <v>-</v>
      </c>
      <c r="K172" s="141" t="str">
        <f>IFERROR(ROUND(G172*Steuerungsdaten!$B$5,0),"-")</f>
        <v>-</v>
      </c>
      <c r="L172" s="137" t="str">
        <f>IFERROR(ROUND(H172*Steuerungsdaten!$B$5,0),"-")</f>
        <v>-</v>
      </c>
      <c r="M172" s="137" t="str">
        <f>IFERROR(ROUND(I172*Steuerungsdaten!$B$5,0),"-")</f>
        <v>-</v>
      </c>
      <c r="N172" s="137" t="str">
        <f>IFERROR(ROUND(J172*Steuerungsdaten!$B$5,0),"-")</f>
        <v>-</v>
      </c>
      <c r="O172" s="143" t="str">
        <f>IF(ISNA(MATCH(A172,Aktiv!$A$6:$A$326,0)),"⚠ nicht im Modell","")</f>
        <v/>
      </c>
    </row>
    <row r="173" spans="1:15" ht="18" customHeight="1" x14ac:dyDescent="0.25">
      <c r="A173" s="135">
        <v>3761</v>
      </c>
      <c r="B173" s="136" t="s">
        <v>7</v>
      </c>
      <c r="C173" s="136" t="s">
        <v>179</v>
      </c>
      <c r="D173" s="136" t="s">
        <v>191</v>
      </c>
      <c r="E173" s="138">
        <v>980</v>
      </c>
      <c r="F173" s="138">
        <v>780</v>
      </c>
      <c r="G173" s="137" t="str">
        <f>IFERROR(INDEX(Aktiv!$G$6:$G$326,MATCH(A173,Aktiv!$A$6:$A$326,0)),"")</f>
        <v>-</v>
      </c>
      <c r="H173" s="137" t="str">
        <f>IFERROR(INDEX(Aktiv!$H$6:$H$326,MATCH(A173,Aktiv!$A$6:$A$326,0)),"")</f>
        <v>-</v>
      </c>
      <c r="I173" s="137" t="str">
        <f>IFERROR(INDEX(Aktiv!$I$6:$I$326,MATCH(A173,Aktiv!$A$6:$A$326,0)),"")</f>
        <v>-</v>
      </c>
      <c r="J173" s="137" t="str">
        <f>IFERROR(INDEX(Aktiv!$J$6:$J$326,MATCH(A173,Aktiv!$A$6:$A$326,0)),"")</f>
        <v>-</v>
      </c>
      <c r="K173" s="141" t="str">
        <f>IFERROR(ROUND(G173*Steuerungsdaten!$B$5,0),"-")</f>
        <v>-</v>
      </c>
      <c r="L173" s="137" t="str">
        <f>IFERROR(ROUND(H173*Steuerungsdaten!$B$5,0),"-")</f>
        <v>-</v>
      </c>
      <c r="M173" s="137" t="str">
        <f>IFERROR(ROUND(I173*Steuerungsdaten!$B$5,0),"-")</f>
        <v>-</v>
      </c>
      <c r="N173" s="137" t="str">
        <f>IFERROR(ROUND(J173*Steuerungsdaten!$B$5,0),"-")</f>
        <v>-</v>
      </c>
      <c r="O173" s="143" t="str">
        <f>IF(ISNA(MATCH(A173,Aktiv!$A$6:$A$326,0)),"⚠ nicht im Modell","")</f>
        <v/>
      </c>
    </row>
    <row r="174" spans="1:15" ht="18" customHeight="1" x14ac:dyDescent="0.25">
      <c r="A174" s="135">
        <v>3762</v>
      </c>
      <c r="B174" s="136" t="s">
        <v>7</v>
      </c>
      <c r="C174" s="136" t="s">
        <v>179</v>
      </c>
      <c r="D174" s="136" t="s">
        <v>192</v>
      </c>
      <c r="E174" s="138">
        <v>980</v>
      </c>
      <c r="F174" s="138">
        <v>980</v>
      </c>
      <c r="G174" s="137" t="str">
        <f>IFERROR(INDEX(Aktiv!$G$6:$G$326,MATCH(A174,Aktiv!$A$6:$A$326,0)),"")</f>
        <v>-</v>
      </c>
      <c r="H174" s="137" t="str">
        <f>IFERROR(INDEX(Aktiv!$H$6:$H$326,MATCH(A174,Aktiv!$A$6:$A$326,0)),"")</f>
        <v>-</v>
      </c>
      <c r="I174" s="137" t="str">
        <f>IFERROR(INDEX(Aktiv!$I$6:$I$326,MATCH(A174,Aktiv!$A$6:$A$326,0)),"")</f>
        <v>-</v>
      </c>
      <c r="J174" s="137" t="str">
        <f>IFERROR(INDEX(Aktiv!$J$6:$J$326,MATCH(A174,Aktiv!$A$6:$A$326,0)),"")</f>
        <v>-</v>
      </c>
      <c r="K174" s="141" t="str">
        <f>IFERROR(ROUND(G174*Steuerungsdaten!$B$5,0),"-")</f>
        <v>-</v>
      </c>
      <c r="L174" s="137" t="str">
        <f>IFERROR(ROUND(H174*Steuerungsdaten!$B$5,0),"-")</f>
        <v>-</v>
      </c>
      <c r="M174" s="137" t="str">
        <f>IFERROR(ROUND(I174*Steuerungsdaten!$B$5,0),"-")</f>
        <v>-</v>
      </c>
      <c r="N174" s="137" t="str">
        <f>IFERROR(ROUND(J174*Steuerungsdaten!$B$5,0),"-")</f>
        <v>-</v>
      </c>
      <c r="O174" s="143" t="str">
        <f>IF(ISNA(MATCH(A174,Aktiv!$A$6:$A$326,0)),"⚠ nicht im Modell","")</f>
        <v/>
      </c>
    </row>
    <row r="175" spans="1:15" ht="18" customHeight="1" x14ac:dyDescent="0.25">
      <c r="A175" s="135">
        <v>3800</v>
      </c>
      <c r="B175" s="136" t="s">
        <v>7</v>
      </c>
      <c r="C175" s="136" t="s">
        <v>193</v>
      </c>
      <c r="D175" s="136" t="s">
        <v>194</v>
      </c>
      <c r="E175" s="138">
        <v>360</v>
      </c>
      <c r="F175" s="138">
        <v>360</v>
      </c>
      <c r="G175" s="137">
        <f>IFERROR(INDEX(Aktiv!$G$6:$G$326,MATCH(A175,Aktiv!$A$6:$A$326,0)),"")</f>
        <v>25</v>
      </c>
      <c r="H175" s="137">
        <f>IFERROR(INDEX(Aktiv!$H$6:$H$326,MATCH(A175,Aktiv!$A$6:$A$326,0)),"")</f>
        <v>103</v>
      </c>
      <c r="I175" s="137">
        <f>IFERROR(INDEX(Aktiv!$I$6:$I$326,MATCH(A175,Aktiv!$A$6:$A$326,0)),"")</f>
        <v>120</v>
      </c>
      <c r="J175" s="137">
        <f>IFERROR(INDEX(Aktiv!$J$6:$J$326,MATCH(A175,Aktiv!$A$6:$A$326,0)),"")</f>
        <v>145</v>
      </c>
      <c r="K175" s="141">
        <f>IFERROR(ROUND(G175*Steuerungsdaten!$B$5,0),"-")</f>
        <v>29</v>
      </c>
      <c r="L175" s="137">
        <f>IFERROR(ROUND(H175*Steuerungsdaten!$B$5,0),"-")</f>
        <v>118</v>
      </c>
      <c r="M175" s="137">
        <f>IFERROR(ROUND(I175*Steuerungsdaten!$B$5,0),"-")</f>
        <v>138</v>
      </c>
      <c r="N175" s="137">
        <f>IFERROR(ROUND(J175*Steuerungsdaten!$B$5,0),"-")</f>
        <v>167</v>
      </c>
      <c r="O175" s="143" t="str">
        <f>IF(ISNA(MATCH(A175,Aktiv!$A$6:$A$326,0)),"⚠ nicht im Modell","")</f>
        <v/>
      </c>
    </row>
    <row r="176" spans="1:15" ht="18" customHeight="1" x14ac:dyDescent="0.25">
      <c r="A176" s="135">
        <v>3801</v>
      </c>
      <c r="B176" s="136" t="s">
        <v>7</v>
      </c>
      <c r="C176" s="136" t="s">
        <v>193</v>
      </c>
      <c r="D176" s="136" t="s">
        <v>195</v>
      </c>
      <c r="E176" s="138">
        <v>420</v>
      </c>
      <c r="F176" s="138">
        <v>360</v>
      </c>
      <c r="G176" s="137">
        <f>IFERROR(INDEX(Aktiv!$G$6:$G$326,MATCH(A176,Aktiv!$A$6:$A$326,0)),"")</f>
        <v>27</v>
      </c>
      <c r="H176" s="137">
        <f>IFERROR(INDEX(Aktiv!$H$6:$H$326,MATCH(A176,Aktiv!$A$6:$A$326,0)),"")</f>
        <v>103</v>
      </c>
      <c r="I176" s="137">
        <f>IFERROR(INDEX(Aktiv!$I$6:$I$326,MATCH(A176,Aktiv!$A$6:$A$326,0)),"")</f>
        <v>120</v>
      </c>
      <c r="J176" s="137">
        <f>IFERROR(INDEX(Aktiv!$J$6:$J$326,MATCH(A176,Aktiv!$A$6:$A$326,0)),"")</f>
        <v>145</v>
      </c>
      <c r="K176" s="141">
        <f>IFERROR(ROUND(G176*Steuerungsdaten!$B$5,0),"-")</f>
        <v>31</v>
      </c>
      <c r="L176" s="137">
        <f>IFERROR(ROUND(H176*Steuerungsdaten!$B$5,0),"-")</f>
        <v>118</v>
      </c>
      <c r="M176" s="137">
        <f>IFERROR(ROUND(I176*Steuerungsdaten!$B$5,0),"-")</f>
        <v>138</v>
      </c>
      <c r="N176" s="137">
        <f>IFERROR(ROUND(J176*Steuerungsdaten!$B$5,0),"-")</f>
        <v>167</v>
      </c>
      <c r="O176" s="143" t="str">
        <f>IF(ISNA(MATCH(A176,Aktiv!$A$6:$A$326,0)),"⚠ nicht im Modell","")</f>
        <v/>
      </c>
    </row>
    <row r="177" spans="1:15" ht="18" customHeight="1" x14ac:dyDescent="0.25">
      <c r="A177" s="135">
        <v>3802</v>
      </c>
      <c r="B177" s="136" t="s">
        <v>7</v>
      </c>
      <c r="C177" s="136" t="s">
        <v>193</v>
      </c>
      <c r="D177" s="136" t="s">
        <v>196</v>
      </c>
      <c r="E177" s="138">
        <v>580</v>
      </c>
      <c r="F177" s="138">
        <v>360</v>
      </c>
      <c r="G177" s="137">
        <f>IFERROR(INDEX(Aktiv!$G$6:$G$326,MATCH(A177,Aktiv!$A$6:$A$326,0)),"")</f>
        <v>37</v>
      </c>
      <c r="H177" s="137">
        <f>IFERROR(INDEX(Aktiv!$H$6:$H$326,MATCH(A177,Aktiv!$A$6:$A$326,0)),"")</f>
        <v>126</v>
      </c>
      <c r="I177" s="137">
        <f>IFERROR(INDEX(Aktiv!$I$6:$I$326,MATCH(A177,Aktiv!$A$6:$A$326,0)),"")</f>
        <v>131</v>
      </c>
      <c r="J177" s="137">
        <f>IFERROR(INDEX(Aktiv!$J$6:$J$326,MATCH(A177,Aktiv!$A$6:$A$326,0)),"")</f>
        <v>146</v>
      </c>
      <c r="K177" s="141">
        <f>IFERROR(ROUND(G177*Steuerungsdaten!$B$5,0),"-")</f>
        <v>43</v>
      </c>
      <c r="L177" s="137">
        <f>IFERROR(ROUND(H177*Steuerungsdaten!$B$5,0),"-")</f>
        <v>145</v>
      </c>
      <c r="M177" s="137">
        <f>IFERROR(ROUND(I177*Steuerungsdaten!$B$5,0),"-")</f>
        <v>151</v>
      </c>
      <c r="N177" s="137">
        <f>IFERROR(ROUND(J177*Steuerungsdaten!$B$5,0),"-")</f>
        <v>168</v>
      </c>
      <c r="O177" s="143" t="str">
        <f>IF(ISNA(MATCH(A177,Aktiv!$A$6:$A$326,0)),"⚠ nicht im Modell","")</f>
        <v/>
      </c>
    </row>
    <row r="178" spans="1:15" ht="18" customHeight="1" x14ac:dyDescent="0.25">
      <c r="A178" s="135">
        <v>3803</v>
      </c>
      <c r="B178" s="136" t="s">
        <v>7</v>
      </c>
      <c r="C178" s="136" t="s">
        <v>193</v>
      </c>
      <c r="D178" s="136" t="s">
        <v>197</v>
      </c>
      <c r="E178" s="138">
        <v>780</v>
      </c>
      <c r="F178" s="138">
        <v>360</v>
      </c>
      <c r="G178" s="137">
        <f>IFERROR(INDEX(Aktiv!$G$6:$G$326,MATCH(A178,Aktiv!$A$6:$A$326,0)),"")</f>
        <v>49</v>
      </c>
      <c r="H178" s="137">
        <f>IFERROR(INDEX(Aktiv!$H$6:$H$326,MATCH(A178,Aktiv!$A$6:$A$326,0)),"")</f>
        <v>169</v>
      </c>
      <c r="I178" s="137">
        <f>IFERROR(INDEX(Aktiv!$I$6:$I$326,MATCH(A178,Aktiv!$A$6:$A$326,0)),"")</f>
        <v>177</v>
      </c>
      <c r="J178" s="137">
        <f>IFERROR(INDEX(Aktiv!$J$6:$J$326,MATCH(A178,Aktiv!$A$6:$A$326,0)),"")</f>
        <v>196</v>
      </c>
      <c r="K178" s="141">
        <f>IFERROR(ROUND(G178*Steuerungsdaten!$B$5,0),"-")</f>
        <v>56</v>
      </c>
      <c r="L178" s="137">
        <f>IFERROR(ROUND(H178*Steuerungsdaten!$B$5,0),"-")</f>
        <v>194</v>
      </c>
      <c r="M178" s="137">
        <f>IFERROR(ROUND(I178*Steuerungsdaten!$B$5,0),"-")</f>
        <v>204</v>
      </c>
      <c r="N178" s="137">
        <f>IFERROR(ROUND(J178*Steuerungsdaten!$B$5,0),"-")</f>
        <v>225</v>
      </c>
      <c r="O178" s="143" t="str">
        <f>IF(ISNA(MATCH(A178,Aktiv!$A$6:$A$326,0)),"⚠ nicht im Modell","")</f>
        <v/>
      </c>
    </row>
    <row r="179" spans="1:15" ht="18" customHeight="1" x14ac:dyDescent="0.25">
      <c r="A179" s="135">
        <v>3804</v>
      </c>
      <c r="B179" s="136" t="s">
        <v>7</v>
      </c>
      <c r="C179" s="136" t="s">
        <v>193</v>
      </c>
      <c r="D179" s="136" t="s">
        <v>198</v>
      </c>
      <c r="E179" s="138">
        <v>980</v>
      </c>
      <c r="F179" s="138">
        <v>360</v>
      </c>
      <c r="G179" s="137">
        <f>IFERROR(INDEX(Aktiv!$G$6:$G$326,MATCH(A179,Aktiv!$A$6:$A$326,0)),"")</f>
        <v>62</v>
      </c>
      <c r="H179" s="137">
        <f>IFERROR(INDEX(Aktiv!$H$6:$H$326,MATCH(A179,Aktiv!$A$6:$A$326,0)),"")</f>
        <v>213</v>
      </c>
      <c r="I179" s="137">
        <f>IFERROR(INDEX(Aktiv!$I$6:$I$326,MATCH(A179,Aktiv!$A$6:$A$326,0)),"")</f>
        <v>222</v>
      </c>
      <c r="J179" s="137">
        <f>IFERROR(INDEX(Aktiv!$J$6:$J$326,MATCH(A179,Aktiv!$A$6:$A$326,0)),"")</f>
        <v>247</v>
      </c>
      <c r="K179" s="141">
        <f>IFERROR(ROUND(G179*Steuerungsdaten!$B$5,0),"-")</f>
        <v>71</v>
      </c>
      <c r="L179" s="137">
        <f>IFERROR(ROUND(H179*Steuerungsdaten!$B$5,0),"-")</f>
        <v>245</v>
      </c>
      <c r="M179" s="137">
        <f>IFERROR(ROUND(I179*Steuerungsdaten!$B$5,0),"-")</f>
        <v>255</v>
      </c>
      <c r="N179" s="137">
        <f>IFERROR(ROUND(J179*Steuerungsdaten!$B$5,0),"-")</f>
        <v>284</v>
      </c>
      <c r="O179" s="143" t="str">
        <f>IF(ISNA(MATCH(A179,Aktiv!$A$6:$A$326,0)),"⚠ nicht im Modell","")</f>
        <v/>
      </c>
    </row>
    <row r="180" spans="1:15" ht="18" customHeight="1" x14ac:dyDescent="0.25">
      <c r="A180" s="135">
        <v>3805</v>
      </c>
      <c r="B180" s="136" t="s">
        <v>7</v>
      </c>
      <c r="C180" s="136" t="s">
        <v>193</v>
      </c>
      <c r="D180" s="136" t="s">
        <v>199</v>
      </c>
      <c r="E180" s="138">
        <v>360</v>
      </c>
      <c r="F180" s="138">
        <v>580</v>
      </c>
      <c r="G180" s="137">
        <f>IFERROR(INDEX(Aktiv!$G$6:$G$326,MATCH(A180,Aktiv!$A$6:$A$326,0)),"")</f>
        <v>37</v>
      </c>
      <c r="H180" s="137">
        <f>IFERROR(INDEX(Aktiv!$H$6:$H$326,MATCH(A180,Aktiv!$A$6:$A$326,0)),"")</f>
        <v>126</v>
      </c>
      <c r="I180" s="137">
        <f>IFERROR(INDEX(Aktiv!$I$6:$I$326,MATCH(A180,Aktiv!$A$6:$A$326,0)),"")</f>
        <v>131</v>
      </c>
      <c r="J180" s="137">
        <f>IFERROR(INDEX(Aktiv!$J$6:$J$326,MATCH(A180,Aktiv!$A$6:$A$326,0)),"")</f>
        <v>146</v>
      </c>
      <c r="K180" s="141">
        <f>IFERROR(ROUND(G180*Steuerungsdaten!$B$5,0),"-")</f>
        <v>43</v>
      </c>
      <c r="L180" s="137">
        <f>IFERROR(ROUND(H180*Steuerungsdaten!$B$5,0),"-")</f>
        <v>145</v>
      </c>
      <c r="M180" s="137">
        <f>IFERROR(ROUND(I180*Steuerungsdaten!$B$5,0),"-")</f>
        <v>151</v>
      </c>
      <c r="N180" s="137">
        <f>IFERROR(ROUND(J180*Steuerungsdaten!$B$5,0),"-")</f>
        <v>168</v>
      </c>
      <c r="O180" s="143" t="str">
        <f>IF(ISNA(MATCH(A180,Aktiv!$A$6:$A$326,0)),"⚠ nicht im Modell","")</f>
        <v/>
      </c>
    </row>
    <row r="181" spans="1:15" ht="18" customHeight="1" x14ac:dyDescent="0.25">
      <c r="A181" s="135">
        <v>3806</v>
      </c>
      <c r="B181" s="136" t="s">
        <v>7</v>
      </c>
      <c r="C181" s="136" t="s">
        <v>193</v>
      </c>
      <c r="D181" s="136" t="s">
        <v>200</v>
      </c>
      <c r="E181" s="138">
        <v>420</v>
      </c>
      <c r="F181" s="138">
        <v>580</v>
      </c>
      <c r="G181" s="137">
        <f>IFERROR(INDEX(Aktiv!$G$6:$G$326,MATCH(A181,Aktiv!$A$6:$A$326,0)),"")</f>
        <v>43</v>
      </c>
      <c r="H181" s="137">
        <f>IFERROR(INDEX(Aktiv!$H$6:$H$326,MATCH(A181,Aktiv!$A$6:$A$326,0)),"")</f>
        <v>147</v>
      </c>
      <c r="I181" s="137">
        <f>IFERROR(INDEX(Aktiv!$I$6:$I$326,MATCH(A181,Aktiv!$A$6:$A$326,0)),"")</f>
        <v>153</v>
      </c>
      <c r="J181" s="137">
        <f>IFERROR(INDEX(Aktiv!$J$6:$J$326,MATCH(A181,Aktiv!$A$6:$A$326,0)),"")</f>
        <v>170</v>
      </c>
      <c r="K181" s="141">
        <f>IFERROR(ROUND(G181*Steuerungsdaten!$B$5,0),"-")</f>
        <v>49</v>
      </c>
      <c r="L181" s="137">
        <f>IFERROR(ROUND(H181*Steuerungsdaten!$B$5,0),"-")</f>
        <v>169</v>
      </c>
      <c r="M181" s="137">
        <f>IFERROR(ROUND(I181*Steuerungsdaten!$B$5,0),"-")</f>
        <v>176</v>
      </c>
      <c r="N181" s="137">
        <f>IFERROR(ROUND(J181*Steuerungsdaten!$B$5,0),"-")</f>
        <v>196</v>
      </c>
      <c r="O181" s="143" t="str">
        <f>IF(ISNA(MATCH(A181,Aktiv!$A$6:$A$326,0)),"⚠ nicht im Modell","")</f>
        <v/>
      </c>
    </row>
    <row r="182" spans="1:15" ht="18" customHeight="1" x14ac:dyDescent="0.25">
      <c r="A182" s="135">
        <v>3807</v>
      </c>
      <c r="B182" s="136" t="s">
        <v>7</v>
      </c>
      <c r="C182" s="136" t="s">
        <v>193</v>
      </c>
      <c r="D182" s="136" t="s">
        <v>201</v>
      </c>
      <c r="E182" s="138">
        <v>580</v>
      </c>
      <c r="F182" s="138">
        <v>580</v>
      </c>
      <c r="G182" s="137">
        <f>IFERROR(INDEX(Aktiv!$G$6:$G$326,MATCH(A182,Aktiv!$A$6:$A$326,0)),"")</f>
        <v>59</v>
      </c>
      <c r="H182" s="137">
        <f>IFERROR(INDEX(Aktiv!$H$6:$H$326,MATCH(A182,Aktiv!$A$6:$A$326,0)),"")</f>
        <v>203</v>
      </c>
      <c r="I182" s="137">
        <f>IFERROR(INDEX(Aktiv!$I$6:$I$326,MATCH(A182,Aktiv!$A$6:$A$326,0)),"")</f>
        <v>211</v>
      </c>
      <c r="J182" s="137">
        <f>IFERROR(INDEX(Aktiv!$J$6:$J$326,MATCH(A182,Aktiv!$A$6:$A$326,0)),"")</f>
        <v>235</v>
      </c>
      <c r="K182" s="141">
        <f>IFERROR(ROUND(G182*Steuerungsdaten!$B$5,0),"-")</f>
        <v>68</v>
      </c>
      <c r="L182" s="137">
        <f>IFERROR(ROUND(H182*Steuerungsdaten!$B$5,0),"-")</f>
        <v>233</v>
      </c>
      <c r="M182" s="137">
        <f>IFERROR(ROUND(I182*Steuerungsdaten!$B$5,0),"-")</f>
        <v>243</v>
      </c>
      <c r="N182" s="137">
        <f>IFERROR(ROUND(J182*Steuerungsdaten!$B$5,0),"-")</f>
        <v>270</v>
      </c>
      <c r="O182" s="143" t="str">
        <f>IF(ISNA(MATCH(A182,Aktiv!$A$6:$A$326,0)),"⚠ nicht im Modell","")</f>
        <v/>
      </c>
    </row>
    <row r="183" spans="1:15" ht="18" customHeight="1" x14ac:dyDescent="0.25">
      <c r="A183" s="135">
        <v>3808</v>
      </c>
      <c r="B183" s="136" t="s">
        <v>7</v>
      </c>
      <c r="C183" s="136" t="s">
        <v>193</v>
      </c>
      <c r="D183" s="136" t="s">
        <v>202</v>
      </c>
      <c r="E183" s="138">
        <v>780</v>
      </c>
      <c r="F183" s="138">
        <v>580</v>
      </c>
      <c r="G183" s="137">
        <f>IFERROR(INDEX(Aktiv!$G$6:$G$326,MATCH(A183,Aktiv!$A$6:$A$326,0)),"")</f>
        <v>80</v>
      </c>
      <c r="H183" s="137">
        <f>IFERROR(INDEX(Aktiv!$H$6:$H$326,MATCH(A183,Aktiv!$A$6:$A$326,0)),"")</f>
        <v>273</v>
      </c>
      <c r="I183" s="137">
        <f>IFERROR(INDEX(Aktiv!$I$6:$I$326,MATCH(A183,Aktiv!$A$6:$A$326,0)),"")</f>
        <v>284</v>
      </c>
      <c r="J183" s="137">
        <f>IFERROR(INDEX(Aktiv!$J$6:$J$326,MATCH(A183,Aktiv!$A$6:$A$326,0)),"")</f>
        <v>316</v>
      </c>
      <c r="K183" s="141">
        <f>IFERROR(ROUND(G183*Steuerungsdaten!$B$5,0),"-")</f>
        <v>92</v>
      </c>
      <c r="L183" s="137">
        <f>IFERROR(ROUND(H183*Steuerungsdaten!$B$5,0),"-")</f>
        <v>314</v>
      </c>
      <c r="M183" s="137">
        <f>IFERROR(ROUND(I183*Steuerungsdaten!$B$5,0),"-")</f>
        <v>327</v>
      </c>
      <c r="N183" s="137">
        <f>IFERROR(ROUND(J183*Steuerungsdaten!$B$5,0),"-")</f>
        <v>363</v>
      </c>
      <c r="O183" s="143" t="str">
        <f>IF(ISNA(MATCH(A183,Aktiv!$A$6:$A$326,0)),"⚠ nicht im Modell","")</f>
        <v/>
      </c>
    </row>
    <row r="184" spans="1:15" ht="18" customHeight="1" x14ac:dyDescent="0.25">
      <c r="A184" s="135">
        <v>3809</v>
      </c>
      <c r="B184" s="136" t="s">
        <v>7</v>
      </c>
      <c r="C184" s="136" t="s">
        <v>193</v>
      </c>
      <c r="D184" s="136" t="s">
        <v>203</v>
      </c>
      <c r="E184" s="138">
        <v>980</v>
      </c>
      <c r="F184" s="138">
        <v>580</v>
      </c>
      <c r="G184" s="137">
        <f>IFERROR(INDEX(Aktiv!$G$6:$G$326,MATCH(A184,Aktiv!$A$6:$A$326,0)),"")</f>
        <v>100</v>
      </c>
      <c r="H184" s="137">
        <f>IFERROR(INDEX(Aktiv!$H$6:$H$326,MATCH(A184,Aktiv!$A$6:$A$326,0)),"")</f>
        <v>343</v>
      </c>
      <c r="I184" s="137">
        <f>IFERROR(INDEX(Aktiv!$I$6:$I$326,MATCH(A184,Aktiv!$A$6:$A$326,0)),"")</f>
        <v>357</v>
      </c>
      <c r="J184" s="137">
        <f>IFERROR(INDEX(Aktiv!$J$6:$J$326,MATCH(A184,Aktiv!$A$6:$A$326,0)),"")</f>
        <v>398</v>
      </c>
      <c r="K184" s="141">
        <f>IFERROR(ROUND(G184*Steuerungsdaten!$B$5,0),"-")</f>
        <v>115</v>
      </c>
      <c r="L184" s="137">
        <f>IFERROR(ROUND(H184*Steuerungsdaten!$B$5,0),"-")</f>
        <v>394</v>
      </c>
      <c r="M184" s="137">
        <f>IFERROR(ROUND(I184*Steuerungsdaten!$B$5,0),"-")</f>
        <v>411</v>
      </c>
      <c r="N184" s="137">
        <f>IFERROR(ROUND(J184*Steuerungsdaten!$B$5,0),"-")</f>
        <v>458</v>
      </c>
      <c r="O184" s="143" t="str">
        <f>IF(ISNA(MATCH(A184,Aktiv!$A$6:$A$326,0)),"⚠ nicht im Modell","")</f>
        <v/>
      </c>
    </row>
    <row r="185" spans="1:15" ht="18" customHeight="1" x14ac:dyDescent="0.25">
      <c r="A185" s="135">
        <v>3810</v>
      </c>
      <c r="B185" s="136" t="s">
        <v>7</v>
      </c>
      <c r="C185" s="136" t="s">
        <v>193</v>
      </c>
      <c r="D185" s="136" t="s">
        <v>204</v>
      </c>
      <c r="E185" s="138">
        <v>420</v>
      </c>
      <c r="F185" s="138">
        <v>780</v>
      </c>
      <c r="G185" s="137" t="str">
        <f>IFERROR(INDEX(Aktiv!$G$6:$G$326,MATCH(A185,Aktiv!$A$6:$A$326,0)),"")</f>
        <v>-</v>
      </c>
      <c r="H185" s="137" t="str">
        <f>IFERROR(INDEX(Aktiv!$H$6:$H$326,MATCH(A185,Aktiv!$A$6:$A$326,0)),"")</f>
        <v>-</v>
      </c>
      <c r="I185" s="137" t="str">
        <f>IFERROR(INDEX(Aktiv!$I$6:$I$326,MATCH(A185,Aktiv!$A$6:$A$326,0)),"")</f>
        <v>-</v>
      </c>
      <c r="J185" s="137" t="str">
        <f>IFERROR(INDEX(Aktiv!$J$6:$J$326,MATCH(A185,Aktiv!$A$6:$A$326,0)),"")</f>
        <v>-</v>
      </c>
      <c r="K185" s="141" t="str">
        <f>IFERROR(ROUND(G185*Steuerungsdaten!$B$5,0),"-")</f>
        <v>-</v>
      </c>
      <c r="L185" s="137" t="str">
        <f>IFERROR(ROUND(H185*Steuerungsdaten!$B$5,0),"-")</f>
        <v>-</v>
      </c>
      <c r="M185" s="137" t="str">
        <f>IFERROR(ROUND(I185*Steuerungsdaten!$B$5,0),"-")</f>
        <v>-</v>
      </c>
      <c r="N185" s="137" t="str">
        <f>IFERROR(ROUND(J185*Steuerungsdaten!$B$5,0),"-")</f>
        <v>-</v>
      </c>
      <c r="O185" s="143" t="str">
        <f>IF(ISNA(MATCH(A185,Aktiv!$A$6:$A$326,0)),"⚠ nicht im Modell","")</f>
        <v/>
      </c>
    </row>
    <row r="186" spans="1:15" ht="18" customHeight="1" x14ac:dyDescent="0.25">
      <c r="A186" s="135">
        <v>3811</v>
      </c>
      <c r="B186" s="136" t="s">
        <v>7</v>
      </c>
      <c r="C186" s="136" t="s">
        <v>193</v>
      </c>
      <c r="D186" s="136" t="s">
        <v>205</v>
      </c>
      <c r="E186" s="138">
        <v>420</v>
      </c>
      <c r="F186" s="138">
        <v>980</v>
      </c>
      <c r="G186" s="137" t="str">
        <f>IFERROR(INDEX(Aktiv!$G$6:$G$326,MATCH(A186,Aktiv!$A$6:$A$326,0)),"")</f>
        <v>-</v>
      </c>
      <c r="H186" s="137" t="str">
        <f>IFERROR(INDEX(Aktiv!$H$6:$H$326,MATCH(A186,Aktiv!$A$6:$A$326,0)),"")</f>
        <v>-</v>
      </c>
      <c r="I186" s="137" t="str">
        <f>IFERROR(INDEX(Aktiv!$I$6:$I$326,MATCH(A186,Aktiv!$A$6:$A$326,0)),"")</f>
        <v>-</v>
      </c>
      <c r="J186" s="137" t="str">
        <f>IFERROR(INDEX(Aktiv!$J$6:$J$326,MATCH(A186,Aktiv!$A$6:$A$326,0)),"")</f>
        <v>-</v>
      </c>
      <c r="K186" s="141" t="str">
        <f>IFERROR(ROUND(G186*Steuerungsdaten!$B$5,0),"-")</f>
        <v>-</v>
      </c>
      <c r="L186" s="137" t="str">
        <f>IFERROR(ROUND(H186*Steuerungsdaten!$B$5,0),"-")</f>
        <v>-</v>
      </c>
      <c r="M186" s="137" t="str">
        <f>IFERROR(ROUND(I186*Steuerungsdaten!$B$5,0),"-")</f>
        <v>-</v>
      </c>
      <c r="N186" s="137" t="str">
        <f>IFERROR(ROUND(J186*Steuerungsdaten!$B$5,0),"-")</f>
        <v>-</v>
      </c>
      <c r="O186" s="143" t="str">
        <f>IF(ISNA(MATCH(A186,Aktiv!$A$6:$A$326,0)),"⚠ nicht im Modell","")</f>
        <v/>
      </c>
    </row>
    <row r="187" spans="1:15" ht="18" customHeight="1" x14ac:dyDescent="0.25">
      <c r="A187" s="135">
        <v>3812</v>
      </c>
      <c r="B187" s="136" t="s">
        <v>7</v>
      </c>
      <c r="C187" s="136" t="s">
        <v>193</v>
      </c>
      <c r="D187" s="136" t="s">
        <v>206</v>
      </c>
      <c r="E187" s="138">
        <v>780</v>
      </c>
      <c r="F187" s="138">
        <v>780</v>
      </c>
      <c r="G187" s="137" t="str">
        <f>IFERROR(INDEX(Aktiv!$G$6:$G$326,MATCH(A187,Aktiv!$A$6:$A$326,0)),"")</f>
        <v>-</v>
      </c>
      <c r="H187" s="137" t="str">
        <f>IFERROR(INDEX(Aktiv!$H$6:$H$326,MATCH(A187,Aktiv!$A$6:$A$326,0)),"")</f>
        <v>-</v>
      </c>
      <c r="I187" s="137" t="str">
        <f>IFERROR(INDEX(Aktiv!$I$6:$I$326,MATCH(A187,Aktiv!$A$6:$A$326,0)),"")</f>
        <v>-</v>
      </c>
      <c r="J187" s="137" t="str">
        <f>IFERROR(INDEX(Aktiv!$J$6:$J$326,MATCH(A187,Aktiv!$A$6:$A$326,0)),"")</f>
        <v>-</v>
      </c>
      <c r="K187" s="141" t="str">
        <f>IFERROR(ROUND(G187*Steuerungsdaten!$B$5,0),"-")</f>
        <v>-</v>
      </c>
      <c r="L187" s="137" t="str">
        <f>IFERROR(ROUND(H187*Steuerungsdaten!$B$5,0),"-")</f>
        <v>-</v>
      </c>
      <c r="M187" s="137" t="str">
        <f>IFERROR(ROUND(I187*Steuerungsdaten!$B$5,0),"-")</f>
        <v>-</v>
      </c>
      <c r="N187" s="137" t="str">
        <f>IFERROR(ROUND(J187*Steuerungsdaten!$B$5,0),"-")</f>
        <v>-</v>
      </c>
      <c r="O187" s="143" t="str">
        <f>IF(ISNA(MATCH(A187,Aktiv!$A$6:$A$326,0)),"⚠ nicht im Modell","")</f>
        <v/>
      </c>
    </row>
    <row r="188" spans="1:15" ht="18" customHeight="1" x14ac:dyDescent="0.25">
      <c r="A188" s="135">
        <v>3813</v>
      </c>
      <c r="B188" s="136" t="s">
        <v>7</v>
      </c>
      <c r="C188" s="136" t="s">
        <v>193</v>
      </c>
      <c r="D188" s="136" t="s">
        <v>207</v>
      </c>
      <c r="E188" s="138">
        <v>780</v>
      </c>
      <c r="F188" s="138">
        <v>980</v>
      </c>
      <c r="G188" s="137" t="str">
        <f>IFERROR(INDEX(Aktiv!$G$6:$G$326,MATCH(A188,Aktiv!$A$6:$A$326,0)),"")</f>
        <v>-</v>
      </c>
      <c r="H188" s="137" t="str">
        <f>IFERROR(INDEX(Aktiv!$H$6:$H$326,MATCH(A188,Aktiv!$A$6:$A$326,0)),"")</f>
        <v>-</v>
      </c>
      <c r="I188" s="137" t="str">
        <f>IFERROR(INDEX(Aktiv!$I$6:$I$326,MATCH(A188,Aktiv!$A$6:$A$326,0)),"")</f>
        <v>-</v>
      </c>
      <c r="J188" s="137" t="str">
        <f>IFERROR(INDEX(Aktiv!$J$6:$J$326,MATCH(A188,Aktiv!$A$6:$A$326,0)),"")</f>
        <v>-</v>
      </c>
      <c r="K188" s="141" t="str">
        <f>IFERROR(ROUND(G188*Steuerungsdaten!$B$5,0),"-")</f>
        <v>-</v>
      </c>
      <c r="L188" s="137" t="str">
        <f>IFERROR(ROUND(H188*Steuerungsdaten!$B$5,0),"-")</f>
        <v>-</v>
      </c>
      <c r="M188" s="137" t="str">
        <f>IFERROR(ROUND(I188*Steuerungsdaten!$B$5,0),"-")</f>
        <v>-</v>
      </c>
      <c r="N188" s="137" t="str">
        <f>IFERROR(ROUND(J188*Steuerungsdaten!$B$5,0),"-")</f>
        <v>-</v>
      </c>
      <c r="O188" s="143" t="str">
        <f>IF(ISNA(MATCH(A188,Aktiv!$A$6:$A$326,0)),"⚠ nicht im Modell","")</f>
        <v/>
      </c>
    </row>
    <row r="189" spans="1:15" ht="18" customHeight="1" x14ac:dyDescent="0.25">
      <c r="A189" s="135">
        <v>3814</v>
      </c>
      <c r="B189" s="136" t="s">
        <v>7</v>
      </c>
      <c r="C189" s="136" t="s">
        <v>193</v>
      </c>
      <c r="D189" s="136" t="s">
        <v>208</v>
      </c>
      <c r="E189" s="138">
        <v>980</v>
      </c>
      <c r="F189" s="138">
        <v>780</v>
      </c>
      <c r="G189" s="137" t="str">
        <f>IFERROR(INDEX(Aktiv!$G$6:$G$326,MATCH(A189,Aktiv!$A$6:$A$326,0)),"")</f>
        <v>-</v>
      </c>
      <c r="H189" s="137" t="str">
        <f>IFERROR(INDEX(Aktiv!$H$6:$H$326,MATCH(A189,Aktiv!$A$6:$A$326,0)),"")</f>
        <v>-</v>
      </c>
      <c r="I189" s="137" t="str">
        <f>IFERROR(INDEX(Aktiv!$I$6:$I$326,MATCH(A189,Aktiv!$A$6:$A$326,0)),"")</f>
        <v>-</v>
      </c>
      <c r="J189" s="137" t="str">
        <f>IFERROR(INDEX(Aktiv!$J$6:$J$326,MATCH(A189,Aktiv!$A$6:$A$326,0)),"")</f>
        <v>-</v>
      </c>
      <c r="K189" s="141" t="str">
        <f>IFERROR(ROUND(G189*Steuerungsdaten!$B$5,0),"-")</f>
        <v>-</v>
      </c>
      <c r="L189" s="137" t="str">
        <f>IFERROR(ROUND(H189*Steuerungsdaten!$B$5,0),"-")</f>
        <v>-</v>
      </c>
      <c r="M189" s="137" t="str">
        <f>IFERROR(ROUND(I189*Steuerungsdaten!$B$5,0),"-")</f>
        <v>-</v>
      </c>
      <c r="N189" s="137" t="str">
        <f>IFERROR(ROUND(J189*Steuerungsdaten!$B$5,0),"-")</f>
        <v>-</v>
      </c>
      <c r="O189" s="143" t="str">
        <f>IF(ISNA(MATCH(A189,Aktiv!$A$6:$A$326,0)),"⚠ nicht im Modell","")</f>
        <v/>
      </c>
    </row>
    <row r="190" spans="1:15" ht="18" customHeight="1" x14ac:dyDescent="0.25">
      <c r="A190" s="135">
        <v>3815</v>
      </c>
      <c r="B190" s="136" t="s">
        <v>7</v>
      </c>
      <c r="C190" s="136" t="s">
        <v>193</v>
      </c>
      <c r="D190" s="136" t="s">
        <v>209</v>
      </c>
      <c r="E190" s="138">
        <v>980</v>
      </c>
      <c r="F190" s="138">
        <v>980</v>
      </c>
      <c r="G190" s="137" t="str">
        <f>IFERROR(INDEX(Aktiv!$G$6:$G$326,MATCH(A190,Aktiv!$A$6:$A$326,0)),"")</f>
        <v>-</v>
      </c>
      <c r="H190" s="137" t="str">
        <f>IFERROR(INDEX(Aktiv!$H$6:$H$326,MATCH(A190,Aktiv!$A$6:$A$326,0)),"")</f>
        <v>-</v>
      </c>
      <c r="I190" s="137" t="str">
        <f>IFERROR(INDEX(Aktiv!$I$6:$I$326,MATCH(A190,Aktiv!$A$6:$A$326,0)),"")</f>
        <v>-</v>
      </c>
      <c r="J190" s="137" t="str">
        <f>IFERROR(INDEX(Aktiv!$J$6:$J$326,MATCH(A190,Aktiv!$A$6:$A$326,0)),"")</f>
        <v>-</v>
      </c>
      <c r="K190" s="141" t="str">
        <f>IFERROR(ROUND(G190*Steuerungsdaten!$B$5,0),"-")</f>
        <v>-</v>
      </c>
      <c r="L190" s="137" t="str">
        <f>IFERROR(ROUND(H190*Steuerungsdaten!$B$5,0),"-")</f>
        <v>-</v>
      </c>
      <c r="M190" s="137" t="str">
        <f>IFERROR(ROUND(I190*Steuerungsdaten!$B$5,0),"-")</f>
        <v>-</v>
      </c>
      <c r="N190" s="137" t="str">
        <f>IFERROR(ROUND(J190*Steuerungsdaten!$B$5,0),"-")</f>
        <v>-</v>
      </c>
      <c r="O190" s="143" t="str">
        <f>IF(ISNA(MATCH(A190,Aktiv!$A$6:$A$326,0)),"⚠ nicht im Modell","")</f>
        <v/>
      </c>
    </row>
    <row r="191" spans="1:15" ht="18" customHeight="1" x14ac:dyDescent="0.25">
      <c r="A191" s="135">
        <v>5000</v>
      </c>
      <c r="B191" s="136" t="s">
        <v>7</v>
      </c>
      <c r="C191" s="136" t="s">
        <v>1</v>
      </c>
      <c r="D191" s="136" t="s">
        <v>210</v>
      </c>
      <c r="E191" s="138">
        <v>420</v>
      </c>
      <c r="F191" s="138">
        <v>180</v>
      </c>
      <c r="G191" s="161">
        <f>IFERROR(INDEX(Aktiv!$G$6:$G$326,MATCH(A191,Aktiv!$A$6:$A$326,0)),"")</f>
        <v>103</v>
      </c>
      <c r="H191" s="161">
        <f>IFERROR(INDEX(Aktiv!$H$6:$H$326,MATCH(A191,Aktiv!$A$6:$A$326,0)),"")</f>
        <v>171</v>
      </c>
      <c r="I191" s="161">
        <f>IFERROR(INDEX(Aktiv!$I$6:$I$326,MATCH(A191,Aktiv!$A$6:$A$326,0)),"")</f>
        <v>180</v>
      </c>
      <c r="J191" s="161">
        <f>IFERROR(INDEX(Aktiv!$J$6:$J$326,MATCH(A191,Aktiv!$A$6:$A$326,0)),"")</f>
        <v>243</v>
      </c>
      <c r="K191" s="162">
        <f>IFERROR(ROUND(G191*Steuerungsdaten!$B$5,0),"-")</f>
        <v>118</v>
      </c>
      <c r="L191" s="161">
        <f>IFERROR(ROUND(H191*Steuerungsdaten!$B$5,0),"-")</f>
        <v>197</v>
      </c>
      <c r="M191" s="161">
        <f>IFERROR(ROUND(I191*Steuerungsdaten!$B$5,0),"-")</f>
        <v>207</v>
      </c>
      <c r="N191" s="161">
        <f>IFERROR(ROUND(J191*Steuerungsdaten!$B$5,0),"-")</f>
        <v>279</v>
      </c>
      <c r="O191" s="143" t="str">
        <f>IF(ISNA(MATCH(A191,Aktiv!$A$6:$A$326,0)),"⚠ nicht im Modell","")</f>
        <v/>
      </c>
    </row>
    <row r="192" spans="1:15" ht="18" customHeight="1" x14ac:dyDescent="0.25">
      <c r="A192" s="135">
        <v>5001</v>
      </c>
      <c r="B192" s="136" t="s">
        <v>7</v>
      </c>
      <c r="C192" s="136" t="s">
        <v>1</v>
      </c>
      <c r="D192" s="136" t="s">
        <v>211</v>
      </c>
      <c r="E192" s="138">
        <v>420</v>
      </c>
      <c r="F192" s="138">
        <v>360</v>
      </c>
      <c r="G192" s="137">
        <f>IFERROR(INDEX(Aktiv!$G$6:$G$326,MATCH(A192,Aktiv!$A$6:$A$326,0)),"")</f>
        <v>146</v>
      </c>
      <c r="H192" s="137">
        <f>IFERROR(INDEX(Aktiv!$H$6:$H$326,MATCH(A192,Aktiv!$A$6:$A$326,0)),"")</f>
        <v>242</v>
      </c>
      <c r="I192" s="137">
        <f>IFERROR(INDEX(Aktiv!$I$6:$I$326,MATCH(A192,Aktiv!$A$6:$A$326,0)),"")</f>
        <v>254</v>
      </c>
      <c r="J192" s="137">
        <f>IFERROR(INDEX(Aktiv!$J$6:$J$326,MATCH(A192,Aktiv!$A$6:$A$326,0)),"")</f>
        <v>344</v>
      </c>
      <c r="K192" s="141">
        <f>IFERROR(ROUND(G192*Steuerungsdaten!$B$5,0),"-")</f>
        <v>168</v>
      </c>
      <c r="L192" s="137">
        <f>IFERROR(ROUND(H192*Steuerungsdaten!$B$5,0),"-")</f>
        <v>278</v>
      </c>
      <c r="M192" s="137">
        <f>IFERROR(ROUND(I192*Steuerungsdaten!$B$5,0),"-")</f>
        <v>292</v>
      </c>
      <c r="N192" s="137">
        <f>IFERROR(ROUND(J192*Steuerungsdaten!$B$5,0),"-")</f>
        <v>396</v>
      </c>
      <c r="O192" s="143" t="str">
        <f>IF(ISNA(MATCH(A192,Aktiv!$A$6:$A$326,0)),"⚠ nicht im Modell","")</f>
        <v/>
      </c>
    </row>
    <row r="193" spans="1:15" ht="18" customHeight="1" x14ac:dyDescent="0.25">
      <c r="A193" s="135">
        <v>5002</v>
      </c>
      <c r="B193" s="136" t="s">
        <v>7</v>
      </c>
      <c r="C193" s="136" t="s">
        <v>1</v>
      </c>
      <c r="D193" s="136" t="s">
        <v>212</v>
      </c>
      <c r="E193" s="138">
        <v>580</v>
      </c>
      <c r="F193" s="138">
        <v>180</v>
      </c>
      <c r="G193" s="161">
        <f>IFERROR(INDEX(Aktiv!$G$6:$G$326,MATCH(A193,Aktiv!$A$6:$A$326,0)),"")</f>
        <v>122</v>
      </c>
      <c r="H193" s="161">
        <f>IFERROR(INDEX(Aktiv!$H$6:$H$326,MATCH(A193,Aktiv!$A$6:$A$326,0)),"")</f>
        <v>201</v>
      </c>
      <c r="I193" s="161">
        <f>IFERROR(INDEX(Aktiv!$I$6:$I$326,MATCH(A193,Aktiv!$A$6:$A$326,0)),"")</f>
        <v>211</v>
      </c>
      <c r="J193" s="161">
        <f>IFERROR(INDEX(Aktiv!$J$6:$J$326,MATCH(A193,Aktiv!$A$6:$A$326,0)),"")</f>
        <v>285</v>
      </c>
      <c r="K193" s="162">
        <f>IFERROR(ROUND(G193*Steuerungsdaten!$B$5,0),"-")</f>
        <v>140</v>
      </c>
      <c r="L193" s="161">
        <f>IFERROR(ROUND(H193*Steuerungsdaten!$B$5,0),"-")</f>
        <v>231</v>
      </c>
      <c r="M193" s="161">
        <f>IFERROR(ROUND(I193*Steuerungsdaten!$B$5,0),"-")</f>
        <v>243</v>
      </c>
      <c r="N193" s="161">
        <f>IFERROR(ROUND(J193*Steuerungsdaten!$B$5,0),"-")</f>
        <v>328</v>
      </c>
      <c r="O193" s="143" t="str">
        <f>IF(ISNA(MATCH(A193,Aktiv!$A$6:$A$326,0)),"⚠ nicht im Modell","")</f>
        <v/>
      </c>
    </row>
    <row r="194" spans="1:15" ht="18" customHeight="1" x14ac:dyDescent="0.25">
      <c r="A194" s="135">
        <v>5003</v>
      </c>
      <c r="B194" s="136" t="s">
        <v>7</v>
      </c>
      <c r="C194" s="136" t="s">
        <v>1</v>
      </c>
      <c r="D194" s="136" t="s">
        <v>213</v>
      </c>
      <c r="E194" s="138">
        <v>580</v>
      </c>
      <c r="F194" s="138">
        <v>360</v>
      </c>
      <c r="G194" s="137">
        <f>IFERROR(INDEX(Aktiv!$G$6:$G$326,MATCH(A194,Aktiv!$A$6:$A$326,0)),"")</f>
        <v>172</v>
      </c>
      <c r="H194" s="137">
        <f>IFERROR(INDEX(Aktiv!$H$6:$H$326,MATCH(A194,Aktiv!$A$6:$A$326,0)),"")</f>
        <v>284</v>
      </c>
      <c r="I194" s="137">
        <f>IFERROR(INDEX(Aktiv!$I$6:$I$326,MATCH(A194,Aktiv!$A$6:$A$326,0)),"")</f>
        <v>299</v>
      </c>
      <c r="J194" s="137">
        <f>IFERROR(INDEX(Aktiv!$J$6:$J$326,MATCH(A194,Aktiv!$A$6:$A$326,0)),"")</f>
        <v>404</v>
      </c>
      <c r="K194" s="141">
        <f>IFERROR(ROUND(G194*Steuerungsdaten!$B$5,0),"-")</f>
        <v>198</v>
      </c>
      <c r="L194" s="137">
        <f>IFERROR(ROUND(H194*Steuerungsdaten!$B$5,0),"-")</f>
        <v>327</v>
      </c>
      <c r="M194" s="137">
        <f>IFERROR(ROUND(I194*Steuerungsdaten!$B$5,0),"-")</f>
        <v>344</v>
      </c>
      <c r="N194" s="137">
        <f>IFERROR(ROUND(J194*Steuerungsdaten!$B$5,0),"-")</f>
        <v>465</v>
      </c>
      <c r="O194" s="143" t="str">
        <f>IF(ISNA(MATCH(A194,Aktiv!$A$6:$A$326,0)),"⚠ nicht im Modell","")</f>
        <v/>
      </c>
    </row>
    <row r="195" spans="1:15" ht="18" customHeight="1" x14ac:dyDescent="0.25">
      <c r="A195" s="135">
        <v>5004</v>
      </c>
      <c r="B195" s="136" t="s">
        <v>7</v>
      </c>
      <c r="C195" s="136" t="s">
        <v>1</v>
      </c>
      <c r="D195" s="136" t="s">
        <v>214</v>
      </c>
      <c r="E195" s="138">
        <v>780</v>
      </c>
      <c r="F195" s="138">
        <v>180</v>
      </c>
      <c r="G195" s="161">
        <f>IFERROR(INDEX(Aktiv!$G$6:$G$326,MATCH(A195,Aktiv!$A$6:$A$326,0)),"")</f>
        <v>141</v>
      </c>
      <c r="H195" s="161">
        <f>IFERROR(INDEX(Aktiv!$H$6:$H$326,MATCH(A195,Aktiv!$A$6:$A$326,0)),"")</f>
        <v>233</v>
      </c>
      <c r="I195" s="161">
        <f>IFERROR(INDEX(Aktiv!$I$6:$I$326,MATCH(A195,Aktiv!$A$6:$A$326,0)),"")</f>
        <v>245</v>
      </c>
      <c r="J195" s="161">
        <f>IFERROR(INDEX(Aktiv!$J$6:$J$326,MATCH(A195,Aktiv!$A$6:$A$326,0)),"")</f>
        <v>331</v>
      </c>
      <c r="K195" s="162">
        <f>IFERROR(ROUND(G195*Steuerungsdaten!$B$5,0),"-")</f>
        <v>162</v>
      </c>
      <c r="L195" s="161">
        <f>IFERROR(ROUND(H195*Steuerungsdaten!$B$5,0),"-")</f>
        <v>268</v>
      </c>
      <c r="M195" s="161">
        <f>IFERROR(ROUND(I195*Steuerungsdaten!$B$5,0),"-")</f>
        <v>282</v>
      </c>
      <c r="N195" s="161">
        <f>IFERROR(ROUND(J195*Steuerungsdaten!$B$5,0),"-")</f>
        <v>381</v>
      </c>
      <c r="O195" s="143" t="str">
        <f>IF(ISNA(MATCH(A195,Aktiv!$A$6:$A$326,0)),"⚠ nicht im Modell","")</f>
        <v/>
      </c>
    </row>
    <row r="196" spans="1:15" ht="18" customHeight="1" x14ac:dyDescent="0.25">
      <c r="A196" s="135">
        <v>5005</v>
      </c>
      <c r="B196" s="136" t="s">
        <v>7</v>
      </c>
      <c r="C196" s="136" t="s">
        <v>1</v>
      </c>
      <c r="D196" s="136" t="s">
        <v>215</v>
      </c>
      <c r="E196" s="138">
        <v>780</v>
      </c>
      <c r="F196" s="138">
        <v>360</v>
      </c>
      <c r="G196" s="137">
        <f>IFERROR(INDEX(Aktiv!$G$6:$G$326,MATCH(A196,Aktiv!$A$6:$A$326,0)),"")</f>
        <v>199</v>
      </c>
      <c r="H196" s="137">
        <f>IFERROR(INDEX(Aktiv!$H$6:$H$326,MATCH(A196,Aktiv!$A$6:$A$326,0)),"")</f>
        <v>329</v>
      </c>
      <c r="I196" s="137">
        <f>IFERROR(INDEX(Aktiv!$I$6:$I$326,MATCH(A196,Aktiv!$A$6:$A$326,0)),"")</f>
        <v>347</v>
      </c>
      <c r="J196" s="137">
        <f>IFERROR(INDEX(Aktiv!$J$6:$J$326,MATCH(A196,Aktiv!$A$6:$A$326,0)),"")</f>
        <v>468</v>
      </c>
      <c r="K196" s="141">
        <f>IFERROR(ROUND(G196*Steuerungsdaten!$B$5,0),"-")</f>
        <v>229</v>
      </c>
      <c r="L196" s="137">
        <f>IFERROR(ROUND(H196*Steuerungsdaten!$B$5,0),"-")</f>
        <v>378</v>
      </c>
      <c r="M196" s="137">
        <f>IFERROR(ROUND(I196*Steuerungsdaten!$B$5,0),"-")</f>
        <v>399</v>
      </c>
      <c r="N196" s="137">
        <f>IFERROR(ROUND(J196*Steuerungsdaten!$B$5,0),"-")</f>
        <v>538</v>
      </c>
      <c r="O196" s="143" t="str">
        <f>IF(ISNA(MATCH(A196,Aktiv!$A$6:$A$326,0)),"⚠ nicht im Modell","")</f>
        <v/>
      </c>
    </row>
    <row r="197" spans="1:15" ht="18" customHeight="1" x14ac:dyDescent="0.25">
      <c r="A197" s="135">
        <v>5006</v>
      </c>
      <c r="B197" s="136" t="s">
        <v>7</v>
      </c>
      <c r="C197" s="136" t="s">
        <v>1</v>
      </c>
      <c r="D197" s="136" t="s">
        <v>216</v>
      </c>
      <c r="E197" s="138">
        <v>980</v>
      </c>
      <c r="F197" s="138">
        <v>180</v>
      </c>
      <c r="G197" s="161">
        <f>IFERROR(INDEX(Aktiv!$G$6:$G$326,MATCH(A197,Aktiv!$A$6:$A$326,0)),"")</f>
        <v>158</v>
      </c>
      <c r="H197" s="161">
        <f>IFERROR(INDEX(Aktiv!$H$6:$H$326,MATCH(A197,Aktiv!$A$6:$A$326,0)),"")</f>
        <v>261</v>
      </c>
      <c r="I197" s="161">
        <f>IFERROR(INDEX(Aktiv!$I$6:$I$326,MATCH(A197,Aktiv!$A$6:$A$326,0)),"")</f>
        <v>275</v>
      </c>
      <c r="J197" s="161">
        <f>IFERROR(INDEX(Aktiv!$J$6:$J$326,MATCH(A197,Aktiv!$A$6:$A$326,0)),"")</f>
        <v>371</v>
      </c>
      <c r="K197" s="162">
        <f>IFERROR(ROUND(G197*Steuerungsdaten!$B$5,0),"-")</f>
        <v>182</v>
      </c>
      <c r="L197" s="161">
        <f>IFERROR(ROUND(H197*Steuerungsdaten!$B$5,0),"-")</f>
        <v>300</v>
      </c>
      <c r="M197" s="161">
        <f>IFERROR(ROUND(I197*Steuerungsdaten!$B$5,0),"-")</f>
        <v>316</v>
      </c>
      <c r="N197" s="161">
        <f>IFERROR(ROUND(J197*Steuerungsdaten!$B$5,0),"-")</f>
        <v>427</v>
      </c>
      <c r="O197" s="143" t="str">
        <f>IF(ISNA(MATCH(A197,Aktiv!$A$6:$A$326,0)),"⚠ nicht im Modell","")</f>
        <v/>
      </c>
    </row>
    <row r="198" spans="1:15" ht="18" customHeight="1" thickBot="1" x14ac:dyDescent="0.3">
      <c r="A198" s="135">
        <v>5007</v>
      </c>
      <c r="B198" s="136" t="s">
        <v>7</v>
      </c>
      <c r="C198" s="136" t="s">
        <v>1</v>
      </c>
      <c r="D198" s="136" t="s">
        <v>217</v>
      </c>
      <c r="E198" s="138">
        <v>980</v>
      </c>
      <c r="F198" s="138">
        <v>360</v>
      </c>
      <c r="G198" s="137">
        <f>IFERROR(INDEX(Aktiv!$G$6:$G$326,MATCH(A198,Aktiv!$A$6:$A$326,0)),"")</f>
        <v>224</v>
      </c>
      <c r="H198" s="137">
        <f>IFERROR(INDEX(Aktiv!$H$6:$H$326,MATCH(A198,Aktiv!$A$6:$A$326,0)),"")</f>
        <v>369</v>
      </c>
      <c r="I198" s="137">
        <f>IFERROR(INDEX(Aktiv!$I$6:$I$326,MATCH(A198,Aktiv!$A$6:$A$326,0)),"")</f>
        <v>389</v>
      </c>
      <c r="J198" s="137">
        <f>IFERROR(INDEX(Aktiv!$J$6:$J$326,MATCH(A198,Aktiv!$A$6:$A$326,0)),"")</f>
        <v>525</v>
      </c>
      <c r="K198" s="141">
        <f>IFERROR(ROUND(G198*Steuerungsdaten!$B$5,0),"-")</f>
        <v>258</v>
      </c>
      <c r="L198" s="137">
        <f>IFERROR(ROUND(H198*Steuerungsdaten!$B$5,0),"-")</f>
        <v>424</v>
      </c>
      <c r="M198" s="137">
        <f>IFERROR(ROUND(I198*Steuerungsdaten!$B$5,0),"-")</f>
        <v>447</v>
      </c>
      <c r="N198" s="137">
        <f>IFERROR(ROUND(J198*Steuerungsdaten!$B$5,0),"-")</f>
        <v>604</v>
      </c>
      <c r="O198" s="143" t="str">
        <f>IF(ISNA(MATCH(A198,Aktiv!$A$6:$A$326,0)),"⚠ nicht im Modell","")</f>
        <v/>
      </c>
    </row>
    <row r="199" spans="1:15" ht="18" customHeight="1" thickBot="1" x14ac:dyDescent="0.3">
      <c r="A199" s="135">
        <v>5009</v>
      </c>
      <c r="B199" s="136" t="s">
        <v>7</v>
      </c>
      <c r="C199" s="136" t="s">
        <v>1</v>
      </c>
      <c r="D199" s="177" t="s">
        <v>218</v>
      </c>
      <c r="E199" s="178">
        <v>360</v>
      </c>
      <c r="F199" s="178">
        <v>180</v>
      </c>
      <c r="G199" s="180" t="str">
        <f>IFERROR(INDEX(Aktiv!$G$6:$G$326,MATCH(A199,Aktiv!$A$6:$A$326,0)),"")</f>
        <v>-</v>
      </c>
      <c r="H199" s="180" t="str">
        <f>IFERROR(INDEX(Aktiv!$H$6:$H$326,MATCH(A199,Aktiv!$A$6:$A$326,0)),"")</f>
        <v>-</v>
      </c>
      <c r="I199" s="180" t="str">
        <f>IFERROR(INDEX(Aktiv!$I$6:$I$326,MATCH(A199,Aktiv!$A$6:$A$326,0)),"")</f>
        <v>-</v>
      </c>
      <c r="J199" s="180" t="str">
        <f>IFERROR(INDEX(Aktiv!$J$6:$J$326,MATCH(A199,Aktiv!$A$6:$A$326,0)),"")</f>
        <v>-</v>
      </c>
      <c r="K199" s="181" t="str">
        <f>IFERROR(ROUND(G199*Steuerungsdaten!$B$5,0),"-")</f>
        <v>-</v>
      </c>
      <c r="L199" s="180" t="str">
        <f>IFERROR(ROUND(H199*Steuerungsdaten!$B$5,0),"-")</f>
        <v>-</v>
      </c>
      <c r="M199" s="180" t="str">
        <f>IFERROR(ROUND(I199*Steuerungsdaten!$B$5,0),"-")</f>
        <v>-</v>
      </c>
      <c r="N199" s="182" t="str">
        <f>IFERROR(ROUND(J199*Steuerungsdaten!$B$5,0),"-")</f>
        <v>-</v>
      </c>
      <c r="O199" s="179" t="s">
        <v>793</v>
      </c>
    </row>
    <row r="200" spans="1:15" ht="18" customHeight="1" thickBot="1" x14ac:dyDescent="0.3">
      <c r="A200" s="135">
        <v>5008</v>
      </c>
      <c r="B200" s="136" t="s">
        <v>7</v>
      </c>
      <c r="C200" s="136" t="s">
        <v>1</v>
      </c>
      <c r="D200" s="177" t="s">
        <v>219</v>
      </c>
      <c r="E200" s="178">
        <v>360</v>
      </c>
      <c r="F200" s="178">
        <v>360</v>
      </c>
      <c r="G200" s="186" t="str">
        <f>IFERROR(INDEX(Aktiv!$G$6:$G$326,MATCH(A200,Aktiv!$A$6:$A$326,0)),"")</f>
        <v>-</v>
      </c>
      <c r="H200" s="186" t="str">
        <f>IFERROR(INDEX(Aktiv!$H$6:$H$326,MATCH(A200,Aktiv!$A$6:$A$326,0)),"")</f>
        <v>-</v>
      </c>
      <c r="I200" s="186" t="str">
        <f>IFERROR(INDEX(Aktiv!$I$6:$I$326,MATCH(A200,Aktiv!$A$6:$A$326,0)),"")</f>
        <v>-</v>
      </c>
      <c r="J200" s="186" t="str">
        <f>IFERROR(INDEX(Aktiv!$J$6:$J$326,MATCH(A200,Aktiv!$A$6:$A$326,0)),"")</f>
        <v>-</v>
      </c>
      <c r="K200" s="187" t="str">
        <f>IFERROR(ROUND(G200*Steuerungsdaten!$B$5,0),"-")</f>
        <v>-</v>
      </c>
      <c r="L200" s="186" t="str">
        <f>IFERROR(ROUND(H200*Steuerungsdaten!$B$5,0),"-")</f>
        <v>-</v>
      </c>
      <c r="M200" s="186" t="str">
        <f>IFERROR(ROUND(I200*Steuerungsdaten!$B$5,0),"-")</f>
        <v>-</v>
      </c>
      <c r="N200" s="188" t="str">
        <f>IFERROR(ROUND(J200*Steuerungsdaten!$B$5,0),"-")</f>
        <v>-</v>
      </c>
      <c r="O200" s="179" t="s">
        <v>793</v>
      </c>
    </row>
    <row r="201" spans="1:15" ht="18" customHeight="1" thickBot="1" x14ac:dyDescent="0.3">
      <c r="A201" s="135" t="s">
        <v>220</v>
      </c>
      <c r="B201" s="136" t="s">
        <v>7</v>
      </c>
      <c r="C201" s="136" t="s">
        <v>1</v>
      </c>
      <c r="D201" s="177" t="s">
        <v>221</v>
      </c>
      <c r="E201" s="178">
        <v>980</v>
      </c>
      <c r="F201" s="178">
        <v>420</v>
      </c>
      <c r="G201" s="183" t="str">
        <f>IFERROR(INDEX(Aktiv!$G$6:$G$326,MATCH(A201,Aktiv!$A$6:$A$326,0)),"")</f>
        <v>-</v>
      </c>
      <c r="H201" s="183" t="str">
        <f>IFERROR(INDEX(Aktiv!$H$6:$H$326,MATCH(A201,Aktiv!$A$6:$A$326,0)),"")</f>
        <v>-</v>
      </c>
      <c r="I201" s="183" t="str">
        <f>IFERROR(INDEX(Aktiv!$I$6:$I$326,MATCH(A201,Aktiv!$A$6:$A$326,0)),"")</f>
        <v>-</v>
      </c>
      <c r="J201" s="183" t="str">
        <f>IFERROR(INDEX(Aktiv!$J$6:$J$326,MATCH(A201,Aktiv!$A$6:$A$326,0)),"")</f>
        <v>-</v>
      </c>
      <c r="K201" s="184" t="str">
        <f>IFERROR(ROUND(G201*Steuerungsdaten!$B$5,0),"-")</f>
        <v>-</v>
      </c>
      <c r="L201" s="183" t="str">
        <f>IFERROR(ROUND(H201*Steuerungsdaten!$B$5,0),"-")</f>
        <v>-</v>
      </c>
      <c r="M201" s="183" t="str">
        <f>IFERROR(ROUND(I201*Steuerungsdaten!$B$5,0),"-")</f>
        <v>-</v>
      </c>
      <c r="N201" s="185" t="str">
        <f>IFERROR(ROUND(J201*Steuerungsdaten!$B$5,0),"-")</f>
        <v>-</v>
      </c>
      <c r="O201" s="179" t="s">
        <v>793</v>
      </c>
    </row>
    <row r="202" spans="1:15" ht="18" customHeight="1" x14ac:dyDescent="0.25">
      <c r="A202" s="135">
        <v>5100</v>
      </c>
      <c r="B202" s="136" t="s">
        <v>7</v>
      </c>
      <c r="C202" s="136" t="s">
        <v>222</v>
      </c>
      <c r="D202" s="136" t="s">
        <v>223</v>
      </c>
      <c r="E202" s="138">
        <v>420</v>
      </c>
      <c r="F202" s="138">
        <v>360</v>
      </c>
      <c r="G202" s="137">
        <f>IFERROR(INDEX(Aktiv!$G$6:$G$326,MATCH(A202,Aktiv!$A$6:$A$326,0)),"")</f>
        <v>127</v>
      </c>
      <c r="H202" s="137">
        <f>IFERROR(INDEX(Aktiv!$H$6:$H$326,MATCH(A202,Aktiv!$A$6:$A$326,0)),"")</f>
        <v>273</v>
      </c>
      <c r="I202" s="137">
        <f>IFERROR(INDEX(Aktiv!$I$6:$I$326,MATCH(A202,Aktiv!$A$6:$A$326,0)),"")</f>
        <v>298</v>
      </c>
      <c r="J202" s="137">
        <f>IFERROR(INDEX(Aktiv!$J$6:$J$326,MATCH(A202,Aktiv!$A$6:$A$326,0)),"")</f>
        <v>433</v>
      </c>
      <c r="K202" s="141">
        <f>IFERROR(ROUND(G202*Steuerungsdaten!$B$5,0),"-")</f>
        <v>146</v>
      </c>
      <c r="L202" s="137">
        <f>IFERROR(ROUND(H202*Steuerungsdaten!$B$5,0),"-")</f>
        <v>314</v>
      </c>
      <c r="M202" s="137">
        <f>IFERROR(ROUND(I202*Steuerungsdaten!$B$5,0),"-")</f>
        <v>343</v>
      </c>
      <c r="N202" s="137">
        <f>IFERROR(ROUND(J202*Steuerungsdaten!$B$5,0),"-")</f>
        <v>498</v>
      </c>
      <c r="O202" s="143" t="str">
        <f>IF(ISNA(MATCH(A202,Aktiv!$A$6:$A$326,0)),"⚠ nicht im Modell","")</f>
        <v/>
      </c>
    </row>
    <row r="203" spans="1:15" ht="18" customHeight="1" x14ac:dyDescent="0.25">
      <c r="A203" s="135">
        <v>5101</v>
      </c>
      <c r="B203" s="136" t="s">
        <v>7</v>
      </c>
      <c r="C203" s="136" t="s">
        <v>222</v>
      </c>
      <c r="D203" s="136" t="s">
        <v>224</v>
      </c>
      <c r="E203" s="138">
        <v>420</v>
      </c>
      <c r="F203" s="138">
        <v>720</v>
      </c>
      <c r="G203" s="161">
        <f>IFERROR(INDEX(Aktiv!$G$6:$G$326,MATCH(A203,Aktiv!$A$6:$A$326,0)),"")</f>
        <v>180</v>
      </c>
      <c r="H203" s="161">
        <f>IFERROR(INDEX(Aktiv!$H$6:$H$326,MATCH(A203,Aktiv!$A$6:$A$326,0)),"")</f>
        <v>386</v>
      </c>
      <c r="I203" s="161">
        <f>IFERROR(INDEX(Aktiv!$I$6:$I$326,MATCH(A203,Aktiv!$A$6:$A$326,0)),"")</f>
        <v>422</v>
      </c>
      <c r="J203" s="161">
        <f>IFERROR(INDEX(Aktiv!$J$6:$J$326,MATCH(A203,Aktiv!$A$6:$A$326,0)),"")</f>
        <v>612</v>
      </c>
      <c r="K203" s="162">
        <f>IFERROR(ROUND(G203*Steuerungsdaten!$B$5,0),"-")</f>
        <v>207</v>
      </c>
      <c r="L203" s="161">
        <f>IFERROR(ROUND(H203*Steuerungsdaten!$B$5,0),"-")</f>
        <v>444</v>
      </c>
      <c r="M203" s="161">
        <f>IFERROR(ROUND(I203*Steuerungsdaten!$B$5,0),"-")</f>
        <v>485</v>
      </c>
      <c r="N203" s="161">
        <f>IFERROR(ROUND(J203*Steuerungsdaten!$B$5,0),"-")</f>
        <v>704</v>
      </c>
      <c r="O203" s="143" t="str">
        <f>IF(ISNA(MATCH(A203,Aktiv!$A$6:$A$326,0)),"⚠ nicht im Modell","")</f>
        <v/>
      </c>
    </row>
    <row r="204" spans="1:15" ht="18" customHeight="1" x14ac:dyDescent="0.25">
      <c r="A204" s="135">
        <v>5102</v>
      </c>
      <c r="B204" s="136" t="s">
        <v>7</v>
      </c>
      <c r="C204" s="136" t="s">
        <v>222</v>
      </c>
      <c r="D204" s="136" t="s">
        <v>225</v>
      </c>
      <c r="E204" s="138">
        <v>420</v>
      </c>
      <c r="F204" s="138">
        <v>1080</v>
      </c>
      <c r="G204" s="137">
        <f>IFERROR(INDEX(Aktiv!$G$6:$G$326,MATCH(A204,Aktiv!$A$6:$A$326,0)),"")</f>
        <v>220</v>
      </c>
      <c r="H204" s="137">
        <f>IFERROR(INDEX(Aktiv!$H$6:$H$326,MATCH(A204,Aktiv!$A$6:$A$326,0)),"")</f>
        <v>473</v>
      </c>
      <c r="I204" s="137">
        <f>IFERROR(INDEX(Aktiv!$I$6:$I$326,MATCH(A204,Aktiv!$A$6:$A$326,0)),"")</f>
        <v>517</v>
      </c>
      <c r="J204" s="137">
        <f>IFERROR(INDEX(Aktiv!$J$6:$J$326,MATCH(A204,Aktiv!$A$6:$A$326,0)),"")</f>
        <v>750</v>
      </c>
      <c r="K204" s="141">
        <f>IFERROR(ROUND(G204*Steuerungsdaten!$B$5,0),"-")</f>
        <v>253</v>
      </c>
      <c r="L204" s="137">
        <f>IFERROR(ROUND(H204*Steuerungsdaten!$B$5,0),"-")</f>
        <v>544</v>
      </c>
      <c r="M204" s="137">
        <f>IFERROR(ROUND(I204*Steuerungsdaten!$B$5,0),"-")</f>
        <v>595</v>
      </c>
      <c r="N204" s="137">
        <f>IFERROR(ROUND(J204*Steuerungsdaten!$B$5,0),"-")</f>
        <v>863</v>
      </c>
      <c r="O204" s="143" t="str">
        <f>IF(ISNA(MATCH(A204,Aktiv!$A$6:$A$326,0)),"⚠ nicht im Modell","")</f>
        <v/>
      </c>
    </row>
    <row r="205" spans="1:15" ht="18" customHeight="1" x14ac:dyDescent="0.25">
      <c r="A205" s="135">
        <v>5103</v>
      </c>
      <c r="B205" s="136" t="s">
        <v>7</v>
      </c>
      <c r="C205" s="136" t="s">
        <v>222</v>
      </c>
      <c r="D205" s="136" t="s">
        <v>226</v>
      </c>
      <c r="E205" s="138">
        <v>420</v>
      </c>
      <c r="F205" s="138">
        <v>1440</v>
      </c>
      <c r="G205" s="161">
        <f>IFERROR(INDEX(Aktiv!$G$6:$G$326,MATCH(A205,Aktiv!$A$6:$A$326,0)),"")</f>
        <v>254</v>
      </c>
      <c r="H205" s="161">
        <f>IFERROR(INDEX(Aktiv!$H$6:$H$326,MATCH(A205,Aktiv!$A$6:$A$326,0)),"")</f>
        <v>546</v>
      </c>
      <c r="I205" s="161">
        <f>IFERROR(INDEX(Aktiv!$I$6:$I$326,MATCH(A205,Aktiv!$A$6:$A$326,0)),"")</f>
        <v>597</v>
      </c>
      <c r="J205" s="161">
        <f>IFERROR(INDEX(Aktiv!$J$6:$J$326,MATCH(A205,Aktiv!$A$6:$A$326,0)),"")</f>
        <v>866</v>
      </c>
      <c r="K205" s="162">
        <f>IFERROR(ROUND(G205*Steuerungsdaten!$B$5,0),"-")</f>
        <v>292</v>
      </c>
      <c r="L205" s="161">
        <f>IFERROR(ROUND(H205*Steuerungsdaten!$B$5,0),"-")</f>
        <v>628</v>
      </c>
      <c r="M205" s="161">
        <f>IFERROR(ROUND(I205*Steuerungsdaten!$B$5,0),"-")</f>
        <v>687</v>
      </c>
      <c r="N205" s="161">
        <f>IFERROR(ROUND(J205*Steuerungsdaten!$B$5,0),"-")</f>
        <v>996</v>
      </c>
      <c r="O205" s="143" t="str">
        <f>IF(ISNA(MATCH(A205,Aktiv!$A$6:$A$326,0)),"⚠ nicht im Modell","")</f>
        <v/>
      </c>
    </row>
    <row r="206" spans="1:15" ht="18" customHeight="1" x14ac:dyDescent="0.25">
      <c r="A206" s="135">
        <v>5104</v>
      </c>
      <c r="B206" s="136" t="s">
        <v>7</v>
      </c>
      <c r="C206" s="136" t="s">
        <v>222</v>
      </c>
      <c r="D206" s="136" t="s">
        <v>227</v>
      </c>
      <c r="E206" s="138">
        <v>420</v>
      </c>
      <c r="F206" s="138">
        <v>1800</v>
      </c>
      <c r="G206" s="137">
        <f>IFERROR(INDEX(Aktiv!$G$6:$G$326,MATCH(A206,Aktiv!$A$6:$A$326,0)),"")</f>
        <v>285</v>
      </c>
      <c r="H206" s="137">
        <f>IFERROR(INDEX(Aktiv!$H$6:$H$326,MATCH(A206,Aktiv!$A$6:$A$326,0)),"")</f>
        <v>610</v>
      </c>
      <c r="I206" s="137">
        <f>IFERROR(INDEX(Aktiv!$I$6:$I$326,MATCH(A206,Aktiv!$A$6:$A$326,0)),"")</f>
        <v>667</v>
      </c>
      <c r="J206" s="137">
        <f>IFERROR(INDEX(Aktiv!$J$6:$J$326,MATCH(A206,Aktiv!$A$6:$A$326,0)),"")</f>
        <v>968</v>
      </c>
      <c r="K206" s="141">
        <f>IFERROR(ROUND(G206*Steuerungsdaten!$B$5,0),"-")</f>
        <v>328</v>
      </c>
      <c r="L206" s="137">
        <f>IFERROR(ROUND(H206*Steuerungsdaten!$B$5,0),"-")</f>
        <v>702</v>
      </c>
      <c r="M206" s="137">
        <f>IFERROR(ROUND(I206*Steuerungsdaten!$B$5,0),"-")</f>
        <v>767</v>
      </c>
      <c r="N206" s="137">
        <f>IFERROR(ROUND(J206*Steuerungsdaten!$B$5,0),"-")</f>
        <v>1113</v>
      </c>
      <c r="O206" s="143" t="str">
        <f>IF(ISNA(MATCH(A206,Aktiv!$A$6:$A$326,0)),"⚠ nicht im Modell","")</f>
        <v/>
      </c>
    </row>
    <row r="207" spans="1:15" ht="18" customHeight="1" x14ac:dyDescent="0.25">
      <c r="A207" s="135">
        <v>5105</v>
      </c>
      <c r="B207" s="136" t="s">
        <v>7</v>
      </c>
      <c r="C207" s="136" t="s">
        <v>222</v>
      </c>
      <c r="D207" s="136" t="s">
        <v>228</v>
      </c>
      <c r="E207" s="138">
        <v>580</v>
      </c>
      <c r="F207" s="138">
        <v>360</v>
      </c>
      <c r="G207" s="161">
        <f>IFERROR(INDEX(Aktiv!$G$6:$G$326,MATCH(A207,Aktiv!$A$6:$A$326,0)),"")</f>
        <v>150</v>
      </c>
      <c r="H207" s="161">
        <f>IFERROR(INDEX(Aktiv!$H$6:$H$326,MATCH(A207,Aktiv!$A$6:$A$326,0)),"")</f>
        <v>321</v>
      </c>
      <c r="I207" s="161">
        <f>IFERROR(INDEX(Aktiv!$I$6:$I$326,MATCH(A207,Aktiv!$A$6:$A$326,0)),"")</f>
        <v>351</v>
      </c>
      <c r="J207" s="161">
        <f>IFERROR(INDEX(Aktiv!$J$6:$J$326,MATCH(A207,Aktiv!$A$6:$A$326,0)),"")</f>
        <v>509</v>
      </c>
      <c r="K207" s="162">
        <f>IFERROR(ROUND(G207*Steuerungsdaten!$B$5,0),"-")</f>
        <v>173</v>
      </c>
      <c r="L207" s="161">
        <f>IFERROR(ROUND(H207*Steuerungsdaten!$B$5,0),"-")</f>
        <v>369</v>
      </c>
      <c r="M207" s="161">
        <f>IFERROR(ROUND(I207*Steuerungsdaten!$B$5,0),"-")</f>
        <v>404</v>
      </c>
      <c r="N207" s="161">
        <f>IFERROR(ROUND(J207*Steuerungsdaten!$B$5,0),"-")</f>
        <v>585</v>
      </c>
      <c r="O207" s="143" t="str">
        <f>IF(ISNA(MATCH(A207,Aktiv!$A$6:$A$326,0)),"⚠ nicht im Modell","")</f>
        <v/>
      </c>
    </row>
    <row r="208" spans="1:15" ht="18" customHeight="1" x14ac:dyDescent="0.25">
      <c r="A208" s="135">
        <v>5106</v>
      </c>
      <c r="B208" s="136" t="s">
        <v>7</v>
      </c>
      <c r="C208" s="136" t="s">
        <v>222</v>
      </c>
      <c r="D208" s="136" t="s">
        <v>229</v>
      </c>
      <c r="E208" s="138">
        <v>580</v>
      </c>
      <c r="F208" s="138">
        <v>720</v>
      </c>
      <c r="G208" s="137">
        <f>IFERROR(INDEX(Aktiv!$G$6:$G$326,MATCH(A208,Aktiv!$A$6:$A$326,0)),"")</f>
        <v>211</v>
      </c>
      <c r="H208" s="137">
        <f>IFERROR(INDEX(Aktiv!$H$6:$H$326,MATCH(A208,Aktiv!$A$6:$A$326,0)),"")</f>
        <v>454</v>
      </c>
      <c r="I208" s="137">
        <f>IFERROR(INDEX(Aktiv!$I$6:$I$326,MATCH(A208,Aktiv!$A$6:$A$326,0)),"")</f>
        <v>496</v>
      </c>
      <c r="J208" s="137">
        <f>IFERROR(INDEX(Aktiv!$J$6:$J$326,MATCH(A208,Aktiv!$A$6:$A$326,0)),"")</f>
        <v>720</v>
      </c>
      <c r="K208" s="141">
        <f>IFERROR(ROUND(G208*Steuerungsdaten!$B$5,0),"-")</f>
        <v>243</v>
      </c>
      <c r="L208" s="137">
        <f>IFERROR(ROUND(H208*Steuerungsdaten!$B$5,0),"-")</f>
        <v>522</v>
      </c>
      <c r="M208" s="137">
        <f>IFERROR(ROUND(I208*Steuerungsdaten!$B$5,0),"-")</f>
        <v>570</v>
      </c>
      <c r="N208" s="137">
        <f>IFERROR(ROUND(J208*Steuerungsdaten!$B$5,0),"-")</f>
        <v>828</v>
      </c>
      <c r="O208" s="143" t="str">
        <f>IF(ISNA(MATCH(A208,Aktiv!$A$6:$A$326,0)),"⚠ nicht im Modell","")</f>
        <v/>
      </c>
    </row>
    <row r="209" spans="1:15" ht="18" customHeight="1" x14ac:dyDescent="0.25">
      <c r="A209" s="135">
        <v>5107</v>
      </c>
      <c r="B209" s="136" t="s">
        <v>7</v>
      </c>
      <c r="C209" s="136" t="s">
        <v>222</v>
      </c>
      <c r="D209" s="136" t="s">
        <v>230</v>
      </c>
      <c r="E209" s="138">
        <v>580</v>
      </c>
      <c r="F209" s="138">
        <v>1080</v>
      </c>
      <c r="G209" s="161">
        <f>IFERROR(INDEX(Aktiv!$G$6:$G$326,MATCH(A209,Aktiv!$A$6:$A$326,0)),"")</f>
        <v>259</v>
      </c>
      <c r="H209" s="161">
        <f>IFERROR(INDEX(Aktiv!$H$6:$H$326,MATCH(A209,Aktiv!$A$6:$A$326,0)),"")</f>
        <v>556</v>
      </c>
      <c r="I209" s="161">
        <f>IFERROR(INDEX(Aktiv!$I$6:$I$326,MATCH(A209,Aktiv!$A$6:$A$326,0)),"")</f>
        <v>607</v>
      </c>
      <c r="J209" s="161">
        <f>IFERROR(INDEX(Aktiv!$J$6:$J$326,MATCH(A209,Aktiv!$A$6:$A$326,0)),"")</f>
        <v>882</v>
      </c>
      <c r="K209" s="162">
        <f>IFERROR(ROUND(G209*Steuerungsdaten!$B$5,0),"-")</f>
        <v>298</v>
      </c>
      <c r="L209" s="161">
        <f>IFERROR(ROUND(H209*Steuerungsdaten!$B$5,0),"-")</f>
        <v>639</v>
      </c>
      <c r="M209" s="161">
        <f>IFERROR(ROUND(I209*Steuerungsdaten!$B$5,0),"-")</f>
        <v>698</v>
      </c>
      <c r="N209" s="161">
        <f>IFERROR(ROUND(J209*Steuerungsdaten!$B$5,0),"-")</f>
        <v>1014</v>
      </c>
      <c r="O209" s="143" t="str">
        <f>IF(ISNA(MATCH(A209,Aktiv!$A$6:$A$326,0)),"⚠ nicht im Modell","")</f>
        <v/>
      </c>
    </row>
    <row r="210" spans="1:15" ht="18" customHeight="1" x14ac:dyDescent="0.25">
      <c r="A210" s="135">
        <v>5108</v>
      </c>
      <c r="B210" s="136" t="s">
        <v>7</v>
      </c>
      <c r="C210" s="136" t="s">
        <v>222</v>
      </c>
      <c r="D210" s="136" t="s">
        <v>231</v>
      </c>
      <c r="E210" s="138">
        <v>580</v>
      </c>
      <c r="F210" s="138">
        <v>1440</v>
      </c>
      <c r="G210" s="137">
        <f>IFERROR(INDEX(Aktiv!$G$6:$G$326,MATCH(A210,Aktiv!$A$6:$A$326,0)),"")</f>
        <v>299</v>
      </c>
      <c r="H210" s="137">
        <f>IFERROR(INDEX(Aktiv!$H$6:$H$326,MATCH(A210,Aktiv!$A$6:$A$326,0)),"")</f>
        <v>641</v>
      </c>
      <c r="I210" s="137">
        <f>IFERROR(INDEX(Aktiv!$I$6:$I$326,MATCH(A210,Aktiv!$A$6:$A$326,0)),"")</f>
        <v>701</v>
      </c>
      <c r="J210" s="137">
        <f>IFERROR(INDEX(Aktiv!$J$6:$J$326,MATCH(A210,Aktiv!$A$6:$A$326,0)),"")</f>
        <v>1018</v>
      </c>
      <c r="K210" s="141">
        <f>IFERROR(ROUND(G210*Steuerungsdaten!$B$5,0),"-")</f>
        <v>344</v>
      </c>
      <c r="L210" s="137">
        <f>IFERROR(ROUND(H210*Steuerungsdaten!$B$5,0),"-")</f>
        <v>737</v>
      </c>
      <c r="M210" s="137">
        <f>IFERROR(ROUND(I210*Steuerungsdaten!$B$5,0),"-")</f>
        <v>806</v>
      </c>
      <c r="N210" s="137">
        <f>IFERROR(ROUND(J210*Steuerungsdaten!$B$5,0),"-")</f>
        <v>1171</v>
      </c>
      <c r="O210" s="143" t="str">
        <f>IF(ISNA(MATCH(A210,Aktiv!$A$6:$A$326,0)),"⚠ nicht im Modell","")</f>
        <v/>
      </c>
    </row>
    <row r="211" spans="1:15" ht="18" customHeight="1" thickBot="1" x14ac:dyDescent="0.3">
      <c r="A211" s="135">
        <v>5109</v>
      </c>
      <c r="B211" s="136" t="s">
        <v>7</v>
      </c>
      <c r="C211" s="136" t="s">
        <v>222</v>
      </c>
      <c r="D211" s="136" t="s">
        <v>232</v>
      </c>
      <c r="E211" s="138">
        <v>580</v>
      </c>
      <c r="F211" s="138">
        <v>1800</v>
      </c>
      <c r="G211" s="161">
        <f>IFERROR(INDEX(Aktiv!$G$6:$G$326,MATCH(A211,Aktiv!$A$6:$A$326,0)),"")</f>
        <v>334</v>
      </c>
      <c r="H211" s="161">
        <f>IFERROR(INDEX(Aktiv!$H$6:$H$326,MATCH(A211,Aktiv!$A$6:$A$326,0)),"")</f>
        <v>717</v>
      </c>
      <c r="I211" s="161">
        <f>IFERROR(INDEX(Aktiv!$I$6:$I$326,MATCH(A211,Aktiv!$A$6:$A$326,0)),"")</f>
        <v>784</v>
      </c>
      <c r="J211" s="161">
        <f>IFERROR(INDEX(Aktiv!$J$6:$J$326,MATCH(A211,Aktiv!$A$6:$A$326,0)),"")</f>
        <v>1138</v>
      </c>
      <c r="K211" s="162">
        <f>IFERROR(ROUND(G211*Steuerungsdaten!$B$5,0),"-")</f>
        <v>384</v>
      </c>
      <c r="L211" s="161">
        <f>IFERROR(ROUND(H211*Steuerungsdaten!$B$5,0),"-")</f>
        <v>825</v>
      </c>
      <c r="M211" s="161">
        <f>IFERROR(ROUND(I211*Steuerungsdaten!$B$5,0),"-")</f>
        <v>902</v>
      </c>
      <c r="N211" s="161">
        <f>IFERROR(ROUND(J211*Steuerungsdaten!$B$5,0),"-")</f>
        <v>1309</v>
      </c>
      <c r="O211" s="143" t="str">
        <f>IF(ISNA(MATCH(A211,Aktiv!$A$6:$A$326,0)),"⚠ nicht im Modell","")</f>
        <v/>
      </c>
    </row>
    <row r="212" spans="1:15" ht="18" customHeight="1" thickBot="1" x14ac:dyDescent="0.3">
      <c r="A212" s="135">
        <v>5110</v>
      </c>
      <c r="B212" s="136" t="s">
        <v>7</v>
      </c>
      <c r="C212" s="136" t="s">
        <v>222</v>
      </c>
      <c r="D212" s="177" t="s">
        <v>233</v>
      </c>
      <c r="E212" s="178">
        <v>360</v>
      </c>
      <c r="F212" s="178">
        <v>360</v>
      </c>
      <c r="G212" s="186" t="str">
        <f>IFERROR(INDEX(Aktiv!$G$6:$G$326,MATCH(A212,Aktiv!$A$6:$A$326,0)),"")</f>
        <v>-</v>
      </c>
      <c r="H212" s="186" t="str">
        <f>IFERROR(INDEX(Aktiv!$H$6:$H$326,MATCH(A212,Aktiv!$A$6:$A$326,0)),"")</f>
        <v>-</v>
      </c>
      <c r="I212" s="186" t="str">
        <f>IFERROR(INDEX(Aktiv!$I$6:$I$326,MATCH(A212,Aktiv!$A$6:$A$326,0)),"")</f>
        <v>-</v>
      </c>
      <c r="J212" s="186" t="str">
        <f>IFERROR(INDEX(Aktiv!$J$6:$J$326,MATCH(A212,Aktiv!$A$6:$A$326,0)),"")</f>
        <v>-</v>
      </c>
      <c r="K212" s="187" t="str">
        <f>IFERROR(ROUND(G212*Steuerungsdaten!$B$5,0),"-")</f>
        <v>-</v>
      </c>
      <c r="L212" s="186" t="str">
        <f>IFERROR(ROUND(H212*Steuerungsdaten!$B$5,0),"-")</f>
        <v>-</v>
      </c>
      <c r="M212" s="186" t="str">
        <f>IFERROR(ROUND(I212*Steuerungsdaten!$B$5,0),"-")</f>
        <v>-</v>
      </c>
      <c r="N212" s="188" t="str">
        <f>IFERROR(ROUND(J212*Steuerungsdaten!$B$5,0),"-")</f>
        <v>-</v>
      </c>
      <c r="O212" s="179" t="s">
        <v>793</v>
      </c>
    </row>
    <row r="213" spans="1:15" ht="18" customHeight="1" thickBot="1" x14ac:dyDescent="0.3">
      <c r="A213" s="135">
        <v>5111</v>
      </c>
      <c r="B213" s="136" t="s">
        <v>7</v>
      </c>
      <c r="C213" s="136" t="s">
        <v>222</v>
      </c>
      <c r="D213" s="177" t="s">
        <v>234</v>
      </c>
      <c r="E213" s="178">
        <v>780</v>
      </c>
      <c r="F213" s="178">
        <v>360</v>
      </c>
      <c r="G213" s="183" t="str">
        <f>IFERROR(INDEX(Aktiv!$G$6:$G$326,MATCH(A213,Aktiv!$A$6:$A$326,0)),"")</f>
        <v>-</v>
      </c>
      <c r="H213" s="183" t="str">
        <f>IFERROR(INDEX(Aktiv!$H$6:$H$326,MATCH(A213,Aktiv!$A$6:$A$326,0)),"")</f>
        <v>-</v>
      </c>
      <c r="I213" s="183" t="str">
        <f>IFERROR(INDEX(Aktiv!$I$6:$I$326,MATCH(A213,Aktiv!$A$6:$A$326,0)),"")</f>
        <v>-</v>
      </c>
      <c r="J213" s="183" t="str">
        <f>IFERROR(INDEX(Aktiv!$J$6:$J$326,MATCH(A213,Aktiv!$A$6:$A$326,0)),"")</f>
        <v>-</v>
      </c>
      <c r="K213" s="184" t="str">
        <f>IFERROR(ROUND(G213*Steuerungsdaten!$B$5,0),"-")</f>
        <v>-</v>
      </c>
      <c r="L213" s="183" t="str">
        <f>IFERROR(ROUND(H213*Steuerungsdaten!$B$5,0),"-")</f>
        <v>-</v>
      </c>
      <c r="M213" s="183" t="str">
        <f>IFERROR(ROUND(I213*Steuerungsdaten!$B$5,0),"-")</f>
        <v>-</v>
      </c>
      <c r="N213" s="185" t="str">
        <f>IFERROR(ROUND(J213*Steuerungsdaten!$B$5,0),"-")</f>
        <v>-</v>
      </c>
      <c r="O213" s="179" t="s">
        <v>793</v>
      </c>
    </row>
    <row r="214" spans="1:15" ht="18" customHeight="1" x14ac:dyDescent="0.25">
      <c r="A214" s="135">
        <v>5200</v>
      </c>
      <c r="B214" s="136" t="s">
        <v>7</v>
      </c>
      <c r="C214" s="136" t="s">
        <v>235</v>
      </c>
      <c r="D214" s="136" t="s">
        <v>236</v>
      </c>
      <c r="E214" s="138">
        <v>780</v>
      </c>
      <c r="F214" s="138">
        <v>360</v>
      </c>
      <c r="G214" s="137">
        <f>IFERROR(INDEX(Aktiv!$G$6:$G$326,MATCH(A214,Aktiv!$A$6:$A$326,0)),"")</f>
        <v>212</v>
      </c>
      <c r="H214" s="137">
        <f>IFERROR(INDEX(Aktiv!$H$6:$H$326,MATCH(A214,Aktiv!$A$6:$A$326,0)),"")</f>
        <v>300</v>
      </c>
      <c r="I214" s="137">
        <f>IFERROR(INDEX(Aktiv!$I$6:$I$326,MATCH(A214,Aktiv!$A$6:$A$326,0)),"")</f>
        <v>316</v>
      </c>
      <c r="J214" s="137">
        <f>IFERROR(INDEX(Aktiv!$J$6:$J$326,MATCH(A214,Aktiv!$A$6:$A$326,0)),"")</f>
        <v>697</v>
      </c>
      <c r="K214" s="141">
        <f>IFERROR(ROUND(G214*Steuerungsdaten!$B$5,0),"-")</f>
        <v>244</v>
      </c>
      <c r="L214" s="137">
        <f>IFERROR(ROUND(H214*Steuerungsdaten!$B$5,0),"-")</f>
        <v>345</v>
      </c>
      <c r="M214" s="137">
        <f>IFERROR(ROUND(I214*Steuerungsdaten!$B$5,0),"-")</f>
        <v>363</v>
      </c>
      <c r="N214" s="137">
        <f>IFERROR(ROUND(J214*Steuerungsdaten!$B$5,0),"-")</f>
        <v>802</v>
      </c>
      <c r="O214" s="143" t="str">
        <f>IF(ISNA(MATCH(A214,Aktiv!$A$6:$A$326,0)),"⚠ nicht im Modell","")</f>
        <v/>
      </c>
    </row>
    <row r="215" spans="1:15" ht="18" customHeight="1" x14ac:dyDescent="0.25">
      <c r="A215" s="135">
        <v>5210</v>
      </c>
      <c r="B215" s="136" t="s">
        <v>7</v>
      </c>
      <c r="C215" s="136" t="s">
        <v>235</v>
      </c>
      <c r="D215" s="136" t="s">
        <v>237</v>
      </c>
      <c r="E215" s="138">
        <v>780</v>
      </c>
      <c r="F215" s="138">
        <v>660</v>
      </c>
      <c r="G215" s="161">
        <f>IFERROR(INDEX(Aktiv!$G$6:$G$326,MATCH(A215,Aktiv!$A$6:$A$326,0)),"")</f>
        <v>323</v>
      </c>
      <c r="H215" s="161">
        <f>IFERROR(INDEX(Aktiv!$H$6:$H$326,MATCH(A215,Aktiv!$A$6:$A$326,0)),"")</f>
        <v>458</v>
      </c>
      <c r="I215" s="161">
        <f>IFERROR(INDEX(Aktiv!$I$6:$I$326,MATCH(A215,Aktiv!$A$6:$A$326,0)),"")</f>
        <v>483</v>
      </c>
      <c r="J215" s="161">
        <f>IFERROR(INDEX(Aktiv!$J$6:$J$326,MATCH(A215,Aktiv!$A$6:$A$326,0)),"")</f>
        <v>1065</v>
      </c>
      <c r="K215" s="162">
        <f>IFERROR(ROUND(G215*Steuerungsdaten!$B$5,0),"-")</f>
        <v>371</v>
      </c>
      <c r="L215" s="161">
        <f>IFERROR(ROUND(H215*Steuerungsdaten!$B$5,0),"-")</f>
        <v>527</v>
      </c>
      <c r="M215" s="161">
        <f>IFERROR(ROUND(I215*Steuerungsdaten!$B$5,0),"-")</f>
        <v>555</v>
      </c>
      <c r="N215" s="161">
        <f>IFERROR(ROUND(J215*Steuerungsdaten!$B$5,0),"-")</f>
        <v>1225</v>
      </c>
      <c r="O215" s="143" t="str">
        <f>IF(ISNA(MATCH(A215,Aktiv!$A$6:$A$326,0)),"⚠ nicht im Modell","")</f>
        <v/>
      </c>
    </row>
    <row r="216" spans="1:15" ht="18" customHeight="1" x14ac:dyDescent="0.25">
      <c r="A216" s="135">
        <v>5201</v>
      </c>
      <c r="B216" s="136" t="s">
        <v>7</v>
      </c>
      <c r="C216" s="136" t="s">
        <v>235</v>
      </c>
      <c r="D216" s="136" t="s">
        <v>238</v>
      </c>
      <c r="E216" s="138">
        <v>780</v>
      </c>
      <c r="F216" s="138">
        <v>720</v>
      </c>
      <c r="G216" s="137">
        <f>IFERROR(INDEX(Aktiv!$G$6:$G$326,MATCH(A216,Aktiv!$A$6:$A$326,0)),"")</f>
        <v>344</v>
      </c>
      <c r="H216" s="137">
        <f>IFERROR(INDEX(Aktiv!$H$6:$H$326,MATCH(A216,Aktiv!$A$6:$A$326,0)),"")</f>
        <v>487</v>
      </c>
      <c r="I216" s="137">
        <f>IFERROR(INDEX(Aktiv!$I$6:$I$326,MATCH(A216,Aktiv!$A$6:$A$326,0)),"")</f>
        <v>514</v>
      </c>
      <c r="J216" s="137">
        <f>IFERROR(INDEX(Aktiv!$J$6:$J$326,MATCH(A216,Aktiv!$A$6:$A$326,0)),"")</f>
        <v>1132</v>
      </c>
      <c r="K216" s="141">
        <f>IFERROR(ROUND(G216*Steuerungsdaten!$B$5,0),"-")</f>
        <v>396</v>
      </c>
      <c r="L216" s="137">
        <f>IFERROR(ROUND(H216*Steuerungsdaten!$B$5,0),"-")</f>
        <v>560</v>
      </c>
      <c r="M216" s="137">
        <f>IFERROR(ROUND(I216*Steuerungsdaten!$B$5,0),"-")</f>
        <v>591</v>
      </c>
      <c r="N216" s="137">
        <f>IFERROR(ROUND(J216*Steuerungsdaten!$B$5,0),"-")</f>
        <v>1302</v>
      </c>
      <c r="O216" s="143" t="str">
        <f>IF(ISNA(MATCH(A216,Aktiv!$A$6:$A$326,0)),"⚠ nicht im Modell","")</f>
        <v/>
      </c>
    </row>
    <row r="217" spans="1:15" ht="18" customHeight="1" x14ac:dyDescent="0.25">
      <c r="A217" s="135">
        <v>5202</v>
      </c>
      <c r="B217" s="136" t="s">
        <v>7</v>
      </c>
      <c r="C217" s="136" t="s">
        <v>235</v>
      </c>
      <c r="D217" s="136" t="s">
        <v>239</v>
      </c>
      <c r="E217" s="138">
        <v>780</v>
      </c>
      <c r="F217" s="138">
        <v>1080</v>
      </c>
      <c r="G217" s="161">
        <f>IFERROR(INDEX(Aktiv!$G$6:$G$326,MATCH(A217,Aktiv!$A$6:$A$326,0)),"")</f>
        <v>456</v>
      </c>
      <c r="H217" s="161">
        <f>IFERROR(INDEX(Aktiv!$H$6:$H$326,MATCH(A217,Aktiv!$A$6:$A$326,0)),"")</f>
        <v>646</v>
      </c>
      <c r="I217" s="161">
        <f>IFERROR(INDEX(Aktiv!$I$6:$I$326,MATCH(A217,Aktiv!$A$6:$A$326,0)),"")</f>
        <v>682</v>
      </c>
      <c r="J217" s="161">
        <f>IFERROR(INDEX(Aktiv!$J$6:$J$326,MATCH(A217,Aktiv!$A$6:$A$326,0)),"")</f>
        <v>1504</v>
      </c>
      <c r="K217" s="162">
        <f>IFERROR(ROUND(G217*Steuerungsdaten!$B$5,0),"-")</f>
        <v>524</v>
      </c>
      <c r="L217" s="161">
        <f>IFERROR(ROUND(H217*Steuerungsdaten!$B$5,0),"-")</f>
        <v>743</v>
      </c>
      <c r="M217" s="161">
        <f>IFERROR(ROUND(I217*Steuerungsdaten!$B$5,0),"-")</f>
        <v>784</v>
      </c>
      <c r="N217" s="161">
        <f>IFERROR(ROUND(J217*Steuerungsdaten!$B$5,0),"-")</f>
        <v>1730</v>
      </c>
      <c r="O217" s="143" t="str">
        <f>IF(ISNA(MATCH(A217,Aktiv!$A$6:$A$326,0)),"⚠ nicht im Modell","")</f>
        <v/>
      </c>
    </row>
    <row r="218" spans="1:15" ht="18" customHeight="1" x14ac:dyDescent="0.25">
      <c r="A218" s="135">
        <v>5203</v>
      </c>
      <c r="B218" s="136" t="s">
        <v>7</v>
      </c>
      <c r="C218" s="136" t="s">
        <v>235</v>
      </c>
      <c r="D218" s="136" t="s">
        <v>240</v>
      </c>
      <c r="E218" s="138">
        <v>780</v>
      </c>
      <c r="F218" s="138">
        <v>1440</v>
      </c>
      <c r="G218" s="137">
        <f>IFERROR(INDEX(Aktiv!$G$6:$G$326,MATCH(A218,Aktiv!$A$6:$A$326,0)),"")</f>
        <v>558</v>
      </c>
      <c r="H218" s="137">
        <f>IFERROR(INDEX(Aktiv!$H$6:$H$326,MATCH(A218,Aktiv!$A$6:$A$326,0)),"")</f>
        <v>790</v>
      </c>
      <c r="I218" s="137">
        <f>IFERROR(INDEX(Aktiv!$I$6:$I$326,MATCH(A218,Aktiv!$A$6:$A$326,0)),"")</f>
        <v>834</v>
      </c>
      <c r="J218" s="137">
        <f>IFERROR(INDEX(Aktiv!$J$6:$J$326,MATCH(A218,Aktiv!$A$6:$A$326,0)),"")</f>
        <v>1839</v>
      </c>
      <c r="K218" s="141">
        <f>IFERROR(ROUND(G218*Steuerungsdaten!$B$5,0),"-")</f>
        <v>642</v>
      </c>
      <c r="L218" s="137">
        <f>IFERROR(ROUND(H218*Steuerungsdaten!$B$5,0),"-")</f>
        <v>909</v>
      </c>
      <c r="M218" s="137">
        <f>IFERROR(ROUND(I218*Steuerungsdaten!$B$5,0),"-")</f>
        <v>959</v>
      </c>
      <c r="N218" s="137">
        <f>IFERROR(ROUND(J218*Steuerungsdaten!$B$5,0),"-")</f>
        <v>2115</v>
      </c>
      <c r="O218" s="143" t="str">
        <f>IF(ISNA(MATCH(A218,Aktiv!$A$6:$A$326,0)),"⚠ nicht im Modell","")</f>
        <v/>
      </c>
    </row>
    <row r="219" spans="1:15" ht="18" customHeight="1" x14ac:dyDescent="0.25">
      <c r="A219" s="135">
        <v>5204</v>
      </c>
      <c r="B219" s="136" t="s">
        <v>7</v>
      </c>
      <c r="C219" s="136" t="s">
        <v>235</v>
      </c>
      <c r="D219" s="136" t="s">
        <v>241</v>
      </c>
      <c r="E219" s="138">
        <v>780</v>
      </c>
      <c r="F219" s="138">
        <v>1800</v>
      </c>
      <c r="G219" s="161">
        <f>IFERROR(INDEX(Aktiv!$G$6:$G$326,MATCH(A219,Aktiv!$A$6:$A$326,0)),"")</f>
        <v>653</v>
      </c>
      <c r="H219" s="161">
        <f>IFERROR(INDEX(Aktiv!$H$6:$H$326,MATCH(A219,Aktiv!$A$6:$A$326,0)),"")</f>
        <v>924</v>
      </c>
      <c r="I219" s="161">
        <f>IFERROR(INDEX(Aktiv!$I$6:$I$326,MATCH(A219,Aktiv!$A$6:$A$326,0)),"")</f>
        <v>975</v>
      </c>
      <c r="J219" s="161">
        <f>IFERROR(INDEX(Aktiv!$J$6:$J$326,MATCH(A219,Aktiv!$A$6:$A$326,0)),"")</f>
        <v>2150</v>
      </c>
      <c r="K219" s="162">
        <f>IFERROR(ROUND(G219*Steuerungsdaten!$B$5,0),"-")</f>
        <v>751</v>
      </c>
      <c r="L219" s="161">
        <f>IFERROR(ROUND(H219*Steuerungsdaten!$B$5,0),"-")</f>
        <v>1063</v>
      </c>
      <c r="M219" s="161">
        <f>IFERROR(ROUND(I219*Steuerungsdaten!$B$5,0),"-")</f>
        <v>1121</v>
      </c>
      <c r="N219" s="161">
        <f>IFERROR(ROUND(J219*Steuerungsdaten!$B$5,0),"-")</f>
        <v>2473</v>
      </c>
      <c r="O219" s="143" t="str">
        <f>IF(ISNA(MATCH(A219,Aktiv!$A$6:$A$326,0)),"⚠ nicht im Modell","")</f>
        <v/>
      </c>
    </row>
    <row r="220" spans="1:15" ht="18" customHeight="1" x14ac:dyDescent="0.25">
      <c r="A220" s="135">
        <v>5205</v>
      </c>
      <c r="B220" s="136" t="s">
        <v>7</v>
      </c>
      <c r="C220" s="136" t="s">
        <v>235</v>
      </c>
      <c r="D220" s="136" t="s">
        <v>242</v>
      </c>
      <c r="E220" s="138">
        <v>980</v>
      </c>
      <c r="F220" s="138">
        <v>360</v>
      </c>
      <c r="G220" s="137">
        <f>IFERROR(INDEX(Aktiv!$G$6:$G$326,MATCH(A220,Aktiv!$A$6:$A$326,0)),"")</f>
        <v>248</v>
      </c>
      <c r="H220" s="137">
        <f>IFERROR(INDEX(Aktiv!$H$6:$H$326,MATCH(A220,Aktiv!$A$6:$A$326,0)),"")</f>
        <v>351</v>
      </c>
      <c r="I220" s="137">
        <f>IFERROR(INDEX(Aktiv!$I$6:$I$326,MATCH(A220,Aktiv!$A$6:$A$326,0)),"")</f>
        <v>371</v>
      </c>
      <c r="J220" s="137">
        <f>IFERROR(INDEX(Aktiv!$J$6:$J$326,MATCH(A220,Aktiv!$A$6:$A$326,0)),"")</f>
        <v>818</v>
      </c>
      <c r="K220" s="141">
        <f>IFERROR(ROUND(G220*Steuerungsdaten!$B$5,0),"-")</f>
        <v>285</v>
      </c>
      <c r="L220" s="137">
        <f>IFERROR(ROUND(H220*Steuerungsdaten!$B$5,0),"-")</f>
        <v>404</v>
      </c>
      <c r="M220" s="137">
        <f>IFERROR(ROUND(I220*Steuerungsdaten!$B$5,0),"-")</f>
        <v>427</v>
      </c>
      <c r="N220" s="137">
        <f>IFERROR(ROUND(J220*Steuerungsdaten!$B$5,0),"-")</f>
        <v>941</v>
      </c>
      <c r="O220" s="143" t="str">
        <f>IF(ISNA(MATCH(A220,Aktiv!$A$6:$A$326,0)),"⚠ nicht im Modell","")</f>
        <v/>
      </c>
    </row>
    <row r="221" spans="1:15" ht="18" customHeight="1" x14ac:dyDescent="0.25">
      <c r="A221" s="135">
        <v>5206</v>
      </c>
      <c r="B221" s="136" t="s">
        <v>7</v>
      </c>
      <c r="C221" s="136" t="s">
        <v>235</v>
      </c>
      <c r="D221" s="136" t="s">
        <v>243</v>
      </c>
      <c r="E221" s="138">
        <v>980</v>
      </c>
      <c r="F221" s="138">
        <v>720</v>
      </c>
      <c r="G221" s="161">
        <f>IFERROR(INDEX(Aktiv!$G$6:$G$326,MATCH(A221,Aktiv!$A$6:$A$326,0)),"")</f>
        <v>403</v>
      </c>
      <c r="H221" s="161">
        <f>IFERROR(INDEX(Aktiv!$H$6:$H$326,MATCH(A221,Aktiv!$A$6:$A$326,0)),"")</f>
        <v>571</v>
      </c>
      <c r="I221" s="161">
        <f>IFERROR(INDEX(Aktiv!$I$6:$I$326,MATCH(A221,Aktiv!$A$6:$A$326,0)),"")</f>
        <v>602</v>
      </c>
      <c r="J221" s="161">
        <f>IFERROR(INDEX(Aktiv!$J$6:$J$326,MATCH(A221,Aktiv!$A$6:$A$326,0)),"")</f>
        <v>1328</v>
      </c>
      <c r="K221" s="162">
        <f>IFERROR(ROUND(G221*Steuerungsdaten!$B$5,0),"-")</f>
        <v>463</v>
      </c>
      <c r="L221" s="161">
        <f>IFERROR(ROUND(H221*Steuerungsdaten!$B$5,0),"-")</f>
        <v>657</v>
      </c>
      <c r="M221" s="161">
        <f>IFERROR(ROUND(I221*Steuerungsdaten!$B$5,0),"-")</f>
        <v>692</v>
      </c>
      <c r="N221" s="161">
        <f>IFERROR(ROUND(J221*Steuerungsdaten!$B$5,0),"-")</f>
        <v>1527</v>
      </c>
      <c r="O221" s="143" t="str">
        <f>IF(ISNA(MATCH(A221,Aktiv!$A$6:$A$326,0)),"⚠ nicht im Modell","")</f>
        <v/>
      </c>
    </row>
    <row r="222" spans="1:15" ht="18" customHeight="1" x14ac:dyDescent="0.25">
      <c r="A222" s="135">
        <v>5207</v>
      </c>
      <c r="B222" s="136" t="s">
        <v>7</v>
      </c>
      <c r="C222" s="136" t="s">
        <v>235</v>
      </c>
      <c r="D222" s="136" t="s">
        <v>244</v>
      </c>
      <c r="E222" s="138">
        <v>980</v>
      </c>
      <c r="F222" s="138">
        <v>1080</v>
      </c>
      <c r="G222" s="137">
        <f>IFERROR(INDEX(Aktiv!$G$6:$G$326,MATCH(A222,Aktiv!$A$6:$A$326,0)),"")</f>
        <v>536</v>
      </c>
      <c r="H222" s="137">
        <f>IFERROR(INDEX(Aktiv!$H$6:$H$326,MATCH(A222,Aktiv!$A$6:$A$326,0)),"")</f>
        <v>758</v>
      </c>
      <c r="I222" s="137">
        <f>IFERROR(INDEX(Aktiv!$I$6:$I$326,MATCH(A222,Aktiv!$A$6:$A$326,0)),"")</f>
        <v>800</v>
      </c>
      <c r="J222" s="137">
        <f>IFERROR(INDEX(Aktiv!$J$6:$J$326,MATCH(A222,Aktiv!$A$6:$A$326,0)),"")</f>
        <v>1764</v>
      </c>
      <c r="K222" s="141">
        <f>IFERROR(ROUND(G222*Steuerungsdaten!$B$5,0),"-")</f>
        <v>616</v>
      </c>
      <c r="L222" s="137">
        <f>IFERROR(ROUND(H222*Steuerungsdaten!$B$5,0),"-")</f>
        <v>872</v>
      </c>
      <c r="M222" s="137">
        <f>IFERROR(ROUND(I222*Steuerungsdaten!$B$5,0),"-")</f>
        <v>920</v>
      </c>
      <c r="N222" s="137">
        <f>IFERROR(ROUND(J222*Steuerungsdaten!$B$5,0),"-")</f>
        <v>2029</v>
      </c>
      <c r="O222" s="143" t="str">
        <f>IF(ISNA(MATCH(A222,Aktiv!$A$6:$A$326,0)),"⚠ nicht im Modell","")</f>
        <v/>
      </c>
    </row>
    <row r="223" spans="1:15" ht="18" customHeight="1" x14ac:dyDescent="0.25">
      <c r="A223" s="135">
        <v>5208</v>
      </c>
      <c r="B223" s="136" t="s">
        <v>7</v>
      </c>
      <c r="C223" s="136" t="s">
        <v>235</v>
      </c>
      <c r="D223" s="136" t="s">
        <v>245</v>
      </c>
      <c r="E223" s="138">
        <v>980</v>
      </c>
      <c r="F223" s="138">
        <v>1440</v>
      </c>
      <c r="G223" s="161" t="str">
        <f>IFERROR(INDEX(Aktiv!$G$6:$G$326,MATCH(A223,Aktiv!$A$6:$A$326,0)),"")</f>
        <v>-</v>
      </c>
      <c r="H223" s="161" t="str">
        <f>IFERROR(INDEX(Aktiv!$H$6:$H$326,MATCH(A223,Aktiv!$A$6:$A$326,0)),"")</f>
        <v>-</v>
      </c>
      <c r="I223" s="161" t="str">
        <f>IFERROR(INDEX(Aktiv!$I$6:$I$326,MATCH(A223,Aktiv!$A$6:$A$326,0)),"")</f>
        <v>-</v>
      </c>
      <c r="J223" s="161" t="str">
        <f>IFERROR(INDEX(Aktiv!$J$6:$J$326,MATCH(A223,Aktiv!$A$6:$A$326,0)),"")</f>
        <v>-</v>
      </c>
      <c r="K223" s="162" t="str">
        <f>IFERROR(ROUND(G223*Steuerungsdaten!$B$5,0),"-")</f>
        <v>-</v>
      </c>
      <c r="L223" s="161" t="str">
        <f>IFERROR(ROUND(H223*Steuerungsdaten!$B$5,0),"-")</f>
        <v>-</v>
      </c>
      <c r="M223" s="161" t="str">
        <f>IFERROR(ROUND(I223*Steuerungsdaten!$B$5,0),"-")</f>
        <v>-</v>
      </c>
      <c r="N223" s="161" t="str">
        <f>IFERROR(ROUND(J223*Steuerungsdaten!$B$5,0),"-")</f>
        <v>-</v>
      </c>
      <c r="O223" s="143" t="str">
        <f>IF(ISNA(MATCH(A223,Aktiv!$A$6:$A$326,0)),"⚠ nicht im Modell","")</f>
        <v/>
      </c>
    </row>
    <row r="224" spans="1:15" ht="18" customHeight="1" x14ac:dyDescent="0.25">
      <c r="A224" s="135">
        <v>5209</v>
      </c>
      <c r="B224" s="136" t="s">
        <v>7</v>
      </c>
      <c r="C224" s="136" t="s">
        <v>235</v>
      </c>
      <c r="D224" s="136" t="s">
        <v>246</v>
      </c>
      <c r="E224" s="138">
        <v>980</v>
      </c>
      <c r="F224" s="138">
        <v>1800</v>
      </c>
      <c r="G224" s="137" t="str">
        <f>IFERROR(INDEX(Aktiv!$G$6:$G$326,MATCH(A224,Aktiv!$A$6:$A$326,0)),"")</f>
        <v>-</v>
      </c>
      <c r="H224" s="137" t="str">
        <f>IFERROR(INDEX(Aktiv!$H$6:$H$326,MATCH(A224,Aktiv!$A$6:$A$326,0)),"")</f>
        <v>-</v>
      </c>
      <c r="I224" s="137" t="str">
        <f>IFERROR(INDEX(Aktiv!$I$6:$I$326,MATCH(A224,Aktiv!$A$6:$A$326,0)),"")</f>
        <v>-</v>
      </c>
      <c r="J224" s="137" t="str">
        <f>IFERROR(INDEX(Aktiv!$J$6:$J$326,MATCH(A224,Aktiv!$A$6:$A$326,0)),"")</f>
        <v>-</v>
      </c>
      <c r="K224" s="141" t="str">
        <f>IFERROR(ROUND(G224*Steuerungsdaten!$B$5,0),"-")</f>
        <v>-</v>
      </c>
      <c r="L224" s="137" t="str">
        <f>IFERROR(ROUND(H224*Steuerungsdaten!$B$5,0),"-")</f>
        <v>-</v>
      </c>
      <c r="M224" s="137" t="str">
        <f>IFERROR(ROUND(I224*Steuerungsdaten!$B$5,0),"-")</f>
        <v>-</v>
      </c>
      <c r="N224" s="137" t="str">
        <f>IFERROR(ROUND(J224*Steuerungsdaten!$B$5,0),"-")</f>
        <v>-</v>
      </c>
      <c r="O224" s="143" t="str">
        <f>IF(ISNA(MATCH(A224,Aktiv!$A$6:$A$326,0)),"⚠ nicht im Modell","")</f>
        <v/>
      </c>
    </row>
    <row r="225" spans="1:15" ht="18" customHeight="1" x14ac:dyDescent="0.25">
      <c r="A225" s="135">
        <v>5300</v>
      </c>
      <c r="B225" s="136" t="s">
        <v>7</v>
      </c>
      <c r="C225" s="136" t="s">
        <v>2</v>
      </c>
      <c r="D225" s="136" t="s">
        <v>247</v>
      </c>
      <c r="E225" s="138">
        <v>420</v>
      </c>
      <c r="F225" s="138">
        <v>180</v>
      </c>
      <c r="G225" s="161">
        <f>IFERROR(INDEX(Aktiv!$G$6:$G$326,MATCH(A225,Aktiv!$A$6:$A$326,0)),"")</f>
        <v>299</v>
      </c>
      <c r="H225" s="161">
        <f>IFERROR(INDEX(Aktiv!$H$6:$H$326,MATCH(A225,Aktiv!$A$6:$A$326,0)),"")</f>
        <v>355</v>
      </c>
      <c r="I225" s="161">
        <f>IFERROR(INDEX(Aktiv!$I$6:$I$326,MATCH(A225,Aktiv!$A$6:$A$326,0)),"")</f>
        <v>386</v>
      </c>
      <c r="J225" s="161" t="str">
        <f>IFERROR(INDEX(Aktiv!$J$6:$J$326,MATCH(A225,Aktiv!$A$6:$A$326,0)),"")</f>
        <v>-</v>
      </c>
      <c r="K225" s="162">
        <f>IFERROR(ROUND(G225*Steuerungsdaten!$B$5,0),"-")</f>
        <v>344</v>
      </c>
      <c r="L225" s="161">
        <f>IFERROR(ROUND(H225*Steuerungsdaten!$B$5,0),"-")</f>
        <v>408</v>
      </c>
      <c r="M225" s="161">
        <f>IFERROR(ROUND(I225*Steuerungsdaten!$B$5,0),"-")</f>
        <v>444</v>
      </c>
      <c r="N225" s="161" t="str">
        <f>IFERROR(ROUND(J225*Steuerungsdaten!$B$5,0),"-")</f>
        <v>-</v>
      </c>
      <c r="O225" s="143" t="str">
        <f>IF(ISNA(MATCH(A225,Aktiv!$A$6:$A$326,0)),"⚠ nicht im Modell","")</f>
        <v/>
      </c>
    </row>
    <row r="226" spans="1:15" ht="18" customHeight="1" x14ac:dyDescent="0.25">
      <c r="A226" s="135">
        <v>5301</v>
      </c>
      <c r="B226" s="136" t="s">
        <v>7</v>
      </c>
      <c r="C226" s="136" t="s">
        <v>2</v>
      </c>
      <c r="D226" s="136" t="s">
        <v>248</v>
      </c>
      <c r="E226" s="138">
        <v>420</v>
      </c>
      <c r="F226" s="138">
        <v>360</v>
      </c>
      <c r="G226" s="137">
        <f>IFERROR(INDEX(Aktiv!$G$6:$G$326,MATCH(A226,Aktiv!$A$6:$A$326,0)),"")</f>
        <v>320</v>
      </c>
      <c r="H226" s="137">
        <f>IFERROR(INDEX(Aktiv!$H$6:$H$326,MATCH(A226,Aktiv!$A$6:$A$326,0)),"")</f>
        <v>381</v>
      </c>
      <c r="I226" s="137">
        <f>IFERROR(INDEX(Aktiv!$I$6:$I$326,MATCH(A226,Aktiv!$A$6:$A$326,0)),"")</f>
        <v>414</v>
      </c>
      <c r="J226" s="137" t="str">
        <f>IFERROR(INDEX(Aktiv!$J$6:$J$326,MATCH(A226,Aktiv!$A$6:$A$326,0)),"")</f>
        <v>-</v>
      </c>
      <c r="K226" s="141">
        <f>IFERROR(ROUND(G226*Steuerungsdaten!$B$5,0),"-")</f>
        <v>368</v>
      </c>
      <c r="L226" s="137">
        <f>IFERROR(ROUND(H226*Steuerungsdaten!$B$5,0),"-")</f>
        <v>438</v>
      </c>
      <c r="M226" s="137">
        <f>IFERROR(ROUND(I226*Steuerungsdaten!$B$5,0),"-")</f>
        <v>476</v>
      </c>
      <c r="N226" s="137" t="str">
        <f>IFERROR(ROUND(J226*Steuerungsdaten!$B$5,0),"-")</f>
        <v>-</v>
      </c>
      <c r="O226" s="143" t="str">
        <f>IF(ISNA(MATCH(A226,Aktiv!$A$6:$A$326,0)),"⚠ nicht im Modell","")</f>
        <v/>
      </c>
    </row>
    <row r="227" spans="1:15" ht="18" customHeight="1" x14ac:dyDescent="0.25">
      <c r="A227" s="135">
        <v>5302</v>
      </c>
      <c r="B227" s="136" t="s">
        <v>7</v>
      </c>
      <c r="C227" s="136" t="s">
        <v>2</v>
      </c>
      <c r="D227" s="136" t="s">
        <v>249</v>
      </c>
      <c r="E227" s="138">
        <v>580</v>
      </c>
      <c r="F227" s="138">
        <v>180</v>
      </c>
      <c r="G227" s="161">
        <f>IFERROR(INDEX(Aktiv!$G$6:$G$326,MATCH(A227,Aktiv!$A$6:$A$326,0)),"")</f>
        <v>309</v>
      </c>
      <c r="H227" s="161">
        <f>IFERROR(INDEX(Aktiv!$H$6:$H$326,MATCH(A227,Aktiv!$A$6:$A$326,0)),"")</f>
        <v>367</v>
      </c>
      <c r="I227" s="161">
        <f>IFERROR(INDEX(Aktiv!$I$6:$I$326,MATCH(A227,Aktiv!$A$6:$A$326,0)),"")</f>
        <v>399</v>
      </c>
      <c r="J227" s="161" t="str">
        <f>IFERROR(INDEX(Aktiv!$J$6:$J$326,MATCH(A227,Aktiv!$A$6:$A$326,0)),"")</f>
        <v>-</v>
      </c>
      <c r="K227" s="162">
        <f>IFERROR(ROUND(G227*Steuerungsdaten!$B$5,0),"-")</f>
        <v>355</v>
      </c>
      <c r="L227" s="161">
        <f>IFERROR(ROUND(H227*Steuerungsdaten!$B$5,0),"-")</f>
        <v>422</v>
      </c>
      <c r="M227" s="161">
        <f>IFERROR(ROUND(I227*Steuerungsdaten!$B$5,0),"-")</f>
        <v>459</v>
      </c>
      <c r="N227" s="161" t="str">
        <f>IFERROR(ROUND(J227*Steuerungsdaten!$B$5,0),"-")</f>
        <v>-</v>
      </c>
      <c r="O227" s="143" t="str">
        <f>IF(ISNA(MATCH(A227,Aktiv!$A$6:$A$326,0)),"⚠ nicht im Modell","")</f>
        <v/>
      </c>
    </row>
    <row r="228" spans="1:15" ht="18" customHeight="1" x14ac:dyDescent="0.25">
      <c r="A228" s="135">
        <v>5303</v>
      </c>
      <c r="B228" s="136" t="s">
        <v>7</v>
      </c>
      <c r="C228" s="136" t="s">
        <v>2</v>
      </c>
      <c r="D228" s="136" t="s">
        <v>250</v>
      </c>
      <c r="E228" s="138">
        <v>580</v>
      </c>
      <c r="F228" s="138">
        <v>360</v>
      </c>
      <c r="G228" s="137">
        <f>IFERROR(INDEX(Aktiv!$G$6:$G$326,MATCH(A228,Aktiv!$A$6:$A$326,0)),"")</f>
        <v>331</v>
      </c>
      <c r="H228" s="137">
        <f>IFERROR(INDEX(Aktiv!$H$6:$H$326,MATCH(A228,Aktiv!$A$6:$A$326,0)),"")</f>
        <v>393</v>
      </c>
      <c r="I228" s="137">
        <f>IFERROR(INDEX(Aktiv!$I$6:$I$326,MATCH(A228,Aktiv!$A$6:$A$326,0)),"")</f>
        <v>428</v>
      </c>
      <c r="J228" s="137" t="str">
        <f>IFERROR(INDEX(Aktiv!$J$6:$J$326,MATCH(A228,Aktiv!$A$6:$A$326,0)),"")</f>
        <v>-</v>
      </c>
      <c r="K228" s="141">
        <f>IFERROR(ROUND(G228*Steuerungsdaten!$B$5,0),"-")</f>
        <v>381</v>
      </c>
      <c r="L228" s="137">
        <f>IFERROR(ROUND(H228*Steuerungsdaten!$B$5,0),"-")</f>
        <v>452</v>
      </c>
      <c r="M228" s="137">
        <f>IFERROR(ROUND(I228*Steuerungsdaten!$B$5,0),"-")</f>
        <v>492</v>
      </c>
      <c r="N228" s="137" t="str">
        <f>IFERROR(ROUND(J228*Steuerungsdaten!$B$5,0),"-")</f>
        <v>-</v>
      </c>
      <c r="O228" s="143" t="str">
        <f>IF(ISNA(MATCH(A228,Aktiv!$A$6:$A$326,0)),"⚠ nicht im Modell","")</f>
        <v/>
      </c>
    </row>
    <row r="229" spans="1:15" ht="18" customHeight="1" x14ac:dyDescent="0.25">
      <c r="A229" s="135">
        <v>5304</v>
      </c>
      <c r="B229" s="136" t="s">
        <v>7</v>
      </c>
      <c r="C229" s="136" t="s">
        <v>2</v>
      </c>
      <c r="D229" s="136" t="s">
        <v>251</v>
      </c>
      <c r="E229" s="138">
        <v>780</v>
      </c>
      <c r="F229" s="138">
        <v>180</v>
      </c>
      <c r="G229" s="161">
        <f>IFERROR(INDEX(Aktiv!$G$6:$G$326,MATCH(A229,Aktiv!$A$6:$A$326,0)),"")</f>
        <v>318</v>
      </c>
      <c r="H229" s="161">
        <f>IFERROR(INDEX(Aktiv!$H$6:$H$326,MATCH(A229,Aktiv!$A$6:$A$326,0)),"")</f>
        <v>378</v>
      </c>
      <c r="I229" s="161">
        <f>IFERROR(INDEX(Aktiv!$I$6:$I$326,MATCH(A229,Aktiv!$A$6:$A$326,0)),"")</f>
        <v>411</v>
      </c>
      <c r="J229" s="161" t="str">
        <f>IFERROR(INDEX(Aktiv!$J$6:$J$326,MATCH(A229,Aktiv!$A$6:$A$326,0)),"")</f>
        <v>-</v>
      </c>
      <c r="K229" s="162">
        <f>IFERROR(ROUND(G229*Steuerungsdaten!$B$5,0),"-")</f>
        <v>366</v>
      </c>
      <c r="L229" s="161">
        <f>IFERROR(ROUND(H229*Steuerungsdaten!$B$5,0),"-")</f>
        <v>435</v>
      </c>
      <c r="M229" s="161">
        <f>IFERROR(ROUND(I229*Steuerungsdaten!$B$5,0),"-")</f>
        <v>473</v>
      </c>
      <c r="N229" s="161" t="str">
        <f>IFERROR(ROUND(J229*Steuerungsdaten!$B$5,0),"-")</f>
        <v>-</v>
      </c>
      <c r="O229" s="143" t="str">
        <f>IF(ISNA(MATCH(A229,Aktiv!$A$6:$A$326,0)),"⚠ nicht im Modell","")</f>
        <v/>
      </c>
    </row>
    <row r="230" spans="1:15" ht="18" customHeight="1" x14ac:dyDescent="0.25">
      <c r="A230" s="135">
        <v>5305</v>
      </c>
      <c r="B230" s="136" t="s">
        <v>7</v>
      </c>
      <c r="C230" s="136" t="s">
        <v>2</v>
      </c>
      <c r="D230" s="136" t="s">
        <v>252</v>
      </c>
      <c r="E230" s="138">
        <v>780</v>
      </c>
      <c r="F230" s="138">
        <v>360</v>
      </c>
      <c r="G230" s="137">
        <f>IFERROR(INDEX(Aktiv!$G$6:$G$326,MATCH(A230,Aktiv!$A$6:$A$326,0)),"")</f>
        <v>341</v>
      </c>
      <c r="H230" s="137">
        <f>IFERROR(INDEX(Aktiv!$H$6:$H$326,MATCH(A230,Aktiv!$A$6:$A$326,0)),"")</f>
        <v>405</v>
      </c>
      <c r="I230" s="137">
        <f>IFERROR(INDEX(Aktiv!$I$6:$I$326,MATCH(A230,Aktiv!$A$6:$A$326,0)),"")</f>
        <v>441</v>
      </c>
      <c r="J230" s="137" t="str">
        <f>IFERROR(INDEX(Aktiv!$J$6:$J$326,MATCH(A230,Aktiv!$A$6:$A$326,0)),"")</f>
        <v>-</v>
      </c>
      <c r="K230" s="141">
        <f>IFERROR(ROUND(G230*Steuerungsdaten!$B$5,0),"-")</f>
        <v>392</v>
      </c>
      <c r="L230" s="137">
        <f>IFERROR(ROUND(H230*Steuerungsdaten!$B$5,0),"-")</f>
        <v>466</v>
      </c>
      <c r="M230" s="137">
        <f>IFERROR(ROUND(I230*Steuerungsdaten!$B$5,0),"-")</f>
        <v>507</v>
      </c>
      <c r="N230" s="137" t="str">
        <f>IFERROR(ROUND(J230*Steuerungsdaten!$B$5,0),"-")</f>
        <v>-</v>
      </c>
      <c r="O230" s="143" t="str">
        <f>IF(ISNA(MATCH(A230,Aktiv!$A$6:$A$326,0)),"⚠ nicht im Modell","")</f>
        <v/>
      </c>
    </row>
    <row r="231" spans="1:15" ht="18" customHeight="1" x14ac:dyDescent="0.25">
      <c r="A231" s="135">
        <v>5306</v>
      </c>
      <c r="B231" s="136" t="s">
        <v>7</v>
      </c>
      <c r="C231" s="136" t="s">
        <v>2</v>
      </c>
      <c r="D231" s="136" t="s">
        <v>253</v>
      </c>
      <c r="E231" s="138">
        <v>980</v>
      </c>
      <c r="F231" s="138">
        <v>180</v>
      </c>
      <c r="G231" s="161">
        <f>IFERROR(INDEX(Aktiv!$G$6:$G$326,MATCH(A231,Aktiv!$A$6:$A$326,0)),"")</f>
        <v>325</v>
      </c>
      <c r="H231" s="161">
        <f>IFERROR(INDEX(Aktiv!$H$6:$H$326,MATCH(A231,Aktiv!$A$6:$A$326,0)),"")</f>
        <v>386</v>
      </c>
      <c r="I231" s="161">
        <f>IFERROR(INDEX(Aktiv!$I$6:$I$326,MATCH(A231,Aktiv!$A$6:$A$326,0)),"")</f>
        <v>421</v>
      </c>
      <c r="J231" s="161" t="str">
        <f>IFERROR(INDEX(Aktiv!$J$6:$J$326,MATCH(A231,Aktiv!$A$6:$A$326,0)),"")</f>
        <v>-</v>
      </c>
      <c r="K231" s="162">
        <f>IFERROR(ROUND(G231*Steuerungsdaten!$B$5,0),"-")</f>
        <v>374</v>
      </c>
      <c r="L231" s="161">
        <f>IFERROR(ROUND(H231*Steuerungsdaten!$B$5,0),"-")</f>
        <v>444</v>
      </c>
      <c r="M231" s="161">
        <f>IFERROR(ROUND(I231*Steuerungsdaten!$B$5,0),"-")</f>
        <v>484</v>
      </c>
      <c r="N231" s="161" t="str">
        <f>IFERROR(ROUND(J231*Steuerungsdaten!$B$5,0),"-")</f>
        <v>-</v>
      </c>
      <c r="O231" s="143" t="str">
        <f>IF(ISNA(MATCH(A231,Aktiv!$A$6:$A$326,0)),"⚠ nicht im Modell","")</f>
        <v/>
      </c>
    </row>
    <row r="232" spans="1:15" ht="18" customHeight="1" x14ac:dyDescent="0.25">
      <c r="A232" s="135">
        <v>5307</v>
      </c>
      <c r="B232" s="136" t="s">
        <v>7</v>
      </c>
      <c r="C232" s="136" t="s">
        <v>2</v>
      </c>
      <c r="D232" s="136" t="s">
        <v>254</v>
      </c>
      <c r="E232" s="138">
        <v>980</v>
      </c>
      <c r="F232" s="138">
        <v>360</v>
      </c>
      <c r="G232" s="137">
        <f>IFERROR(INDEX(Aktiv!$G$6:$G$326,MATCH(A232,Aktiv!$A$6:$A$326,0)),"")</f>
        <v>349</v>
      </c>
      <c r="H232" s="137">
        <f>IFERROR(INDEX(Aktiv!$H$6:$H$326,MATCH(A232,Aktiv!$A$6:$A$326,0)),"")</f>
        <v>414</v>
      </c>
      <c r="I232" s="137">
        <f>IFERROR(INDEX(Aktiv!$I$6:$I$326,MATCH(A232,Aktiv!$A$6:$A$326,0)),"")</f>
        <v>451</v>
      </c>
      <c r="J232" s="137" t="str">
        <f>IFERROR(INDEX(Aktiv!$J$6:$J$326,MATCH(A232,Aktiv!$A$6:$A$326,0)),"")</f>
        <v>-</v>
      </c>
      <c r="K232" s="141">
        <f>IFERROR(ROUND(G232*Steuerungsdaten!$B$5,0),"-")</f>
        <v>401</v>
      </c>
      <c r="L232" s="137">
        <f>IFERROR(ROUND(H232*Steuerungsdaten!$B$5,0),"-")</f>
        <v>476</v>
      </c>
      <c r="M232" s="137">
        <f>IFERROR(ROUND(I232*Steuerungsdaten!$B$5,0),"-")</f>
        <v>519</v>
      </c>
      <c r="N232" s="137" t="str">
        <f>IFERROR(ROUND(J232*Steuerungsdaten!$B$5,0),"-")</f>
        <v>-</v>
      </c>
      <c r="O232" s="143" t="str">
        <f>IF(ISNA(MATCH(A232,Aktiv!$A$6:$A$326,0)),"⚠ nicht im Modell","")</f>
        <v/>
      </c>
    </row>
    <row r="233" spans="1:15" ht="18" customHeight="1" thickBot="1" x14ac:dyDescent="0.3">
      <c r="A233" s="135" t="s">
        <v>255</v>
      </c>
      <c r="B233" s="136" t="s">
        <v>7</v>
      </c>
      <c r="C233" s="136" t="s">
        <v>2</v>
      </c>
      <c r="D233" s="160" t="s">
        <v>257</v>
      </c>
      <c r="E233" s="138">
        <v>780</v>
      </c>
      <c r="F233" s="138">
        <v>180</v>
      </c>
      <c r="G233" s="161">
        <f>IFERROR(INDEX(Aktiv!$G$6:$G$326,MATCH(A233,Aktiv!$A$6:$A$326,0)),"")</f>
        <v>318</v>
      </c>
      <c r="H233" s="161">
        <f>IFERROR(INDEX(Aktiv!$H$6:$H$326,MATCH(A233,Aktiv!$A$6:$A$326,0)),"")</f>
        <v>378</v>
      </c>
      <c r="I233" s="161">
        <f>IFERROR(INDEX(Aktiv!$I$6:$I$326,MATCH(A233,Aktiv!$A$6:$A$326,0)),"")</f>
        <v>411</v>
      </c>
      <c r="J233" s="161" t="str">
        <f>IFERROR(INDEX(Aktiv!$J$6:$J$326,MATCH(A233,Aktiv!$A$6:$A$326,0)),"")</f>
        <v>-</v>
      </c>
      <c r="K233" s="162">
        <f>IFERROR(ROUND(G233*Steuerungsdaten!$B$5,0),"-")</f>
        <v>366</v>
      </c>
      <c r="L233" s="161">
        <f>IFERROR(ROUND(H233*Steuerungsdaten!$B$5,0),"-")</f>
        <v>435</v>
      </c>
      <c r="M233" s="161">
        <f>IFERROR(ROUND(I233*Steuerungsdaten!$B$5,0),"-")</f>
        <v>473</v>
      </c>
      <c r="N233" s="161" t="str">
        <f>IFERROR(ROUND(J233*Steuerungsdaten!$B$5,0),"-")</f>
        <v>-</v>
      </c>
      <c r="O233" s="143" t="str">
        <f>IF(ISNA(MATCH(A233,Aktiv!$A$6:$A$326,0)),"⚠ nicht im Modell","")</f>
        <v/>
      </c>
    </row>
    <row r="234" spans="1:15" ht="18" customHeight="1" thickBot="1" x14ac:dyDescent="0.3">
      <c r="A234" s="135" t="s">
        <v>258</v>
      </c>
      <c r="B234" s="136" t="s">
        <v>7</v>
      </c>
      <c r="C234" s="136" t="s">
        <v>2</v>
      </c>
      <c r="D234" s="177" t="s">
        <v>259</v>
      </c>
      <c r="E234" s="178">
        <v>420</v>
      </c>
      <c r="F234" s="178">
        <v>134</v>
      </c>
      <c r="G234" s="186" t="str">
        <f>IFERROR(INDEX(Aktiv!$G$6:$G$326,MATCH(A234,Aktiv!$A$6:$A$326,0)),"")</f>
        <v>-</v>
      </c>
      <c r="H234" s="186" t="str">
        <f>IFERROR(INDEX(Aktiv!$H$6:$H$326,MATCH(A234,Aktiv!$A$6:$A$326,0)),"")</f>
        <v>-</v>
      </c>
      <c r="I234" s="186" t="str">
        <f>IFERROR(INDEX(Aktiv!$I$6:$I$326,MATCH(A234,Aktiv!$A$6:$A$326,0)),"")</f>
        <v>-</v>
      </c>
      <c r="J234" s="186" t="str">
        <f>IFERROR(INDEX(Aktiv!$J$6:$J$326,MATCH(A234,Aktiv!$A$6:$A$326,0)),"")</f>
        <v>-</v>
      </c>
      <c r="K234" s="187" t="str">
        <f>IFERROR(ROUND(G234*Steuerungsdaten!$B$5,0),"-")</f>
        <v>-</v>
      </c>
      <c r="L234" s="186" t="str">
        <f>IFERROR(ROUND(H234*Steuerungsdaten!$B$5,0),"-")</f>
        <v>-</v>
      </c>
      <c r="M234" s="186" t="str">
        <f>IFERROR(ROUND(I234*Steuerungsdaten!$B$5,0),"-")</f>
        <v>-</v>
      </c>
      <c r="N234" s="188" t="str">
        <f>IFERROR(ROUND(J234*Steuerungsdaten!$B$5,0),"-")</f>
        <v>-</v>
      </c>
      <c r="O234" s="179" t="s">
        <v>793</v>
      </c>
    </row>
    <row r="235" spans="1:15" ht="18" customHeight="1" thickBot="1" x14ac:dyDescent="0.3">
      <c r="A235" s="135" t="s">
        <v>260</v>
      </c>
      <c r="B235" s="136" t="s">
        <v>7</v>
      </c>
      <c r="C235" s="136" t="s">
        <v>2</v>
      </c>
      <c r="D235" s="177" t="s">
        <v>261</v>
      </c>
      <c r="E235" s="178">
        <v>420</v>
      </c>
      <c r="F235" s="178">
        <v>220</v>
      </c>
      <c r="G235" s="180" t="str">
        <f>IFERROR(INDEX(Aktiv!$G$6:$G$326,MATCH(A235,Aktiv!$A$6:$A$326,0)),"")</f>
        <v>-</v>
      </c>
      <c r="H235" s="180" t="str">
        <f>IFERROR(INDEX(Aktiv!$H$6:$H$326,MATCH(A235,Aktiv!$A$6:$A$326,0)),"")</f>
        <v>-</v>
      </c>
      <c r="I235" s="180" t="str">
        <f>IFERROR(INDEX(Aktiv!$I$6:$I$326,MATCH(A235,Aktiv!$A$6:$A$326,0)),"")</f>
        <v>-</v>
      </c>
      <c r="J235" s="180" t="str">
        <f>IFERROR(INDEX(Aktiv!$J$6:$J$326,MATCH(A235,Aktiv!$A$6:$A$326,0)),"")</f>
        <v>-</v>
      </c>
      <c r="K235" s="181" t="str">
        <f>IFERROR(ROUND(G235*Steuerungsdaten!$B$5,0),"-")</f>
        <v>-</v>
      </c>
      <c r="L235" s="180" t="str">
        <f>IFERROR(ROUND(H235*Steuerungsdaten!$B$5,0),"-")</f>
        <v>-</v>
      </c>
      <c r="M235" s="180" t="str">
        <f>IFERROR(ROUND(I235*Steuerungsdaten!$B$5,0),"-")</f>
        <v>-</v>
      </c>
      <c r="N235" s="182" t="str">
        <f>IFERROR(ROUND(J235*Steuerungsdaten!$B$5,0),"-")</f>
        <v>-</v>
      </c>
      <c r="O235" s="179" t="s">
        <v>793</v>
      </c>
    </row>
    <row r="236" spans="1:15" ht="18" customHeight="1" thickBot="1" x14ac:dyDescent="0.3">
      <c r="A236" s="135" t="s">
        <v>262</v>
      </c>
      <c r="B236" s="136" t="s">
        <v>7</v>
      </c>
      <c r="C236" s="136" t="s">
        <v>2</v>
      </c>
      <c r="D236" s="177" t="s">
        <v>263</v>
      </c>
      <c r="E236" s="178">
        <v>412</v>
      </c>
      <c r="F236" s="178">
        <v>121</v>
      </c>
      <c r="G236" s="186" t="str">
        <f>IFERROR(INDEX(Aktiv!$G$6:$G$326,MATCH(A236,Aktiv!$A$6:$A$326,0)),"")</f>
        <v>-</v>
      </c>
      <c r="H236" s="186" t="str">
        <f>IFERROR(INDEX(Aktiv!$H$6:$H$326,MATCH(A236,Aktiv!$A$6:$A$326,0)),"")</f>
        <v>-</v>
      </c>
      <c r="I236" s="186" t="str">
        <f>IFERROR(INDEX(Aktiv!$I$6:$I$326,MATCH(A236,Aktiv!$A$6:$A$326,0)),"")</f>
        <v>-</v>
      </c>
      <c r="J236" s="186" t="str">
        <f>IFERROR(INDEX(Aktiv!$J$6:$J$326,MATCH(A236,Aktiv!$A$6:$A$326,0)),"")</f>
        <v>-</v>
      </c>
      <c r="K236" s="187" t="str">
        <f>IFERROR(ROUND(G236*Steuerungsdaten!$B$5,0),"-")</f>
        <v>-</v>
      </c>
      <c r="L236" s="186" t="str">
        <f>IFERROR(ROUND(H236*Steuerungsdaten!$B$5,0),"-")</f>
        <v>-</v>
      </c>
      <c r="M236" s="186" t="str">
        <f>IFERROR(ROUND(I236*Steuerungsdaten!$B$5,0),"-")</f>
        <v>-</v>
      </c>
      <c r="N236" s="188" t="str">
        <f>IFERROR(ROUND(J236*Steuerungsdaten!$B$5,0),"-")</f>
        <v>-</v>
      </c>
      <c r="O236" s="179" t="s">
        <v>793</v>
      </c>
    </row>
    <row r="237" spans="1:15" ht="18" customHeight="1" thickBot="1" x14ac:dyDescent="0.3">
      <c r="A237" s="135" t="s">
        <v>264</v>
      </c>
      <c r="B237" s="136" t="s">
        <v>7</v>
      </c>
      <c r="C237" s="136" t="s">
        <v>2</v>
      </c>
      <c r="D237" s="177" t="s">
        <v>265</v>
      </c>
      <c r="E237" s="178">
        <v>412</v>
      </c>
      <c r="F237" s="178">
        <v>400</v>
      </c>
      <c r="G237" s="180" t="str">
        <f>IFERROR(INDEX(Aktiv!$G$6:$G$326,MATCH(A237,Aktiv!$A$6:$A$326,0)),"")</f>
        <v>-</v>
      </c>
      <c r="H237" s="180" t="str">
        <f>IFERROR(INDEX(Aktiv!$H$6:$H$326,MATCH(A237,Aktiv!$A$6:$A$326,0)),"")</f>
        <v>-</v>
      </c>
      <c r="I237" s="180" t="str">
        <f>IFERROR(INDEX(Aktiv!$I$6:$I$326,MATCH(A237,Aktiv!$A$6:$A$326,0)),"")</f>
        <v>-</v>
      </c>
      <c r="J237" s="180" t="str">
        <f>IFERROR(INDEX(Aktiv!$J$6:$J$326,MATCH(A237,Aktiv!$A$6:$A$326,0)),"")</f>
        <v>-</v>
      </c>
      <c r="K237" s="181" t="str">
        <f>IFERROR(ROUND(G237*Steuerungsdaten!$B$5,0),"-")</f>
        <v>-</v>
      </c>
      <c r="L237" s="180" t="str">
        <f>IFERROR(ROUND(H237*Steuerungsdaten!$B$5,0),"-")</f>
        <v>-</v>
      </c>
      <c r="M237" s="180" t="str">
        <f>IFERROR(ROUND(I237*Steuerungsdaten!$B$5,0),"-")</f>
        <v>-</v>
      </c>
      <c r="N237" s="182" t="str">
        <f>IFERROR(ROUND(J237*Steuerungsdaten!$B$5,0),"-")</f>
        <v>-</v>
      </c>
      <c r="O237" s="179" t="s">
        <v>793</v>
      </c>
    </row>
    <row r="238" spans="1:15" ht="18" customHeight="1" thickBot="1" x14ac:dyDescent="0.3">
      <c r="A238" s="135" t="s">
        <v>266</v>
      </c>
      <c r="B238" s="136" t="s">
        <v>7</v>
      </c>
      <c r="C238" s="136" t="s">
        <v>2</v>
      </c>
      <c r="D238" s="177" t="s">
        <v>267</v>
      </c>
      <c r="E238" s="178">
        <v>420</v>
      </c>
      <c r="F238" s="178">
        <v>145</v>
      </c>
      <c r="G238" s="186" t="str">
        <f>IFERROR(INDEX(Aktiv!$G$6:$G$326,MATCH(A238,Aktiv!$A$6:$A$326,0)),"")</f>
        <v>-</v>
      </c>
      <c r="H238" s="186" t="str">
        <f>IFERROR(INDEX(Aktiv!$H$6:$H$326,MATCH(A238,Aktiv!$A$6:$A$326,0)),"")</f>
        <v>-</v>
      </c>
      <c r="I238" s="186" t="str">
        <f>IFERROR(INDEX(Aktiv!$I$6:$I$326,MATCH(A238,Aktiv!$A$6:$A$326,0)),"")</f>
        <v>-</v>
      </c>
      <c r="J238" s="186" t="str">
        <f>IFERROR(INDEX(Aktiv!$J$6:$J$326,MATCH(A238,Aktiv!$A$6:$A$326,0)),"")</f>
        <v>-</v>
      </c>
      <c r="K238" s="187" t="str">
        <f>IFERROR(ROUND(G238*Steuerungsdaten!$B$5,0),"-")</f>
        <v>-</v>
      </c>
      <c r="L238" s="186" t="str">
        <f>IFERROR(ROUND(H238*Steuerungsdaten!$B$5,0),"-")</f>
        <v>-</v>
      </c>
      <c r="M238" s="186" t="str">
        <f>IFERROR(ROUND(I238*Steuerungsdaten!$B$5,0),"-")</f>
        <v>-</v>
      </c>
      <c r="N238" s="188" t="str">
        <f>IFERROR(ROUND(J238*Steuerungsdaten!$B$5,0),"-")</f>
        <v>-</v>
      </c>
      <c r="O238" s="179" t="s">
        <v>793</v>
      </c>
    </row>
    <row r="239" spans="1:15" ht="18" customHeight="1" thickBot="1" x14ac:dyDescent="0.3">
      <c r="A239" s="135" t="s">
        <v>268</v>
      </c>
      <c r="B239" s="136" t="s">
        <v>7</v>
      </c>
      <c r="C239" s="136" t="s">
        <v>2</v>
      </c>
      <c r="D239" s="177" t="s">
        <v>269</v>
      </c>
      <c r="E239" s="178">
        <v>420</v>
      </c>
      <c r="F239" s="178">
        <v>293</v>
      </c>
      <c r="G239" s="180" t="str">
        <f>IFERROR(INDEX(Aktiv!$G$6:$G$326,MATCH(A239,Aktiv!$A$6:$A$326,0)),"")</f>
        <v>-</v>
      </c>
      <c r="H239" s="180" t="str">
        <f>IFERROR(INDEX(Aktiv!$H$6:$H$326,MATCH(A239,Aktiv!$A$6:$A$326,0)),"")</f>
        <v>-</v>
      </c>
      <c r="I239" s="180" t="str">
        <f>IFERROR(INDEX(Aktiv!$I$6:$I$326,MATCH(A239,Aktiv!$A$6:$A$326,0)),"")</f>
        <v>-</v>
      </c>
      <c r="J239" s="180" t="str">
        <f>IFERROR(INDEX(Aktiv!$J$6:$J$326,MATCH(A239,Aktiv!$A$6:$A$326,0)),"")</f>
        <v>-</v>
      </c>
      <c r="K239" s="181" t="str">
        <f>IFERROR(ROUND(G239*Steuerungsdaten!$B$5,0),"-")</f>
        <v>-</v>
      </c>
      <c r="L239" s="180" t="str">
        <f>IFERROR(ROUND(H239*Steuerungsdaten!$B$5,0),"-")</f>
        <v>-</v>
      </c>
      <c r="M239" s="180" t="str">
        <f>IFERROR(ROUND(I239*Steuerungsdaten!$B$5,0),"-")</f>
        <v>-</v>
      </c>
      <c r="N239" s="182" t="str">
        <f>IFERROR(ROUND(J239*Steuerungsdaten!$B$5,0),"-")</f>
        <v>-</v>
      </c>
      <c r="O239" s="179" t="s">
        <v>793</v>
      </c>
    </row>
    <row r="240" spans="1:15" ht="18" customHeight="1" thickBot="1" x14ac:dyDescent="0.3">
      <c r="A240" s="135" t="s">
        <v>270</v>
      </c>
      <c r="B240" s="136" t="s">
        <v>7</v>
      </c>
      <c r="C240" s="136" t="s">
        <v>2</v>
      </c>
      <c r="D240" s="177" t="s">
        <v>271</v>
      </c>
      <c r="E240" s="178">
        <v>420</v>
      </c>
      <c r="F240" s="178">
        <v>67</v>
      </c>
      <c r="G240" s="186" t="str">
        <f>IFERROR(INDEX(Aktiv!$G$6:$G$326,MATCH(A240,Aktiv!$A$6:$A$326,0)),"")</f>
        <v>-</v>
      </c>
      <c r="H240" s="186" t="str">
        <f>IFERROR(INDEX(Aktiv!$H$6:$H$326,MATCH(A240,Aktiv!$A$6:$A$326,0)),"")</f>
        <v>-</v>
      </c>
      <c r="I240" s="186" t="str">
        <f>IFERROR(INDEX(Aktiv!$I$6:$I$326,MATCH(A240,Aktiv!$A$6:$A$326,0)),"")</f>
        <v>-</v>
      </c>
      <c r="J240" s="186" t="str">
        <f>IFERROR(INDEX(Aktiv!$J$6:$J$326,MATCH(A240,Aktiv!$A$6:$A$326,0)),"")</f>
        <v>-</v>
      </c>
      <c r="K240" s="187" t="str">
        <f>IFERROR(ROUND(G240*Steuerungsdaten!$B$5,0),"-")</f>
        <v>-</v>
      </c>
      <c r="L240" s="186" t="str">
        <f>IFERROR(ROUND(H240*Steuerungsdaten!$B$5,0),"-")</f>
        <v>-</v>
      </c>
      <c r="M240" s="186" t="str">
        <f>IFERROR(ROUND(I240*Steuerungsdaten!$B$5,0),"-")</f>
        <v>-</v>
      </c>
      <c r="N240" s="188" t="str">
        <f>IFERROR(ROUND(J240*Steuerungsdaten!$B$5,0),"-")</f>
        <v>-</v>
      </c>
      <c r="O240" s="179" t="s">
        <v>793</v>
      </c>
    </row>
    <row r="241" spans="1:15" ht="18" customHeight="1" thickBot="1" x14ac:dyDescent="0.3">
      <c r="A241" s="135" t="s">
        <v>272</v>
      </c>
      <c r="B241" s="136" t="s">
        <v>7</v>
      </c>
      <c r="C241" s="136" t="s">
        <v>2</v>
      </c>
      <c r="D241" s="177" t="s">
        <v>273</v>
      </c>
      <c r="E241" s="178">
        <v>420</v>
      </c>
      <c r="F241" s="178">
        <v>142</v>
      </c>
      <c r="G241" s="180" t="str">
        <f>IFERROR(INDEX(Aktiv!$G$6:$G$326,MATCH(A241,Aktiv!$A$6:$A$326,0)),"")</f>
        <v>-</v>
      </c>
      <c r="H241" s="180" t="str">
        <f>IFERROR(INDEX(Aktiv!$H$6:$H$326,MATCH(A241,Aktiv!$A$6:$A$326,0)),"")</f>
        <v>-</v>
      </c>
      <c r="I241" s="180" t="str">
        <f>IFERROR(INDEX(Aktiv!$I$6:$I$326,MATCH(A241,Aktiv!$A$6:$A$326,0)),"")</f>
        <v>-</v>
      </c>
      <c r="J241" s="180" t="str">
        <f>IFERROR(INDEX(Aktiv!$J$6:$J$326,MATCH(A241,Aktiv!$A$6:$A$326,0)),"")</f>
        <v>-</v>
      </c>
      <c r="K241" s="181" t="str">
        <f>IFERROR(ROUND(G241*Steuerungsdaten!$B$5,0),"-")</f>
        <v>-</v>
      </c>
      <c r="L241" s="180" t="str">
        <f>IFERROR(ROUND(H241*Steuerungsdaten!$B$5,0),"-")</f>
        <v>-</v>
      </c>
      <c r="M241" s="180" t="str">
        <f>IFERROR(ROUND(I241*Steuerungsdaten!$B$5,0),"-")</f>
        <v>-</v>
      </c>
      <c r="N241" s="182" t="str">
        <f>IFERROR(ROUND(J241*Steuerungsdaten!$B$5,0),"-")</f>
        <v>-</v>
      </c>
      <c r="O241" s="179" t="s">
        <v>793</v>
      </c>
    </row>
    <row r="242" spans="1:15" ht="18" customHeight="1" thickBot="1" x14ac:dyDescent="0.3">
      <c r="A242" s="135" t="s">
        <v>274</v>
      </c>
      <c r="B242" s="136" t="s">
        <v>7</v>
      </c>
      <c r="C242" s="136" t="s">
        <v>2</v>
      </c>
      <c r="D242" s="177" t="s">
        <v>275</v>
      </c>
      <c r="E242" s="178">
        <v>420</v>
      </c>
      <c r="F242" s="178">
        <v>280</v>
      </c>
      <c r="G242" s="186" t="str">
        <f>IFERROR(INDEX(Aktiv!$G$6:$G$326,MATCH(A242,Aktiv!$A$6:$A$326,0)),"")</f>
        <v>-</v>
      </c>
      <c r="H242" s="186" t="str">
        <f>IFERROR(INDEX(Aktiv!$H$6:$H$326,MATCH(A242,Aktiv!$A$6:$A$326,0)),"")</f>
        <v>-</v>
      </c>
      <c r="I242" s="186" t="str">
        <f>IFERROR(INDEX(Aktiv!$I$6:$I$326,MATCH(A242,Aktiv!$A$6:$A$326,0)),"")</f>
        <v>-</v>
      </c>
      <c r="J242" s="186" t="str">
        <f>IFERROR(INDEX(Aktiv!$J$6:$J$326,MATCH(A242,Aktiv!$A$6:$A$326,0)),"")</f>
        <v>-</v>
      </c>
      <c r="K242" s="187" t="str">
        <f>IFERROR(ROUND(G242*Steuerungsdaten!$B$5,0),"-")</f>
        <v>-</v>
      </c>
      <c r="L242" s="186" t="str">
        <f>IFERROR(ROUND(H242*Steuerungsdaten!$B$5,0),"-")</f>
        <v>-</v>
      </c>
      <c r="M242" s="186" t="str">
        <f>IFERROR(ROUND(I242*Steuerungsdaten!$B$5,0),"-")</f>
        <v>-</v>
      </c>
      <c r="N242" s="188" t="str">
        <f>IFERROR(ROUND(J242*Steuerungsdaten!$B$5,0),"-")</f>
        <v>-</v>
      </c>
      <c r="O242" s="179" t="s">
        <v>793</v>
      </c>
    </row>
    <row r="243" spans="1:15" ht="18" customHeight="1" thickBot="1" x14ac:dyDescent="0.3">
      <c r="A243" s="135" t="s">
        <v>276</v>
      </c>
      <c r="B243" s="136" t="s">
        <v>7</v>
      </c>
      <c r="C243" s="136" t="s">
        <v>2</v>
      </c>
      <c r="D243" s="177" t="s">
        <v>277</v>
      </c>
      <c r="E243" s="178">
        <v>420</v>
      </c>
      <c r="F243" s="178">
        <v>141</v>
      </c>
      <c r="G243" s="183" t="str">
        <f>IFERROR(INDEX(Aktiv!$G$6:$G$326,MATCH(A243,Aktiv!$A$6:$A$326,0)),"")</f>
        <v>-</v>
      </c>
      <c r="H243" s="183" t="str">
        <f>IFERROR(INDEX(Aktiv!$H$6:$H$326,MATCH(A243,Aktiv!$A$6:$A$326,0)),"")</f>
        <v>-</v>
      </c>
      <c r="I243" s="183" t="str">
        <f>IFERROR(INDEX(Aktiv!$I$6:$I$326,MATCH(A243,Aktiv!$A$6:$A$326,0)),"")</f>
        <v>-</v>
      </c>
      <c r="J243" s="183" t="str">
        <f>IFERROR(INDEX(Aktiv!$J$6:$J$326,MATCH(A243,Aktiv!$A$6:$A$326,0)),"")</f>
        <v>-</v>
      </c>
      <c r="K243" s="184" t="str">
        <f>IFERROR(ROUND(G243*Steuerungsdaten!$B$5,0),"-")</f>
        <v>-</v>
      </c>
      <c r="L243" s="183" t="str">
        <f>IFERROR(ROUND(H243*Steuerungsdaten!$B$5,0),"-")</f>
        <v>-</v>
      </c>
      <c r="M243" s="183" t="str">
        <f>IFERROR(ROUND(I243*Steuerungsdaten!$B$5,0),"-")</f>
        <v>-</v>
      </c>
      <c r="N243" s="185" t="str">
        <f>IFERROR(ROUND(J243*Steuerungsdaten!$B$5,0),"-")</f>
        <v>-</v>
      </c>
      <c r="O243" s="179" t="s">
        <v>793</v>
      </c>
    </row>
    <row r="244" spans="1:15" ht="18" customHeight="1" x14ac:dyDescent="0.25">
      <c r="A244" s="135">
        <v>5400</v>
      </c>
      <c r="B244" s="136" t="s">
        <v>7</v>
      </c>
      <c r="C244" s="136" t="s">
        <v>278</v>
      </c>
      <c r="D244" s="136" t="s">
        <v>279</v>
      </c>
      <c r="E244" s="138">
        <v>420</v>
      </c>
      <c r="F244" s="138">
        <v>180</v>
      </c>
      <c r="G244" s="137">
        <f>IFERROR(INDEX(Aktiv!$G$6:$G$326,MATCH(A244,Aktiv!$A$6:$A$326,0)),"")</f>
        <v>299</v>
      </c>
      <c r="H244" s="137">
        <f>IFERROR(INDEX(Aktiv!$H$6:$H$326,MATCH(A244,Aktiv!$A$6:$A$326,0)),"")</f>
        <v>355</v>
      </c>
      <c r="I244" s="137">
        <f>IFERROR(INDEX(Aktiv!$I$6:$I$326,MATCH(A244,Aktiv!$A$6:$A$326,0)),"")</f>
        <v>386</v>
      </c>
      <c r="J244" s="137" t="str">
        <f>IFERROR(INDEX(Aktiv!$J$6:$J$326,MATCH(A244,Aktiv!$A$6:$A$326,0)),"")</f>
        <v>-</v>
      </c>
      <c r="K244" s="141">
        <f>IFERROR(ROUND(G244*Steuerungsdaten!$B$5,0),"-")</f>
        <v>344</v>
      </c>
      <c r="L244" s="137">
        <f>IFERROR(ROUND(H244*Steuerungsdaten!$B$5,0),"-")</f>
        <v>408</v>
      </c>
      <c r="M244" s="137">
        <f>IFERROR(ROUND(I244*Steuerungsdaten!$B$5,0),"-")</f>
        <v>444</v>
      </c>
      <c r="N244" s="137" t="str">
        <f>IFERROR(ROUND(J244*Steuerungsdaten!$B$5,0),"-")</f>
        <v>-</v>
      </c>
      <c r="O244" s="143" t="str">
        <f>IF(ISNA(MATCH(A244,Aktiv!$A$6:$A$326,0)),"⚠ nicht im Modell","")</f>
        <v/>
      </c>
    </row>
    <row r="245" spans="1:15" ht="18" customHeight="1" x14ac:dyDescent="0.25">
      <c r="A245" s="135">
        <v>5401</v>
      </c>
      <c r="B245" s="136" t="s">
        <v>7</v>
      </c>
      <c r="C245" s="136" t="s">
        <v>278</v>
      </c>
      <c r="D245" s="136" t="s">
        <v>280</v>
      </c>
      <c r="E245" s="138">
        <v>420</v>
      </c>
      <c r="F245" s="138">
        <v>360</v>
      </c>
      <c r="G245" s="161">
        <f>IFERROR(INDEX(Aktiv!$G$6:$G$326,MATCH(A245,Aktiv!$A$6:$A$326,0)),"")</f>
        <v>320</v>
      </c>
      <c r="H245" s="161">
        <f>IFERROR(INDEX(Aktiv!$H$6:$H$326,MATCH(A245,Aktiv!$A$6:$A$326,0)),"")</f>
        <v>381</v>
      </c>
      <c r="I245" s="161">
        <f>IFERROR(INDEX(Aktiv!$I$6:$I$326,MATCH(A245,Aktiv!$A$6:$A$326,0)),"")</f>
        <v>414</v>
      </c>
      <c r="J245" s="161" t="str">
        <f>IFERROR(INDEX(Aktiv!$J$6:$J$326,MATCH(A245,Aktiv!$A$6:$A$326,0)),"")</f>
        <v>-</v>
      </c>
      <c r="K245" s="162">
        <f>IFERROR(ROUND(G245*Steuerungsdaten!$B$5,0),"-")</f>
        <v>368</v>
      </c>
      <c r="L245" s="161">
        <f>IFERROR(ROUND(H245*Steuerungsdaten!$B$5,0),"-")</f>
        <v>438</v>
      </c>
      <c r="M245" s="161">
        <f>IFERROR(ROUND(I245*Steuerungsdaten!$B$5,0),"-")</f>
        <v>476</v>
      </c>
      <c r="N245" s="161" t="str">
        <f>IFERROR(ROUND(J245*Steuerungsdaten!$B$5,0),"-")</f>
        <v>-</v>
      </c>
      <c r="O245" s="143" t="str">
        <f>IF(ISNA(MATCH(A245,Aktiv!$A$6:$A$326,0)),"⚠ nicht im Modell","")</f>
        <v/>
      </c>
    </row>
    <row r="246" spans="1:15" ht="18" customHeight="1" x14ac:dyDescent="0.25">
      <c r="A246" s="135">
        <v>5402</v>
      </c>
      <c r="B246" s="136" t="s">
        <v>7</v>
      </c>
      <c r="C246" s="136" t="s">
        <v>278</v>
      </c>
      <c r="D246" s="136" t="s">
        <v>281</v>
      </c>
      <c r="E246" s="138">
        <v>580</v>
      </c>
      <c r="F246" s="138">
        <v>180</v>
      </c>
      <c r="G246" s="137">
        <f>IFERROR(INDEX(Aktiv!$G$6:$G$326,MATCH(A246,Aktiv!$A$6:$A$326,0)),"")</f>
        <v>309</v>
      </c>
      <c r="H246" s="137">
        <f>IFERROR(INDEX(Aktiv!$H$6:$H$326,MATCH(A246,Aktiv!$A$6:$A$326,0)),"")</f>
        <v>367</v>
      </c>
      <c r="I246" s="137">
        <f>IFERROR(INDEX(Aktiv!$I$6:$I$326,MATCH(A246,Aktiv!$A$6:$A$326,0)),"")</f>
        <v>399</v>
      </c>
      <c r="J246" s="137" t="str">
        <f>IFERROR(INDEX(Aktiv!$J$6:$J$326,MATCH(A246,Aktiv!$A$6:$A$326,0)),"")</f>
        <v>-</v>
      </c>
      <c r="K246" s="141">
        <f>IFERROR(ROUND(G246*Steuerungsdaten!$B$5,0),"-")</f>
        <v>355</v>
      </c>
      <c r="L246" s="137">
        <f>IFERROR(ROUND(H246*Steuerungsdaten!$B$5,0),"-")</f>
        <v>422</v>
      </c>
      <c r="M246" s="137">
        <f>IFERROR(ROUND(I246*Steuerungsdaten!$B$5,0),"-")</f>
        <v>459</v>
      </c>
      <c r="N246" s="137" t="str">
        <f>IFERROR(ROUND(J246*Steuerungsdaten!$B$5,0),"-")</f>
        <v>-</v>
      </c>
      <c r="O246" s="143" t="str">
        <f>IF(ISNA(MATCH(A246,Aktiv!$A$6:$A$326,0)),"⚠ nicht im Modell","")</f>
        <v/>
      </c>
    </row>
    <row r="247" spans="1:15" ht="18" customHeight="1" x14ac:dyDescent="0.25">
      <c r="A247" s="135">
        <v>5403</v>
      </c>
      <c r="B247" s="136" t="s">
        <v>7</v>
      </c>
      <c r="C247" s="136" t="s">
        <v>278</v>
      </c>
      <c r="D247" s="136" t="s">
        <v>282</v>
      </c>
      <c r="E247" s="138">
        <v>580</v>
      </c>
      <c r="F247" s="138">
        <v>360</v>
      </c>
      <c r="G247" s="161">
        <f>IFERROR(INDEX(Aktiv!$G$6:$G$326,MATCH(A247,Aktiv!$A$6:$A$326,0)),"")</f>
        <v>331</v>
      </c>
      <c r="H247" s="161">
        <f>IFERROR(INDEX(Aktiv!$H$6:$H$326,MATCH(A247,Aktiv!$A$6:$A$326,0)),"")</f>
        <v>393</v>
      </c>
      <c r="I247" s="161">
        <f>IFERROR(INDEX(Aktiv!$I$6:$I$326,MATCH(A247,Aktiv!$A$6:$A$326,0)),"")</f>
        <v>428</v>
      </c>
      <c r="J247" s="161" t="str">
        <f>IFERROR(INDEX(Aktiv!$J$6:$J$326,MATCH(A247,Aktiv!$A$6:$A$326,0)),"")</f>
        <v>-</v>
      </c>
      <c r="K247" s="162">
        <f>IFERROR(ROUND(G247*Steuerungsdaten!$B$5,0),"-")</f>
        <v>381</v>
      </c>
      <c r="L247" s="161">
        <f>IFERROR(ROUND(H247*Steuerungsdaten!$B$5,0),"-")</f>
        <v>452</v>
      </c>
      <c r="M247" s="161">
        <f>IFERROR(ROUND(I247*Steuerungsdaten!$B$5,0),"-")</f>
        <v>492</v>
      </c>
      <c r="N247" s="161" t="str">
        <f>IFERROR(ROUND(J247*Steuerungsdaten!$B$5,0),"-")</f>
        <v>-</v>
      </c>
      <c r="O247" s="143" t="str">
        <f>IF(ISNA(MATCH(A247,Aktiv!$A$6:$A$326,0)),"⚠ nicht im Modell","")</f>
        <v/>
      </c>
    </row>
    <row r="248" spans="1:15" ht="18" customHeight="1" x14ac:dyDescent="0.25">
      <c r="A248" s="135">
        <v>5404</v>
      </c>
      <c r="B248" s="136" t="s">
        <v>7</v>
      </c>
      <c r="C248" s="136" t="s">
        <v>278</v>
      </c>
      <c r="D248" s="136" t="s">
        <v>283</v>
      </c>
      <c r="E248" s="138">
        <v>780</v>
      </c>
      <c r="F248" s="138">
        <v>180</v>
      </c>
      <c r="G248" s="137">
        <f>IFERROR(INDEX(Aktiv!$G$6:$G$326,MATCH(A248,Aktiv!$A$6:$A$326,0)),"")</f>
        <v>318</v>
      </c>
      <c r="H248" s="137">
        <f>IFERROR(INDEX(Aktiv!$H$6:$H$326,MATCH(A248,Aktiv!$A$6:$A$326,0)),"")</f>
        <v>378</v>
      </c>
      <c r="I248" s="137">
        <f>IFERROR(INDEX(Aktiv!$I$6:$I$326,MATCH(A248,Aktiv!$A$6:$A$326,0)),"")</f>
        <v>411</v>
      </c>
      <c r="J248" s="137" t="str">
        <f>IFERROR(INDEX(Aktiv!$J$6:$J$326,MATCH(A248,Aktiv!$A$6:$A$326,0)),"")</f>
        <v>-</v>
      </c>
      <c r="K248" s="141">
        <f>IFERROR(ROUND(G248*Steuerungsdaten!$B$5,0),"-")</f>
        <v>366</v>
      </c>
      <c r="L248" s="137">
        <f>IFERROR(ROUND(H248*Steuerungsdaten!$B$5,0),"-")</f>
        <v>435</v>
      </c>
      <c r="M248" s="137">
        <f>IFERROR(ROUND(I248*Steuerungsdaten!$B$5,0),"-")</f>
        <v>473</v>
      </c>
      <c r="N248" s="137" t="str">
        <f>IFERROR(ROUND(J248*Steuerungsdaten!$B$5,0),"-")</f>
        <v>-</v>
      </c>
      <c r="O248" s="143" t="str">
        <f>IF(ISNA(MATCH(A248,Aktiv!$A$6:$A$326,0)),"⚠ nicht im Modell","")</f>
        <v/>
      </c>
    </row>
    <row r="249" spans="1:15" ht="18" customHeight="1" x14ac:dyDescent="0.25">
      <c r="A249" s="135">
        <v>5405</v>
      </c>
      <c r="B249" s="136" t="s">
        <v>7</v>
      </c>
      <c r="C249" s="136" t="s">
        <v>278</v>
      </c>
      <c r="D249" s="136" t="s">
        <v>284</v>
      </c>
      <c r="E249" s="138">
        <v>780</v>
      </c>
      <c r="F249" s="138">
        <v>360</v>
      </c>
      <c r="G249" s="161">
        <f>IFERROR(INDEX(Aktiv!$G$6:$G$326,MATCH(A249,Aktiv!$A$6:$A$326,0)),"")</f>
        <v>341</v>
      </c>
      <c r="H249" s="161">
        <f>IFERROR(INDEX(Aktiv!$H$6:$H$326,MATCH(A249,Aktiv!$A$6:$A$326,0)),"")</f>
        <v>405</v>
      </c>
      <c r="I249" s="161">
        <f>IFERROR(INDEX(Aktiv!$I$6:$I$326,MATCH(A249,Aktiv!$A$6:$A$326,0)),"")</f>
        <v>441</v>
      </c>
      <c r="J249" s="161" t="str">
        <f>IFERROR(INDEX(Aktiv!$J$6:$J$326,MATCH(A249,Aktiv!$A$6:$A$326,0)),"")</f>
        <v>-</v>
      </c>
      <c r="K249" s="162">
        <f>IFERROR(ROUND(G249*Steuerungsdaten!$B$5,0),"-")</f>
        <v>392</v>
      </c>
      <c r="L249" s="161">
        <f>IFERROR(ROUND(H249*Steuerungsdaten!$B$5,0),"-")</f>
        <v>466</v>
      </c>
      <c r="M249" s="161">
        <f>IFERROR(ROUND(I249*Steuerungsdaten!$B$5,0),"-")</f>
        <v>507</v>
      </c>
      <c r="N249" s="161" t="str">
        <f>IFERROR(ROUND(J249*Steuerungsdaten!$B$5,0),"-")</f>
        <v>-</v>
      </c>
      <c r="O249" s="143" t="str">
        <f>IF(ISNA(MATCH(A249,Aktiv!$A$6:$A$326,0)),"⚠ nicht im Modell","")</f>
        <v/>
      </c>
    </row>
    <row r="250" spans="1:15" ht="18" customHeight="1" x14ac:dyDescent="0.25">
      <c r="A250" s="135">
        <v>5406</v>
      </c>
      <c r="B250" s="136" t="s">
        <v>7</v>
      </c>
      <c r="C250" s="136" t="s">
        <v>278</v>
      </c>
      <c r="D250" s="136" t="s">
        <v>285</v>
      </c>
      <c r="E250" s="138">
        <v>980</v>
      </c>
      <c r="F250" s="138">
        <v>180</v>
      </c>
      <c r="G250" s="137">
        <f>IFERROR(INDEX(Aktiv!$G$6:$G$326,MATCH(A250,Aktiv!$A$6:$A$326,0)),"")</f>
        <v>325</v>
      </c>
      <c r="H250" s="137">
        <f>IFERROR(INDEX(Aktiv!$H$6:$H$326,MATCH(A250,Aktiv!$A$6:$A$326,0)),"")</f>
        <v>386</v>
      </c>
      <c r="I250" s="137">
        <f>IFERROR(INDEX(Aktiv!$I$6:$I$326,MATCH(A250,Aktiv!$A$6:$A$326,0)),"")</f>
        <v>421</v>
      </c>
      <c r="J250" s="137" t="str">
        <f>IFERROR(INDEX(Aktiv!$J$6:$J$326,MATCH(A250,Aktiv!$A$6:$A$326,0)),"")</f>
        <v>-</v>
      </c>
      <c r="K250" s="141">
        <f>IFERROR(ROUND(G250*Steuerungsdaten!$B$5,0),"-")</f>
        <v>374</v>
      </c>
      <c r="L250" s="137">
        <f>IFERROR(ROUND(H250*Steuerungsdaten!$B$5,0),"-")</f>
        <v>444</v>
      </c>
      <c r="M250" s="137">
        <f>IFERROR(ROUND(I250*Steuerungsdaten!$B$5,0),"-")</f>
        <v>484</v>
      </c>
      <c r="N250" s="137" t="str">
        <f>IFERROR(ROUND(J250*Steuerungsdaten!$B$5,0),"-")</f>
        <v>-</v>
      </c>
      <c r="O250" s="143" t="str">
        <f>IF(ISNA(MATCH(A250,Aktiv!$A$6:$A$326,0)),"⚠ nicht im Modell","")</f>
        <v/>
      </c>
    </row>
    <row r="251" spans="1:15" ht="18" customHeight="1" x14ac:dyDescent="0.25">
      <c r="A251" s="135">
        <v>5407</v>
      </c>
      <c r="B251" s="136" t="s">
        <v>7</v>
      </c>
      <c r="C251" s="136" t="s">
        <v>278</v>
      </c>
      <c r="D251" s="136" t="s">
        <v>286</v>
      </c>
      <c r="E251" s="138">
        <v>980</v>
      </c>
      <c r="F251" s="138">
        <v>360</v>
      </c>
      <c r="G251" s="161">
        <f>IFERROR(INDEX(Aktiv!$G$6:$G$326,MATCH(A251,Aktiv!$A$6:$A$326,0)),"")</f>
        <v>349</v>
      </c>
      <c r="H251" s="161">
        <f>IFERROR(INDEX(Aktiv!$H$6:$H$326,MATCH(A251,Aktiv!$A$6:$A$326,0)),"")</f>
        <v>414</v>
      </c>
      <c r="I251" s="161">
        <f>IFERROR(INDEX(Aktiv!$I$6:$I$326,MATCH(A251,Aktiv!$A$6:$A$326,0)),"")</f>
        <v>451</v>
      </c>
      <c r="J251" s="161" t="str">
        <f>IFERROR(INDEX(Aktiv!$J$6:$J$326,MATCH(A251,Aktiv!$A$6:$A$326,0)),"")</f>
        <v>-</v>
      </c>
      <c r="K251" s="162">
        <f>IFERROR(ROUND(G251*Steuerungsdaten!$B$5,0),"-")</f>
        <v>401</v>
      </c>
      <c r="L251" s="161">
        <f>IFERROR(ROUND(H251*Steuerungsdaten!$B$5,0),"-")</f>
        <v>476</v>
      </c>
      <c r="M251" s="161">
        <f>IFERROR(ROUND(I251*Steuerungsdaten!$B$5,0),"-")</f>
        <v>519</v>
      </c>
      <c r="N251" s="161" t="str">
        <f>IFERROR(ROUND(J251*Steuerungsdaten!$B$5,0),"-")</f>
        <v>-</v>
      </c>
      <c r="O251" s="143" t="str">
        <f>IF(ISNA(MATCH(A251,Aktiv!$A$6:$A$326,0)),"⚠ nicht im Modell","")</f>
        <v/>
      </c>
    </row>
    <row r="252" spans="1:15" ht="18" customHeight="1" x14ac:dyDescent="0.25">
      <c r="A252" s="135">
        <v>5500</v>
      </c>
      <c r="B252" s="136" t="s">
        <v>7</v>
      </c>
      <c r="C252" s="136" t="s">
        <v>287</v>
      </c>
      <c r="D252" s="136" t="s">
        <v>288</v>
      </c>
      <c r="E252" s="138">
        <v>420</v>
      </c>
      <c r="F252" s="138">
        <v>180</v>
      </c>
      <c r="G252" s="137">
        <f>IFERROR(INDEX(Aktiv!$G$6:$G$326,MATCH(A252,Aktiv!$A$6:$A$326,0)),"")</f>
        <v>299</v>
      </c>
      <c r="H252" s="137">
        <f>IFERROR(INDEX(Aktiv!$H$6:$H$326,MATCH(A252,Aktiv!$A$6:$A$326,0)),"")</f>
        <v>355</v>
      </c>
      <c r="I252" s="137">
        <f>IFERROR(INDEX(Aktiv!$I$6:$I$326,MATCH(A252,Aktiv!$A$6:$A$326,0)),"")</f>
        <v>386</v>
      </c>
      <c r="J252" s="137" t="str">
        <f>IFERROR(INDEX(Aktiv!$J$6:$J$326,MATCH(A252,Aktiv!$A$6:$A$326,0)),"")</f>
        <v>-</v>
      </c>
      <c r="K252" s="141">
        <f>IFERROR(ROUND(G252*Steuerungsdaten!$B$5,0),"-")</f>
        <v>344</v>
      </c>
      <c r="L252" s="137">
        <f>IFERROR(ROUND(H252*Steuerungsdaten!$B$5,0),"-")</f>
        <v>408</v>
      </c>
      <c r="M252" s="137">
        <f>IFERROR(ROUND(I252*Steuerungsdaten!$B$5,0),"-")</f>
        <v>444</v>
      </c>
      <c r="N252" s="137" t="str">
        <f>IFERROR(ROUND(J252*Steuerungsdaten!$B$5,0),"-")</f>
        <v>-</v>
      </c>
      <c r="O252" s="143" t="str">
        <f>IF(ISNA(MATCH(A252,Aktiv!$A$6:$A$326,0)),"⚠ nicht im Modell","")</f>
        <v/>
      </c>
    </row>
    <row r="253" spans="1:15" ht="18" customHeight="1" x14ac:dyDescent="0.25">
      <c r="A253" s="135">
        <v>5501</v>
      </c>
      <c r="B253" s="136" t="s">
        <v>7</v>
      </c>
      <c r="C253" s="136" t="s">
        <v>287</v>
      </c>
      <c r="D253" s="136" t="s">
        <v>289</v>
      </c>
      <c r="E253" s="138">
        <v>420</v>
      </c>
      <c r="F253" s="138">
        <v>360</v>
      </c>
      <c r="G253" s="161">
        <f>IFERROR(INDEX(Aktiv!$G$6:$G$326,MATCH(A253,Aktiv!$A$6:$A$326,0)),"")</f>
        <v>320</v>
      </c>
      <c r="H253" s="161">
        <f>IFERROR(INDEX(Aktiv!$H$6:$H$326,MATCH(A253,Aktiv!$A$6:$A$326,0)),"")</f>
        <v>381</v>
      </c>
      <c r="I253" s="161">
        <f>IFERROR(INDEX(Aktiv!$I$6:$I$326,MATCH(A253,Aktiv!$A$6:$A$326,0)),"")</f>
        <v>414</v>
      </c>
      <c r="J253" s="161" t="str">
        <f>IFERROR(INDEX(Aktiv!$J$6:$J$326,MATCH(A253,Aktiv!$A$6:$A$326,0)),"")</f>
        <v>-</v>
      </c>
      <c r="K253" s="162">
        <f>IFERROR(ROUND(G253*Steuerungsdaten!$B$5,0),"-")</f>
        <v>368</v>
      </c>
      <c r="L253" s="161">
        <f>IFERROR(ROUND(H253*Steuerungsdaten!$B$5,0),"-")</f>
        <v>438</v>
      </c>
      <c r="M253" s="161">
        <f>IFERROR(ROUND(I253*Steuerungsdaten!$B$5,0),"-")</f>
        <v>476</v>
      </c>
      <c r="N253" s="161" t="str">
        <f>IFERROR(ROUND(J253*Steuerungsdaten!$B$5,0),"-")</f>
        <v>-</v>
      </c>
      <c r="O253" s="143" t="str">
        <f>IF(ISNA(MATCH(A253,Aktiv!$A$6:$A$326,0)),"⚠ nicht im Modell","")</f>
        <v/>
      </c>
    </row>
    <row r="254" spans="1:15" ht="18" customHeight="1" x14ac:dyDescent="0.25">
      <c r="A254" s="135">
        <v>5502</v>
      </c>
      <c r="B254" s="136" t="s">
        <v>7</v>
      </c>
      <c r="C254" s="136" t="s">
        <v>287</v>
      </c>
      <c r="D254" s="136" t="s">
        <v>290</v>
      </c>
      <c r="E254" s="138">
        <v>580</v>
      </c>
      <c r="F254" s="138">
        <v>180</v>
      </c>
      <c r="G254" s="137">
        <f>IFERROR(INDEX(Aktiv!$G$6:$G$326,MATCH(A254,Aktiv!$A$6:$A$326,0)),"")</f>
        <v>309</v>
      </c>
      <c r="H254" s="137">
        <f>IFERROR(INDEX(Aktiv!$H$6:$H$326,MATCH(A254,Aktiv!$A$6:$A$326,0)),"")</f>
        <v>367</v>
      </c>
      <c r="I254" s="137">
        <f>IFERROR(INDEX(Aktiv!$I$6:$I$326,MATCH(A254,Aktiv!$A$6:$A$326,0)),"")</f>
        <v>399</v>
      </c>
      <c r="J254" s="137" t="str">
        <f>IFERROR(INDEX(Aktiv!$J$6:$J$326,MATCH(A254,Aktiv!$A$6:$A$326,0)),"")</f>
        <v>-</v>
      </c>
      <c r="K254" s="141">
        <f>IFERROR(ROUND(G254*Steuerungsdaten!$B$5,0),"-")</f>
        <v>355</v>
      </c>
      <c r="L254" s="137">
        <f>IFERROR(ROUND(H254*Steuerungsdaten!$B$5,0),"-")</f>
        <v>422</v>
      </c>
      <c r="M254" s="137">
        <f>IFERROR(ROUND(I254*Steuerungsdaten!$B$5,0),"-")</f>
        <v>459</v>
      </c>
      <c r="N254" s="137" t="str">
        <f>IFERROR(ROUND(J254*Steuerungsdaten!$B$5,0),"-")</f>
        <v>-</v>
      </c>
      <c r="O254" s="143" t="str">
        <f>IF(ISNA(MATCH(A254,Aktiv!$A$6:$A$326,0)),"⚠ nicht im Modell","")</f>
        <v/>
      </c>
    </row>
    <row r="255" spans="1:15" ht="18" customHeight="1" x14ac:dyDescent="0.25">
      <c r="A255" s="135">
        <v>5503</v>
      </c>
      <c r="B255" s="136" t="s">
        <v>7</v>
      </c>
      <c r="C255" s="136" t="s">
        <v>287</v>
      </c>
      <c r="D255" s="136" t="s">
        <v>291</v>
      </c>
      <c r="E255" s="138">
        <v>580</v>
      </c>
      <c r="F255" s="138">
        <v>360</v>
      </c>
      <c r="G255" s="161">
        <f>IFERROR(INDEX(Aktiv!$G$6:$G$326,MATCH(A255,Aktiv!$A$6:$A$326,0)),"")</f>
        <v>331</v>
      </c>
      <c r="H255" s="161">
        <f>IFERROR(INDEX(Aktiv!$H$6:$H$326,MATCH(A255,Aktiv!$A$6:$A$326,0)),"")</f>
        <v>393</v>
      </c>
      <c r="I255" s="161">
        <f>IFERROR(INDEX(Aktiv!$I$6:$I$326,MATCH(A255,Aktiv!$A$6:$A$326,0)),"")</f>
        <v>428</v>
      </c>
      <c r="J255" s="161" t="str">
        <f>IFERROR(INDEX(Aktiv!$J$6:$J$326,MATCH(A255,Aktiv!$A$6:$A$326,0)),"")</f>
        <v>-</v>
      </c>
      <c r="K255" s="162">
        <f>IFERROR(ROUND(G255*Steuerungsdaten!$B$5,0),"-")</f>
        <v>381</v>
      </c>
      <c r="L255" s="161">
        <f>IFERROR(ROUND(H255*Steuerungsdaten!$B$5,0),"-")</f>
        <v>452</v>
      </c>
      <c r="M255" s="161">
        <f>IFERROR(ROUND(I255*Steuerungsdaten!$B$5,0),"-")</f>
        <v>492</v>
      </c>
      <c r="N255" s="161" t="str">
        <f>IFERROR(ROUND(J255*Steuerungsdaten!$B$5,0),"-")</f>
        <v>-</v>
      </c>
      <c r="O255" s="143" t="str">
        <f>IF(ISNA(MATCH(A255,Aktiv!$A$6:$A$326,0)),"⚠ nicht im Modell","")</f>
        <v/>
      </c>
    </row>
    <row r="256" spans="1:15" ht="18" customHeight="1" x14ac:dyDescent="0.25">
      <c r="A256" s="135">
        <v>5504</v>
      </c>
      <c r="B256" s="136" t="s">
        <v>7</v>
      </c>
      <c r="C256" s="136" t="s">
        <v>287</v>
      </c>
      <c r="D256" s="136" t="s">
        <v>292</v>
      </c>
      <c r="E256" s="138">
        <v>780</v>
      </c>
      <c r="F256" s="138">
        <v>180</v>
      </c>
      <c r="G256" s="137">
        <f>IFERROR(INDEX(Aktiv!$G$6:$G$326,MATCH(A256,Aktiv!$A$6:$A$326,0)),"")</f>
        <v>318</v>
      </c>
      <c r="H256" s="137">
        <f>IFERROR(INDEX(Aktiv!$H$6:$H$326,MATCH(A256,Aktiv!$A$6:$A$326,0)),"")</f>
        <v>378</v>
      </c>
      <c r="I256" s="137">
        <f>IFERROR(INDEX(Aktiv!$I$6:$I$326,MATCH(A256,Aktiv!$A$6:$A$326,0)),"")</f>
        <v>411</v>
      </c>
      <c r="J256" s="137" t="str">
        <f>IFERROR(INDEX(Aktiv!$J$6:$J$326,MATCH(A256,Aktiv!$A$6:$A$326,0)),"")</f>
        <v>-</v>
      </c>
      <c r="K256" s="141">
        <f>IFERROR(ROUND(G256*Steuerungsdaten!$B$5,0),"-")</f>
        <v>366</v>
      </c>
      <c r="L256" s="137">
        <f>IFERROR(ROUND(H256*Steuerungsdaten!$B$5,0),"-")</f>
        <v>435</v>
      </c>
      <c r="M256" s="137">
        <f>IFERROR(ROUND(I256*Steuerungsdaten!$B$5,0),"-")</f>
        <v>473</v>
      </c>
      <c r="N256" s="137" t="str">
        <f>IFERROR(ROUND(J256*Steuerungsdaten!$B$5,0),"-")</f>
        <v>-</v>
      </c>
      <c r="O256" s="143" t="str">
        <f>IF(ISNA(MATCH(A256,Aktiv!$A$6:$A$326,0)),"⚠ nicht im Modell","")</f>
        <v/>
      </c>
    </row>
    <row r="257" spans="1:15" ht="18" customHeight="1" x14ac:dyDescent="0.25">
      <c r="A257" s="135">
        <v>5505</v>
      </c>
      <c r="B257" s="136" t="s">
        <v>7</v>
      </c>
      <c r="C257" s="136" t="s">
        <v>287</v>
      </c>
      <c r="D257" s="136" t="s">
        <v>293</v>
      </c>
      <c r="E257" s="138">
        <v>780</v>
      </c>
      <c r="F257" s="138">
        <v>360</v>
      </c>
      <c r="G257" s="161">
        <f>IFERROR(INDEX(Aktiv!$G$6:$G$326,MATCH(A257,Aktiv!$A$6:$A$326,0)),"")</f>
        <v>341</v>
      </c>
      <c r="H257" s="161">
        <f>IFERROR(INDEX(Aktiv!$H$6:$H$326,MATCH(A257,Aktiv!$A$6:$A$326,0)),"")</f>
        <v>405</v>
      </c>
      <c r="I257" s="161">
        <f>IFERROR(INDEX(Aktiv!$I$6:$I$326,MATCH(A257,Aktiv!$A$6:$A$326,0)),"")</f>
        <v>441</v>
      </c>
      <c r="J257" s="161" t="str">
        <f>IFERROR(INDEX(Aktiv!$J$6:$J$326,MATCH(A257,Aktiv!$A$6:$A$326,0)),"")</f>
        <v>-</v>
      </c>
      <c r="K257" s="162">
        <f>IFERROR(ROUND(G257*Steuerungsdaten!$B$5,0),"-")</f>
        <v>392</v>
      </c>
      <c r="L257" s="161">
        <f>IFERROR(ROUND(H257*Steuerungsdaten!$B$5,0),"-")</f>
        <v>466</v>
      </c>
      <c r="M257" s="161">
        <f>IFERROR(ROUND(I257*Steuerungsdaten!$B$5,0),"-")</f>
        <v>507</v>
      </c>
      <c r="N257" s="161" t="str">
        <f>IFERROR(ROUND(J257*Steuerungsdaten!$B$5,0),"-")</f>
        <v>-</v>
      </c>
      <c r="O257" s="143" t="str">
        <f>IF(ISNA(MATCH(A257,Aktiv!$A$6:$A$326,0)),"⚠ nicht im Modell","")</f>
        <v/>
      </c>
    </row>
    <row r="258" spans="1:15" ht="18" customHeight="1" x14ac:dyDescent="0.25">
      <c r="A258" s="135">
        <v>5506</v>
      </c>
      <c r="B258" s="136" t="s">
        <v>7</v>
      </c>
      <c r="C258" s="136" t="s">
        <v>287</v>
      </c>
      <c r="D258" s="136" t="s">
        <v>294</v>
      </c>
      <c r="E258" s="138">
        <v>980</v>
      </c>
      <c r="F258" s="138">
        <v>180</v>
      </c>
      <c r="G258" s="137">
        <f>IFERROR(INDEX(Aktiv!$G$6:$G$326,MATCH(A258,Aktiv!$A$6:$A$326,0)),"")</f>
        <v>325</v>
      </c>
      <c r="H258" s="137">
        <f>IFERROR(INDEX(Aktiv!$H$6:$H$326,MATCH(A258,Aktiv!$A$6:$A$326,0)),"")</f>
        <v>386</v>
      </c>
      <c r="I258" s="137">
        <f>IFERROR(INDEX(Aktiv!$I$6:$I$326,MATCH(A258,Aktiv!$A$6:$A$326,0)),"")</f>
        <v>421</v>
      </c>
      <c r="J258" s="137" t="str">
        <f>IFERROR(INDEX(Aktiv!$J$6:$J$326,MATCH(A258,Aktiv!$A$6:$A$326,0)),"")</f>
        <v>-</v>
      </c>
      <c r="K258" s="141">
        <f>IFERROR(ROUND(G258*Steuerungsdaten!$B$5,0),"-")</f>
        <v>374</v>
      </c>
      <c r="L258" s="137">
        <f>IFERROR(ROUND(H258*Steuerungsdaten!$B$5,0),"-")</f>
        <v>444</v>
      </c>
      <c r="M258" s="137">
        <f>IFERROR(ROUND(I258*Steuerungsdaten!$B$5,0),"-")</f>
        <v>484</v>
      </c>
      <c r="N258" s="137" t="str">
        <f>IFERROR(ROUND(J258*Steuerungsdaten!$B$5,0),"-")</f>
        <v>-</v>
      </c>
      <c r="O258" s="143" t="str">
        <f>IF(ISNA(MATCH(A258,Aktiv!$A$6:$A$326,0)),"⚠ nicht im Modell","")</f>
        <v/>
      </c>
    </row>
    <row r="259" spans="1:15" ht="18" customHeight="1" x14ac:dyDescent="0.25">
      <c r="A259" s="135">
        <v>5507</v>
      </c>
      <c r="B259" s="136" t="s">
        <v>7</v>
      </c>
      <c r="C259" s="136" t="s">
        <v>287</v>
      </c>
      <c r="D259" s="136" t="s">
        <v>295</v>
      </c>
      <c r="E259" s="138">
        <v>980</v>
      </c>
      <c r="F259" s="138">
        <v>360</v>
      </c>
      <c r="G259" s="161">
        <f>IFERROR(INDEX(Aktiv!$G$6:$G$326,MATCH(A259,Aktiv!$A$6:$A$326,0)),"")</f>
        <v>349</v>
      </c>
      <c r="H259" s="161">
        <f>IFERROR(INDEX(Aktiv!$H$6:$H$326,MATCH(A259,Aktiv!$A$6:$A$326,0)),"")</f>
        <v>414</v>
      </c>
      <c r="I259" s="161">
        <f>IFERROR(INDEX(Aktiv!$I$6:$I$326,MATCH(A259,Aktiv!$A$6:$A$326,0)),"")</f>
        <v>451</v>
      </c>
      <c r="J259" s="161" t="str">
        <f>IFERROR(INDEX(Aktiv!$J$6:$J$326,MATCH(A259,Aktiv!$A$6:$A$326,0)),"")</f>
        <v>-</v>
      </c>
      <c r="K259" s="162">
        <f>IFERROR(ROUND(G259*Steuerungsdaten!$B$5,0),"-")</f>
        <v>401</v>
      </c>
      <c r="L259" s="161">
        <f>IFERROR(ROUND(H259*Steuerungsdaten!$B$5,0),"-")</f>
        <v>476</v>
      </c>
      <c r="M259" s="161">
        <f>IFERROR(ROUND(I259*Steuerungsdaten!$B$5,0),"-")</f>
        <v>519</v>
      </c>
      <c r="N259" s="161" t="str">
        <f>IFERROR(ROUND(J259*Steuerungsdaten!$B$5,0),"-")</f>
        <v>-</v>
      </c>
      <c r="O259" s="143" t="str">
        <f>IF(ISNA(MATCH(A259,Aktiv!$A$6:$A$326,0)),"⚠ nicht im Modell","")</f>
        <v/>
      </c>
    </row>
    <row r="260" spans="1:15" ht="18" customHeight="1" x14ac:dyDescent="0.25">
      <c r="A260" s="135">
        <v>1000</v>
      </c>
      <c r="B260" s="136" t="s">
        <v>296</v>
      </c>
      <c r="C260" s="136" t="s">
        <v>390</v>
      </c>
      <c r="D260" s="136" t="s">
        <v>297</v>
      </c>
      <c r="E260" s="138"/>
      <c r="F260" s="138"/>
      <c r="G260" s="137">
        <f>IFERROR(INDEX(Aktiv!$G$6:$G$326,MATCH(A260,Aktiv!$A$6:$A$326,0)),"")</f>
        <v>6</v>
      </c>
      <c r="H260" s="137">
        <f>IFERROR(INDEX(Aktiv!$H$6:$H$326,MATCH(A260,Aktiv!$A$6:$A$326,0)),"")</f>
        <v>6</v>
      </c>
      <c r="I260" s="137">
        <f>IFERROR(INDEX(Aktiv!$I$6:$I$326,MATCH(A260,Aktiv!$A$6:$A$326,0)),"")</f>
        <v>6</v>
      </c>
      <c r="J260" s="137">
        <f>IFERROR(INDEX(Aktiv!$J$6:$J$326,MATCH(A260,Aktiv!$A$6:$A$326,0)),"")</f>
        <v>6</v>
      </c>
      <c r="K260" s="141">
        <f>IFERROR(ROUND(G260*Steuerungsdaten!$B$5,0),"-")</f>
        <v>7</v>
      </c>
      <c r="L260" s="137">
        <f>IFERROR(ROUND(H260*Steuerungsdaten!$B$5,0),"-")</f>
        <v>7</v>
      </c>
      <c r="M260" s="137">
        <f>IFERROR(ROUND(I260*Steuerungsdaten!$B$5,0),"-")</f>
        <v>7</v>
      </c>
      <c r="N260" s="137">
        <f>IFERROR(ROUND(J260*Steuerungsdaten!$B$5,0),"-")</f>
        <v>7</v>
      </c>
      <c r="O260" s="143" t="str">
        <f>IF(ISNA(MATCH(A260,Aktiv!$A$6:$A$326,0)),"⚠ nicht im Modell","")</f>
        <v/>
      </c>
    </row>
    <row r="261" spans="1:15" ht="18" customHeight="1" x14ac:dyDescent="0.25">
      <c r="A261" s="135">
        <v>1001</v>
      </c>
      <c r="B261" s="136" t="s">
        <v>296</v>
      </c>
      <c r="C261" s="136" t="s">
        <v>390</v>
      </c>
      <c r="D261" s="136" t="s">
        <v>782</v>
      </c>
      <c r="E261" s="138"/>
      <c r="F261" s="138"/>
      <c r="G261" s="137">
        <f>IFERROR(INDEX(Aktiv!$G$6:$G$326,MATCH(A261,Aktiv!$A$6:$A$326,0)),"")</f>
        <v>6</v>
      </c>
      <c r="H261" s="137">
        <f>IFERROR(INDEX(Aktiv!$H$6:$H$326,MATCH(A261,Aktiv!$A$6:$A$326,0)),"")</f>
        <v>6</v>
      </c>
      <c r="I261" s="137">
        <f>IFERROR(INDEX(Aktiv!$I$6:$I$326,MATCH(A261,Aktiv!$A$6:$A$326,0)),"")</f>
        <v>6</v>
      </c>
      <c r="J261" s="137">
        <f>IFERROR(INDEX(Aktiv!$J$6:$J$326,MATCH(A261,Aktiv!$A$6:$A$326,0)),"")</f>
        <v>6</v>
      </c>
      <c r="K261" s="141">
        <f>IFERROR(ROUND(G261*Steuerungsdaten!$B$5,0),"-")</f>
        <v>7</v>
      </c>
      <c r="L261" s="137">
        <f>IFERROR(ROUND(H261*Steuerungsdaten!$B$5,0),"-")</f>
        <v>7</v>
      </c>
      <c r="M261" s="137">
        <f>IFERROR(ROUND(I261*Steuerungsdaten!$B$5,0),"-")</f>
        <v>7</v>
      </c>
      <c r="N261" s="137">
        <f>IFERROR(ROUND(J261*Steuerungsdaten!$B$5,0),"-")</f>
        <v>7</v>
      </c>
      <c r="O261" s="143" t="str">
        <f>IF(ISNA(MATCH(A261,Aktiv!$A$6:$A$326,0)),"⚠ nicht im Modell","")</f>
        <v/>
      </c>
    </row>
    <row r="262" spans="1:15" ht="18" customHeight="1" x14ac:dyDescent="0.25">
      <c r="A262" s="135">
        <v>1002</v>
      </c>
      <c r="B262" s="136" t="s">
        <v>296</v>
      </c>
      <c r="C262" s="136" t="s">
        <v>390</v>
      </c>
      <c r="D262" s="136" t="s">
        <v>783</v>
      </c>
      <c r="E262" s="138"/>
      <c r="F262" s="138"/>
      <c r="G262" s="137">
        <f>IFERROR(INDEX(Aktiv!$G$6:$G$326,MATCH(A262,Aktiv!$A$6:$A$326,0)),"")</f>
        <v>6</v>
      </c>
      <c r="H262" s="137">
        <f>IFERROR(INDEX(Aktiv!$H$6:$H$326,MATCH(A262,Aktiv!$A$6:$A$326,0)),"")</f>
        <v>6</v>
      </c>
      <c r="I262" s="137">
        <f>IFERROR(INDEX(Aktiv!$I$6:$I$326,MATCH(A262,Aktiv!$A$6:$A$326,0)),"")</f>
        <v>6</v>
      </c>
      <c r="J262" s="137">
        <f>IFERROR(INDEX(Aktiv!$J$6:$J$326,MATCH(A262,Aktiv!$A$6:$A$326,0)),"")</f>
        <v>6</v>
      </c>
      <c r="K262" s="141">
        <f>IFERROR(ROUND(G262*Steuerungsdaten!$B$5,0),"-")</f>
        <v>7</v>
      </c>
      <c r="L262" s="137">
        <f>IFERROR(ROUND(H262*Steuerungsdaten!$B$5,0),"-")</f>
        <v>7</v>
      </c>
      <c r="M262" s="137">
        <f>IFERROR(ROUND(I262*Steuerungsdaten!$B$5,0),"-")</f>
        <v>7</v>
      </c>
      <c r="N262" s="137">
        <f>IFERROR(ROUND(J262*Steuerungsdaten!$B$5,0),"-")</f>
        <v>7</v>
      </c>
      <c r="O262" s="143" t="str">
        <f>IF(ISNA(MATCH(A262,Aktiv!$A$6:$A$326,0)),"⚠ nicht im Modell","")</f>
        <v/>
      </c>
    </row>
    <row r="263" spans="1:15" ht="18" customHeight="1" x14ac:dyDescent="0.25">
      <c r="A263" s="135">
        <v>1100</v>
      </c>
      <c r="B263" s="136" t="s">
        <v>296</v>
      </c>
      <c r="C263" s="136" t="s">
        <v>390</v>
      </c>
      <c r="D263" s="136" t="s">
        <v>298</v>
      </c>
      <c r="E263" s="138"/>
      <c r="F263" s="138"/>
      <c r="G263" s="137">
        <f>IFERROR(INDEX(Aktiv!$G$6:$G$326,MATCH(A263,Aktiv!$A$6:$A$326,0)),"")</f>
        <v>6</v>
      </c>
      <c r="H263" s="137">
        <f>IFERROR(INDEX(Aktiv!$H$6:$H$326,MATCH(A263,Aktiv!$A$6:$A$326,0)),"")</f>
        <v>6</v>
      </c>
      <c r="I263" s="137">
        <f>IFERROR(INDEX(Aktiv!$I$6:$I$326,MATCH(A263,Aktiv!$A$6:$A$326,0)),"")</f>
        <v>6</v>
      </c>
      <c r="J263" s="137">
        <f>IFERROR(INDEX(Aktiv!$J$6:$J$326,MATCH(A263,Aktiv!$A$6:$A$326,0)),"")</f>
        <v>6</v>
      </c>
      <c r="K263" s="141">
        <f>IFERROR(ROUND(G263*Steuerungsdaten!$B$5,0),"-")</f>
        <v>7</v>
      </c>
      <c r="L263" s="137">
        <f>IFERROR(ROUND(H263*Steuerungsdaten!$B$5,0),"-")</f>
        <v>7</v>
      </c>
      <c r="M263" s="137">
        <f>IFERROR(ROUND(I263*Steuerungsdaten!$B$5,0),"-")</f>
        <v>7</v>
      </c>
      <c r="N263" s="137">
        <f>IFERROR(ROUND(J263*Steuerungsdaten!$B$5,0),"-")</f>
        <v>7</v>
      </c>
      <c r="O263" s="143" t="str">
        <f>IF(ISNA(MATCH(A263,Aktiv!$A$6:$A$326,0)),"⚠ nicht im Modell","")</f>
        <v/>
      </c>
    </row>
    <row r="264" spans="1:15" ht="18" customHeight="1" x14ac:dyDescent="0.25">
      <c r="A264" s="135">
        <v>1101</v>
      </c>
      <c r="B264" s="136" t="s">
        <v>296</v>
      </c>
      <c r="C264" s="136" t="s">
        <v>390</v>
      </c>
      <c r="D264" s="136" t="s">
        <v>784</v>
      </c>
      <c r="E264" s="138"/>
      <c r="F264" s="138"/>
      <c r="G264" s="137">
        <f>IFERROR(INDEX(Aktiv!$G$6:$G$326,MATCH(A264,Aktiv!$A$6:$A$326,0)),"")</f>
        <v>6</v>
      </c>
      <c r="H264" s="137">
        <f>IFERROR(INDEX(Aktiv!$H$6:$H$326,MATCH(A264,Aktiv!$A$6:$A$326,0)),"")</f>
        <v>6</v>
      </c>
      <c r="I264" s="137">
        <f>IFERROR(INDEX(Aktiv!$I$6:$I$326,MATCH(A264,Aktiv!$A$6:$A$326,0)),"")</f>
        <v>6</v>
      </c>
      <c r="J264" s="137">
        <f>IFERROR(INDEX(Aktiv!$J$6:$J$326,MATCH(A264,Aktiv!$A$6:$A$326,0)),"")</f>
        <v>6</v>
      </c>
      <c r="K264" s="141">
        <f>IFERROR(ROUND(G264*Steuerungsdaten!$B$5,0),"-")</f>
        <v>7</v>
      </c>
      <c r="L264" s="137">
        <f>IFERROR(ROUND(H264*Steuerungsdaten!$B$5,0),"-")</f>
        <v>7</v>
      </c>
      <c r="M264" s="137">
        <f>IFERROR(ROUND(I264*Steuerungsdaten!$B$5,0),"-")</f>
        <v>7</v>
      </c>
      <c r="N264" s="137">
        <f>IFERROR(ROUND(J264*Steuerungsdaten!$B$5,0),"-")</f>
        <v>7</v>
      </c>
      <c r="O264" s="143" t="str">
        <f>IF(ISNA(MATCH(A264,Aktiv!$A$6:$A$326,0)),"⚠ nicht im Modell","")</f>
        <v/>
      </c>
    </row>
    <row r="265" spans="1:15" ht="18" customHeight="1" x14ac:dyDescent="0.25">
      <c r="A265" s="135">
        <v>1102</v>
      </c>
      <c r="B265" s="136" t="s">
        <v>296</v>
      </c>
      <c r="C265" s="136" t="s">
        <v>390</v>
      </c>
      <c r="D265" s="136" t="s">
        <v>785</v>
      </c>
      <c r="E265" s="138"/>
      <c r="F265" s="138"/>
      <c r="G265" s="137">
        <f>IFERROR(INDEX(Aktiv!$G$6:$G$326,MATCH(A265,Aktiv!$A$6:$A$326,0)),"")</f>
        <v>6</v>
      </c>
      <c r="H265" s="137">
        <f>IFERROR(INDEX(Aktiv!$H$6:$H$326,MATCH(A265,Aktiv!$A$6:$A$326,0)),"")</f>
        <v>6</v>
      </c>
      <c r="I265" s="137">
        <f>IFERROR(INDEX(Aktiv!$I$6:$I$326,MATCH(A265,Aktiv!$A$6:$A$326,0)),"")</f>
        <v>6</v>
      </c>
      <c r="J265" s="137">
        <f>IFERROR(INDEX(Aktiv!$J$6:$J$326,MATCH(A265,Aktiv!$A$6:$A$326,0)),"")</f>
        <v>6</v>
      </c>
      <c r="K265" s="141">
        <f>IFERROR(ROUND(G265*Steuerungsdaten!$B$5,0),"-")</f>
        <v>7</v>
      </c>
      <c r="L265" s="137">
        <f>IFERROR(ROUND(H265*Steuerungsdaten!$B$5,0),"-")</f>
        <v>7</v>
      </c>
      <c r="M265" s="137">
        <f>IFERROR(ROUND(I265*Steuerungsdaten!$B$5,0),"-")</f>
        <v>7</v>
      </c>
      <c r="N265" s="137">
        <f>IFERROR(ROUND(J265*Steuerungsdaten!$B$5,0),"-")</f>
        <v>7</v>
      </c>
      <c r="O265" s="143" t="str">
        <f>IF(ISNA(MATCH(A265,Aktiv!$A$6:$A$326,0)),"⚠ nicht im Modell","")</f>
        <v/>
      </c>
    </row>
    <row r="266" spans="1:15" ht="18" customHeight="1" x14ac:dyDescent="0.25">
      <c r="A266" s="135">
        <v>2000</v>
      </c>
      <c r="B266" s="136" t="s">
        <v>296</v>
      </c>
      <c r="C266" s="136" t="s">
        <v>299</v>
      </c>
      <c r="D266" s="136" t="s">
        <v>300</v>
      </c>
      <c r="E266" s="138"/>
      <c r="F266" s="138"/>
      <c r="G266" s="137">
        <f>IFERROR(INDEX(Aktiv!$G$6:$G$326,MATCH(A266,Aktiv!$A$6:$A$326,0)),"")</f>
        <v>80</v>
      </c>
      <c r="H266" s="137">
        <f>IFERROR(INDEX(Aktiv!$H$6:$H$326,MATCH(A266,Aktiv!$A$6:$A$326,0)),"")</f>
        <v>80</v>
      </c>
      <c r="I266" s="137">
        <f>IFERROR(INDEX(Aktiv!$I$6:$I$326,MATCH(A266,Aktiv!$A$6:$A$326,0)),"")</f>
        <v>80</v>
      </c>
      <c r="J266" s="137">
        <f>IFERROR(INDEX(Aktiv!$J$6:$J$326,MATCH(A266,Aktiv!$A$6:$A$326,0)),"")</f>
        <v>80</v>
      </c>
      <c r="K266" s="141">
        <f>IFERROR(ROUND(G266*Steuerungsdaten!$B$5,0),"-")</f>
        <v>92</v>
      </c>
      <c r="L266" s="137">
        <f>IFERROR(ROUND(H266*Steuerungsdaten!$B$5,0),"-")</f>
        <v>92</v>
      </c>
      <c r="M266" s="137">
        <f>IFERROR(ROUND(I266*Steuerungsdaten!$B$5,0),"-")</f>
        <v>92</v>
      </c>
      <c r="N266" s="137">
        <f>IFERROR(ROUND(J266*Steuerungsdaten!$B$5,0),"-")</f>
        <v>92</v>
      </c>
      <c r="O266" s="143" t="str">
        <f>IF(ISNA(MATCH(A266,Aktiv!$A$6:$A$326,0)),"⚠ nicht im Modell","")</f>
        <v/>
      </c>
    </row>
    <row r="267" spans="1:15" ht="18" customHeight="1" x14ac:dyDescent="0.25">
      <c r="A267" s="135">
        <v>2001</v>
      </c>
      <c r="B267" s="136" t="s">
        <v>296</v>
      </c>
      <c r="C267" s="136" t="s">
        <v>299</v>
      </c>
      <c r="D267" s="136" t="s">
        <v>300</v>
      </c>
      <c r="E267" s="138"/>
      <c r="F267" s="138"/>
      <c r="G267" s="137">
        <f>IFERROR(INDEX(Aktiv!$G$6:$G$326,MATCH(A267,Aktiv!$A$6:$A$326,0)),"")</f>
        <v>40</v>
      </c>
      <c r="H267" s="137">
        <f>IFERROR(INDEX(Aktiv!$H$6:$H$326,MATCH(A267,Aktiv!$A$6:$A$326,0)),"")</f>
        <v>40</v>
      </c>
      <c r="I267" s="137">
        <f>IFERROR(INDEX(Aktiv!$I$6:$I$326,MATCH(A267,Aktiv!$A$6:$A$326,0)),"")</f>
        <v>40</v>
      </c>
      <c r="J267" s="137">
        <f>IFERROR(INDEX(Aktiv!$J$6:$J$326,MATCH(A267,Aktiv!$A$6:$A$326,0)),"")</f>
        <v>40</v>
      </c>
      <c r="K267" s="141">
        <f>IFERROR(ROUND(G267*Steuerungsdaten!$B$5,0),"-")</f>
        <v>46</v>
      </c>
      <c r="L267" s="137">
        <f>IFERROR(ROUND(H267*Steuerungsdaten!$B$5,0),"-")</f>
        <v>46</v>
      </c>
      <c r="M267" s="137">
        <f>IFERROR(ROUND(I267*Steuerungsdaten!$B$5,0),"-")</f>
        <v>46</v>
      </c>
      <c r="N267" s="137">
        <f>IFERROR(ROUND(J267*Steuerungsdaten!$B$5,0),"-")</f>
        <v>46</v>
      </c>
      <c r="O267" s="143" t="str">
        <f>IF(ISNA(MATCH(A267,Aktiv!$A$6:$A$326,0)),"⚠ nicht im Modell","")</f>
        <v/>
      </c>
    </row>
    <row r="268" spans="1:15" ht="18" customHeight="1" x14ac:dyDescent="0.25">
      <c r="A268" s="135">
        <v>2005</v>
      </c>
      <c r="B268" s="136" t="s">
        <v>296</v>
      </c>
      <c r="C268" s="136" t="s">
        <v>299</v>
      </c>
      <c r="D268" s="136" t="s">
        <v>301</v>
      </c>
      <c r="E268" s="138"/>
      <c r="F268" s="138"/>
      <c r="G268" s="137">
        <f>IFERROR(INDEX(Aktiv!$G$6:$G$326,MATCH(A268,Aktiv!$A$6:$A$326,0)),"")</f>
        <v>20</v>
      </c>
      <c r="H268" s="137">
        <f>IFERROR(INDEX(Aktiv!$H$6:$H$326,MATCH(A268,Aktiv!$A$6:$A$326,0)),"")</f>
        <v>20</v>
      </c>
      <c r="I268" s="137">
        <f>IFERROR(INDEX(Aktiv!$I$6:$I$326,MATCH(A268,Aktiv!$A$6:$A$326,0)),"")</f>
        <v>20</v>
      </c>
      <c r="J268" s="137">
        <f>IFERROR(INDEX(Aktiv!$J$6:$J$326,MATCH(A268,Aktiv!$A$6:$A$326,0)),"")</f>
        <v>20</v>
      </c>
      <c r="K268" s="141">
        <f>IFERROR(ROUND(G268*Steuerungsdaten!$B$5,0),"-")</f>
        <v>23</v>
      </c>
      <c r="L268" s="137">
        <f>IFERROR(ROUND(H268*Steuerungsdaten!$B$5,0),"-")</f>
        <v>23</v>
      </c>
      <c r="M268" s="137">
        <f>IFERROR(ROUND(I268*Steuerungsdaten!$B$5,0),"-")</f>
        <v>23</v>
      </c>
      <c r="N268" s="137">
        <f>IFERROR(ROUND(J268*Steuerungsdaten!$B$5,0),"-")</f>
        <v>23</v>
      </c>
      <c r="O268" s="143" t="str">
        <f>IF(ISNA(MATCH(A268,Aktiv!$A$6:$A$326,0)),"⚠ nicht im Modell","")</f>
        <v/>
      </c>
    </row>
    <row r="269" spans="1:15" ht="18" customHeight="1" x14ac:dyDescent="0.25">
      <c r="A269" s="135">
        <v>2010</v>
      </c>
      <c r="B269" s="136" t="s">
        <v>296</v>
      </c>
      <c r="C269" s="136" t="s">
        <v>299</v>
      </c>
      <c r="D269" s="136" t="s">
        <v>302</v>
      </c>
      <c r="E269" s="138"/>
      <c r="F269" s="138"/>
      <c r="G269" s="137">
        <f>IFERROR(INDEX(Aktiv!$G$6:$G$326,MATCH(A269,Aktiv!$A$6:$A$326,0)),"")</f>
        <v>20</v>
      </c>
      <c r="H269" s="137">
        <f>IFERROR(INDEX(Aktiv!$H$6:$H$326,MATCH(A269,Aktiv!$A$6:$A$326,0)),"")</f>
        <v>20</v>
      </c>
      <c r="I269" s="137">
        <f>IFERROR(INDEX(Aktiv!$I$6:$I$326,MATCH(A269,Aktiv!$A$6:$A$326,0)),"")</f>
        <v>20</v>
      </c>
      <c r="J269" s="137">
        <f>IFERROR(INDEX(Aktiv!$J$6:$J$326,MATCH(A269,Aktiv!$A$6:$A$326,0)),"")</f>
        <v>20</v>
      </c>
      <c r="K269" s="141">
        <f>IFERROR(ROUND(G269*Steuerungsdaten!$B$5,0),"-")</f>
        <v>23</v>
      </c>
      <c r="L269" s="137">
        <f>IFERROR(ROUND(H269*Steuerungsdaten!$B$5,0),"-")</f>
        <v>23</v>
      </c>
      <c r="M269" s="137">
        <f>IFERROR(ROUND(I269*Steuerungsdaten!$B$5,0),"-")</f>
        <v>23</v>
      </c>
      <c r="N269" s="137">
        <f>IFERROR(ROUND(J269*Steuerungsdaten!$B$5,0),"-")</f>
        <v>23</v>
      </c>
      <c r="O269" s="143" t="str">
        <f>IF(ISNA(MATCH(A269,Aktiv!$A$6:$A$326,0)),"⚠ nicht im Modell","")</f>
        <v/>
      </c>
    </row>
    <row r="270" spans="1:15" ht="18" customHeight="1" x14ac:dyDescent="0.25">
      <c r="A270" s="135">
        <v>2015</v>
      </c>
      <c r="B270" s="136" t="s">
        <v>296</v>
      </c>
      <c r="C270" s="136" t="s">
        <v>299</v>
      </c>
      <c r="D270" s="136" t="s">
        <v>303</v>
      </c>
      <c r="E270" s="138"/>
      <c r="F270" s="138"/>
      <c r="G270" s="137">
        <f>IFERROR(INDEX(Aktiv!$G$6:$G$326,MATCH(A270,Aktiv!$A$6:$A$326,0)),"")</f>
        <v>20</v>
      </c>
      <c r="H270" s="137">
        <f>IFERROR(INDEX(Aktiv!$H$6:$H$326,MATCH(A270,Aktiv!$A$6:$A$326,0)),"")</f>
        <v>20</v>
      </c>
      <c r="I270" s="137">
        <f>IFERROR(INDEX(Aktiv!$I$6:$I$326,MATCH(A270,Aktiv!$A$6:$A$326,0)),"")</f>
        <v>20</v>
      </c>
      <c r="J270" s="137">
        <f>IFERROR(INDEX(Aktiv!$J$6:$J$326,MATCH(A270,Aktiv!$A$6:$A$326,0)),"")</f>
        <v>20</v>
      </c>
      <c r="K270" s="141">
        <f>IFERROR(ROUND(G270*Steuerungsdaten!$B$5,0),"-")</f>
        <v>23</v>
      </c>
      <c r="L270" s="137">
        <f>IFERROR(ROUND(H270*Steuerungsdaten!$B$5,0),"-")</f>
        <v>23</v>
      </c>
      <c r="M270" s="137">
        <f>IFERROR(ROUND(I270*Steuerungsdaten!$B$5,0),"-")</f>
        <v>23</v>
      </c>
      <c r="N270" s="137">
        <f>IFERROR(ROUND(J270*Steuerungsdaten!$B$5,0),"-")</f>
        <v>23</v>
      </c>
      <c r="O270" s="143" t="str">
        <f>IF(ISNA(MATCH(A270,Aktiv!$A$6:$A$326,0)),"⚠ nicht im Modell","")</f>
        <v/>
      </c>
    </row>
    <row r="271" spans="1:15" ht="18" customHeight="1" x14ac:dyDescent="0.25">
      <c r="A271" s="135">
        <v>2020</v>
      </c>
      <c r="B271" s="136" t="s">
        <v>296</v>
      </c>
      <c r="C271" s="136" t="s">
        <v>299</v>
      </c>
      <c r="D271" s="136" t="s">
        <v>304</v>
      </c>
      <c r="E271" s="138"/>
      <c r="F271" s="138"/>
      <c r="G271" s="137">
        <f>IFERROR(INDEX(Aktiv!$G$6:$G$326,MATCH(A271,Aktiv!$A$6:$A$326,0)),"")</f>
        <v>22</v>
      </c>
      <c r="H271" s="137">
        <f>IFERROR(INDEX(Aktiv!$H$6:$H$326,MATCH(A271,Aktiv!$A$6:$A$326,0)),"")</f>
        <v>22</v>
      </c>
      <c r="I271" s="137">
        <f>IFERROR(INDEX(Aktiv!$I$6:$I$326,MATCH(A271,Aktiv!$A$6:$A$326,0)),"")</f>
        <v>22</v>
      </c>
      <c r="J271" s="137">
        <f>IFERROR(INDEX(Aktiv!$J$6:$J$326,MATCH(A271,Aktiv!$A$6:$A$326,0)),"")</f>
        <v>22</v>
      </c>
      <c r="K271" s="141">
        <f>IFERROR(ROUND(G271*Steuerungsdaten!$B$5,0),"-")</f>
        <v>25</v>
      </c>
      <c r="L271" s="137">
        <f>IFERROR(ROUND(H271*Steuerungsdaten!$B$5,0),"-")</f>
        <v>25</v>
      </c>
      <c r="M271" s="137">
        <f>IFERROR(ROUND(I271*Steuerungsdaten!$B$5,0),"-")</f>
        <v>25</v>
      </c>
      <c r="N271" s="137">
        <f>IFERROR(ROUND(J271*Steuerungsdaten!$B$5,0),"-")</f>
        <v>25</v>
      </c>
      <c r="O271" s="143" t="str">
        <f>IF(ISNA(MATCH(A271,Aktiv!$A$6:$A$326,0)),"⚠ nicht im Modell","")</f>
        <v/>
      </c>
    </row>
    <row r="272" spans="1:15" ht="18" customHeight="1" x14ac:dyDescent="0.25">
      <c r="A272" s="135">
        <v>2021</v>
      </c>
      <c r="B272" s="136" t="s">
        <v>296</v>
      </c>
      <c r="C272" s="136" t="s">
        <v>299</v>
      </c>
      <c r="D272" s="136" t="s">
        <v>305</v>
      </c>
      <c r="E272" s="138"/>
      <c r="F272" s="138"/>
      <c r="G272" s="137">
        <f>IFERROR(INDEX(Aktiv!$G$6:$G$326,MATCH(A272,Aktiv!$A$6:$A$326,0)),"")</f>
        <v>22</v>
      </c>
      <c r="H272" s="137">
        <f>IFERROR(INDEX(Aktiv!$H$6:$H$326,MATCH(A272,Aktiv!$A$6:$A$326,0)),"")</f>
        <v>22</v>
      </c>
      <c r="I272" s="137">
        <f>IFERROR(INDEX(Aktiv!$I$6:$I$326,MATCH(A272,Aktiv!$A$6:$A$326,0)),"")</f>
        <v>22</v>
      </c>
      <c r="J272" s="137">
        <f>IFERROR(INDEX(Aktiv!$J$6:$J$326,MATCH(A272,Aktiv!$A$6:$A$326,0)),"")</f>
        <v>22</v>
      </c>
      <c r="K272" s="141">
        <f>IFERROR(ROUND(G272*Steuerungsdaten!$B$5,0),"-")</f>
        <v>25</v>
      </c>
      <c r="L272" s="137">
        <f>IFERROR(ROUND(H272*Steuerungsdaten!$B$5,0),"-")</f>
        <v>25</v>
      </c>
      <c r="M272" s="137">
        <f>IFERROR(ROUND(I272*Steuerungsdaten!$B$5,0),"-")</f>
        <v>25</v>
      </c>
      <c r="N272" s="137">
        <f>IFERROR(ROUND(J272*Steuerungsdaten!$B$5,0),"-")</f>
        <v>25</v>
      </c>
      <c r="O272" s="143" t="str">
        <f>IF(ISNA(MATCH(A272,Aktiv!$A$6:$A$326,0)),"⚠ nicht im Modell","")</f>
        <v/>
      </c>
    </row>
    <row r="273" spans="1:15" ht="18" customHeight="1" x14ac:dyDescent="0.25">
      <c r="A273" s="135">
        <v>2025</v>
      </c>
      <c r="B273" s="136" t="s">
        <v>296</v>
      </c>
      <c r="C273" s="136" t="s">
        <v>299</v>
      </c>
      <c r="D273" s="136" t="s">
        <v>306</v>
      </c>
      <c r="E273" s="138"/>
      <c r="F273" s="138"/>
      <c r="G273" s="137">
        <f>IFERROR(INDEX(Aktiv!$G$6:$G$326,MATCH(A273,Aktiv!$A$6:$A$326,0)),"")</f>
        <v>25</v>
      </c>
      <c r="H273" s="137">
        <f>IFERROR(INDEX(Aktiv!$H$6:$H$326,MATCH(A273,Aktiv!$A$6:$A$326,0)),"")</f>
        <v>25</v>
      </c>
      <c r="I273" s="137">
        <f>IFERROR(INDEX(Aktiv!$I$6:$I$326,MATCH(A273,Aktiv!$A$6:$A$326,0)),"")</f>
        <v>25</v>
      </c>
      <c r="J273" s="137">
        <f>IFERROR(INDEX(Aktiv!$J$6:$J$326,MATCH(A273,Aktiv!$A$6:$A$326,0)),"")</f>
        <v>25</v>
      </c>
      <c r="K273" s="141">
        <f>IFERROR(ROUND(G273*Steuerungsdaten!$B$5,0),"-")</f>
        <v>29</v>
      </c>
      <c r="L273" s="137">
        <f>IFERROR(ROUND(H273*Steuerungsdaten!$B$5,0),"-")</f>
        <v>29</v>
      </c>
      <c r="M273" s="137">
        <f>IFERROR(ROUND(I273*Steuerungsdaten!$B$5,0),"-")</f>
        <v>29</v>
      </c>
      <c r="N273" s="137">
        <f>IFERROR(ROUND(J273*Steuerungsdaten!$B$5,0),"-")</f>
        <v>29</v>
      </c>
      <c r="O273" s="143" t="str">
        <f>IF(ISNA(MATCH(A273,Aktiv!$A$6:$A$326,0)),"⚠ nicht im Modell","")</f>
        <v/>
      </c>
    </row>
    <row r="274" spans="1:15" ht="18" customHeight="1" x14ac:dyDescent="0.25">
      <c r="A274" s="135">
        <v>2030</v>
      </c>
      <c r="B274" s="136" t="s">
        <v>296</v>
      </c>
      <c r="C274" s="136" t="s">
        <v>299</v>
      </c>
      <c r="D274" s="136" t="s">
        <v>307</v>
      </c>
      <c r="E274" s="138"/>
      <c r="F274" s="138"/>
      <c r="G274" s="137">
        <f>IFERROR(INDEX(Aktiv!$G$6:$G$326,MATCH(A274,Aktiv!$A$6:$A$326,0)),"")</f>
        <v>25</v>
      </c>
      <c r="H274" s="137">
        <f>IFERROR(INDEX(Aktiv!$H$6:$H$326,MATCH(A274,Aktiv!$A$6:$A$326,0)),"")</f>
        <v>25</v>
      </c>
      <c r="I274" s="137">
        <f>IFERROR(INDEX(Aktiv!$I$6:$I$326,MATCH(A274,Aktiv!$A$6:$A$326,0)),"")</f>
        <v>25</v>
      </c>
      <c r="J274" s="137">
        <f>IFERROR(INDEX(Aktiv!$J$6:$J$326,MATCH(A274,Aktiv!$A$6:$A$326,0)),"")</f>
        <v>25</v>
      </c>
      <c r="K274" s="141">
        <f>IFERROR(ROUND(G274*Steuerungsdaten!$B$5,0),"-")</f>
        <v>29</v>
      </c>
      <c r="L274" s="137">
        <f>IFERROR(ROUND(H274*Steuerungsdaten!$B$5,0),"-")</f>
        <v>29</v>
      </c>
      <c r="M274" s="137">
        <f>IFERROR(ROUND(I274*Steuerungsdaten!$B$5,0),"-")</f>
        <v>29</v>
      </c>
      <c r="N274" s="137">
        <f>IFERROR(ROUND(J274*Steuerungsdaten!$B$5,0),"-")</f>
        <v>29</v>
      </c>
      <c r="O274" s="143" t="str">
        <f>IF(ISNA(MATCH(A274,Aktiv!$A$6:$A$326,0)),"⚠ nicht im Modell","")</f>
        <v/>
      </c>
    </row>
    <row r="275" spans="1:15" ht="18" customHeight="1" x14ac:dyDescent="0.25">
      <c r="A275" s="135">
        <v>2035</v>
      </c>
      <c r="B275" s="136" t="s">
        <v>296</v>
      </c>
      <c r="C275" s="136" t="s">
        <v>299</v>
      </c>
      <c r="D275" s="136" t="s">
        <v>308</v>
      </c>
      <c r="E275" s="138"/>
      <c r="F275" s="138"/>
      <c r="G275" s="137">
        <f>IFERROR(INDEX(Aktiv!$G$6:$G$326,MATCH(A275,Aktiv!$A$6:$A$326,0)),"")</f>
        <v>27</v>
      </c>
      <c r="H275" s="137">
        <f>IFERROR(INDEX(Aktiv!$H$6:$H$326,MATCH(A275,Aktiv!$A$6:$A$326,0)),"")</f>
        <v>27</v>
      </c>
      <c r="I275" s="137">
        <f>IFERROR(INDEX(Aktiv!$I$6:$I$326,MATCH(A275,Aktiv!$A$6:$A$326,0)),"")</f>
        <v>27</v>
      </c>
      <c r="J275" s="137">
        <f>IFERROR(INDEX(Aktiv!$J$6:$J$326,MATCH(A275,Aktiv!$A$6:$A$326,0)),"")</f>
        <v>27</v>
      </c>
      <c r="K275" s="141">
        <f>IFERROR(ROUND(G275*Steuerungsdaten!$B$5,0),"-")</f>
        <v>31</v>
      </c>
      <c r="L275" s="137">
        <f>IFERROR(ROUND(H275*Steuerungsdaten!$B$5,0),"-")</f>
        <v>31</v>
      </c>
      <c r="M275" s="137">
        <f>IFERROR(ROUND(I275*Steuerungsdaten!$B$5,0),"-")</f>
        <v>31</v>
      </c>
      <c r="N275" s="137">
        <f>IFERROR(ROUND(J275*Steuerungsdaten!$B$5,0),"-")</f>
        <v>31</v>
      </c>
      <c r="O275" s="143" t="str">
        <f>IF(ISNA(MATCH(A275,Aktiv!$A$6:$A$326,0)),"⚠ nicht im Modell","")</f>
        <v/>
      </c>
    </row>
    <row r="276" spans="1:15" ht="18" customHeight="1" x14ac:dyDescent="0.25">
      <c r="A276" s="135">
        <v>2040</v>
      </c>
      <c r="B276" s="136" t="s">
        <v>296</v>
      </c>
      <c r="C276" s="136" t="s">
        <v>299</v>
      </c>
      <c r="D276" s="136" t="s">
        <v>309</v>
      </c>
      <c r="E276" s="138"/>
      <c r="F276" s="138"/>
      <c r="G276" s="137">
        <f>IFERROR(INDEX(Aktiv!$G$6:$G$326,MATCH(A276,Aktiv!$A$6:$A$326,0)),"")</f>
        <v>29</v>
      </c>
      <c r="H276" s="137">
        <f>IFERROR(INDEX(Aktiv!$H$6:$H$326,MATCH(A276,Aktiv!$A$6:$A$326,0)),"")</f>
        <v>29</v>
      </c>
      <c r="I276" s="137">
        <f>IFERROR(INDEX(Aktiv!$I$6:$I$326,MATCH(A276,Aktiv!$A$6:$A$326,0)),"")</f>
        <v>29</v>
      </c>
      <c r="J276" s="137">
        <f>IFERROR(INDEX(Aktiv!$J$6:$J$326,MATCH(A276,Aktiv!$A$6:$A$326,0)),"")</f>
        <v>29</v>
      </c>
      <c r="K276" s="141">
        <f>IFERROR(ROUND(G276*Steuerungsdaten!$B$5,0),"-")</f>
        <v>33</v>
      </c>
      <c r="L276" s="137">
        <f>IFERROR(ROUND(H276*Steuerungsdaten!$B$5,0),"-")</f>
        <v>33</v>
      </c>
      <c r="M276" s="137">
        <f>IFERROR(ROUND(I276*Steuerungsdaten!$B$5,0),"-")</f>
        <v>33</v>
      </c>
      <c r="N276" s="137">
        <f>IFERROR(ROUND(J276*Steuerungsdaten!$B$5,0),"-")</f>
        <v>33</v>
      </c>
      <c r="O276" s="143" t="str">
        <f>IF(ISNA(MATCH(A276,Aktiv!$A$6:$A$326,0)),"⚠ nicht im Modell","")</f>
        <v/>
      </c>
    </row>
    <row r="277" spans="1:15" ht="18" customHeight="1" x14ac:dyDescent="0.25">
      <c r="A277" s="135">
        <v>2045</v>
      </c>
      <c r="B277" s="136" t="s">
        <v>296</v>
      </c>
      <c r="C277" s="136" t="s">
        <v>299</v>
      </c>
      <c r="D277" s="136" t="s">
        <v>310</v>
      </c>
      <c r="E277" s="138"/>
      <c r="F277" s="138"/>
      <c r="G277" s="137">
        <f>IFERROR(INDEX(Aktiv!$G$6:$G$326,MATCH(A277,Aktiv!$A$6:$A$326,0)),"")</f>
        <v>35</v>
      </c>
      <c r="H277" s="137">
        <f>IFERROR(INDEX(Aktiv!$H$6:$H$326,MATCH(A277,Aktiv!$A$6:$A$326,0)),"")</f>
        <v>35</v>
      </c>
      <c r="I277" s="137">
        <f>IFERROR(INDEX(Aktiv!$I$6:$I$326,MATCH(A277,Aktiv!$A$6:$A$326,0)),"")</f>
        <v>35</v>
      </c>
      <c r="J277" s="137">
        <f>IFERROR(INDEX(Aktiv!$J$6:$J$326,MATCH(A277,Aktiv!$A$6:$A$326,0)),"")</f>
        <v>35</v>
      </c>
      <c r="K277" s="141">
        <f>IFERROR(ROUND(G277*Steuerungsdaten!$B$5,0),"-")</f>
        <v>40</v>
      </c>
      <c r="L277" s="137">
        <f>IFERROR(ROUND(H277*Steuerungsdaten!$B$5,0),"-")</f>
        <v>40</v>
      </c>
      <c r="M277" s="137">
        <f>IFERROR(ROUND(I277*Steuerungsdaten!$B$5,0),"-")</f>
        <v>40</v>
      </c>
      <c r="N277" s="137">
        <f>IFERROR(ROUND(J277*Steuerungsdaten!$B$5,0),"-")</f>
        <v>40</v>
      </c>
      <c r="O277" s="143" t="str">
        <f>IF(ISNA(MATCH(A277,Aktiv!$A$6:$A$326,0)),"⚠ nicht im Modell","")</f>
        <v/>
      </c>
    </row>
    <row r="278" spans="1:15" ht="18" customHeight="1" x14ac:dyDescent="0.25">
      <c r="A278" s="135">
        <v>2050</v>
      </c>
      <c r="B278" s="136" t="s">
        <v>296</v>
      </c>
      <c r="C278" s="136" t="s">
        <v>299</v>
      </c>
      <c r="D278" s="136" t="s">
        <v>311</v>
      </c>
      <c r="E278" s="138"/>
      <c r="F278" s="138"/>
      <c r="G278" s="137">
        <f>IFERROR(INDEX(Aktiv!$G$6:$G$326,MATCH(A278,Aktiv!$A$6:$A$326,0)),"")</f>
        <v>39</v>
      </c>
      <c r="H278" s="137">
        <f>IFERROR(INDEX(Aktiv!$H$6:$H$326,MATCH(A278,Aktiv!$A$6:$A$326,0)),"")</f>
        <v>39</v>
      </c>
      <c r="I278" s="137">
        <f>IFERROR(INDEX(Aktiv!$I$6:$I$326,MATCH(A278,Aktiv!$A$6:$A$326,0)),"")</f>
        <v>39</v>
      </c>
      <c r="J278" s="137">
        <f>IFERROR(INDEX(Aktiv!$J$6:$J$326,MATCH(A278,Aktiv!$A$6:$A$326,0)),"")</f>
        <v>39</v>
      </c>
      <c r="K278" s="141">
        <f>IFERROR(ROUND(G278*Steuerungsdaten!$B$5,0),"-")</f>
        <v>45</v>
      </c>
      <c r="L278" s="137">
        <f>IFERROR(ROUND(H278*Steuerungsdaten!$B$5,0),"-")</f>
        <v>45</v>
      </c>
      <c r="M278" s="137">
        <f>IFERROR(ROUND(I278*Steuerungsdaten!$B$5,0),"-")</f>
        <v>45</v>
      </c>
      <c r="N278" s="137">
        <f>IFERROR(ROUND(J278*Steuerungsdaten!$B$5,0),"-")</f>
        <v>45</v>
      </c>
      <c r="O278" s="143" t="str">
        <f>IF(ISNA(MATCH(A278,Aktiv!$A$6:$A$326,0)),"⚠ nicht im Modell","")</f>
        <v/>
      </c>
    </row>
    <row r="279" spans="1:15" ht="18" customHeight="1" x14ac:dyDescent="0.25">
      <c r="A279" s="135">
        <v>2300</v>
      </c>
      <c r="B279" s="136" t="s">
        <v>296</v>
      </c>
      <c r="C279" s="136" t="s">
        <v>299</v>
      </c>
      <c r="D279" s="136" t="s">
        <v>312</v>
      </c>
      <c r="E279" s="138"/>
      <c r="F279" s="138"/>
      <c r="G279" s="137">
        <f>IFERROR(INDEX(Aktiv!$G$6:$G$326,MATCH(A279,Aktiv!$A$6:$A$326,0)),"")</f>
        <v>100</v>
      </c>
      <c r="H279" s="137">
        <f>IFERROR(INDEX(Aktiv!$H$6:$H$326,MATCH(A279,Aktiv!$A$6:$A$326,0)),"")</f>
        <v>100</v>
      </c>
      <c r="I279" s="137">
        <f>IFERROR(INDEX(Aktiv!$I$6:$I$326,MATCH(A279,Aktiv!$A$6:$A$326,0)),"")</f>
        <v>100</v>
      </c>
      <c r="J279" s="137">
        <f>IFERROR(INDEX(Aktiv!$J$6:$J$326,MATCH(A279,Aktiv!$A$6:$A$326,0)),"")</f>
        <v>100</v>
      </c>
      <c r="K279" s="141">
        <f>IFERROR(ROUND(G279*Steuerungsdaten!$B$5,0),"-")</f>
        <v>115</v>
      </c>
      <c r="L279" s="137">
        <f>IFERROR(ROUND(H279*Steuerungsdaten!$B$5,0),"-")</f>
        <v>115</v>
      </c>
      <c r="M279" s="137">
        <f>IFERROR(ROUND(I279*Steuerungsdaten!$B$5,0),"-")</f>
        <v>115</v>
      </c>
      <c r="N279" s="137">
        <f>IFERROR(ROUND(J279*Steuerungsdaten!$B$5,0),"-")</f>
        <v>115</v>
      </c>
      <c r="O279" s="143" t="str">
        <f>IF(ISNA(MATCH(A279,Aktiv!$A$6:$A$326,0)),"⚠ nicht im Modell","")</f>
        <v/>
      </c>
    </row>
    <row r="280" spans="1:15" ht="18" customHeight="1" x14ac:dyDescent="0.25">
      <c r="A280" s="135">
        <v>8140</v>
      </c>
      <c r="B280" s="136" t="s">
        <v>296</v>
      </c>
      <c r="C280" s="136" t="s">
        <v>313</v>
      </c>
      <c r="D280" s="136" t="s">
        <v>314</v>
      </c>
      <c r="E280" s="138"/>
      <c r="F280" s="138"/>
      <c r="G280" s="137">
        <f>IFERROR(INDEX(Aktiv!$G$6:$G$326,MATCH(A280,Aktiv!$A$6:$A$326,0)),"")</f>
        <v>180</v>
      </c>
      <c r="H280" s="137">
        <f>IFERROR(INDEX(Aktiv!$H$6:$H$326,MATCH(A280,Aktiv!$A$6:$A$326,0)),"")</f>
        <v>180</v>
      </c>
      <c r="I280" s="137">
        <f>IFERROR(INDEX(Aktiv!$I$6:$I$326,MATCH(A280,Aktiv!$A$6:$A$326,0)),"")</f>
        <v>180</v>
      </c>
      <c r="J280" s="137">
        <f>IFERROR(INDEX(Aktiv!$J$6:$J$326,MATCH(A280,Aktiv!$A$6:$A$326,0)),"")</f>
        <v>180</v>
      </c>
      <c r="K280" s="141">
        <f>IFERROR(ROUND(G280*Steuerungsdaten!$B$5,0),"-")</f>
        <v>207</v>
      </c>
      <c r="L280" s="137">
        <f>IFERROR(ROUND(H280*Steuerungsdaten!$B$5,0),"-")</f>
        <v>207</v>
      </c>
      <c r="M280" s="137">
        <f>IFERROR(ROUND(I280*Steuerungsdaten!$B$5,0),"-")</f>
        <v>207</v>
      </c>
      <c r="N280" s="137">
        <f>IFERROR(ROUND(J280*Steuerungsdaten!$B$5,0),"-")</f>
        <v>207</v>
      </c>
      <c r="O280" s="143" t="str">
        <f>IF(ISNA(MATCH(A280,Aktiv!$A$6:$A$326,0)),"⚠ nicht im Modell","")</f>
        <v/>
      </c>
    </row>
    <row r="281" spans="1:15" ht="18" customHeight="1" x14ac:dyDescent="0.25">
      <c r="A281" s="135">
        <v>8300</v>
      </c>
      <c r="B281" s="136" t="s">
        <v>296</v>
      </c>
      <c r="C281" s="136" t="s">
        <v>315</v>
      </c>
      <c r="D281" s="136" t="s">
        <v>316</v>
      </c>
      <c r="E281" s="138"/>
      <c r="F281" s="138"/>
      <c r="G281" s="137">
        <f>IFERROR(INDEX(Aktiv!$G$6:$G$326,MATCH(A281,Aktiv!$A$6:$A$326,0)),"")</f>
        <v>25</v>
      </c>
      <c r="H281" s="137">
        <f>IFERROR(INDEX(Aktiv!$H$6:$H$326,MATCH(A281,Aktiv!$A$6:$A$326,0)),"")</f>
        <v>25</v>
      </c>
      <c r="I281" s="137">
        <f>IFERROR(INDEX(Aktiv!$I$6:$I$326,MATCH(A281,Aktiv!$A$6:$A$326,0)),"")</f>
        <v>25</v>
      </c>
      <c r="J281" s="137">
        <f>IFERROR(INDEX(Aktiv!$J$6:$J$326,MATCH(A281,Aktiv!$A$6:$A$326,0)),"")</f>
        <v>25</v>
      </c>
      <c r="K281" s="141">
        <f>IFERROR(ROUND(G281*Steuerungsdaten!$B$5,0),"-")</f>
        <v>29</v>
      </c>
      <c r="L281" s="137">
        <f>IFERROR(ROUND(H281*Steuerungsdaten!$B$5,0),"-")</f>
        <v>29</v>
      </c>
      <c r="M281" s="137">
        <f>IFERROR(ROUND(I281*Steuerungsdaten!$B$5,0),"-")</f>
        <v>29</v>
      </c>
      <c r="N281" s="137">
        <f>IFERROR(ROUND(J281*Steuerungsdaten!$B$5,0),"-")</f>
        <v>29</v>
      </c>
      <c r="O281" s="143" t="str">
        <f>IF(ISNA(MATCH(A281,Aktiv!$A$6:$A$326,0)),"⚠ nicht im Modell","")</f>
        <v/>
      </c>
    </row>
    <row r="282" spans="1:15" ht="18" customHeight="1" x14ac:dyDescent="0.25">
      <c r="A282" s="135">
        <v>8301</v>
      </c>
      <c r="B282" s="136" t="s">
        <v>296</v>
      </c>
      <c r="C282" s="136" t="s">
        <v>315</v>
      </c>
      <c r="D282" s="136" t="s">
        <v>317</v>
      </c>
      <c r="E282" s="138"/>
      <c r="F282" s="138"/>
      <c r="G282" s="137">
        <f>IFERROR(INDEX(Aktiv!$G$6:$G$326,MATCH(A282,Aktiv!$A$6:$A$326,0)),"")</f>
        <v>29</v>
      </c>
      <c r="H282" s="137">
        <f>IFERROR(INDEX(Aktiv!$H$6:$H$326,MATCH(A282,Aktiv!$A$6:$A$326,0)),"")</f>
        <v>29</v>
      </c>
      <c r="I282" s="137">
        <f>IFERROR(INDEX(Aktiv!$I$6:$I$326,MATCH(A282,Aktiv!$A$6:$A$326,0)),"")</f>
        <v>29</v>
      </c>
      <c r="J282" s="137">
        <f>IFERROR(INDEX(Aktiv!$J$6:$J$326,MATCH(A282,Aktiv!$A$6:$A$326,0)),"")</f>
        <v>29</v>
      </c>
      <c r="K282" s="141">
        <f>IFERROR(ROUND(G282*Steuerungsdaten!$B$5,0),"-")</f>
        <v>33</v>
      </c>
      <c r="L282" s="137">
        <f>IFERROR(ROUND(H282*Steuerungsdaten!$B$5,0),"-")</f>
        <v>33</v>
      </c>
      <c r="M282" s="137">
        <f>IFERROR(ROUND(I282*Steuerungsdaten!$B$5,0),"-")</f>
        <v>33</v>
      </c>
      <c r="N282" s="137">
        <f>IFERROR(ROUND(J282*Steuerungsdaten!$B$5,0),"-")</f>
        <v>33</v>
      </c>
      <c r="O282" s="143" t="str">
        <f>IF(ISNA(MATCH(A282,Aktiv!$A$6:$A$326,0)),"⚠ nicht im Modell","")</f>
        <v/>
      </c>
    </row>
    <row r="283" spans="1:15" ht="18" customHeight="1" x14ac:dyDescent="0.25">
      <c r="A283" s="135">
        <v>8302</v>
      </c>
      <c r="B283" s="136" t="s">
        <v>296</v>
      </c>
      <c r="C283" s="136" t="s">
        <v>315</v>
      </c>
      <c r="D283" s="136" t="s">
        <v>318</v>
      </c>
      <c r="E283" s="138"/>
      <c r="F283" s="138"/>
      <c r="G283" s="137">
        <f>IFERROR(INDEX(Aktiv!$G$6:$G$326,MATCH(A283,Aktiv!$A$6:$A$326,0)),"")</f>
        <v>17</v>
      </c>
      <c r="H283" s="137">
        <f>IFERROR(INDEX(Aktiv!$H$6:$H$326,MATCH(A283,Aktiv!$A$6:$A$326,0)),"")</f>
        <v>17</v>
      </c>
      <c r="I283" s="137">
        <f>IFERROR(INDEX(Aktiv!$I$6:$I$326,MATCH(A283,Aktiv!$A$6:$A$326,0)),"")</f>
        <v>17</v>
      </c>
      <c r="J283" s="137">
        <f>IFERROR(INDEX(Aktiv!$J$6:$J$326,MATCH(A283,Aktiv!$A$6:$A$326,0)),"")</f>
        <v>17</v>
      </c>
      <c r="K283" s="141">
        <f>IFERROR(ROUND(G283*Steuerungsdaten!$B$5,0),"-")</f>
        <v>20</v>
      </c>
      <c r="L283" s="137">
        <f>IFERROR(ROUND(H283*Steuerungsdaten!$B$5,0),"-")</f>
        <v>20</v>
      </c>
      <c r="M283" s="137">
        <f>IFERROR(ROUND(I283*Steuerungsdaten!$B$5,0),"-")</f>
        <v>20</v>
      </c>
      <c r="N283" s="137">
        <f>IFERROR(ROUND(J283*Steuerungsdaten!$B$5,0),"-")</f>
        <v>20</v>
      </c>
      <c r="O283" s="143" t="str">
        <f>IF(ISNA(MATCH(A283,Aktiv!$A$6:$A$326,0)),"⚠ nicht im Modell","")</f>
        <v/>
      </c>
    </row>
    <row r="284" spans="1:15" ht="18" customHeight="1" x14ac:dyDescent="0.25">
      <c r="A284" s="135">
        <v>8303</v>
      </c>
      <c r="B284" s="136" t="s">
        <v>296</v>
      </c>
      <c r="C284" s="136" t="s">
        <v>315</v>
      </c>
      <c r="D284" s="136" t="s">
        <v>319</v>
      </c>
      <c r="E284" s="138"/>
      <c r="F284" s="138"/>
      <c r="G284" s="137">
        <f>IFERROR(INDEX(Aktiv!$G$6:$G$326,MATCH(A284,Aktiv!$A$6:$A$326,0)),"")</f>
        <v>10</v>
      </c>
      <c r="H284" s="137">
        <f>IFERROR(INDEX(Aktiv!$H$6:$H$326,MATCH(A284,Aktiv!$A$6:$A$326,0)),"")</f>
        <v>10</v>
      </c>
      <c r="I284" s="137">
        <f>IFERROR(INDEX(Aktiv!$I$6:$I$326,MATCH(A284,Aktiv!$A$6:$A$326,0)),"")</f>
        <v>10</v>
      </c>
      <c r="J284" s="137">
        <f>IFERROR(INDEX(Aktiv!$J$6:$J$326,MATCH(A284,Aktiv!$A$6:$A$326,0)),"")</f>
        <v>10</v>
      </c>
      <c r="K284" s="141">
        <f>IFERROR(ROUND(G284*Steuerungsdaten!$B$5,0),"-")</f>
        <v>12</v>
      </c>
      <c r="L284" s="137">
        <f>IFERROR(ROUND(H284*Steuerungsdaten!$B$5,0),"-")</f>
        <v>12</v>
      </c>
      <c r="M284" s="137">
        <f>IFERROR(ROUND(I284*Steuerungsdaten!$B$5,0),"-")</f>
        <v>12</v>
      </c>
      <c r="N284" s="137">
        <f>IFERROR(ROUND(J284*Steuerungsdaten!$B$5,0),"-")</f>
        <v>12</v>
      </c>
      <c r="O284" s="143" t="str">
        <f>IF(ISNA(MATCH(A284,Aktiv!$A$6:$A$326,0)),"⚠ nicht im Modell","")</f>
        <v/>
      </c>
    </row>
    <row r="285" spans="1:15" ht="18" customHeight="1" x14ac:dyDescent="0.25">
      <c r="A285" s="135">
        <v>8304</v>
      </c>
      <c r="B285" s="136" t="s">
        <v>296</v>
      </c>
      <c r="C285" s="136" t="s">
        <v>315</v>
      </c>
      <c r="D285" s="136" t="s">
        <v>320</v>
      </c>
      <c r="E285" s="138"/>
      <c r="F285" s="138"/>
      <c r="G285" s="137">
        <f>IFERROR(INDEX(Aktiv!$G$6:$G$326,MATCH(A285,Aktiv!$A$6:$A$326,0)),"")</f>
        <v>29</v>
      </c>
      <c r="H285" s="137">
        <f>IFERROR(INDEX(Aktiv!$H$6:$H$326,MATCH(A285,Aktiv!$A$6:$A$326,0)),"")</f>
        <v>29</v>
      </c>
      <c r="I285" s="137">
        <f>IFERROR(INDEX(Aktiv!$I$6:$I$326,MATCH(A285,Aktiv!$A$6:$A$326,0)),"")</f>
        <v>29</v>
      </c>
      <c r="J285" s="137">
        <f>IFERROR(INDEX(Aktiv!$J$6:$J$326,MATCH(A285,Aktiv!$A$6:$A$326,0)),"")</f>
        <v>29</v>
      </c>
      <c r="K285" s="141">
        <f>IFERROR(ROUND(G285*Steuerungsdaten!$B$5,0),"-")</f>
        <v>33</v>
      </c>
      <c r="L285" s="137">
        <f>IFERROR(ROUND(H285*Steuerungsdaten!$B$5,0),"-")</f>
        <v>33</v>
      </c>
      <c r="M285" s="137">
        <f>IFERROR(ROUND(I285*Steuerungsdaten!$B$5,0),"-")</f>
        <v>33</v>
      </c>
      <c r="N285" s="137">
        <f>IFERROR(ROUND(J285*Steuerungsdaten!$B$5,0),"-")</f>
        <v>33</v>
      </c>
      <c r="O285" s="143" t="str">
        <f>IF(ISNA(MATCH(A285,Aktiv!$A$6:$A$326,0)),"⚠ nicht im Modell","")</f>
        <v/>
      </c>
    </row>
    <row r="286" spans="1:15" ht="18" customHeight="1" x14ac:dyDescent="0.25">
      <c r="A286" s="135">
        <v>8305</v>
      </c>
      <c r="B286" s="136" t="s">
        <v>296</v>
      </c>
      <c r="C286" s="136" t="s">
        <v>315</v>
      </c>
      <c r="D286" s="136" t="s">
        <v>321</v>
      </c>
      <c r="E286" s="138"/>
      <c r="F286" s="138"/>
      <c r="G286" s="137">
        <f>IFERROR(INDEX(Aktiv!$G$6:$G$326,MATCH(A286,Aktiv!$A$6:$A$326,0)),"")</f>
        <v>41</v>
      </c>
      <c r="H286" s="137">
        <f>IFERROR(INDEX(Aktiv!$H$6:$H$326,MATCH(A286,Aktiv!$A$6:$A$326,0)),"")</f>
        <v>41</v>
      </c>
      <c r="I286" s="137">
        <f>IFERROR(INDEX(Aktiv!$I$6:$I$326,MATCH(A286,Aktiv!$A$6:$A$326,0)),"")</f>
        <v>41</v>
      </c>
      <c r="J286" s="137">
        <f>IFERROR(INDEX(Aktiv!$J$6:$J$326,MATCH(A286,Aktiv!$A$6:$A$326,0)),"")</f>
        <v>41</v>
      </c>
      <c r="K286" s="141">
        <f>IFERROR(ROUND(G286*Steuerungsdaten!$B$5,0),"-")</f>
        <v>47</v>
      </c>
      <c r="L286" s="137">
        <f>IFERROR(ROUND(H286*Steuerungsdaten!$B$5,0),"-")</f>
        <v>47</v>
      </c>
      <c r="M286" s="137">
        <f>IFERROR(ROUND(I286*Steuerungsdaten!$B$5,0),"-")</f>
        <v>47</v>
      </c>
      <c r="N286" s="137">
        <f>IFERROR(ROUND(J286*Steuerungsdaten!$B$5,0),"-")</f>
        <v>47</v>
      </c>
      <c r="O286" s="143" t="str">
        <f>IF(ISNA(MATCH(A286,Aktiv!$A$6:$A$326,0)),"⚠ nicht im Modell","")</f>
        <v/>
      </c>
    </row>
    <row r="287" spans="1:15" ht="18" customHeight="1" x14ac:dyDescent="0.25">
      <c r="A287" s="135">
        <v>8306</v>
      </c>
      <c r="B287" s="136" t="s">
        <v>296</v>
      </c>
      <c r="C287" s="136" t="s">
        <v>315</v>
      </c>
      <c r="D287" s="136" t="s">
        <v>322</v>
      </c>
      <c r="E287" s="138"/>
      <c r="F287" s="138"/>
      <c r="G287" s="137">
        <f>IFERROR(INDEX(Aktiv!$G$6:$G$326,MATCH(A287,Aktiv!$A$6:$A$326,0)),"")</f>
        <v>19</v>
      </c>
      <c r="H287" s="137">
        <f>IFERROR(INDEX(Aktiv!$H$6:$H$326,MATCH(A287,Aktiv!$A$6:$A$326,0)),"")</f>
        <v>19</v>
      </c>
      <c r="I287" s="137">
        <f>IFERROR(INDEX(Aktiv!$I$6:$I$326,MATCH(A287,Aktiv!$A$6:$A$326,0)),"")</f>
        <v>19</v>
      </c>
      <c r="J287" s="137">
        <f>IFERROR(INDEX(Aktiv!$J$6:$J$326,MATCH(A287,Aktiv!$A$6:$A$326,0)),"")</f>
        <v>19</v>
      </c>
      <c r="K287" s="141">
        <f>IFERROR(ROUND(G287*Steuerungsdaten!$B$5,0),"-")</f>
        <v>22</v>
      </c>
      <c r="L287" s="137">
        <f>IFERROR(ROUND(H287*Steuerungsdaten!$B$5,0),"-")</f>
        <v>22</v>
      </c>
      <c r="M287" s="137">
        <f>IFERROR(ROUND(I287*Steuerungsdaten!$B$5,0),"-")</f>
        <v>22</v>
      </c>
      <c r="N287" s="137">
        <f>IFERROR(ROUND(J287*Steuerungsdaten!$B$5,0),"-")</f>
        <v>22</v>
      </c>
      <c r="O287" s="143" t="str">
        <f>IF(ISNA(MATCH(A287,Aktiv!$A$6:$A$326,0)),"⚠ nicht im Modell","")</f>
        <v/>
      </c>
    </row>
    <row r="288" spans="1:15" ht="18" customHeight="1" x14ac:dyDescent="0.25">
      <c r="A288" s="135">
        <v>8307</v>
      </c>
      <c r="B288" s="136" t="s">
        <v>296</v>
      </c>
      <c r="C288" s="136" t="s">
        <v>315</v>
      </c>
      <c r="D288" s="136" t="s">
        <v>323</v>
      </c>
      <c r="E288" s="138"/>
      <c r="F288" s="138"/>
      <c r="G288" s="137">
        <f>IFERROR(INDEX(Aktiv!$G$6:$G$326,MATCH(A288,Aktiv!$A$6:$A$326,0)),"")</f>
        <v>12</v>
      </c>
      <c r="H288" s="137">
        <f>IFERROR(INDEX(Aktiv!$H$6:$H$326,MATCH(A288,Aktiv!$A$6:$A$326,0)),"")</f>
        <v>12</v>
      </c>
      <c r="I288" s="137">
        <f>IFERROR(INDEX(Aktiv!$I$6:$I$326,MATCH(A288,Aktiv!$A$6:$A$326,0)),"")</f>
        <v>12</v>
      </c>
      <c r="J288" s="137">
        <f>IFERROR(INDEX(Aktiv!$J$6:$J$326,MATCH(A288,Aktiv!$A$6:$A$326,0)),"")</f>
        <v>12</v>
      </c>
      <c r="K288" s="141">
        <f>IFERROR(ROUND(G288*Steuerungsdaten!$B$5,0),"-")</f>
        <v>14</v>
      </c>
      <c r="L288" s="137">
        <f>IFERROR(ROUND(H288*Steuerungsdaten!$B$5,0),"-")</f>
        <v>14</v>
      </c>
      <c r="M288" s="137">
        <f>IFERROR(ROUND(I288*Steuerungsdaten!$B$5,0),"-")</f>
        <v>14</v>
      </c>
      <c r="N288" s="137">
        <f>IFERROR(ROUND(J288*Steuerungsdaten!$B$5,0),"-")</f>
        <v>14</v>
      </c>
      <c r="O288" s="143" t="str">
        <f>IF(ISNA(MATCH(A288,Aktiv!$A$6:$A$326,0)),"⚠ nicht im Modell","")</f>
        <v/>
      </c>
    </row>
    <row r="289" spans="1:15" ht="18" customHeight="1" x14ac:dyDescent="0.25">
      <c r="A289" s="135">
        <v>8308</v>
      </c>
      <c r="B289" s="136" t="s">
        <v>296</v>
      </c>
      <c r="C289" s="136" t="s">
        <v>315</v>
      </c>
      <c r="D289" s="136" t="s">
        <v>324</v>
      </c>
      <c r="E289" s="138"/>
      <c r="F289" s="138"/>
      <c r="G289" s="137">
        <f>IFERROR(INDEX(Aktiv!$G$6:$G$326,MATCH(A289,Aktiv!$A$6:$A$326,0)),"")</f>
        <v>15</v>
      </c>
      <c r="H289" s="137">
        <f>IFERROR(INDEX(Aktiv!$H$6:$H$326,MATCH(A289,Aktiv!$A$6:$A$326,0)),"")</f>
        <v>15</v>
      </c>
      <c r="I289" s="137">
        <f>IFERROR(INDEX(Aktiv!$I$6:$I$326,MATCH(A289,Aktiv!$A$6:$A$326,0)),"")</f>
        <v>15</v>
      </c>
      <c r="J289" s="137">
        <f>IFERROR(INDEX(Aktiv!$J$6:$J$326,MATCH(A289,Aktiv!$A$6:$A$326,0)),"")</f>
        <v>15</v>
      </c>
      <c r="K289" s="141">
        <f>IFERROR(ROUND(G289*Steuerungsdaten!$B$5,0),"-")</f>
        <v>17</v>
      </c>
      <c r="L289" s="137">
        <f>IFERROR(ROUND(H289*Steuerungsdaten!$B$5,0),"-")</f>
        <v>17</v>
      </c>
      <c r="M289" s="137">
        <f>IFERROR(ROUND(I289*Steuerungsdaten!$B$5,0),"-")</f>
        <v>17</v>
      </c>
      <c r="N289" s="137">
        <f>IFERROR(ROUND(J289*Steuerungsdaten!$B$5,0),"-")</f>
        <v>17</v>
      </c>
      <c r="O289" s="143" t="str">
        <f>IF(ISNA(MATCH(A289,Aktiv!$A$6:$A$326,0)),"⚠ nicht im Modell","")</f>
        <v/>
      </c>
    </row>
    <row r="290" spans="1:15" ht="18" customHeight="1" x14ac:dyDescent="0.25">
      <c r="A290" s="135">
        <v>8309</v>
      </c>
      <c r="B290" s="136" t="s">
        <v>296</v>
      </c>
      <c r="C290" s="136" t="s">
        <v>315</v>
      </c>
      <c r="D290" s="136" t="s">
        <v>325</v>
      </c>
      <c r="E290" s="138"/>
      <c r="F290" s="138"/>
      <c r="G290" s="137">
        <f>IFERROR(INDEX(Aktiv!$G$6:$G$326,MATCH(A290,Aktiv!$A$6:$A$326,0)),"")</f>
        <v>18</v>
      </c>
      <c r="H290" s="137">
        <f>IFERROR(INDEX(Aktiv!$H$6:$H$326,MATCH(A290,Aktiv!$A$6:$A$326,0)),"")</f>
        <v>18</v>
      </c>
      <c r="I290" s="137">
        <f>IFERROR(INDEX(Aktiv!$I$6:$I$326,MATCH(A290,Aktiv!$A$6:$A$326,0)),"")</f>
        <v>18</v>
      </c>
      <c r="J290" s="137">
        <f>IFERROR(INDEX(Aktiv!$J$6:$J$326,MATCH(A290,Aktiv!$A$6:$A$326,0)),"")</f>
        <v>18</v>
      </c>
      <c r="K290" s="141">
        <f>IFERROR(ROUND(G290*Steuerungsdaten!$B$5,0),"-")</f>
        <v>21</v>
      </c>
      <c r="L290" s="137">
        <f>IFERROR(ROUND(H290*Steuerungsdaten!$B$5,0),"-")</f>
        <v>21</v>
      </c>
      <c r="M290" s="137">
        <f>IFERROR(ROUND(I290*Steuerungsdaten!$B$5,0),"-")</f>
        <v>21</v>
      </c>
      <c r="N290" s="137">
        <f>IFERROR(ROUND(J290*Steuerungsdaten!$B$5,0),"-")</f>
        <v>21</v>
      </c>
      <c r="O290" s="143" t="str">
        <f>IF(ISNA(MATCH(A290,Aktiv!$A$6:$A$326,0)),"⚠ nicht im Modell","")</f>
        <v/>
      </c>
    </row>
    <row r="291" spans="1:15" ht="18" customHeight="1" x14ac:dyDescent="0.25">
      <c r="A291" s="135">
        <v>8310</v>
      </c>
      <c r="B291" s="136" t="s">
        <v>296</v>
      </c>
      <c r="C291" s="136" t="s">
        <v>315</v>
      </c>
      <c r="D291" s="136" t="s">
        <v>326</v>
      </c>
      <c r="E291" s="138"/>
      <c r="F291" s="138"/>
      <c r="G291" s="137">
        <f>IFERROR(INDEX(Aktiv!$G$6:$G$326,MATCH(A291,Aktiv!$A$6:$A$326,0)),"")</f>
        <v>39</v>
      </c>
      <c r="H291" s="137">
        <f>IFERROR(INDEX(Aktiv!$H$6:$H$326,MATCH(A291,Aktiv!$A$6:$A$326,0)),"")</f>
        <v>39</v>
      </c>
      <c r="I291" s="137">
        <f>IFERROR(INDEX(Aktiv!$I$6:$I$326,MATCH(A291,Aktiv!$A$6:$A$326,0)),"")</f>
        <v>39</v>
      </c>
      <c r="J291" s="137">
        <f>IFERROR(INDEX(Aktiv!$J$6:$J$326,MATCH(A291,Aktiv!$A$6:$A$326,0)),"")</f>
        <v>39</v>
      </c>
      <c r="K291" s="141">
        <f>IFERROR(ROUND(G291*Steuerungsdaten!$B$5,0),"-")</f>
        <v>45</v>
      </c>
      <c r="L291" s="137">
        <f>IFERROR(ROUND(H291*Steuerungsdaten!$B$5,0),"-")</f>
        <v>45</v>
      </c>
      <c r="M291" s="137">
        <f>IFERROR(ROUND(I291*Steuerungsdaten!$B$5,0),"-")</f>
        <v>45</v>
      </c>
      <c r="N291" s="137">
        <f>IFERROR(ROUND(J291*Steuerungsdaten!$B$5,0),"-")</f>
        <v>45</v>
      </c>
      <c r="O291" s="143" t="str">
        <f>IF(ISNA(MATCH(A291,Aktiv!$A$6:$A$326,0)),"⚠ nicht im Modell","")</f>
        <v/>
      </c>
    </row>
    <row r="292" spans="1:15" ht="18" customHeight="1" x14ac:dyDescent="0.25">
      <c r="A292" s="135">
        <v>8311</v>
      </c>
      <c r="B292" s="136" t="s">
        <v>296</v>
      </c>
      <c r="C292" s="136" t="s">
        <v>315</v>
      </c>
      <c r="D292" s="136" t="s">
        <v>327</v>
      </c>
      <c r="E292" s="138"/>
      <c r="F292" s="138"/>
      <c r="G292" s="137">
        <f>IFERROR(INDEX(Aktiv!$G$6:$G$326,MATCH(A292,Aktiv!$A$6:$A$326,0)),"")</f>
        <v>44</v>
      </c>
      <c r="H292" s="137">
        <f>IFERROR(INDEX(Aktiv!$H$6:$H$326,MATCH(A292,Aktiv!$A$6:$A$326,0)),"")</f>
        <v>44</v>
      </c>
      <c r="I292" s="137">
        <f>IFERROR(INDEX(Aktiv!$I$6:$I$326,MATCH(A292,Aktiv!$A$6:$A$326,0)),"")</f>
        <v>44</v>
      </c>
      <c r="J292" s="137">
        <f>IFERROR(INDEX(Aktiv!$J$6:$J$326,MATCH(A292,Aktiv!$A$6:$A$326,0)),"")</f>
        <v>44</v>
      </c>
      <c r="K292" s="141">
        <f>IFERROR(ROUND(G292*Steuerungsdaten!$B$5,0),"-")</f>
        <v>51</v>
      </c>
      <c r="L292" s="137">
        <f>IFERROR(ROUND(H292*Steuerungsdaten!$B$5,0),"-")</f>
        <v>51</v>
      </c>
      <c r="M292" s="137">
        <f>IFERROR(ROUND(I292*Steuerungsdaten!$B$5,0),"-")</f>
        <v>51</v>
      </c>
      <c r="N292" s="137">
        <f>IFERROR(ROUND(J292*Steuerungsdaten!$B$5,0),"-")</f>
        <v>51</v>
      </c>
      <c r="O292" s="143" t="str">
        <f>IF(ISNA(MATCH(A292,Aktiv!$A$6:$A$326,0)),"⚠ nicht im Modell","")</f>
        <v/>
      </c>
    </row>
    <row r="293" spans="1:15" ht="18" customHeight="1" x14ac:dyDescent="0.25">
      <c r="A293" s="135">
        <v>8312</v>
      </c>
      <c r="B293" s="136" t="s">
        <v>296</v>
      </c>
      <c r="C293" s="136" t="s">
        <v>315</v>
      </c>
      <c r="D293" s="136" t="s">
        <v>328</v>
      </c>
      <c r="E293" s="138"/>
      <c r="F293" s="138"/>
      <c r="G293" s="137">
        <f>IFERROR(INDEX(Aktiv!$G$6:$G$326,MATCH(A293,Aktiv!$A$6:$A$326,0)),"")</f>
        <v>38</v>
      </c>
      <c r="H293" s="137">
        <f>IFERROR(INDEX(Aktiv!$H$6:$H$326,MATCH(A293,Aktiv!$A$6:$A$326,0)),"")</f>
        <v>38</v>
      </c>
      <c r="I293" s="137">
        <f>IFERROR(INDEX(Aktiv!$I$6:$I$326,MATCH(A293,Aktiv!$A$6:$A$326,0)),"")</f>
        <v>38</v>
      </c>
      <c r="J293" s="137">
        <f>IFERROR(INDEX(Aktiv!$J$6:$J$326,MATCH(A293,Aktiv!$A$6:$A$326,0)),"")</f>
        <v>38</v>
      </c>
      <c r="K293" s="141">
        <f>IFERROR(ROUND(G293*Steuerungsdaten!$B$5,0),"-")</f>
        <v>44</v>
      </c>
      <c r="L293" s="137">
        <f>IFERROR(ROUND(H293*Steuerungsdaten!$B$5,0),"-")</f>
        <v>44</v>
      </c>
      <c r="M293" s="137">
        <f>IFERROR(ROUND(I293*Steuerungsdaten!$B$5,0),"-")</f>
        <v>44</v>
      </c>
      <c r="N293" s="137">
        <f>IFERROR(ROUND(J293*Steuerungsdaten!$B$5,0),"-")</f>
        <v>44</v>
      </c>
      <c r="O293" s="143" t="str">
        <f>IF(ISNA(MATCH(A293,Aktiv!$A$6:$A$326,0)),"⚠ nicht im Modell","")</f>
        <v/>
      </c>
    </row>
    <row r="294" spans="1:15" ht="18" customHeight="1" x14ac:dyDescent="0.25">
      <c r="A294" s="135">
        <v>8313</v>
      </c>
      <c r="B294" s="136" t="s">
        <v>296</v>
      </c>
      <c r="C294" s="136" t="s">
        <v>315</v>
      </c>
      <c r="D294" s="136" t="s">
        <v>329</v>
      </c>
      <c r="E294" s="138"/>
      <c r="F294" s="138"/>
      <c r="G294" s="137">
        <f>IFERROR(INDEX(Aktiv!$G$6:$G$326,MATCH(A294,Aktiv!$A$6:$A$326,0)),"")</f>
        <v>19</v>
      </c>
      <c r="H294" s="137">
        <f>IFERROR(INDEX(Aktiv!$H$6:$H$326,MATCH(A294,Aktiv!$A$6:$A$326,0)),"")</f>
        <v>19</v>
      </c>
      <c r="I294" s="137">
        <f>IFERROR(INDEX(Aktiv!$I$6:$I$326,MATCH(A294,Aktiv!$A$6:$A$326,0)),"")</f>
        <v>19</v>
      </c>
      <c r="J294" s="137">
        <f>IFERROR(INDEX(Aktiv!$J$6:$J$326,MATCH(A294,Aktiv!$A$6:$A$326,0)),"")</f>
        <v>19</v>
      </c>
      <c r="K294" s="141">
        <f>IFERROR(ROUND(G294*Steuerungsdaten!$B$5,0),"-")</f>
        <v>22</v>
      </c>
      <c r="L294" s="137">
        <f>IFERROR(ROUND(H294*Steuerungsdaten!$B$5,0),"-")</f>
        <v>22</v>
      </c>
      <c r="M294" s="137">
        <f>IFERROR(ROUND(I294*Steuerungsdaten!$B$5,0),"-")</f>
        <v>22</v>
      </c>
      <c r="N294" s="137">
        <f>IFERROR(ROUND(J294*Steuerungsdaten!$B$5,0),"-")</f>
        <v>22</v>
      </c>
      <c r="O294" s="143" t="str">
        <f>IF(ISNA(MATCH(A294,Aktiv!$A$6:$A$326,0)),"⚠ nicht im Modell","")</f>
        <v/>
      </c>
    </row>
    <row r="295" spans="1:15" ht="18" customHeight="1" x14ac:dyDescent="0.25">
      <c r="A295" s="135">
        <v>8314</v>
      </c>
      <c r="B295" s="136" t="s">
        <v>296</v>
      </c>
      <c r="C295" s="136" t="s">
        <v>315</v>
      </c>
      <c r="D295" s="136" t="s">
        <v>330</v>
      </c>
      <c r="E295" s="138"/>
      <c r="F295" s="138"/>
      <c r="G295" s="137">
        <f>IFERROR(INDEX(Aktiv!$G$6:$G$326,MATCH(A295,Aktiv!$A$6:$A$326,0)),"")</f>
        <v>22</v>
      </c>
      <c r="H295" s="137">
        <f>IFERROR(INDEX(Aktiv!$H$6:$H$326,MATCH(A295,Aktiv!$A$6:$A$326,0)),"")</f>
        <v>22</v>
      </c>
      <c r="I295" s="137">
        <f>IFERROR(INDEX(Aktiv!$I$6:$I$326,MATCH(A295,Aktiv!$A$6:$A$326,0)),"")</f>
        <v>22</v>
      </c>
      <c r="J295" s="137">
        <f>IFERROR(INDEX(Aktiv!$J$6:$J$326,MATCH(A295,Aktiv!$A$6:$A$326,0)),"")</f>
        <v>22</v>
      </c>
      <c r="K295" s="141">
        <f>IFERROR(ROUND(G295*Steuerungsdaten!$B$5,0),"-")</f>
        <v>25</v>
      </c>
      <c r="L295" s="137">
        <f>IFERROR(ROUND(H295*Steuerungsdaten!$B$5,0),"-")</f>
        <v>25</v>
      </c>
      <c r="M295" s="137">
        <f>IFERROR(ROUND(I295*Steuerungsdaten!$B$5,0),"-")</f>
        <v>25</v>
      </c>
      <c r="N295" s="137">
        <f>IFERROR(ROUND(J295*Steuerungsdaten!$B$5,0),"-")</f>
        <v>25</v>
      </c>
      <c r="O295" s="143" t="str">
        <f>IF(ISNA(MATCH(A295,Aktiv!$A$6:$A$326,0)),"⚠ nicht im Modell","")</f>
        <v/>
      </c>
    </row>
    <row r="296" spans="1:15" ht="18" customHeight="1" x14ac:dyDescent="0.25">
      <c r="A296" s="135">
        <v>8315</v>
      </c>
      <c r="B296" s="136" t="s">
        <v>296</v>
      </c>
      <c r="C296" s="136" t="s">
        <v>315</v>
      </c>
      <c r="D296" s="136" t="s">
        <v>331</v>
      </c>
      <c r="E296" s="138"/>
      <c r="F296" s="138"/>
      <c r="G296" s="137">
        <f>IFERROR(INDEX(Aktiv!$G$6:$G$326,MATCH(A296,Aktiv!$A$6:$A$326,0)),"")</f>
        <v>29</v>
      </c>
      <c r="H296" s="137">
        <f>IFERROR(INDEX(Aktiv!$H$6:$H$326,MATCH(A296,Aktiv!$A$6:$A$326,0)),"")</f>
        <v>29</v>
      </c>
      <c r="I296" s="137">
        <f>IFERROR(INDEX(Aktiv!$I$6:$I$326,MATCH(A296,Aktiv!$A$6:$A$326,0)),"")</f>
        <v>29</v>
      </c>
      <c r="J296" s="137">
        <f>IFERROR(INDEX(Aktiv!$J$6:$J$326,MATCH(A296,Aktiv!$A$6:$A$326,0)),"")</f>
        <v>29</v>
      </c>
      <c r="K296" s="141">
        <f>IFERROR(ROUND(G296*Steuerungsdaten!$B$5,0),"-")</f>
        <v>33</v>
      </c>
      <c r="L296" s="137">
        <f>IFERROR(ROUND(H296*Steuerungsdaten!$B$5,0),"-")</f>
        <v>33</v>
      </c>
      <c r="M296" s="137">
        <f>IFERROR(ROUND(I296*Steuerungsdaten!$B$5,0),"-")</f>
        <v>33</v>
      </c>
      <c r="N296" s="137">
        <f>IFERROR(ROUND(J296*Steuerungsdaten!$B$5,0),"-")</f>
        <v>33</v>
      </c>
      <c r="O296" s="143" t="str">
        <f>IF(ISNA(MATCH(A296,Aktiv!$A$6:$A$326,0)),"⚠ nicht im Modell","")</f>
        <v/>
      </c>
    </row>
    <row r="297" spans="1:15" ht="18" customHeight="1" x14ac:dyDescent="0.25">
      <c r="A297" s="135">
        <v>8503</v>
      </c>
      <c r="B297" s="136" t="s">
        <v>296</v>
      </c>
      <c r="C297" s="136" t="s">
        <v>332</v>
      </c>
      <c r="D297" s="136" t="s">
        <v>332</v>
      </c>
      <c r="E297" s="138"/>
      <c r="F297" s="138"/>
      <c r="G297" s="137">
        <f>IFERROR(INDEX(Aktiv!$G$6:$G$326,MATCH(A297,Aktiv!$A$6:$A$326,0)),"")</f>
        <v>262</v>
      </c>
      <c r="H297" s="137">
        <f>IFERROR(INDEX(Aktiv!$H$6:$H$326,MATCH(A297,Aktiv!$A$6:$A$326,0)),"")</f>
        <v>262</v>
      </c>
      <c r="I297" s="137">
        <f>IFERROR(INDEX(Aktiv!$I$6:$I$326,MATCH(A297,Aktiv!$A$6:$A$326,0)),"")</f>
        <v>262</v>
      </c>
      <c r="J297" s="137">
        <f>IFERROR(INDEX(Aktiv!$J$6:$J$326,MATCH(A297,Aktiv!$A$6:$A$326,0)),"")</f>
        <v>262</v>
      </c>
      <c r="K297" s="141">
        <f>IFERROR(ROUND(G297*Steuerungsdaten!$B$5,0),"-")</f>
        <v>301</v>
      </c>
      <c r="L297" s="137">
        <f>IFERROR(ROUND(H297*Steuerungsdaten!$B$5,0),"-")</f>
        <v>301</v>
      </c>
      <c r="M297" s="137">
        <f>IFERROR(ROUND(I297*Steuerungsdaten!$B$5,0),"-")</f>
        <v>301</v>
      </c>
      <c r="N297" s="137">
        <f>IFERROR(ROUND(J297*Steuerungsdaten!$B$5,0),"-")</f>
        <v>301</v>
      </c>
      <c r="O297" s="143" t="str">
        <f>IF(ISNA(MATCH(A297,Aktiv!$A$6:$A$326,0)),"⚠ nicht im Modell","")</f>
        <v/>
      </c>
    </row>
    <row r="298" spans="1:15" ht="18" customHeight="1" x14ac:dyDescent="0.25">
      <c r="A298" s="135">
        <v>8504</v>
      </c>
      <c r="B298" s="136" t="s">
        <v>296</v>
      </c>
      <c r="C298" s="136" t="s">
        <v>332</v>
      </c>
      <c r="D298" s="136" t="s">
        <v>332</v>
      </c>
      <c r="E298" s="138"/>
      <c r="F298" s="138"/>
      <c r="G298" s="137">
        <f>IFERROR(INDEX(Aktiv!$G$6:$G$326,MATCH(A298,Aktiv!$A$6:$A$326,0)),"")</f>
        <v>263</v>
      </c>
      <c r="H298" s="137">
        <f>IFERROR(INDEX(Aktiv!$H$6:$H$326,MATCH(A298,Aktiv!$A$6:$A$326,0)),"")</f>
        <v>263</v>
      </c>
      <c r="I298" s="137">
        <f>IFERROR(INDEX(Aktiv!$I$6:$I$326,MATCH(A298,Aktiv!$A$6:$A$326,0)),"")</f>
        <v>263</v>
      </c>
      <c r="J298" s="137">
        <f>IFERROR(INDEX(Aktiv!$J$6:$J$326,MATCH(A298,Aktiv!$A$6:$A$326,0)),"")</f>
        <v>263</v>
      </c>
      <c r="K298" s="141">
        <f>IFERROR(ROUND(G298*Steuerungsdaten!$B$5,0),"-")</f>
        <v>302</v>
      </c>
      <c r="L298" s="137">
        <f>IFERROR(ROUND(H298*Steuerungsdaten!$B$5,0),"-")</f>
        <v>302</v>
      </c>
      <c r="M298" s="137">
        <f>IFERROR(ROUND(I298*Steuerungsdaten!$B$5,0),"-")</f>
        <v>302</v>
      </c>
      <c r="N298" s="137">
        <f>IFERROR(ROUND(J298*Steuerungsdaten!$B$5,0),"-")</f>
        <v>302</v>
      </c>
      <c r="O298" s="143" t="str">
        <f>IF(ISNA(MATCH(A298,Aktiv!$A$6:$A$326,0)),"⚠ nicht im Modell","")</f>
        <v/>
      </c>
    </row>
    <row r="299" spans="1:15" ht="18" customHeight="1" x14ac:dyDescent="0.25">
      <c r="A299" s="135">
        <v>8505</v>
      </c>
      <c r="B299" s="136" t="s">
        <v>296</v>
      </c>
      <c r="C299" s="136" t="s">
        <v>332</v>
      </c>
      <c r="D299" s="136" t="s">
        <v>332</v>
      </c>
      <c r="E299" s="138"/>
      <c r="F299" s="138"/>
      <c r="G299" s="137">
        <f>IFERROR(INDEX(Aktiv!$G$6:$G$326,MATCH(A299,Aktiv!$A$6:$A$326,0)),"")</f>
        <v>265</v>
      </c>
      <c r="H299" s="137">
        <f>IFERROR(INDEX(Aktiv!$H$6:$H$326,MATCH(A299,Aktiv!$A$6:$A$326,0)),"")</f>
        <v>265</v>
      </c>
      <c r="I299" s="137">
        <f>IFERROR(INDEX(Aktiv!$I$6:$I$326,MATCH(A299,Aktiv!$A$6:$A$326,0)),"")</f>
        <v>265</v>
      </c>
      <c r="J299" s="137">
        <f>IFERROR(INDEX(Aktiv!$J$6:$J$326,MATCH(A299,Aktiv!$A$6:$A$326,0)),"")</f>
        <v>265</v>
      </c>
      <c r="K299" s="141">
        <f>IFERROR(ROUND(G299*Steuerungsdaten!$B$5,0),"-")</f>
        <v>305</v>
      </c>
      <c r="L299" s="137">
        <f>IFERROR(ROUND(H299*Steuerungsdaten!$B$5,0),"-")</f>
        <v>305</v>
      </c>
      <c r="M299" s="137">
        <f>IFERROR(ROUND(I299*Steuerungsdaten!$B$5,0),"-")</f>
        <v>305</v>
      </c>
      <c r="N299" s="137">
        <f>IFERROR(ROUND(J299*Steuerungsdaten!$B$5,0),"-")</f>
        <v>305</v>
      </c>
      <c r="O299" s="143" t="str">
        <f>IF(ISNA(MATCH(A299,Aktiv!$A$6:$A$326,0)),"⚠ nicht im Modell","")</f>
        <v/>
      </c>
    </row>
    <row r="300" spans="1:15" ht="18" customHeight="1" x14ac:dyDescent="0.25">
      <c r="A300" s="135">
        <v>8506</v>
      </c>
      <c r="B300" s="136" t="s">
        <v>296</v>
      </c>
      <c r="C300" s="136" t="s">
        <v>332</v>
      </c>
      <c r="D300" s="136" t="s">
        <v>332</v>
      </c>
      <c r="E300" s="138"/>
      <c r="F300" s="138"/>
      <c r="G300" s="137">
        <f>IFERROR(INDEX(Aktiv!$G$6:$G$326,MATCH(A300,Aktiv!$A$6:$A$326,0)),"")</f>
        <v>319</v>
      </c>
      <c r="H300" s="137">
        <f>IFERROR(INDEX(Aktiv!$H$6:$H$326,MATCH(A300,Aktiv!$A$6:$A$326,0)),"")</f>
        <v>319</v>
      </c>
      <c r="I300" s="137">
        <f>IFERROR(INDEX(Aktiv!$I$6:$I$326,MATCH(A300,Aktiv!$A$6:$A$326,0)),"")</f>
        <v>319</v>
      </c>
      <c r="J300" s="137">
        <f>IFERROR(INDEX(Aktiv!$J$6:$J$326,MATCH(A300,Aktiv!$A$6:$A$326,0)),"")</f>
        <v>319</v>
      </c>
      <c r="K300" s="141">
        <f>IFERROR(ROUND(G300*Steuerungsdaten!$B$5,0),"-")</f>
        <v>367</v>
      </c>
      <c r="L300" s="137">
        <f>IFERROR(ROUND(H300*Steuerungsdaten!$B$5,0),"-")</f>
        <v>367</v>
      </c>
      <c r="M300" s="137">
        <f>IFERROR(ROUND(I300*Steuerungsdaten!$B$5,0),"-")</f>
        <v>367</v>
      </c>
      <c r="N300" s="137">
        <f>IFERROR(ROUND(J300*Steuerungsdaten!$B$5,0),"-")</f>
        <v>367</v>
      </c>
      <c r="O300" s="143" t="str">
        <f>IF(ISNA(MATCH(A300,Aktiv!$A$6:$A$326,0)),"⚠ nicht im Modell","")</f>
        <v/>
      </c>
    </row>
    <row r="301" spans="1:15" ht="18" customHeight="1" x14ac:dyDescent="0.25">
      <c r="A301" s="135">
        <v>8050</v>
      </c>
      <c r="B301" s="136" t="s">
        <v>296</v>
      </c>
      <c r="C301" s="136" t="s">
        <v>333</v>
      </c>
      <c r="D301" s="136" t="s">
        <v>334</v>
      </c>
      <c r="E301" s="138"/>
      <c r="F301" s="138"/>
      <c r="G301" s="137">
        <f>IFERROR(INDEX(Aktiv!$G$6:$G$326,MATCH(A301,Aktiv!$A$6:$A$326,0)),"")</f>
        <v>5</v>
      </c>
      <c r="H301" s="137">
        <f>IFERROR(INDEX(Aktiv!$H$6:$H$326,MATCH(A301,Aktiv!$A$6:$A$326,0)),"")</f>
        <v>5</v>
      </c>
      <c r="I301" s="137">
        <f>IFERROR(INDEX(Aktiv!$I$6:$I$326,MATCH(A301,Aktiv!$A$6:$A$326,0)),"")</f>
        <v>5</v>
      </c>
      <c r="J301" s="137">
        <f>IFERROR(INDEX(Aktiv!$J$6:$J$326,MATCH(A301,Aktiv!$A$6:$A$326,0)),"")</f>
        <v>5</v>
      </c>
      <c r="K301" s="141">
        <f>IFERROR(ROUND(G301*Steuerungsdaten!$B$5,0),"-")</f>
        <v>6</v>
      </c>
      <c r="L301" s="137">
        <f>IFERROR(ROUND(H301*Steuerungsdaten!$B$5,0),"-")</f>
        <v>6</v>
      </c>
      <c r="M301" s="137">
        <f>IFERROR(ROUND(I301*Steuerungsdaten!$B$5,0),"-")</f>
        <v>6</v>
      </c>
      <c r="N301" s="137">
        <f>IFERROR(ROUND(J301*Steuerungsdaten!$B$5,0),"-")</f>
        <v>6</v>
      </c>
      <c r="O301" s="143" t="str">
        <f>IF(ISNA(MATCH(A301,Aktiv!$A$6:$A$326,0)),"⚠ nicht im Modell","")</f>
        <v/>
      </c>
    </row>
    <row r="302" spans="1:15" ht="18" customHeight="1" x14ac:dyDescent="0.25">
      <c r="A302" s="135">
        <v>8051</v>
      </c>
      <c r="B302" s="136" t="s">
        <v>296</v>
      </c>
      <c r="C302" s="136" t="s">
        <v>333</v>
      </c>
      <c r="D302" s="136" t="s">
        <v>335</v>
      </c>
      <c r="E302" s="138"/>
      <c r="F302" s="138"/>
      <c r="G302" s="137">
        <f>IFERROR(INDEX(Aktiv!$G$6:$G$326,MATCH(A302,Aktiv!$A$6:$A$326,0)),"")</f>
        <v>5</v>
      </c>
      <c r="H302" s="137">
        <f>IFERROR(INDEX(Aktiv!$H$6:$H$326,MATCH(A302,Aktiv!$A$6:$A$326,0)),"")</f>
        <v>5</v>
      </c>
      <c r="I302" s="137">
        <f>IFERROR(INDEX(Aktiv!$I$6:$I$326,MATCH(A302,Aktiv!$A$6:$A$326,0)),"")</f>
        <v>5</v>
      </c>
      <c r="J302" s="137">
        <f>IFERROR(INDEX(Aktiv!$J$6:$J$326,MATCH(A302,Aktiv!$A$6:$A$326,0)),"")</f>
        <v>5</v>
      </c>
      <c r="K302" s="141">
        <f>IFERROR(ROUND(G302*Steuerungsdaten!$B$5,0),"-")</f>
        <v>6</v>
      </c>
      <c r="L302" s="137">
        <f>IFERROR(ROUND(H302*Steuerungsdaten!$B$5,0),"-")</f>
        <v>6</v>
      </c>
      <c r="M302" s="137">
        <f>IFERROR(ROUND(I302*Steuerungsdaten!$B$5,0),"-")</f>
        <v>6</v>
      </c>
      <c r="N302" s="137">
        <f>IFERROR(ROUND(J302*Steuerungsdaten!$B$5,0),"-")</f>
        <v>6</v>
      </c>
      <c r="O302" s="143" t="str">
        <f>IF(ISNA(MATCH(A302,Aktiv!$A$6:$A$326,0)),"⚠ nicht im Modell","")</f>
        <v/>
      </c>
    </row>
    <row r="303" spans="1:15" ht="18" customHeight="1" x14ac:dyDescent="0.25">
      <c r="A303" s="135">
        <v>8080</v>
      </c>
      <c r="B303" s="136" t="s">
        <v>296</v>
      </c>
      <c r="C303" s="136" t="s">
        <v>333</v>
      </c>
      <c r="D303" s="136" t="s">
        <v>336</v>
      </c>
      <c r="E303" s="138"/>
      <c r="F303" s="138"/>
      <c r="G303" s="137">
        <f>IFERROR(INDEX(Aktiv!$G$6:$G$326,MATCH(A303,Aktiv!$A$6:$A$326,0)),"")</f>
        <v>8</v>
      </c>
      <c r="H303" s="137">
        <f>IFERROR(INDEX(Aktiv!$H$6:$H$326,MATCH(A303,Aktiv!$A$6:$A$326,0)),"")</f>
        <v>8</v>
      </c>
      <c r="I303" s="137">
        <f>IFERROR(INDEX(Aktiv!$I$6:$I$326,MATCH(A303,Aktiv!$A$6:$A$326,0)),"")</f>
        <v>8</v>
      </c>
      <c r="J303" s="137">
        <f>IFERROR(INDEX(Aktiv!$J$6:$J$326,MATCH(A303,Aktiv!$A$6:$A$326,0)),"")</f>
        <v>8</v>
      </c>
      <c r="K303" s="141">
        <f>IFERROR(ROUND(G303*Steuerungsdaten!$B$5,0),"-")</f>
        <v>9</v>
      </c>
      <c r="L303" s="137">
        <f>IFERROR(ROUND(H303*Steuerungsdaten!$B$5,0),"-")</f>
        <v>9</v>
      </c>
      <c r="M303" s="137">
        <f>IFERROR(ROUND(I303*Steuerungsdaten!$B$5,0),"-")</f>
        <v>9</v>
      </c>
      <c r="N303" s="137">
        <f>IFERROR(ROUND(J303*Steuerungsdaten!$B$5,0),"-")</f>
        <v>9</v>
      </c>
      <c r="O303" s="143" t="str">
        <f>IF(ISNA(MATCH(A303,Aktiv!$A$6:$A$326,0)),"⚠ nicht im Modell","")</f>
        <v/>
      </c>
    </row>
    <row r="304" spans="1:15" ht="18" customHeight="1" x14ac:dyDescent="0.25">
      <c r="A304" s="135">
        <v>8081</v>
      </c>
      <c r="B304" s="136" t="s">
        <v>296</v>
      </c>
      <c r="C304" s="136" t="s">
        <v>333</v>
      </c>
      <c r="D304" s="136" t="s">
        <v>337</v>
      </c>
      <c r="E304" s="138"/>
      <c r="F304" s="138"/>
      <c r="G304" s="137">
        <f>IFERROR(INDEX(Aktiv!$G$6:$G$326,MATCH(A304,Aktiv!$A$6:$A$326,0)),"")</f>
        <v>6</v>
      </c>
      <c r="H304" s="137">
        <f>IFERROR(INDEX(Aktiv!$H$6:$H$326,MATCH(A304,Aktiv!$A$6:$A$326,0)),"")</f>
        <v>6</v>
      </c>
      <c r="I304" s="137">
        <f>IFERROR(INDEX(Aktiv!$I$6:$I$326,MATCH(A304,Aktiv!$A$6:$A$326,0)),"")</f>
        <v>6</v>
      </c>
      <c r="J304" s="137">
        <f>IFERROR(INDEX(Aktiv!$J$6:$J$326,MATCH(A304,Aktiv!$A$6:$A$326,0)),"")</f>
        <v>6</v>
      </c>
      <c r="K304" s="141">
        <f>IFERROR(ROUND(G304*Steuerungsdaten!$B$5,0),"-")</f>
        <v>7</v>
      </c>
      <c r="L304" s="137">
        <f>IFERROR(ROUND(H304*Steuerungsdaten!$B$5,0),"-")</f>
        <v>7</v>
      </c>
      <c r="M304" s="137">
        <f>IFERROR(ROUND(I304*Steuerungsdaten!$B$5,0),"-")</f>
        <v>7</v>
      </c>
      <c r="N304" s="137">
        <f>IFERROR(ROUND(J304*Steuerungsdaten!$B$5,0),"-")</f>
        <v>7</v>
      </c>
      <c r="O304" s="143" t="str">
        <f>IF(ISNA(MATCH(A304,Aktiv!$A$6:$A$326,0)),"⚠ nicht im Modell","")</f>
        <v/>
      </c>
    </row>
    <row r="305" spans="1:15" ht="18" customHeight="1" x14ac:dyDescent="0.25">
      <c r="A305" s="135">
        <v>8152</v>
      </c>
      <c r="B305" s="136" t="s">
        <v>296</v>
      </c>
      <c r="C305" s="136" t="s">
        <v>333</v>
      </c>
      <c r="D305" s="136" t="s">
        <v>338</v>
      </c>
      <c r="E305" s="138"/>
      <c r="F305" s="138"/>
      <c r="G305" s="137">
        <f>IFERROR(INDEX(Aktiv!$G$6:$G$326,MATCH(A305,Aktiv!$A$6:$A$326,0)),"")</f>
        <v>70</v>
      </c>
      <c r="H305" s="137">
        <f>IFERROR(INDEX(Aktiv!$H$6:$H$326,MATCH(A305,Aktiv!$A$6:$A$326,0)),"")</f>
        <v>70</v>
      </c>
      <c r="I305" s="137">
        <f>IFERROR(INDEX(Aktiv!$I$6:$I$326,MATCH(A305,Aktiv!$A$6:$A$326,0)),"")</f>
        <v>70</v>
      </c>
      <c r="J305" s="137">
        <f>IFERROR(INDEX(Aktiv!$J$6:$J$326,MATCH(A305,Aktiv!$A$6:$A$326,0)),"")</f>
        <v>70</v>
      </c>
      <c r="K305" s="141">
        <f>IFERROR(ROUND(G305*Steuerungsdaten!$B$5,0),"-")</f>
        <v>81</v>
      </c>
      <c r="L305" s="137">
        <f>IFERROR(ROUND(H305*Steuerungsdaten!$B$5,0),"-")</f>
        <v>81</v>
      </c>
      <c r="M305" s="137">
        <f>IFERROR(ROUND(I305*Steuerungsdaten!$B$5,0),"-")</f>
        <v>81</v>
      </c>
      <c r="N305" s="137">
        <f>IFERROR(ROUND(J305*Steuerungsdaten!$B$5,0),"-")</f>
        <v>81</v>
      </c>
      <c r="O305" s="143" t="str">
        <f>IF(ISNA(MATCH(A305,Aktiv!$A$6:$A$326,0)),"⚠ nicht im Modell","")</f>
        <v/>
      </c>
    </row>
    <row r="306" spans="1:15" ht="18" customHeight="1" x14ac:dyDescent="0.25">
      <c r="A306" s="135">
        <v>8411</v>
      </c>
      <c r="B306" s="136" t="s">
        <v>296</v>
      </c>
      <c r="C306" s="136" t="s">
        <v>339</v>
      </c>
      <c r="D306" s="136" t="s">
        <v>340</v>
      </c>
      <c r="E306" s="138"/>
      <c r="F306" s="138"/>
      <c r="G306" s="137">
        <f>IFERROR(INDEX(Aktiv!$G$6:$G$326,MATCH(A306,Aktiv!$A$6:$A$326,0)),"")</f>
        <v>500</v>
      </c>
      <c r="H306" s="137">
        <f>IFERROR(INDEX(Aktiv!$H$6:$H$326,MATCH(A306,Aktiv!$A$6:$A$326,0)),"")</f>
        <v>500</v>
      </c>
      <c r="I306" s="137">
        <f>IFERROR(INDEX(Aktiv!$I$6:$I$326,MATCH(A306,Aktiv!$A$6:$A$326,0)),"")</f>
        <v>500</v>
      </c>
      <c r="J306" s="137">
        <f>IFERROR(INDEX(Aktiv!$J$6:$J$326,MATCH(A306,Aktiv!$A$6:$A$326,0)),"")</f>
        <v>500</v>
      </c>
      <c r="K306" s="141">
        <f>IFERROR(ROUND(G306*Steuerungsdaten!$B$5,0),"-")</f>
        <v>575</v>
      </c>
      <c r="L306" s="137">
        <f>IFERROR(ROUND(H306*Steuerungsdaten!$B$5,0),"-")</f>
        <v>575</v>
      </c>
      <c r="M306" s="137">
        <f>IFERROR(ROUND(I306*Steuerungsdaten!$B$5,0),"-")</f>
        <v>575</v>
      </c>
      <c r="N306" s="137">
        <f>IFERROR(ROUND(J306*Steuerungsdaten!$B$5,0),"-")</f>
        <v>575</v>
      </c>
      <c r="O306" s="143" t="str">
        <f>IF(ISNA(MATCH(A306,Aktiv!$A$6:$A$326,0)),"⚠ nicht im Modell","")</f>
        <v/>
      </c>
    </row>
    <row r="307" spans="1:15" x14ac:dyDescent="0.25">
      <c r="A307" s="135"/>
      <c r="B307" s="136" t="s">
        <v>296</v>
      </c>
      <c r="C307" s="136" t="s">
        <v>833</v>
      </c>
      <c r="D307" s="136"/>
      <c r="E307" s="138"/>
      <c r="F307" s="138"/>
      <c r="G307" s="137">
        <v>22</v>
      </c>
      <c r="H307" s="137">
        <v>22</v>
      </c>
      <c r="I307" s="137">
        <v>22</v>
      </c>
      <c r="J307" s="137">
        <v>22</v>
      </c>
      <c r="K307" s="141">
        <f>IFERROR(ROUND(G307*Steuerungsdaten!$B$5,0),"-")</f>
        <v>25</v>
      </c>
      <c r="L307" s="137">
        <f>IFERROR(ROUND(H307*Steuerungsdaten!$B$5,0),"-")</f>
        <v>25</v>
      </c>
      <c r="M307" s="137">
        <f>IFERROR(ROUND(I307*Steuerungsdaten!$B$5,0),"-")</f>
        <v>25</v>
      </c>
      <c r="N307" s="137">
        <f>IFERROR(ROUND(J307*Steuerungsdaten!$B$5,0),"-")</f>
        <v>25</v>
      </c>
      <c r="O307" s="143" t="str">
        <f>IF(ISNA(MATCH(A307,Aktiv!$A$6:$A$326,0)),"⚠ nicht im Modell","")</f>
        <v>⚠ nicht im Modell</v>
      </c>
    </row>
  </sheetData>
  <conditionalFormatting sqref="O2:O307">
    <cfRule type="containsText" dxfId="14" priority="1" operator="containsText" text="⚠">
      <formula>NOT(ISERROR(SEARCH("⚠",O2)))</formula>
    </cfRule>
  </conditionalFormatting>
  <pageMargins left="0.7" right="0.7" top="0.78740157499999996" bottom="0.78740157499999996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1A24-5AB9-4760-8AA4-AD6EE130348F}">
  <dimension ref="A1:R350"/>
  <sheetViews>
    <sheetView topLeftCell="B1" zoomScale="85" zoomScaleNormal="85" workbookViewId="0">
      <pane ySplit="4" topLeftCell="A263" activePane="bottomLeft" state="frozen"/>
      <selection pane="bottomLeft" activeCell="H278" sqref="H278"/>
    </sheetView>
  </sheetViews>
  <sheetFormatPr baseColWidth="10" defaultRowHeight="15" outlineLevelCol="2" x14ac:dyDescent="0.25"/>
  <cols>
    <col min="1" max="1" width="12.42578125" customWidth="1"/>
    <col min="3" max="3" width="25.7109375" customWidth="1"/>
    <col min="4" max="4" width="36.140625" customWidth="1"/>
    <col min="5" max="5" width="12.42578125" customWidth="1"/>
    <col min="6" max="6" width="11.42578125" customWidth="1"/>
    <col min="7" max="10" width="13.28515625" customWidth="1"/>
    <col min="11" max="14" width="13.28515625" customWidth="1" outlineLevel="1"/>
    <col min="15" max="18" width="10.42578125" customWidth="1" outlineLevel="2"/>
  </cols>
  <sheetData>
    <row r="1" spans="1:18" ht="32.1" customHeight="1" x14ac:dyDescent="0.25">
      <c r="A1" s="428" t="s">
        <v>524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</row>
    <row r="2" spans="1:18" ht="21.95" customHeight="1" x14ac:dyDescent="0.25">
      <c r="A2" s="429" t="s">
        <v>366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</row>
    <row r="3" spans="1:18" ht="24" customHeight="1" x14ac:dyDescent="0.25">
      <c r="A3" s="430" t="s">
        <v>367</v>
      </c>
      <c r="B3" s="430"/>
      <c r="C3" s="430"/>
      <c r="D3" s="430"/>
      <c r="E3" s="430"/>
      <c r="F3" s="430"/>
      <c r="G3" s="431" t="s">
        <v>368</v>
      </c>
      <c r="H3" s="431"/>
      <c r="I3" s="431"/>
      <c r="J3" s="431"/>
      <c r="K3" s="432" t="s">
        <v>369</v>
      </c>
      <c r="L3" s="432"/>
      <c r="M3" s="432"/>
      <c r="N3" s="432"/>
    </row>
    <row r="4" spans="1:18" ht="21.95" customHeight="1" x14ac:dyDescent="0.25">
      <c r="A4" s="62" t="s">
        <v>525</v>
      </c>
      <c r="B4" s="59" t="s">
        <v>4</v>
      </c>
      <c r="C4" s="59" t="s">
        <v>5</v>
      </c>
      <c r="D4" s="59" t="s">
        <v>6</v>
      </c>
      <c r="E4" s="59" t="s">
        <v>3</v>
      </c>
      <c r="F4" s="59" t="s">
        <v>526</v>
      </c>
      <c r="G4" s="60" t="s">
        <v>527</v>
      </c>
      <c r="H4" s="60" t="s">
        <v>528</v>
      </c>
      <c r="I4" s="60" t="s">
        <v>529</v>
      </c>
      <c r="J4" s="60" t="s">
        <v>530</v>
      </c>
      <c r="K4" s="61" t="s">
        <v>531</v>
      </c>
      <c r="L4" s="61" t="s">
        <v>532</v>
      </c>
      <c r="M4" s="61" t="s">
        <v>533</v>
      </c>
      <c r="N4" s="63" t="s">
        <v>534</v>
      </c>
      <c r="O4" s="273" t="s">
        <v>364</v>
      </c>
      <c r="P4" s="274" t="s">
        <v>830</v>
      </c>
      <c r="Q4" s="274" t="s">
        <v>831</v>
      </c>
      <c r="R4" s="274" t="s">
        <v>832</v>
      </c>
    </row>
    <row r="5" spans="1:18" ht="21.95" customHeight="1" x14ac:dyDescent="0.25">
      <c r="A5" s="426" t="s">
        <v>8</v>
      </c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79"/>
      <c r="P5" s="79"/>
      <c r="Q5" s="79"/>
      <c r="R5" s="79"/>
    </row>
    <row r="6" spans="1:18" x14ac:dyDescent="0.25">
      <c r="A6" s="64">
        <v>3000</v>
      </c>
      <c r="B6" s="65" t="s">
        <v>7</v>
      </c>
      <c r="C6" s="65" t="s">
        <v>8</v>
      </c>
      <c r="D6" s="65" t="s">
        <v>9</v>
      </c>
      <c r="E6" s="66">
        <v>360</v>
      </c>
      <c r="F6" s="66">
        <v>360</v>
      </c>
      <c r="G6" s="67">
        <f>IF(VLOOKUP(C6,Steuerungsdaten!$P$17:$T$39,2,0)="","",MAX(ROUND(VLOOKUP(C6,Steuerungsdaten!$P$17:$T$39,2,0)*Steuerungsdaten!$B$4*Steuerungsdaten!$B$7*IFERROR(VLOOKUP(C6,Steuerungsdaten!$B$17:$C$37,2,FALSE),1)*POWER(IF(OR(E6=0,F6=0,E6="",F6=""),1,(E6*F6/1000000)/Steuerungsdaten!$B$6),IFERROR(VLOOKUP(C6,Steuerungsdaten!$B$17:$K$37,10,FALSE),1)-1),0),Steuerungsdaten!$E$4))</f>
        <v>25</v>
      </c>
      <c r="H6" s="67">
        <f>IF(VLOOKUP(C6,Steuerungsdaten!$P$17:$T$39,3,0)="","",MAX(ROUND(VLOOKUP(C6,Steuerungsdaten!$P$17:$T$39,3,0)*Steuerungsdaten!$B$4*Steuerungsdaten!$B$8*IFERROR(VLOOKUP(C6,Steuerungsdaten!$B$17:$E$37,4,FALSE),1)*POWER(IF(OR(E6=0,F6=0,E6="",F6=""),1,(E6*F6/1000000)/Steuerungsdaten!$B$6),IFERROR(VLOOKUP(C6,Steuerungsdaten!$B$17:$L$37,11,FALSE),1)-1),0),Steuerungsdaten!$E$5))</f>
        <v>103</v>
      </c>
      <c r="I6" s="67">
        <f>IF(VLOOKUP(C6,Steuerungsdaten!$P$17:$T$39,4,0)="","",MAX(ROUND(VLOOKUP(C6,Steuerungsdaten!$P$17:$T$39,4,0)*Steuerungsdaten!$B$4*Steuerungsdaten!$B$9*IFERROR(VLOOKUP(C6,Steuerungsdaten!$B$17:$G$37,6,FALSE),1)*POWER(IF(OR(E6=0,F6=0,E6="",F6=""),1,(E6*F6/1000000)/Steuerungsdaten!$B$6),IFERROR(VLOOKUP(C6,Steuerungsdaten!$B$17:$M$37,12,FALSE),1)-1),0),Steuerungsdaten!$E$6))</f>
        <v>120</v>
      </c>
      <c r="J6" s="67">
        <f>IF(VLOOKUP(C6,Steuerungsdaten!$P$17:$T$39,5,0)="","",MAX(ROUND(VLOOKUP(C6,Steuerungsdaten!$P$17:$T$39,5,0)*Steuerungsdaten!$B$4*Steuerungsdaten!$B$10*IFERROR(VLOOKUP(C6,Steuerungsdaten!$B$17:$I$37,8,FALSE),1)*POWER(IF(OR(E6=0,F6=0,E6="",F6=""),1,(E6*F6/1000000)/Steuerungsdaten!$B$6),IFERROR(VLOOKUP(C6,Steuerungsdaten!$B$17:$N$37,13,FALSE),1)-1),0),Steuerungsdaten!$E$7))</f>
        <v>145</v>
      </c>
      <c r="K6" s="67">
        <f>IF(G6="","",ROUND(G6*Steuerungsdaten!$B$5,0))</f>
        <v>29</v>
      </c>
      <c r="L6" s="67">
        <f>IF(H6="","",ROUND(H6*Steuerungsdaten!$B$5,0))</f>
        <v>118</v>
      </c>
      <c r="M6" s="67">
        <f>IF(I6="","",ROUND(I6*Steuerungsdaten!$B$5,0))</f>
        <v>138</v>
      </c>
      <c r="N6" s="68">
        <f>IF(J6="","",ROUND(J6*Steuerungsdaten!$B$5,0))</f>
        <v>167</v>
      </c>
      <c r="O6" s="79">
        <v>34</v>
      </c>
      <c r="P6" s="79">
        <f>IF(H6="","",ROUND(H6/(Steuerungsdaten!$B$4*Steuerungsdaten!$B$8*IFERROR(VLOOKUP(C6,Steuerungsdaten!$B$17:$E$37,4,FALSE),1)*POWER(IF(OR(E6=0,F6=0,E6="",F6=""),1,(E6*F6/1000000)/Steuerungsdaten!$B$6),IFERROR(VLOOKUP(C6,Steuerungsdaten!$B$17:$L$37,11,FALSE),1)-1)),0))</f>
        <v>316</v>
      </c>
      <c r="Q6" s="79">
        <f>IF(I6="","",ROUND(I6/(Steuerungsdaten!$B$4*Steuerungsdaten!$B$9*IFERROR(VLOOKUP(C6,Steuerungsdaten!$B$17:$G$37,6,FALSE),1)*POWER(IF(OR(E6=0,F6=0,E6="",F6=""),1,(E6*F6/1000000)/Steuerungsdaten!$B$6),IFERROR(VLOOKUP(C6,Steuerungsdaten!$B$17:$M$37,12,FALSE),1)-1)),0))</f>
        <v>368</v>
      </c>
      <c r="R6" s="79">
        <f>IF(J6="","",ROUND(J6/(Steuerungsdaten!$B$4*Steuerungsdaten!$B$10*IFERROR(VLOOKUP(C6,Steuerungsdaten!$B$17:$I$37,8,FALSE),1)*POWER(IF(OR(E6=0,F6=0,E6="",F6=""),1,(E6*F6/1000000)/Steuerungsdaten!$B$6),IFERROR(VLOOKUP(C6,Steuerungsdaten!$B$17:$N$37,13,FALSE),1)-1)),0))</f>
        <v>408</v>
      </c>
    </row>
    <row r="7" spans="1:18" x14ac:dyDescent="0.25">
      <c r="A7" s="69">
        <v>3001</v>
      </c>
      <c r="B7" s="70" t="s">
        <v>7</v>
      </c>
      <c r="C7" s="70" t="s">
        <v>8</v>
      </c>
      <c r="D7" s="70" t="s">
        <v>10</v>
      </c>
      <c r="E7" s="71">
        <v>420</v>
      </c>
      <c r="F7" s="71">
        <v>360</v>
      </c>
      <c r="G7" s="72">
        <f>IF(VLOOKUP(C7,Steuerungsdaten!$P$17:$T$39,2,0)="","",MAX(ROUND(VLOOKUP(C7,Steuerungsdaten!$P$17:$T$39,2,0)*Steuerungsdaten!$B$4*Steuerungsdaten!$B$7*IFERROR(VLOOKUP(C7,Steuerungsdaten!$B$17:$C$37,2,FALSE),1)*POWER(IF(OR(E7=0,F7=0,E7="",F7=""),1,(E7*F7/1000000)/Steuerungsdaten!$B$6),IFERROR(VLOOKUP(C7,Steuerungsdaten!$B$17:$K$37,10,FALSE),1)-1),0),Steuerungsdaten!$E$4))</f>
        <v>27</v>
      </c>
      <c r="H7" s="72">
        <f>IF(VLOOKUP(C7,Steuerungsdaten!$P$17:$T$39,3,0)="","",MAX(ROUND(VLOOKUP(C7,Steuerungsdaten!$P$17:$T$39,3,0)*Steuerungsdaten!$B$4*Steuerungsdaten!$B$8*IFERROR(VLOOKUP(C7,Steuerungsdaten!$B$17:$E$37,4,FALSE),1)*POWER(IF(OR(E7=0,F7=0,E7="",F7=""),1,(E7*F7/1000000)/Steuerungsdaten!$B$6),IFERROR(VLOOKUP(C7,Steuerungsdaten!$B$17:$L$37,11,FALSE),1)-1),0),Steuerungsdaten!$E$5))</f>
        <v>103</v>
      </c>
      <c r="I7" s="72">
        <f>IF(VLOOKUP(C7,Steuerungsdaten!$P$17:$T$39,4,0)="","",MAX(ROUND(VLOOKUP(C7,Steuerungsdaten!$P$17:$T$39,4,0)*Steuerungsdaten!$B$4*Steuerungsdaten!$B$9*IFERROR(VLOOKUP(C7,Steuerungsdaten!$B$17:$G$37,6,FALSE),1)*POWER(IF(OR(E7=0,F7=0,E7="",F7=""),1,(E7*F7/1000000)/Steuerungsdaten!$B$6),IFERROR(VLOOKUP(C7,Steuerungsdaten!$B$17:$M$37,12,FALSE),1)-1),0),Steuerungsdaten!$E$6))</f>
        <v>120</v>
      </c>
      <c r="J7" s="72">
        <f>IF(VLOOKUP(C7,Steuerungsdaten!$P$17:$T$39,5,0)="","",MAX(ROUND(VLOOKUP(C7,Steuerungsdaten!$P$17:$T$39,5,0)*Steuerungsdaten!$B$4*Steuerungsdaten!$B$10*IFERROR(VLOOKUP(C7,Steuerungsdaten!$B$17:$I$37,8,FALSE),1)*POWER(IF(OR(E7=0,F7=0,E7="",F7=""),1,(E7*F7/1000000)/Steuerungsdaten!$B$6),IFERROR(VLOOKUP(C7,Steuerungsdaten!$B$17:$N$37,13,FALSE),1)-1),0),Steuerungsdaten!$E$7))</f>
        <v>145</v>
      </c>
      <c r="K7" s="72">
        <f>IF(G7="","",ROUND(G7*Steuerungsdaten!$B$5,0))</f>
        <v>31</v>
      </c>
      <c r="L7" s="72">
        <f>IF(H7="","",ROUND(H7*Steuerungsdaten!$B$5,0))</f>
        <v>118</v>
      </c>
      <c r="M7" s="72">
        <f>IF(I7="","",ROUND(I7*Steuerungsdaten!$B$5,0))</f>
        <v>138</v>
      </c>
      <c r="N7" s="73">
        <f>IF(J7="","",ROUND(J7*Steuerungsdaten!$B$5,0))</f>
        <v>167</v>
      </c>
      <c r="O7" s="79">
        <v>34</v>
      </c>
      <c r="P7" s="79">
        <f>IF(H7="","",ROUND(H7/(Steuerungsdaten!$B$4*Steuerungsdaten!$B$8*IFERROR(VLOOKUP(C7,Steuerungsdaten!$B$17:$E$37,4,FALSE),1)*POWER(IF(OR(E7=0,F7=0,E7="",F7=""),1,(E7*F7/1000000)/Steuerungsdaten!$B$6),IFERROR(VLOOKUP(C7,Steuerungsdaten!$B$17:$L$37,11,FALSE),1)-1)),0))</f>
        <v>271</v>
      </c>
      <c r="Q7" s="79">
        <f>IF(I7="","",ROUND(I7/(Steuerungsdaten!$B$4*Steuerungsdaten!$B$9*IFERROR(VLOOKUP(C7,Steuerungsdaten!$B$17:$G$37,6,FALSE),1)*POWER(IF(OR(E7=0,F7=0,E7="",F7=""),1,(E7*F7/1000000)/Steuerungsdaten!$B$6),IFERROR(VLOOKUP(C7,Steuerungsdaten!$B$17:$M$37,12,FALSE),1)-1)),0))</f>
        <v>316</v>
      </c>
      <c r="R7" s="79">
        <f>IF(J7="","",ROUND(J7/(Steuerungsdaten!$B$4*Steuerungsdaten!$B$10*IFERROR(VLOOKUP(C7,Steuerungsdaten!$B$17:$I$37,8,FALSE),1)*POWER(IF(OR(E7=0,F7=0,E7="",F7=""),1,(E7*F7/1000000)/Steuerungsdaten!$B$6),IFERROR(VLOOKUP(C7,Steuerungsdaten!$B$17:$N$37,13,FALSE),1)-1)),0))</f>
        <v>350</v>
      </c>
    </row>
    <row r="8" spans="1:18" x14ac:dyDescent="0.25">
      <c r="A8" s="74">
        <v>3002</v>
      </c>
      <c r="B8" s="75" t="s">
        <v>7</v>
      </c>
      <c r="C8" s="75" t="s">
        <v>8</v>
      </c>
      <c r="D8" s="75" t="s">
        <v>11</v>
      </c>
      <c r="E8" s="76">
        <v>580</v>
      </c>
      <c r="F8" s="76">
        <v>360</v>
      </c>
      <c r="G8" s="77">
        <f>IF(VLOOKUP(C8,Steuerungsdaten!$P$17:$T$39,2,0)="","",MAX(ROUND(VLOOKUP(C8,Steuerungsdaten!$P$17:$T$39,2,0)*Steuerungsdaten!$B$4*Steuerungsdaten!$B$7*IFERROR(VLOOKUP(C8,Steuerungsdaten!$B$17:$C$37,2,FALSE),1)*POWER(IF(OR(E8=0,F8=0,E8="",F8=""),1,(E8*F8/1000000)/Steuerungsdaten!$B$6),IFERROR(VLOOKUP(C8,Steuerungsdaten!$B$17:$K$37,10,FALSE),1)-1),0),Steuerungsdaten!$E$4))</f>
        <v>37</v>
      </c>
      <c r="H8" s="77">
        <f>IF(VLOOKUP(C8,Steuerungsdaten!$P$17:$T$39,3,0)="","",MAX(ROUND(VLOOKUP(C8,Steuerungsdaten!$P$17:$T$39,3,0)*Steuerungsdaten!$B$4*Steuerungsdaten!$B$8*IFERROR(VLOOKUP(C8,Steuerungsdaten!$B$17:$E$37,4,FALSE),1)*POWER(IF(OR(E8=0,F8=0,E8="",F8=""),1,(E8*F8/1000000)/Steuerungsdaten!$B$6),IFERROR(VLOOKUP(C8,Steuerungsdaten!$B$17:$L$37,11,FALSE),1)-1),0),Steuerungsdaten!$E$5))</f>
        <v>126</v>
      </c>
      <c r="I8" s="77">
        <f>IF(VLOOKUP(C8,Steuerungsdaten!$P$17:$T$39,4,0)="","",MAX(ROUND(VLOOKUP(C8,Steuerungsdaten!$P$17:$T$39,4,0)*Steuerungsdaten!$B$4*Steuerungsdaten!$B$9*IFERROR(VLOOKUP(C8,Steuerungsdaten!$B$17:$G$37,6,FALSE),1)*POWER(IF(OR(E8=0,F8=0,E8="",F8=""),1,(E8*F8/1000000)/Steuerungsdaten!$B$6),IFERROR(VLOOKUP(C8,Steuerungsdaten!$B$17:$M$37,12,FALSE),1)-1),0),Steuerungsdaten!$E$6))</f>
        <v>131</v>
      </c>
      <c r="J8" s="77">
        <f>IF(VLOOKUP(C8,Steuerungsdaten!$P$17:$T$39,5,0)="","",MAX(ROUND(VLOOKUP(C8,Steuerungsdaten!$P$17:$T$39,5,0)*Steuerungsdaten!$B$4*Steuerungsdaten!$B$10*IFERROR(VLOOKUP(C8,Steuerungsdaten!$B$17:$I$37,8,FALSE),1)*POWER(IF(OR(E8=0,F8=0,E8="",F8=""),1,(E8*F8/1000000)/Steuerungsdaten!$B$6),IFERROR(VLOOKUP(C8,Steuerungsdaten!$B$17:$N$37,13,FALSE),1)-1),0),Steuerungsdaten!$E$7))</f>
        <v>146</v>
      </c>
      <c r="K8" s="77">
        <f>IF(G8="","",ROUND(G8*Steuerungsdaten!$B$5,0))</f>
        <v>43</v>
      </c>
      <c r="L8" s="77">
        <f>IF(H8="","",ROUND(H8*Steuerungsdaten!$B$5,0))</f>
        <v>145</v>
      </c>
      <c r="M8" s="77">
        <f>IF(I8="","",ROUND(I8*Steuerungsdaten!$B$5,0))</f>
        <v>151</v>
      </c>
      <c r="N8" s="78">
        <f>IF(J8="","",ROUND(J8*Steuerungsdaten!$B$5,0))</f>
        <v>168</v>
      </c>
      <c r="O8" s="79">
        <v>43</v>
      </c>
      <c r="P8" s="79">
        <f>IF(H8="","",ROUND(H8/(Steuerungsdaten!$B$4*Steuerungsdaten!$B$8*IFERROR(VLOOKUP(C8,Steuerungsdaten!$B$17:$E$37,4,FALSE),1)*POWER(IF(OR(E8=0,F8=0,E8="",F8=""),1,(E8*F8/1000000)/Steuerungsdaten!$B$6),IFERROR(VLOOKUP(C8,Steuerungsdaten!$B$17:$L$37,11,FALSE),1)-1)),0))</f>
        <v>240</v>
      </c>
      <c r="Q8" s="79">
        <f>IF(I8="","",ROUND(I8/(Steuerungsdaten!$B$4*Steuerungsdaten!$B$9*IFERROR(VLOOKUP(C8,Steuerungsdaten!$B$17:$G$37,6,FALSE),1)*POWER(IF(OR(E8=0,F8=0,E8="",F8=""),1,(E8*F8/1000000)/Steuerungsdaten!$B$6),IFERROR(VLOOKUP(C8,Steuerungsdaten!$B$17:$M$37,12,FALSE),1)-1)),0))</f>
        <v>250</v>
      </c>
      <c r="R8" s="79">
        <f>IF(J8="","",ROUND(J8/(Steuerungsdaten!$B$4*Steuerungsdaten!$B$10*IFERROR(VLOOKUP(C8,Steuerungsdaten!$B$17:$I$37,8,FALSE),1)*POWER(IF(OR(E8=0,F8=0,E8="",F8=""),1,(E8*F8/1000000)/Steuerungsdaten!$B$6),IFERROR(VLOOKUP(C8,Steuerungsdaten!$B$17:$N$37,13,FALSE),1)-1)),0))</f>
        <v>255</v>
      </c>
    </row>
    <row r="9" spans="1:18" x14ac:dyDescent="0.25">
      <c r="A9" s="69">
        <v>3003</v>
      </c>
      <c r="B9" s="70" t="s">
        <v>7</v>
      </c>
      <c r="C9" s="70" t="s">
        <v>8</v>
      </c>
      <c r="D9" s="70" t="s">
        <v>12</v>
      </c>
      <c r="E9" s="71">
        <v>780</v>
      </c>
      <c r="F9" s="71">
        <v>360</v>
      </c>
      <c r="G9" s="72">
        <f>IF(VLOOKUP(C9,Steuerungsdaten!$P$17:$T$39,2,0)="","",MAX(ROUND(VLOOKUP(C9,Steuerungsdaten!$P$17:$T$39,2,0)*Steuerungsdaten!$B$4*Steuerungsdaten!$B$7*IFERROR(VLOOKUP(C9,Steuerungsdaten!$B$17:$C$37,2,FALSE),1)*POWER(IF(OR(E9=0,F9=0,E9="",F9=""),1,(E9*F9/1000000)/Steuerungsdaten!$B$6),IFERROR(VLOOKUP(C9,Steuerungsdaten!$B$17:$K$37,10,FALSE),1)-1),0),Steuerungsdaten!$E$4))</f>
        <v>49</v>
      </c>
      <c r="H9" s="72">
        <f>IF(VLOOKUP(C9,Steuerungsdaten!$P$17:$T$39,3,0)="","",MAX(ROUND(VLOOKUP(C9,Steuerungsdaten!$P$17:$T$39,3,0)*Steuerungsdaten!$B$4*Steuerungsdaten!$B$8*IFERROR(VLOOKUP(C9,Steuerungsdaten!$B$17:$E$37,4,FALSE),1)*POWER(IF(OR(E9=0,F9=0,E9="",F9=""),1,(E9*F9/1000000)/Steuerungsdaten!$B$6),IFERROR(VLOOKUP(C9,Steuerungsdaten!$B$17:$L$37,11,FALSE),1)-1),0),Steuerungsdaten!$E$5))</f>
        <v>169</v>
      </c>
      <c r="I9" s="72">
        <f>IF(VLOOKUP(C9,Steuerungsdaten!$P$17:$T$39,4,0)="","",MAX(ROUND(VLOOKUP(C9,Steuerungsdaten!$P$17:$T$39,4,0)*Steuerungsdaten!$B$4*Steuerungsdaten!$B$9*IFERROR(VLOOKUP(C9,Steuerungsdaten!$B$17:$G$37,6,FALSE),1)*POWER(IF(OR(E9=0,F9=0,E9="",F9=""),1,(E9*F9/1000000)/Steuerungsdaten!$B$6),IFERROR(VLOOKUP(C9,Steuerungsdaten!$B$17:$M$37,12,FALSE),1)-1),0),Steuerungsdaten!$E$6))</f>
        <v>177</v>
      </c>
      <c r="J9" s="72">
        <f>IF(VLOOKUP(C9,Steuerungsdaten!$P$17:$T$39,5,0)="","",MAX(ROUND(VLOOKUP(C9,Steuerungsdaten!$P$17:$T$39,5,0)*Steuerungsdaten!$B$4*Steuerungsdaten!$B$10*IFERROR(VLOOKUP(C9,Steuerungsdaten!$B$17:$I$37,8,FALSE),1)*POWER(IF(OR(E9=0,F9=0,E9="",F9=""),1,(E9*F9/1000000)/Steuerungsdaten!$B$6),IFERROR(VLOOKUP(C9,Steuerungsdaten!$B$17:$N$37,13,FALSE),1)-1),0),Steuerungsdaten!$E$7))</f>
        <v>196</v>
      </c>
      <c r="K9" s="72">
        <f>IF(G9="","",ROUND(G9*Steuerungsdaten!$B$5,0))</f>
        <v>56</v>
      </c>
      <c r="L9" s="72">
        <f>IF(H9="","",ROUND(H9*Steuerungsdaten!$B$5,0))</f>
        <v>194</v>
      </c>
      <c r="M9" s="72">
        <f>IF(I9="","",ROUND(I9*Steuerungsdaten!$B$5,0))</f>
        <v>204</v>
      </c>
      <c r="N9" s="73">
        <f>IF(J9="","",ROUND(J9*Steuerungsdaten!$B$5,0))</f>
        <v>225</v>
      </c>
      <c r="O9" s="79">
        <v>56</v>
      </c>
      <c r="P9" s="79">
        <f>IF(H9="","",ROUND(H9/(Steuerungsdaten!$B$4*Steuerungsdaten!$B$8*IFERROR(VLOOKUP(C9,Steuerungsdaten!$B$17:$E$37,4,FALSE),1)*POWER(IF(OR(E9=0,F9=0,E9="",F9=""),1,(E9*F9/1000000)/Steuerungsdaten!$B$6),IFERROR(VLOOKUP(C9,Steuerungsdaten!$B$17:$L$37,11,FALSE),1)-1)),0))</f>
        <v>239</v>
      </c>
      <c r="Q9" s="79">
        <f>IF(I9="","",ROUND(I9/(Steuerungsdaten!$B$4*Steuerungsdaten!$B$9*IFERROR(VLOOKUP(C9,Steuerungsdaten!$B$17:$G$37,6,FALSE),1)*POWER(IF(OR(E9=0,F9=0,E9="",F9=""),1,(E9*F9/1000000)/Steuerungsdaten!$B$6),IFERROR(VLOOKUP(C9,Steuerungsdaten!$B$17:$M$37,12,FALSE),1)-1)),0))</f>
        <v>251</v>
      </c>
      <c r="R9" s="79">
        <f>IF(J9="","",ROUND(J9/(Steuerungsdaten!$B$4*Steuerungsdaten!$B$10*IFERROR(VLOOKUP(C9,Steuerungsdaten!$B$17:$I$37,8,FALSE),1)*POWER(IF(OR(E9=0,F9=0,E9="",F9=""),1,(E9*F9/1000000)/Steuerungsdaten!$B$6),IFERROR(VLOOKUP(C9,Steuerungsdaten!$B$17:$N$37,13,FALSE),1)-1)),0))</f>
        <v>254</v>
      </c>
    </row>
    <row r="10" spans="1:18" x14ac:dyDescent="0.25">
      <c r="A10" s="74">
        <v>3004</v>
      </c>
      <c r="B10" s="75" t="s">
        <v>7</v>
      </c>
      <c r="C10" s="75" t="s">
        <v>8</v>
      </c>
      <c r="D10" s="75" t="s">
        <v>13</v>
      </c>
      <c r="E10" s="76">
        <v>980</v>
      </c>
      <c r="F10" s="76">
        <v>360</v>
      </c>
      <c r="G10" s="77">
        <f>IF(VLOOKUP(C10,Steuerungsdaten!$P$17:$T$39,2,0)="","",MAX(ROUND(VLOOKUP(C10,Steuerungsdaten!$P$17:$T$39,2,0)*Steuerungsdaten!$B$4*Steuerungsdaten!$B$7*IFERROR(VLOOKUP(C10,Steuerungsdaten!$B$17:$C$37,2,FALSE),1)*POWER(IF(OR(E10=0,F10=0,E10="",F10=""),1,(E10*F10/1000000)/Steuerungsdaten!$B$6),IFERROR(VLOOKUP(C10,Steuerungsdaten!$B$17:$K$37,10,FALSE),1)-1),0),Steuerungsdaten!$E$4))</f>
        <v>62</v>
      </c>
      <c r="H10" s="77">
        <f>IF(VLOOKUP(C10,Steuerungsdaten!$P$17:$T$39,3,0)="","",MAX(ROUND(VLOOKUP(C10,Steuerungsdaten!$P$17:$T$39,3,0)*Steuerungsdaten!$B$4*Steuerungsdaten!$B$8*IFERROR(VLOOKUP(C10,Steuerungsdaten!$B$17:$E$37,4,FALSE),1)*POWER(IF(OR(E10=0,F10=0,E10="",F10=""),1,(E10*F10/1000000)/Steuerungsdaten!$B$6),IFERROR(VLOOKUP(C10,Steuerungsdaten!$B$17:$L$37,11,FALSE),1)-1),0),Steuerungsdaten!$E$5))</f>
        <v>213</v>
      </c>
      <c r="I10" s="77">
        <f>IF(VLOOKUP(C10,Steuerungsdaten!$P$17:$T$39,4,0)="","",MAX(ROUND(VLOOKUP(C10,Steuerungsdaten!$P$17:$T$39,4,0)*Steuerungsdaten!$B$4*Steuerungsdaten!$B$9*IFERROR(VLOOKUP(C10,Steuerungsdaten!$B$17:$G$37,6,FALSE),1)*POWER(IF(OR(E10=0,F10=0,E10="",F10=""),1,(E10*F10/1000000)/Steuerungsdaten!$B$6),IFERROR(VLOOKUP(C10,Steuerungsdaten!$B$17:$M$37,12,FALSE),1)-1),0),Steuerungsdaten!$E$6))</f>
        <v>222</v>
      </c>
      <c r="J10" s="77">
        <f>IF(VLOOKUP(C10,Steuerungsdaten!$P$17:$T$39,5,0)="","",MAX(ROUND(VLOOKUP(C10,Steuerungsdaten!$P$17:$T$39,5,0)*Steuerungsdaten!$B$4*Steuerungsdaten!$B$10*IFERROR(VLOOKUP(C10,Steuerungsdaten!$B$17:$I$37,8,FALSE),1)*POWER(IF(OR(E10=0,F10=0,E10="",F10=""),1,(E10*F10/1000000)/Steuerungsdaten!$B$6),IFERROR(VLOOKUP(C10,Steuerungsdaten!$B$17:$N$37,13,FALSE),1)-1),0),Steuerungsdaten!$E$7))</f>
        <v>247</v>
      </c>
      <c r="K10" s="77">
        <f>IF(G10="","",ROUND(G10*Steuerungsdaten!$B$5,0))</f>
        <v>71</v>
      </c>
      <c r="L10" s="77">
        <f>IF(H10="","",ROUND(H10*Steuerungsdaten!$B$5,0))</f>
        <v>245</v>
      </c>
      <c r="M10" s="77">
        <f>IF(I10="","",ROUND(I10*Steuerungsdaten!$B$5,0))</f>
        <v>255</v>
      </c>
      <c r="N10" s="78">
        <f>IF(J10="","",ROUND(J10*Steuerungsdaten!$B$5,0))</f>
        <v>284</v>
      </c>
      <c r="O10" s="79">
        <v>70</v>
      </c>
      <c r="P10" s="79">
        <f>IF(H10="","",ROUND(H10/(Steuerungsdaten!$B$4*Steuerungsdaten!$B$8*IFERROR(VLOOKUP(C10,Steuerungsdaten!$B$17:$E$37,4,FALSE),1)*POWER(IF(OR(E10=0,F10=0,E10="",F10=""),1,(E10*F10/1000000)/Steuerungsdaten!$B$6),IFERROR(VLOOKUP(C10,Steuerungsdaten!$B$17:$L$37,11,FALSE),1)-1)),0))</f>
        <v>240</v>
      </c>
      <c r="Q10" s="79">
        <f>IF(I10="","",ROUND(I10/(Steuerungsdaten!$B$4*Steuerungsdaten!$B$9*IFERROR(VLOOKUP(C10,Steuerungsdaten!$B$17:$G$37,6,FALSE),1)*POWER(IF(OR(E10=0,F10=0,E10="",F10=""),1,(E10*F10/1000000)/Steuerungsdaten!$B$6),IFERROR(VLOOKUP(C10,Steuerungsdaten!$B$17:$M$37,12,FALSE),1)-1)),0))</f>
        <v>250</v>
      </c>
      <c r="R10" s="79">
        <f>IF(J10="","",ROUND(J10/(Steuerungsdaten!$B$4*Steuerungsdaten!$B$10*IFERROR(VLOOKUP(C10,Steuerungsdaten!$B$17:$I$37,8,FALSE),1)*POWER(IF(OR(E10=0,F10=0,E10="",F10=""),1,(E10*F10/1000000)/Steuerungsdaten!$B$6),IFERROR(VLOOKUP(C10,Steuerungsdaten!$B$17:$N$37,13,FALSE),1)-1)),0))</f>
        <v>255</v>
      </c>
    </row>
    <row r="11" spans="1:18" x14ac:dyDescent="0.25">
      <c r="A11" s="69">
        <v>3005</v>
      </c>
      <c r="B11" s="70" t="s">
        <v>7</v>
      </c>
      <c r="C11" s="70" t="s">
        <v>8</v>
      </c>
      <c r="D11" s="70" t="s">
        <v>14</v>
      </c>
      <c r="E11" s="71">
        <v>360</v>
      </c>
      <c r="F11" s="71">
        <v>580</v>
      </c>
      <c r="G11" s="72">
        <f>IF(VLOOKUP(C11,Steuerungsdaten!$P$17:$T$39,2,0)="","",MAX(ROUND(VLOOKUP(C11,Steuerungsdaten!$P$17:$T$39,2,0)*Steuerungsdaten!$B$4*Steuerungsdaten!$B$7*IFERROR(VLOOKUP(C11,Steuerungsdaten!$B$17:$C$37,2,FALSE),1)*POWER(IF(OR(E11=0,F11=0,E11="",F11=""),1,(E11*F11/1000000)/Steuerungsdaten!$B$6),IFERROR(VLOOKUP(C11,Steuerungsdaten!$B$17:$K$37,10,FALSE),1)-1),0),Steuerungsdaten!$E$4))</f>
        <v>37</v>
      </c>
      <c r="H11" s="72">
        <f>IF(VLOOKUP(C11,Steuerungsdaten!$P$17:$T$39,3,0)="","",MAX(ROUND(VLOOKUP(C11,Steuerungsdaten!$P$17:$T$39,3,0)*Steuerungsdaten!$B$4*Steuerungsdaten!$B$8*IFERROR(VLOOKUP(C11,Steuerungsdaten!$B$17:$E$37,4,FALSE),1)*POWER(IF(OR(E11=0,F11=0,E11="",F11=""),1,(E11*F11/1000000)/Steuerungsdaten!$B$6),IFERROR(VLOOKUP(C11,Steuerungsdaten!$B$17:$L$37,11,FALSE),1)-1),0),Steuerungsdaten!$E$5))</f>
        <v>126</v>
      </c>
      <c r="I11" s="72">
        <f>IF(VLOOKUP(C11,Steuerungsdaten!$P$17:$T$39,4,0)="","",MAX(ROUND(VLOOKUP(C11,Steuerungsdaten!$P$17:$T$39,4,0)*Steuerungsdaten!$B$4*Steuerungsdaten!$B$9*IFERROR(VLOOKUP(C11,Steuerungsdaten!$B$17:$G$37,6,FALSE),1)*POWER(IF(OR(E11=0,F11=0,E11="",F11=""),1,(E11*F11/1000000)/Steuerungsdaten!$B$6),IFERROR(VLOOKUP(C11,Steuerungsdaten!$B$17:$M$37,12,FALSE),1)-1),0),Steuerungsdaten!$E$6))</f>
        <v>131</v>
      </c>
      <c r="J11" s="72">
        <f>IF(VLOOKUP(C11,Steuerungsdaten!$P$17:$T$39,5,0)="","",MAX(ROUND(VLOOKUP(C11,Steuerungsdaten!$P$17:$T$39,5,0)*Steuerungsdaten!$B$4*Steuerungsdaten!$B$10*IFERROR(VLOOKUP(C11,Steuerungsdaten!$B$17:$I$37,8,FALSE),1)*POWER(IF(OR(E11=0,F11=0,E11="",F11=""),1,(E11*F11/1000000)/Steuerungsdaten!$B$6),IFERROR(VLOOKUP(C11,Steuerungsdaten!$B$17:$N$37,13,FALSE),1)-1),0),Steuerungsdaten!$E$7))</f>
        <v>146</v>
      </c>
      <c r="K11" s="72">
        <f>IF(G11="","",ROUND(G11*Steuerungsdaten!$B$5,0))</f>
        <v>43</v>
      </c>
      <c r="L11" s="72">
        <f>IF(H11="","",ROUND(H11*Steuerungsdaten!$B$5,0))</f>
        <v>145</v>
      </c>
      <c r="M11" s="72">
        <f>IF(I11="","",ROUND(I11*Steuerungsdaten!$B$5,0))</f>
        <v>151</v>
      </c>
      <c r="N11" s="73">
        <f>IF(J11="","",ROUND(J11*Steuerungsdaten!$B$5,0))</f>
        <v>168</v>
      </c>
      <c r="O11" s="79">
        <v>43</v>
      </c>
      <c r="P11" s="79">
        <f>IF(H11="","",ROUND(H11/(Steuerungsdaten!$B$4*Steuerungsdaten!$B$8*IFERROR(VLOOKUP(C11,Steuerungsdaten!$B$17:$E$37,4,FALSE),1)*POWER(IF(OR(E11=0,F11=0,E11="",F11=""),1,(E11*F11/1000000)/Steuerungsdaten!$B$6),IFERROR(VLOOKUP(C11,Steuerungsdaten!$B$17:$L$37,11,FALSE),1)-1)),0))</f>
        <v>240</v>
      </c>
      <c r="Q11" s="79">
        <f>IF(I11="","",ROUND(I11/(Steuerungsdaten!$B$4*Steuerungsdaten!$B$9*IFERROR(VLOOKUP(C11,Steuerungsdaten!$B$17:$G$37,6,FALSE),1)*POWER(IF(OR(E11=0,F11=0,E11="",F11=""),1,(E11*F11/1000000)/Steuerungsdaten!$B$6),IFERROR(VLOOKUP(C11,Steuerungsdaten!$B$17:$M$37,12,FALSE),1)-1)),0))</f>
        <v>250</v>
      </c>
      <c r="R11" s="79">
        <f>IF(J11="","",ROUND(J11/(Steuerungsdaten!$B$4*Steuerungsdaten!$B$10*IFERROR(VLOOKUP(C11,Steuerungsdaten!$B$17:$I$37,8,FALSE),1)*POWER(IF(OR(E11=0,F11=0,E11="",F11=""),1,(E11*F11/1000000)/Steuerungsdaten!$B$6),IFERROR(VLOOKUP(C11,Steuerungsdaten!$B$17:$N$37,13,FALSE),1)-1)),0))</f>
        <v>255</v>
      </c>
    </row>
    <row r="12" spans="1:18" x14ac:dyDescent="0.25">
      <c r="A12" s="74">
        <v>3006</v>
      </c>
      <c r="B12" s="75" t="s">
        <v>7</v>
      </c>
      <c r="C12" s="75" t="s">
        <v>8</v>
      </c>
      <c r="D12" s="75" t="s">
        <v>16</v>
      </c>
      <c r="E12" s="76">
        <v>420</v>
      </c>
      <c r="F12" s="76">
        <v>580</v>
      </c>
      <c r="G12" s="77">
        <f>IF(VLOOKUP(C12,Steuerungsdaten!$P$17:$T$39,2,0)="","",MAX(ROUND(VLOOKUP(C12,Steuerungsdaten!$P$17:$T$39,2,0)*Steuerungsdaten!$B$4*Steuerungsdaten!$B$7*IFERROR(VLOOKUP(C12,Steuerungsdaten!$B$17:$C$37,2,FALSE),1)*POWER(IF(OR(E12=0,F12=0,E12="",F12=""),1,(E12*F12/1000000)/Steuerungsdaten!$B$6),IFERROR(VLOOKUP(C12,Steuerungsdaten!$B$17:$K$37,10,FALSE),1)-1),0),Steuerungsdaten!$E$4))</f>
        <v>43</v>
      </c>
      <c r="H12" s="77">
        <f>IF(VLOOKUP(C12,Steuerungsdaten!$P$17:$T$39,3,0)="","",MAX(ROUND(VLOOKUP(C12,Steuerungsdaten!$P$17:$T$39,3,0)*Steuerungsdaten!$B$4*Steuerungsdaten!$B$8*IFERROR(VLOOKUP(C12,Steuerungsdaten!$B$17:$E$37,4,FALSE),1)*POWER(IF(OR(E12=0,F12=0,E12="",F12=""),1,(E12*F12/1000000)/Steuerungsdaten!$B$6),IFERROR(VLOOKUP(C12,Steuerungsdaten!$B$17:$L$37,11,FALSE),1)-1),0),Steuerungsdaten!$E$5))</f>
        <v>147</v>
      </c>
      <c r="I12" s="77">
        <f>IF(VLOOKUP(C12,Steuerungsdaten!$P$17:$T$39,4,0)="","",MAX(ROUND(VLOOKUP(C12,Steuerungsdaten!$P$17:$T$39,4,0)*Steuerungsdaten!$B$4*Steuerungsdaten!$B$9*IFERROR(VLOOKUP(C12,Steuerungsdaten!$B$17:$G$37,6,FALSE),1)*POWER(IF(OR(E12=0,F12=0,E12="",F12=""),1,(E12*F12/1000000)/Steuerungsdaten!$B$6),IFERROR(VLOOKUP(C12,Steuerungsdaten!$B$17:$M$37,12,FALSE),1)-1),0),Steuerungsdaten!$E$6))</f>
        <v>153</v>
      </c>
      <c r="J12" s="77">
        <f>IF(VLOOKUP(C12,Steuerungsdaten!$P$17:$T$39,5,0)="","",MAX(ROUND(VLOOKUP(C12,Steuerungsdaten!$P$17:$T$39,5,0)*Steuerungsdaten!$B$4*Steuerungsdaten!$B$10*IFERROR(VLOOKUP(C12,Steuerungsdaten!$B$17:$I$37,8,FALSE),1)*POWER(IF(OR(E12=0,F12=0,E12="",F12=""),1,(E12*F12/1000000)/Steuerungsdaten!$B$6),IFERROR(VLOOKUP(C12,Steuerungsdaten!$B$17:$N$37,13,FALSE),1)-1),0),Steuerungsdaten!$E$7))</f>
        <v>170</v>
      </c>
      <c r="K12" s="77">
        <f>IF(G12="","",ROUND(G12*Steuerungsdaten!$B$5,0))</f>
        <v>49</v>
      </c>
      <c r="L12" s="77">
        <f>IF(H12="","",ROUND(H12*Steuerungsdaten!$B$5,0))</f>
        <v>169</v>
      </c>
      <c r="M12" s="77">
        <f>IF(I12="","",ROUND(I12*Steuerungsdaten!$B$5,0))</f>
        <v>176</v>
      </c>
      <c r="N12" s="78">
        <f>IF(J12="","",ROUND(J12*Steuerungsdaten!$B$5,0))</f>
        <v>196</v>
      </c>
      <c r="O12" s="79">
        <v>49</v>
      </c>
      <c r="P12" s="79">
        <f>IF(H12="","",ROUND(H12/(Steuerungsdaten!$B$4*Steuerungsdaten!$B$8*IFERROR(VLOOKUP(C12,Steuerungsdaten!$B$17:$E$37,4,FALSE),1)*POWER(IF(OR(E12=0,F12=0,E12="",F12=""),1,(E12*F12/1000000)/Steuerungsdaten!$B$6),IFERROR(VLOOKUP(C12,Steuerungsdaten!$B$17:$L$37,11,FALSE),1)-1)),0))</f>
        <v>240</v>
      </c>
      <c r="Q12" s="79">
        <f>IF(I12="","",ROUND(I12/(Steuerungsdaten!$B$4*Steuerungsdaten!$B$9*IFERROR(VLOOKUP(C12,Steuerungsdaten!$B$17:$G$37,6,FALSE),1)*POWER(IF(OR(E12=0,F12=0,E12="",F12=""),1,(E12*F12/1000000)/Steuerungsdaten!$B$6),IFERROR(VLOOKUP(C12,Steuerungsdaten!$B$17:$M$37,12,FALSE),1)-1)),0))</f>
        <v>250</v>
      </c>
      <c r="R12" s="79">
        <f>IF(J12="","",ROUND(J12/(Steuerungsdaten!$B$4*Steuerungsdaten!$B$10*IFERROR(VLOOKUP(C12,Steuerungsdaten!$B$17:$I$37,8,FALSE),1)*POWER(IF(OR(E12=0,F12=0,E12="",F12=""),1,(E12*F12/1000000)/Steuerungsdaten!$B$6),IFERROR(VLOOKUP(C12,Steuerungsdaten!$B$17:$N$37,13,FALSE),1)-1)),0))</f>
        <v>254</v>
      </c>
    </row>
    <row r="13" spans="1:18" x14ac:dyDescent="0.25">
      <c r="A13" s="69">
        <v>3007</v>
      </c>
      <c r="B13" s="70" t="s">
        <v>7</v>
      </c>
      <c r="C13" s="70" t="s">
        <v>8</v>
      </c>
      <c r="D13" s="70" t="s">
        <v>17</v>
      </c>
      <c r="E13" s="71">
        <v>580</v>
      </c>
      <c r="F13" s="71">
        <v>580</v>
      </c>
      <c r="G13" s="72">
        <f>IF(VLOOKUP(C13,Steuerungsdaten!$P$17:$T$39,2,0)="","",MAX(ROUND(VLOOKUP(C13,Steuerungsdaten!$P$17:$T$39,2,0)*Steuerungsdaten!$B$4*Steuerungsdaten!$B$7*IFERROR(VLOOKUP(C13,Steuerungsdaten!$B$17:$C$37,2,FALSE),1)*POWER(IF(OR(E13=0,F13=0,E13="",F13=""),1,(E13*F13/1000000)/Steuerungsdaten!$B$6),IFERROR(VLOOKUP(C13,Steuerungsdaten!$B$17:$K$37,10,FALSE),1)-1),0),Steuerungsdaten!$E$4))</f>
        <v>59</v>
      </c>
      <c r="H13" s="72">
        <f>IF(VLOOKUP(C13,Steuerungsdaten!$P$17:$T$39,3,0)="","",MAX(ROUND(VLOOKUP(C13,Steuerungsdaten!$P$17:$T$39,3,0)*Steuerungsdaten!$B$4*Steuerungsdaten!$B$8*IFERROR(VLOOKUP(C13,Steuerungsdaten!$B$17:$E$37,4,FALSE),1)*POWER(IF(OR(E13=0,F13=0,E13="",F13=""),1,(E13*F13/1000000)/Steuerungsdaten!$B$6),IFERROR(VLOOKUP(C13,Steuerungsdaten!$B$17:$L$37,11,FALSE),1)-1),0),Steuerungsdaten!$E$5))</f>
        <v>203</v>
      </c>
      <c r="I13" s="72">
        <f>IF(VLOOKUP(C13,Steuerungsdaten!$P$17:$T$39,4,0)="","",MAX(ROUND(VLOOKUP(C13,Steuerungsdaten!$P$17:$T$39,4,0)*Steuerungsdaten!$B$4*Steuerungsdaten!$B$9*IFERROR(VLOOKUP(C13,Steuerungsdaten!$B$17:$G$37,6,FALSE),1)*POWER(IF(OR(E13=0,F13=0,E13="",F13=""),1,(E13*F13/1000000)/Steuerungsdaten!$B$6),IFERROR(VLOOKUP(C13,Steuerungsdaten!$B$17:$M$37,12,FALSE),1)-1),0),Steuerungsdaten!$E$6))</f>
        <v>211</v>
      </c>
      <c r="J13" s="72">
        <f>IF(VLOOKUP(C13,Steuerungsdaten!$P$17:$T$39,5,0)="","",MAX(ROUND(VLOOKUP(C13,Steuerungsdaten!$P$17:$T$39,5,0)*Steuerungsdaten!$B$4*Steuerungsdaten!$B$10*IFERROR(VLOOKUP(C13,Steuerungsdaten!$B$17:$I$37,8,FALSE),1)*POWER(IF(OR(E13=0,F13=0,E13="",F13=""),1,(E13*F13/1000000)/Steuerungsdaten!$B$6),IFERROR(VLOOKUP(C13,Steuerungsdaten!$B$17:$N$37,13,FALSE),1)-1),0),Steuerungsdaten!$E$7))</f>
        <v>235</v>
      </c>
      <c r="K13" s="72">
        <f>IF(G13="","",ROUND(G13*Steuerungsdaten!$B$5,0))</f>
        <v>68</v>
      </c>
      <c r="L13" s="72">
        <f>IF(H13="","",ROUND(H13*Steuerungsdaten!$B$5,0))</f>
        <v>233</v>
      </c>
      <c r="M13" s="72">
        <f>IF(I13="","",ROUND(I13*Steuerungsdaten!$B$5,0))</f>
        <v>243</v>
      </c>
      <c r="N13" s="73">
        <f>IF(J13="","",ROUND(J13*Steuerungsdaten!$B$5,0))</f>
        <v>270</v>
      </c>
      <c r="O13" s="79">
        <v>67</v>
      </c>
      <c r="P13" s="79">
        <f>IF(H13="","",ROUND(H13/(Steuerungsdaten!$B$4*Steuerungsdaten!$B$8*IFERROR(VLOOKUP(C13,Steuerungsdaten!$B$17:$E$37,4,FALSE),1)*POWER(IF(OR(E13=0,F13=0,E13="",F13=""),1,(E13*F13/1000000)/Steuerungsdaten!$B$6),IFERROR(VLOOKUP(C13,Steuerungsdaten!$B$17:$L$37,11,FALSE),1)-1)),0))</f>
        <v>240</v>
      </c>
      <c r="Q13" s="79">
        <f>IF(I13="","",ROUND(I13/(Steuerungsdaten!$B$4*Steuerungsdaten!$B$9*IFERROR(VLOOKUP(C13,Steuerungsdaten!$B$17:$G$37,6,FALSE),1)*POWER(IF(OR(E13=0,F13=0,E13="",F13=""),1,(E13*F13/1000000)/Steuerungsdaten!$B$6),IFERROR(VLOOKUP(C13,Steuerungsdaten!$B$17:$M$37,12,FALSE),1)-1)),0))</f>
        <v>249</v>
      </c>
      <c r="R13" s="79">
        <f>IF(J13="","",ROUND(J13/(Steuerungsdaten!$B$4*Steuerungsdaten!$B$10*IFERROR(VLOOKUP(C13,Steuerungsdaten!$B$17:$I$37,8,FALSE),1)*POWER(IF(OR(E13=0,F13=0,E13="",F13=""),1,(E13*F13/1000000)/Steuerungsdaten!$B$6),IFERROR(VLOOKUP(C13,Steuerungsdaten!$B$17:$N$37,13,FALSE),1)-1)),0))</f>
        <v>255</v>
      </c>
    </row>
    <row r="14" spans="1:18" x14ac:dyDescent="0.25">
      <c r="A14" s="74">
        <v>3008</v>
      </c>
      <c r="B14" s="75" t="s">
        <v>7</v>
      </c>
      <c r="C14" s="75" t="s">
        <v>8</v>
      </c>
      <c r="D14" s="75" t="s">
        <v>18</v>
      </c>
      <c r="E14" s="76">
        <v>780</v>
      </c>
      <c r="F14" s="76">
        <v>580</v>
      </c>
      <c r="G14" s="77">
        <f>IF(VLOOKUP(C14,Steuerungsdaten!$P$17:$T$39,2,0)="","",MAX(ROUND(VLOOKUP(C14,Steuerungsdaten!$P$17:$T$39,2,0)*Steuerungsdaten!$B$4*Steuerungsdaten!$B$7*IFERROR(VLOOKUP(C14,Steuerungsdaten!$B$17:$C$37,2,FALSE),1)*POWER(IF(OR(E14=0,F14=0,E14="",F14=""),1,(E14*F14/1000000)/Steuerungsdaten!$B$6),IFERROR(VLOOKUP(C14,Steuerungsdaten!$B$17:$K$37,10,FALSE),1)-1),0),Steuerungsdaten!$E$4))</f>
        <v>80</v>
      </c>
      <c r="H14" s="77">
        <f>IF(VLOOKUP(C14,Steuerungsdaten!$P$17:$T$39,3,0)="","",MAX(ROUND(VLOOKUP(C14,Steuerungsdaten!$P$17:$T$39,3,0)*Steuerungsdaten!$B$4*Steuerungsdaten!$B$8*IFERROR(VLOOKUP(C14,Steuerungsdaten!$B$17:$E$37,4,FALSE),1)*POWER(IF(OR(E14=0,F14=0,E14="",F14=""),1,(E14*F14/1000000)/Steuerungsdaten!$B$6),IFERROR(VLOOKUP(C14,Steuerungsdaten!$B$17:$L$37,11,FALSE),1)-1),0),Steuerungsdaten!$E$5))</f>
        <v>273</v>
      </c>
      <c r="I14" s="77">
        <f>IF(VLOOKUP(C14,Steuerungsdaten!$P$17:$T$39,4,0)="","",MAX(ROUND(VLOOKUP(C14,Steuerungsdaten!$P$17:$T$39,4,0)*Steuerungsdaten!$B$4*Steuerungsdaten!$B$9*IFERROR(VLOOKUP(C14,Steuerungsdaten!$B$17:$G$37,6,FALSE),1)*POWER(IF(OR(E14=0,F14=0,E14="",F14=""),1,(E14*F14/1000000)/Steuerungsdaten!$B$6),IFERROR(VLOOKUP(C14,Steuerungsdaten!$B$17:$M$37,12,FALSE),1)-1),0),Steuerungsdaten!$E$6))</f>
        <v>284</v>
      </c>
      <c r="J14" s="77">
        <f>IF(VLOOKUP(C14,Steuerungsdaten!$P$17:$T$39,5,0)="","",MAX(ROUND(VLOOKUP(C14,Steuerungsdaten!$P$17:$T$39,5,0)*Steuerungsdaten!$B$4*Steuerungsdaten!$B$10*IFERROR(VLOOKUP(C14,Steuerungsdaten!$B$17:$I$37,8,FALSE),1)*POWER(IF(OR(E14=0,F14=0,E14="",F14=""),1,(E14*F14/1000000)/Steuerungsdaten!$B$6),IFERROR(VLOOKUP(C14,Steuerungsdaten!$B$17:$N$37,13,FALSE),1)-1),0),Steuerungsdaten!$E$7))</f>
        <v>316</v>
      </c>
      <c r="K14" s="77">
        <f>IF(G14="","",ROUND(G14*Steuerungsdaten!$B$5,0))</f>
        <v>92</v>
      </c>
      <c r="L14" s="77">
        <f>IF(H14="","",ROUND(H14*Steuerungsdaten!$B$5,0))</f>
        <v>314</v>
      </c>
      <c r="M14" s="77">
        <f>IF(I14="","",ROUND(I14*Steuerungsdaten!$B$5,0))</f>
        <v>327</v>
      </c>
      <c r="N14" s="78">
        <f>IF(J14="","",ROUND(J14*Steuerungsdaten!$B$5,0))</f>
        <v>363</v>
      </c>
      <c r="O14" s="79">
        <v>87</v>
      </c>
      <c r="P14" s="79">
        <f>IF(H14="","",ROUND(H14/(Steuerungsdaten!$B$4*Steuerungsdaten!$B$8*IFERROR(VLOOKUP(C14,Steuerungsdaten!$B$17:$E$37,4,FALSE),1)*POWER(IF(OR(E14=0,F14=0,E14="",F14=""),1,(E14*F14/1000000)/Steuerungsdaten!$B$6),IFERROR(VLOOKUP(C14,Steuerungsdaten!$B$17:$L$37,11,FALSE),1)-1)),0))</f>
        <v>240</v>
      </c>
      <c r="Q14" s="79">
        <f>IF(I14="","",ROUND(I14/(Steuerungsdaten!$B$4*Steuerungsdaten!$B$9*IFERROR(VLOOKUP(C14,Steuerungsdaten!$B$17:$G$37,6,FALSE),1)*POWER(IF(OR(E14=0,F14=0,E14="",F14=""),1,(E14*F14/1000000)/Steuerungsdaten!$B$6),IFERROR(VLOOKUP(C14,Steuerungsdaten!$B$17:$M$37,12,FALSE),1)-1)),0))</f>
        <v>250</v>
      </c>
      <c r="R14" s="79">
        <f>IF(J14="","",ROUND(J14/(Steuerungsdaten!$B$4*Steuerungsdaten!$B$10*IFERROR(VLOOKUP(C14,Steuerungsdaten!$B$17:$I$37,8,FALSE),1)*POWER(IF(OR(E14=0,F14=0,E14="",F14=""),1,(E14*F14/1000000)/Steuerungsdaten!$B$6),IFERROR(VLOOKUP(C14,Steuerungsdaten!$B$17:$N$37,13,FALSE),1)-1)),0))</f>
        <v>255</v>
      </c>
    </row>
    <row r="15" spans="1:18" x14ac:dyDescent="0.25">
      <c r="A15" s="69">
        <v>3009</v>
      </c>
      <c r="B15" s="70" t="s">
        <v>7</v>
      </c>
      <c r="C15" s="70" t="s">
        <v>8</v>
      </c>
      <c r="D15" s="70" t="s">
        <v>19</v>
      </c>
      <c r="E15" s="71">
        <v>980</v>
      </c>
      <c r="F15" s="71">
        <v>580</v>
      </c>
      <c r="G15" s="72">
        <f>IF(VLOOKUP(C15,Steuerungsdaten!$P$17:$T$39,2,0)="","",MAX(ROUND(VLOOKUP(C15,Steuerungsdaten!$P$17:$T$39,2,0)*Steuerungsdaten!$B$4*Steuerungsdaten!$B$7*IFERROR(VLOOKUP(C15,Steuerungsdaten!$B$17:$C$37,2,FALSE),1)*POWER(IF(OR(E15=0,F15=0,E15="",F15=""),1,(E15*F15/1000000)/Steuerungsdaten!$B$6),IFERROR(VLOOKUP(C15,Steuerungsdaten!$B$17:$K$37,10,FALSE),1)-1),0),Steuerungsdaten!$E$4))</f>
        <v>100</v>
      </c>
      <c r="H15" s="72">
        <f>IF(VLOOKUP(C15,Steuerungsdaten!$P$17:$T$39,3,0)="","",MAX(ROUND(VLOOKUP(C15,Steuerungsdaten!$P$17:$T$39,3,0)*Steuerungsdaten!$B$4*Steuerungsdaten!$B$8*IFERROR(VLOOKUP(C15,Steuerungsdaten!$B$17:$E$37,4,FALSE),1)*POWER(IF(OR(E15=0,F15=0,E15="",F15=""),1,(E15*F15/1000000)/Steuerungsdaten!$B$6),IFERROR(VLOOKUP(C15,Steuerungsdaten!$B$17:$L$37,11,FALSE),1)-1),0),Steuerungsdaten!$E$5))</f>
        <v>343</v>
      </c>
      <c r="I15" s="72">
        <f>IF(VLOOKUP(C15,Steuerungsdaten!$P$17:$T$39,4,0)="","",MAX(ROUND(VLOOKUP(C15,Steuerungsdaten!$P$17:$T$39,4,0)*Steuerungsdaten!$B$4*Steuerungsdaten!$B$9*IFERROR(VLOOKUP(C15,Steuerungsdaten!$B$17:$G$37,6,FALSE),1)*POWER(IF(OR(E15=0,F15=0,E15="",F15=""),1,(E15*F15/1000000)/Steuerungsdaten!$B$6),IFERROR(VLOOKUP(C15,Steuerungsdaten!$B$17:$M$37,12,FALSE),1)-1),0),Steuerungsdaten!$E$6))</f>
        <v>357</v>
      </c>
      <c r="J15" s="72">
        <f>IF(VLOOKUP(C15,Steuerungsdaten!$P$17:$T$39,5,0)="","",MAX(ROUND(VLOOKUP(C15,Steuerungsdaten!$P$17:$T$39,5,0)*Steuerungsdaten!$B$4*Steuerungsdaten!$B$10*IFERROR(VLOOKUP(C15,Steuerungsdaten!$B$17:$I$37,8,FALSE),1)*POWER(IF(OR(E15=0,F15=0,E15="",F15=""),1,(E15*F15/1000000)/Steuerungsdaten!$B$6),IFERROR(VLOOKUP(C15,Steuerungsdaten!$B$17:$N$37,13,FALSE),1)-1),0),Steuerungsdaten!$E$7))</f>
        <v>398</v>
      </c>
      <c r="K15" s="72">
        <f>IF(G15="","",ROUND(G15*Steuerungsdaten!$B$5,0))</f>
        <v>115</v>
      </c>
      <c r="L15" s="72">
        <f>IF(H15="","",ROUND(H15*Steuerungsdaten!$B$5,0))</f>
        <v>394</v>
      </c>
      <c r="M15" s="72">
        <f>IF(I15="","",ROUND(I15*Steuerungsdaten!$B$5,0))</f>
        <v>411</v>
      </c>
      <c r="N15" s="73">
        <f>IF(J15="","",ROUND(J15*Steuerungsdaten!$B$5,0))</f>
        <v>458</v>
      </c>
      <c r="O15" s="79">
        <v>110</v>
      </c>
      <c r="P15" s="79">
        <f>IF(H15="","",ROUND(H15/(Steuerungsdaten!$B$4*Steuerungsdaten!$B$8*IFERROR(VLOOKUP(C15,Steuerungsdaten!$B$17:$E$37,4,FALSE),1)*POWER(IF(OR(E15=0,F15=0,E15="",F15=""),1,(E15*F15/1000000)/Steuerungsdaten!$B$6),IFERROR(VLOOKUP(C15,Steuerungsdaten!$B$17:$L$37,11,FALSE),1)-1)),0))</f>
        <v>240</v>
      </c>
      <c r="Q15" s="79">
        <f>IF(I15="","",ROUND(I15/(Steuerungsdaten!$B$4*Steuerungsdaten!$B$9*IFERROR(VLOOKUP(C15,Steuerungsdaten!$B$17:$G$37,6,FALSE),1)*POWER(IF(OR(E15=0,F15=0,E15="",F15=""),1,(E15*F15/1000000)/Steuerungsdaten!$B$6),IFERROR(VLOOKUP(C15,Steuerungsdaten!$B$17:$M$37,12,FALSE),1)-1)),0))</f>
        <v>250</v>
      </c>
      <c r="R15" s="79">
        <f>IF(J15="","",ROUND(J15/(Steuerungsdaten!$B$4*Steuerungsdaten!$B$10*IFERROR(VLOOKUP(C15,Steuerungsdaten!$B$17:$I$37,8,FALSE),1)*POWER(IF(OR(E15=0,F15=0,E15="",F15=""),1,(E15*F15/1000000)/Steuerungsdaten!$B$6),IFERROR(VLOOKUP(C15,Steuerungsdaten!$B$17:$N$37,13,FALSE),1)-1)),0))</f>
        <v>255</v>
      </c>
    </row>
    <row r="16" spans="1:18" x14ac:dyDescent="0.25">
      <c r="A16" s="74">
        <v>3010</v>
      </c>
      <c r="B16" s="75" t="s">
        <v>7</v>
      </c>
      <c r="C16" s="75" t="s">
        <v>8</v>
      </c>
      <c r="D16" s="75" t="s">
        <v>20</v>
      </c>
      <c r="E16" s="76">
        <v>780</v>
      </c>
      <c r="F16" s="76">
        <v>780</v>
      </c>
      <c r="G16" s="77">
        <f>IF(VLOOKUP(C16,Steuerungsdaten!$P$17:$T$39,2,0)="","",MAX(ROUND(VLOOKUP(C16,Steuerungsdaten!$P$17:$T$39,2,0)*Steuerungsdaten!$B$4*Steuerungsdaten!$B$7*IFERROR(VLOOKUP(C16,Steuerungsdaten!$B$17:$C$37,2,FALSE),1)*POWER(IF(OR(E16=0,F16=0,E16="",F16=""),1,(E16*F16/1000000)/Steuerungsdaten!$B$6),IFERROR(VLOOKUP(C16,Steuerungsdaten!$B$17:$K$37,10,FALSE),1)-1),0),Steuerungsdaten!$E$4))</f>
        <v>107</v>
      </c>
      <c r="H16" s="77">
        <f>IF(VLOOKUP(C16,Steuerungsdaten!$P$17:$T$39,3,0)="","",MAX(ROUND(VLOOKUP(C16,Steuerungsdaten!$P$17:$T$39,3,0)*Steuerungsdaten!$B$4*Steuerungsdaten!$B$8*IFERROR(VLOOKUP(C16,Steuerungsdaten!$B$17:$E$37,4,FALSE),1)*POWER(IF(OR(E16=0,F16=0,E16="",F16=""),1,(E16*F16/1000000)/Steuerungsdaten!$B$6),IFERROR(VLOOKUP(C16,Steuerungsdaten!$B$17:$L$37,11,FALSE),1)-1),0),Steuerungsdaten!$E$5))</f>
        <v>367</v>
      </c>
      <c r="I16" s="77">
        <f>IF(VLOOKUP(C16,Steuerungsdaten!$P$17:$T$39,4,0)="","",MAX(ROUND(VLOOKUP(C16,Steuerungsdaten!$P$17:$T$39,4,0)*Steuerungsdaten!$B$4*Steuerungsdaten!$B$9*IFERROR(VLOOKUP(C16,Steuerungsdaten!$B$17:$G$37,6,FALSE),1)*POWER(IF(OR(E16=0,F16=0,E16="",F16=""),1,(E16*F16/1000000)/Steuerungsdaten!$B$6),IFERROR(VLOOKUP(C16,Steuerungsdaten!$B$17:$M$37,12,FALSE),1)-1),0),Steuerungsdaten!$E$6))</f>
        <v>382</v>
      </c>
      <c r="J16" s="77">
        <f>IF(VLOOKUP(C16,Steuerungsdaten!$P$17:$T$39,5,0)="","",MAX(ROUND(VLOOKUP(C16,Steuerungsdaten!$P$17:$T$39,5,0)*Steuerungsdaten!$B$4*Steuerungsdaten!$B$10*IFERROR(VLOOKUP(C16,Steuerungsdaten!$B$17:$I$37,8,FALSE),1)*POWER(IF(OR(E16=0,F16=0,E16="",F16=""),1,(E16*F16/1000000)/Steuerungsdaten!$B$6),IFERROR(VLOOKUP(C16,Steuerungsdaten!$B$17:$N$37,13,FALSE),1)-1),0),Steuerungsdaten!$E$7))</f>
        <v>426</v>
      </c>
      <c r="K16" s="77">
        <f>IF(G16="","",ROUND(G16*Steuerungsdaten!$B$5,0))</f>
        <v>123</v>
      </c>
      <c r="L16" s="77">
        <f>IF(H16="","",ROUND(H16*Steuerungsdaten!$B$5,0))</f>
        <v>422</v>
      </c>
      <c r="M16" s="77">
        <f>IF(I16="","",ROUND(I16*Steuerungsdaten!$B$5,0))</f>
        <v>439</v>
      </c>
      <c r="N16" s="78">
        <f>IF(J16="","",ROUND(J16*Steuerungsdaten!$B$5,0))</f>
        <v>490</v>
      </c>
      <c r="O16" s="79">
        <v>113</v>
      </c>
      <c r="P16" s="79">
        <f>IF(H16="","",ROUND(H16/(Steuerungsdaten!$B$4*Steuerungsdaten!$B$8*IFERROR(VLOOKUP(C16,Steuerungsdaten!$B$17:$E$37,4,FALSE),1)*POWER(IF(OR(E16=0,F16=0,E16="",F16=""),1,(E16*F16/1000000)/Steuerungsdaten!$B$6),IFERROR(VLOOKUP(C16,Steuerungsdaten!$B$17:$L$37,11,FALSE),1)-1)),0))</f>
        <v>240</v>
      </c>
      <c r="Q16" s="79">
        <f>IF(I16="","",ROUND(I16/(Steuerungsdaten!$B$4*Steuerungsdaten!$B$9*IFERROR(VLOOKUP(C16,Steuerungsdaten!$B$17:$G$37,6,FALSE),1)*POWER(IF(OR(E16=0,F16=0,E16="",F16=""),1,(E16*F16/1000000)/Steuerungsdaten!$B$6),IFERROR(VLOOKUP(C16,Steuerungsdaten!$B$17:$M$37,12,FALSE),1)-1)),0))</f>
        <v>250</v>
      </c>
      <c r="R16" s="79">
        <f>IF(J16="","",ROUND(J16/(Steuerungsdaten!$B$4*Steuerungsdaten!$B$10*IFERROR(VLOOKUP(C16,Steuerungsdaten!$B$17:$I$37,8,FALSE),1)*POWER(IF(OR(E16=0,F16=0,E16="",F16=""),1,(E16*F16/1000000)/Steuerungsdaten!$B$6),IFERROR(VLOOKUP(C16,Steuerungsdaten!$B$17:$N$37,13,FALSE),1)-1)),0))</f>
        <v>255</v>
      </c>
    </row>
    <row r="17" spans="1:18" x14ac:dyDescent="0.25">
      <c r="A17" s="69">
        <v>3011</v>
      </c>
      <c r="B17" s="70" t="s">
        <v>7</v>
      </c>
      <c r="C17" s="70" t="s">
        <v>8</v>
      </c>
      <c r="D17" s="70" t="s">
        <v>21</v>
      </c>
      <c r="E17" s="71">
        <v>980</v>
      </c>
      <c r="F17" s="71">
        <v>780</v>
      </c>
      <c r="G17" s="72">
        <f>IF(VLOOKUP(C17,Steuerungsdaten!$P$17:$T$39,2,0)="","",MAX(ROUND(VLOOKUP(C17,Steuerungsdaten!$P$17:$T$39,2,0)*Steuerungsdaten!$B$4*Steuerungsdaten!$B$7*IFERROR(VLOOKUP(C17,Steuerungsdaten!$B$17:$C$37,2,FALSE),1)*POWER(IF(OR(E17=0,F17=0,E17="",F17=""),1,(E17*F17/1000000)/Steuerungsdaten!$B$6),IFERROR(VLOOKUP(C17,Steuerungsdaten!$B$17:$K$37,10,FALSE),1)-1),0),Steuerungsdaten!$E$4))</f>
        <v>135</v>
      </c>
      <c r="H17" s="72">
        <f>IF(VLOOKUP(C17,Steuerungsdaten!$P$17:$T$39,3,0)="","",MAX(ROUND(VLOOKUP(C17,Steuerungsdaten!$P$17:$T$39,3,0)*Steuerungsdaten!$B$4*Steuerungsdaten!$B$8*IFERROR(VLOOKUP(C17,Steuerungsdaten!$B$17:$E$37,4,FALSE),1)*POWER(IF(OR(E17=0,F17=0,E17="",F17=""),1,(E17*F17/1000000)/Steuerungsdaten!$B$6),IFERROR(VLOOKUP(C17,Steuerungsdaten!$B$17:$L$37,11,FALSE),1)-1),0),Steuerungsdaten!$E$5))</f>
        <v>461</v>
      </c>
      <c r="I17" s="72">
        <f>IF(VLOOKUP(C17,Steuerungsdaten!$P$17:$T$39,4,0)="","",MAX(ROUND(VLOOKUP(C17,Steuerungsdaten!$P$17:$T$39,4,0)*Steuerungsdaten!$B$4*Steuerungsdaten!$B$9*IFERROR(VLOOKUP(C17,Steuerungsdaten!$B$17:$G$37,6,FALSE),1)*POWER(IF(OR(E17=0,F17=0,E17="",F17=""),1,(E17*F17/1000000)/Steuerungsdaten!$B$6),IFERROR(VLOOKUP(C17,Steuerungsdaten!$B$17:$M$37,12,FALSE),1)-1),0),Steuerungsdaten!$E$6))</f>
        <v>480</v>
      </c>
      <c r="J17" s="72">
        <f>IF(VLOOKUP(C17,Steuerungsdaten!$P$17:$T$39,5,0)="","",MAX(ROUND(VLOOKUP(C17,Steuerungsdaten!$P$17:$T$39,5,0)*Steuerungsdaten!$B$4*Steuerungsdaten!$B$10*IFERROR(VLOOKUP(C17,Steuerungsdaten!$B$17:$I$37,8,FALSE),1)*POWER(IF(OR(E17=0,F17=0,E17="",F17=""),1,(E17*F17/1000000)/Steuerungsdaten!$B$6),IFERROR(VLOOKUP(C17,Steuerungsdaten!$B$17:$N$37,13,FALSE),1)-1),0),Steuerungsdaten!$E$7))</f>
        <v>535</v>
      </c>
      <c r="K17" s="72">
        <f>IF(G17="","",ROUND(G17*Steuerungsdaten!$B$5,0))</f>
        <v>155</v>
      </c>
      <c r="L17" s="72">
        <f>IF(H17="","",ROUND(H17*Steuerungsdaten!$B$5,0))</f>
        <v>530</v>
      </c>
      <c r="M17" s="72">
        <f>IF(I17="","",ROUND(I17*Steuerungsdaten!$B$5,0))</f>
        <v>552</v>
      </c>
      <c r="N17" s="73">
        <f>IF(J17="","",ROUND(J17*Steuerungsdaten!$B$5,0))</f>
        <v>615</v>
      </c>
      <c r="O17" s="79">
        <v>139</v>
      </c>
      <c r="P17" s="79">
        <f>IF(H17="","",ROUND(H17/(Steuerungsdaten!$B$4*Steuerungsdaten!$B$8*IFERROR(VLOOKUP(C17,Steuerungsdaten!$B$17:$E$37,4,FALSE),1)*POWER(IF(OR(E17=0,F17=0,E17="",F17=""),1,(E17*F17/1000000)/Steuerungsdaten!$B$6),IFERROR(VLOOKUP(C17,Steuerungsdaten!$B$17:$L$37,11,FALSE),1)-1)),0))</f>
        <v>240</v>
      </c>
      <c r="Q17" s="79">
        <f>IF(I17="","",ROUND(I17/(Steuerungsdaten!$B$4*Steuerungsdaten!$B$9*IFERROR(VLOOKUP(C17,Steuerungsdaten!$B$17:$G$37,6,FALSE),1)*POWER(IF(OR(E17=0,F17=0,E17="",F17=""),1,(E17*F17/1000000)/Steuerungsdaten!$B$6),IFERROR(VLOOKUP(C17,Steuerungsdaten!$B$17:$M$37,12,FALSE),1)-1)),0))</f>
        <v>250</v>
      </c>
      <c r="R17" s="79">
        <f>IF(J17="","",ROUND(J17/(Steuerungsdaten!$B$4*Steuerungsdaten!$B$10*IFERROR(VLOOKUP(C17,Steuerungsdaten!$B$17:$I$37,8,FALSE),1)*POWER(IF(OR(E17=0,F17=0,E17="",F17=""),1,(E17*F17/1000000)/Steuerungsdaten!$B$6),IFERROR(VLOOKUP(C17,Steuerungsdaten!$B$17:$N$37,13,FALSE),1)-1)),0))</f>
        <v>255</v>
      </c>
    </row>
    <row r="18" spans="1:18" x14ac:dyDescent="0.25">
      <c r="A18" s="74">
        <v>3012</v>
      </c>
      <c r="B18" s="75" t="s">
        <v>7</v>
      </c>
      <c r="C18" s="75" t="s">
        <v>8</v>
      </c>
      <c r="D18" s="75" t="s">
        <v>22</v>
      </c>
      <c r="E18" s="76">
        <v>980</v>
      </c>
      <c r="F18" s="76">
        <v>980</v>
      </c>
      <c r="G18" s="77">
        <f>IF(VLOOKUP(C18,Steuerungsdaten!$P$17:$T$39,2,0)="","",MAX(ROUND(VLOOKUP(C18,Steuerungsdaten!$P$17:$T$39,2,0)*Steuerungsdaten!$B$4*Steuerungsdaten!$B$7*IFERROR(VLOOKUP(C18,Steuerungsdaten!$B$17:$C$37,2,FALSE),1)*POWER(IF(OR(E18=0,F18=0,E18="",F18=""),1,(E18*F18/1000000)/Steuerungsdaten!$B$6),IFERROR(VLOOKUP(C18,Steuerungsdaten!$B$17:$K$37,10,FALSE),1)-1),0),Steuerungsdaten!$E$4))</f>
        <v>169</v>
      </c>
      <c r="H18" s="77">
        <f>IF(VLOOKUP(C18,Steuerungsdaten!$P$17:$T$39,3,0)="","",MAX(ROUND(VLOOKUP(C18,Steuerungsdaten!$P$17:$T$39,3,0)*Steuerungsdaten!$B$4*Steuerungsdaten!$B$8*IFERROR(VLOOKUP(C18,Steuerungsdaten!$B$17:$E$37,4,FALSE),1)*POWER(IF(OR(E18=0,F18=0,E18="",F18=""),1,(E18*F18/1000000)/Steuerungsdaten!$B$6),IFERROR(VLOOKUP(C18,Steuerungsdaten!$B$17:$L$37,11,FALSE),1)-1),0),Steuerungsdaten!$E$5))</f>
        <v>580</v>
      </c>
      <c r="I18" s="77">
        <f>IF(VLOOKUP(C18,Steuerungsdaten!$P$17:$T$39,4,0)="","",MAX(ROUND(VLOOKUP(C18,Steuerungsdaten!$P$17:$T$39,4,0)*Steuerungsdaten!$B$4*Steuerungsdaten!$B$9*IFERROR(VLOOKUP(C18,Steuerungsdaten!$B$17:$G$37,6,FALSE),1)*POWER(IF(OR(E18=0,F18=0,E18="",F18=""),1,(E18*F18/1000000)/Steuerungsdaten!$B$6),IFERROR(VLOOKUP(C18,Steuerungsdaten!$B$17:$M$37,12,FALSE),1)-1),0),Steuerungsdaten!$E$6))</f>
        <v>604</v>
      </c>
      <c r="J18" s="77">
        <f>IF(VLOOKUP(C18,Steuerungsdaten!$P$17:$T$39,5,0)="","",MAX(ROUND(VLOOKUP(C18,Steuerungsdaten!$P$17:$T$39,5,0)*Steuerungsdaten!$B$4*Steuerungsdaten!$B$10*IFERROR(VLOOKUP(C18,Steuerungsdaten!$B$17:$I$37,8,FALSE),1)*POWER(IF(OR(E18=0,F18=0,E18="",F18=""),1,(E18*F18/1000000)/Steuerungsdaten!$B$6),IFERROR(VLOOKUP(C18,Steuerungsdaten!$B$17:$N$37,13,FALSE),1)-1),0),Steuerungsdaten!$E$7))</f>
        <v>672</v>
      </c>
      <c r="K18" s="77">
        <f>IF(G18="","",ROUND(G18*Steuerungsdaten!$B$5,0))</f>
        <v>194</v>
      </c>
      <c r="L18" s="77">
        <f>IF(H18="","",ROUND(H18*Steuerungsdaten!$B$5,0))</f>
        <v>667</v>
      </c>
      <c r="M18" s="77">
        <f>IF(I18="","",ROUND(I18*Steuerungsdaten!$B$5,0))</f>
        <v>695</v>
      </c>
      <c r="N18" s="78">
        <f>IF(J18="","",ROUND(J18*Steuerungsdaten!$B$5,0))</f>
        <v>773</v>
      </c>
      <c r="O18" s="79">
        <v>180</v>
      </c>
      <c r="P18" s="79">
        <f>IF(H18="","",ROUND(H18/(Steuerungsdaten!$B$4*Steuerungsdaten!$B$8*IFERROR(VLOOKUP(C18,Steuerungsdaten!$B$17:$E$37,4,FALSE),1)*POWER(IF(OR(E18=0,F18=0,E18="",F18=""),1,(E18*F18/1000000)/Steuerungsdaten!$B$6),IFERROR(VLOOKUP(C18,Steuerungsdaten!$B$17:$L$37,11,FALSE),1)-1)),0))</f>
        <v>240</v>
      </c>
      <c r="Q18" s="79">
        <f>IF(I18="","",ROUND(I18/(Steuerungsdaten!$B$4*Steuerungsdaten!$B$9*IFERROR(VLOOKUP(C18,Steuerungsdaten!$B$17:$G$37,6,FALSE),1)*POWER(IF(OR(E18=0,F18=0,E18="",F18=""),1,(E18*F18/1000000)/Steuerungsdaten!$B$6),IFERROR(VLOOKUP(C18,Steuerungsdaten!$B$17:$M$37,12,FALSE),1)-1)),0))</f>
        <v>250</v>
      </c>
      <c r="R18" s="79">
        <f>IF(J18="","",ROUND(J18/(Steuerungsdaten!$B$4*Steuerungsdaten!$B$10*IFERROR(VLOOKUP(C18,Steuerungsdaten!$B$17:$I$37,8,FALSE),1)*POWER(IF(OR(E18=0,F18=0,E18="",F18=""),1,(E18*F18/1000000)/Steuerungsdaten!$B$6),IFERROR(VLOOKUP(C18,Steuerungsdaten!$B$17:$N$37,13,FALSE),1)-1)),0))</f>
        <v>255</v>
      </c>
    </row>
    <row r="19" spans="1:18" x14ac:dyDescent="0.25">
      <c r="A19" s="69">
        <v>3013</v>
      </c>
      <c r="B19" s="70" t="s">
        <v>7</v>
      </c>
      <c r="C19" s="70" t="s">
        <v>8</v>
      </c>
      <c r="D19" s="70" t="s">
        <v>23</v>
      </c>
      <c r="E19" s="71">
        <v>420</v>
      </c>
      <c r="F19" s="71">
        <v>780</v>
      </c>
      <c r="G19" s="72">
        <f>IF(VLOOKUP(C19,Steuerungsdaten!$P$17:$T$39,2,0)="","",MAX(ROUND(VLOOKUP(C19,Steuerungsdaten!$P$17:$T$39,2,0)*Steuerungsdaten!$B$4*Steuerungsdaten!$B$7*IFERROR(VLOOKUP(C19,Steuerungsdaten!$B$17:$C$37,2,FALSE),1)*POWER(IF(OR(E19=0,F19=0,E19="",F19=""),1,(E19*F19/1000000)/Steuerungsdaten!$B$6),IFERROR(VLOOKUP(C19,Steuerungsdaten!$B$17:$K$37,10,FALSE),1)-1),0),Steuerungsdaten!$E$4))</f>
        <v>58</v>
      </c>
      <c r="H19" s="72">
        <f>IF(VLOOKUP(C19,Steuerungsdaten!$P$17:$T$39,3,0)="","",MAX(ROUND(VLOOKUP(C19,Steuerungsdaten!$P$17:$T$39,3,0)*Steuerungsdaten!$B$4*Steuerungsdaten!$B$8*IFERROR(VLOOKUP(C19,Steuerungsdaten!$B$17:$E$37,4,FALSE),1)*POWER(IF(OR(E19=0,F19=0,E19="",F19=""),1,(E19*F19/1000000)/Steuerungsdaten!$B$6),IFERROR(VLOOKUP(C19,Steuerungsdaten!$B$17:$L$37,11,FALSE),1)-1),0),Steuerungsdaten!$E$5))</f>
        <v>198</v>
      </c>
      <c r="I19" s="72">
        <f>IF(VLOOKUP(C19,Steuerungsdaten!$P$17:$T$39,4,0)="","",MAX(ROUND(VLOOKUP(C19,Steuerungsdaten!$P$17:$T$39,4,0)*Steuerungsdaten!$B$4*Steuerungsdaten!$B$9*IFERROR(VLOOKUP(C19,Steuerungsdaten!$B$17:$G$37,6,FALSE),1)*POWER(IF(OR(E19=0,F19=0,E19="",F19=""),1,(E19*F19/1000000)/Steuerungsdaten!$B$6),IFERROR(VLOOKUP(C19,Steuerungsdaten!$B$17:$M$37,12,FALSE),1)-1),0),Steuerungsdaten!$E$6))</f>
        <v>206</v>
      </c>
      <c r="J19" s="72">
        <f>IF(VLOOKUP(C19,Steuerungsdaten!$P$17:$T$39,5,0)="","",MAX(ROUND(VLOOKUP(C19,Steuerungsdaten!$P$17:$T$39,5,0)*Steuerungsdaten!$B$4*Steuerungsdaten!$B$10*IFERROR(VLOOKUP(C19,Steuerungsdaten!$B$17:$I$37,8,FALSE),1)*POWER(IF(OR(E19=0,F19=0,E19="",F19=""),1,(E19*F19/1000000)/Steuerungsdaten!$B$6),IFERROR(VLOOKUP(C19,Steuerungsdaten!$B$17:$N$37,13,FALSE),1)-1),0),Steuerungsdaten!$E$7))</f>
        <v>229</v>
      </c>
      <c r="K19" s="72">
        <f>IF(G19="","",ROUND(G19*Steuerungsdaten!$B$5,0))</f>
        <v>67</v>
      </c>
      <c r="L19" s="72">
        <f>IF(H19="","",ROUND(H19*Steuerungsdaten!$B$5,0))</f>
        <v>228</v>
      </c>
      <c r="M19" s="72">
        <f>IF(I19="","",ROUND(I19*Steuerungsdaten!$B$5,0))</f>
        <v>237</v>
      </c>
      <c r="N19" s="73">
        <f>IF(J19="","",ROUND(J19*Steuerungsdaten!$B$5,0))</f>
        <v>263</v>
      </c>
      <c r="O19" s="79">
        <v>71</v>
      </c>
      <c r="P19" s="79">
        <f>IF(H19="","",ROUND(H19/(Steuerungsdaten!$B$4*Steuerungsdaten!$B$8*IFERROR(VLOOKUP(C19,Steuerungsdaten!$B$17:$E$37,4,FALSE),1)*POWER(IF(OR(E19=0,F19=0,E19="",F19=""),1,(E19*F19/1000000)/Steuerungsdaten!$B$6),IFERROR(VLOOKUP(C19,Steuerungsdaten!$B$17:$L$37,11,FALSE),1)-1)),0))</f>
        <v>240</v>
      </c>
      <c r="Q19" s="79">
        <f>IF(I19="","",ROUND(I19/(Steuerungsdaten!$B$4*Steuerungsdaten!$B$9*IFERROR(VLOOKUP(C19,Steuerungsdaten!$B$17:$G$37,6,FALSE),1)*POWER(IF(OR(E19=0,F19=0,E19="",F19=""),1,(E19*F19/1000000)/Steuerungsdaten!$B$6),IFERROR(VLOOKUP(C19,Steuerungsdaten!$B$17:$M$37,12,FALSE),1)-1)),0))</f>
        <v>250</v>
      </c>
      <c r="R19" s="79">
        <f>IF(J19="","",ROUND(J19/(Steuerungsdaten!$B$4*Steuerungsdaten!$B$10*IFERROR(VLOOKUP(C19,Steuerungsdaten!$B$17:$I$37,8,FALSE),1)*POWER(IF(OR(E19=0,F19=0,E19="",F19=""),1,(E19*F19/1000000)/Steuerungsdaten!$B$6),IFERROR(VLOOKUP(C19,Steuerungsdaten!$B$17:$N$37,13,FALSE),1)-1)),0))</f>
        <v>255</v>
      </c>
    </row>
    <row r="20" spans="1:18" x14ac:dyDescent="0.25">
      <c r="A20" s="74">
        <v>3014</v>
      </c>
      <c r="B20" s="75" t="s">
        <v>7</v>
      </c>
      <c r="C20" s="75" t="s">
        <v>8</v>
      </c>
      <c r="D20" s="75" t="s">
        <v>24</v>
      </c>
      <c r="E20" s="76">
        <v>420</v>
      </c>
      <c r="F20" s="76">
        <v>980</v>
      </c>
      <c r="G20" s="77">
        <f>IF(VLOOKUP(C20,Steuerungsdaten!$P$17:$T$39,2,0)="","",MAX(ROUND(VLOOKUP(C20,Steuerungsdaten!$P$17:$T$39,2,0)*Steuerungsdaten!$B$4*Steuerungsdaten!$B$7*IFERROR(VLOOKUP(C20,Steuerungsdaten!$B$17:$C$37,2,FALSE),1)*POWER(IF(OR(E20=0,F20=0,E20="",F20=""),1,(E20*F20/1000000)/Steuerungsdaten!$B$6),IFERROR(VLOOKUP(C20,Steuerungsdaten!$B$17:$K$37,10,FALSE),1)-1),0),Steuerungsdaten!$E$4))</f>
        <v>72</v>
      </c>
      <c r="H20" s="77">
        <f>IF(VLOOKUP(C20,Steuerungsdaten!$P$17:$T$39,3,0)="","",MAX(ROUND(VLOOKUP(C20,Steuerungsdaten!$P$17:$T$39,3,0)*Steuerungsdaten!$B$4*Steuerungsdaten!$B$8*IFERROR(VLOOKUP(C20,Steuerungsdaten!$B$17:$E$37,4,FALSE),1)*POWER(IF(OR(E20=0,F20=0,E20="",F20=""),1,(E20*F20/1000000)/Steuerungsdaten!$B$6),IFERROR(VLOOKUP(C20,Steuerungsdaten!$B$17:$L$37,11,FALSE),1)-1),0),Steuerungsdaten!$E$5))</f>
        <v>248</v>
      </c>
      <c r="I20" s="77">
        <f>IF(VLOOKUP(C20,Steuerungsdaten!$P$17:$T$39,4,0)="","",MAX(ROUND(VLOOKUP(C20,Steuerungsdaten!$P$17:$T$39,4,0)*Steuerungsdaten!$B$4*Steuerungsdaten!$B$9*IFERROR(VLOOKUP(C20,Steuerungsdaten!$B$17:$G$37,6,FALSE),1)*POWER(IF(OR(E20=0,F20=0,E20="",F20=""),1,(E20*F20/1000000)/Steuerungsdaten!$B$6),IFERROR(VLOOKUP(C20,Steuerungsdaten!$B$17:$M$37,12,FALSE),1)-1),0),Steuerungsdaten!$E$6))</f>
        <v>259</v>
      </c>
      <c r="J20" s="77">
        <f>IF(VLOOKUP(C20,Steuerungsdaten!$P$17:$T$39,5,0)="","",MAX(ROUND(VLOOKUP(C20,Steuerungsdaten!$P$17:$T$39,5,0)*Steuerungsdaten!$B$4*Steuerungsdaten!$B$10*IFERROR(VLOOKUP(C20,Steuerungsdaten!$B$17:$I$37,8,FALSE),1)*POWER(IF(OR(E20=0,F20=0,E20="",F20=""),1,(E20*F20/1000000)/Steuerungsdaten!$B$6),IFERROR(VLOOKUP(C20,Steuerungsdaten!$B$17:$N$37,13,FALSE),1)-1),0),Steuerungsdaten!$E$7))</f>
        <v>288</v>
      </c>
      <c r="K20" s="77">
        <f>IF(G20="","",ROUND(G20*Steuerungsdaten!$B$5,0))</f>
        <v>83</v>
      </c>
      <c r="L20" s="77">
        <f>IF(H20="","",ROUND(H20*Steuerungsdaten!$B$5,0))</f>
        <v>285</v>
      </c>
      <c r="M20" s="77">
        <f>IF(I20="","",ROUND(I20*Steuerungsdaten!$B$5,0))</f>
        <v>298</v>
      </c>
      <c r="N20" s="78">
        <f>IF(J20="","",ROUND(J20*Steuerungsdaten!$B$5,0))</f>
        <v>331</v>
      </c>
      <c r="O20" s="79">
        <v>88</v>
      </c>
      <c r="P20" s="79">
        <f>IF(H20="","",ROUND(H20/(Steuerungsdaten!$B$4*Steuerungsdaten!$B$8*IFERROR(VLOOKUP(C20,Steuerungsdaten!$B$17:$E$37,4,FALSE),1)*POWER(IF(OR(E20=0,F20=0,E20="",F20=""),1,(E20*F20/1000000)/Steuerungsdaten!$B$6),IFERROR(VLOOKUP(C20,Steuerungsdaten!$B$17:$L$37,11,FALSE),1)-1)),0))</f>
        <v>240</v>
      </c>
      <c r="Q20" s="79">
        <f>IF(I20="","",ROUND(I20/(Steuerungsdaten!$B$4*Steuerungsdaten!$B$9*IFERROR(VLOOKUP(C20,Steuerungsdaten!$B$17:$G$37,6,FALSE),1)*POWER(IF(OR(E20=0,F20=0,E20="",F20=""),1,(E20*F20/1000000)/Steuerungsdaten!$B$6),IFERROR(VLOOKUP(C20,Steuerungsdaten!$B$17:$M$37,12,FALSE),1)-1)),0))</f>
        <v>250</v>
      </c>
      <c r="R20" s="79">
        <f>IF(J20="","",ROUND(J20/(Steuerungsdaten!$B$4*Steuerungsdaten!$B$10*IFERROR(VLOOKUP(C20,Steuerungsdaten!$B$17:$I$37,8,FALSE),1)*POWER(IF(OR(E20=0,F20=0,E20="",F20=""),1,(E20*F20/1000000)/Steuerungsdaten!$B$6),IFERROR(VLOOKUP(C20,Steuerungsdaten!$B$17:$N$37,13,FALSE),1)-1)),0))</f>
        <v>255</v>
      </c>
    </row>
    <row r="21" spans="1:18" x14ac:dyDescent="0.25">
      <c r="A21" s="69" t="s">
        <v>25</v>
      </c>
      <c r="B21" s="70" t="s">
        <v>7</v>
      </c>
      <c r="C21" s="70" t="s">
        <v>8</v>
      </c>
      <c r="D21" s="70" t="s">
        <v>26</v>
      </c>
      <c r="E21" s="71">
        <v>420</v>
      </c>
      <c r="F21" s="71">
        <v>420</v>
      </c>
      <c r="G21" s="72">
        <f>IF(VLOOKUP(C21,Steuerungsdaten!$P$17:$T$39,2,0)="","",MAX(ROUND(VLOOKUP(C21,Steuerungsdaten!$P$17:$T$39,2,0)*Steuerungsdaten!$B$4*Steuerungsdaten!$B$7*IFERROR(VLOOKUP(C21,Steuerungsdaten!$B$17:$C$37,2,FALSE),1)*POWER(IF(OR(E21=0,F21=0,E21="",F21=""),1,(E21*F21/1000000)/Steuerungsdaten!$B$6),IFERROR(VLOOKUP(C21,Steuerungsdaten!$B$17:$K$37,10,FALSE),1)-1),0),Steuerungsdaten!$E$4))</f>
        <v>31</v>
      </c>
      <c r="H21" s="72">
        <f>IF(VLOOKUP(C21,Steuerungsdaten!$P$17:$T$39,3,0)="","",MAX(ROUND(VLOOKUP(C21,Steuerungsdaten!$P$17:$T$39,3,0)*Steuerungsdaten!$B$4*Steuerungsdaten!$B$8*IFERROR(VLOOKUP(C21,Steuerungsdaten!$B$17:$E$37,4,FALSE),1)*POWER(IF(OR(E21=0,F21=0,E21="",F21=""),1,(E21*F21/1000000)/Steuerungsdaten!$B$6),IFERROR(VLOOKUP(C21,Steuerungsdaten!$B$17:$L$37,11,FALSE),1)-1),0),Steuerungsdaten!$E$5))</f>
        <v>106</v>
      </c>
      <c r="I21" s="72">
        <f>IF(VLOOKUP(C21,Steuerungsdaten!$P$17:$T$39,4,0)="","",MAX(ROUND(VLOOKUP(C21,Steuerungsdaten!$P$17:$T$39,4,0)*Steuerungsdaten!$B$4*Steuerungsdaten!$B$9*IFERROR(VLOOKUP(C21,Steuerungsdaten!$B$17:$G$37,6,FALSE),1)*POWER(IF(OR(E21=0,F21=0,E21="",F21=""),1,(E21*F21/1000000)/Steuerungsdaten!$B$6),IFERROR(VLOOKUP(C21,Steuerungsdaten!$B$17:$M$37,12,FALSE),1)-1),0),Steuerungsdaten!$E$6))</f>
        <v>120</v>
      </c>
      <c r="J21" s="72">
        <f>IF(VLOOKUP(C21,Steuerungsdaten!$P$17:$T$39,5,0)="","",MAX(ROUND(VLOOKUP(C21,Steuerungsdaten!$P$17:$T$39,5,0)*Steuerungsdaten!$B$4*Steuerungsdaten!$B$10*IFERROR(VLOOKUP(C21,Steuerungsdaten!$B$17:$I$37,8,FALSE),1)*POWER(IF(OR(E21=0,F21=0,E21="",F21=""),1,(E21*F21/1000000)/Steuerungsdaten!$B$6),IFERROR(VLOOKUP(C21,Steuerungsdaten!$B$17:$N$37,13,FALSE),1)-1),0),Steuerungsdaten!$E$7))</f>
        <v>145</v>
      </c>
      <c r="K21" s="72">
        <f>IF(G21="","",ROUND(G21*Steuerungsdaten!$B$5,0))</f>
        <v>36</v>
      </c>
      <c r="L21" s="72">
        <f>IF(H21="","",ROUND(H21*Steuerungsdaten!$B$5,0))</f>
        <v>122</v>
      </c>
      <c r="M21" s="72">
        <f>IF(I21="","",ROUND(I21*Steuerungsdaten!$B$5,0))</f>
        <v>138</v>
      </c>
      <c r="N21" s="73">
        <f>IF(J21="","",ROUND(J21*Steuerungsdaten!$B$5,0))</f>
        <v>167</v>
      </c>
      <c r="O21" s="79">
        <v>56</v>
      </c>
      <c r="P21" s="79">
        <f>IF(H21="","",ROUND(H21/(Steuerungsdaten!$B$4*Steuerungsdaten!$B$8*IFERROR(VLOOKUP(C21,Steuerungsdaten!$B$17:$E$37,4,FALSE),1)*POWER(IF(OR(E21=0,F21=0,E21="",F21=""),1,(E21*F21/1000000)/Steuerungsdaten!$B$6),IFERROR(VLOOKUP(C21,Steuerungsdaten!$B$17:$L$37,11,FALSE),1)-1)),0))</f>
        <v>239</v>
      </c>
      <c r="Q21" s="79">
        <f>IF(I21="","",ROUND(I21/(Steuerungsdaten!$B$4*Steuerungsdaten!$B$9*IFERROR(VLOOKUP(C21,Steuerungsdaten!$B$17:$G$37,6,FALSE),1)*POWER(IF(OR(E21=0,F21=0,E21="",F21=""),1,(E21*F21/1000000)/Steuerungsdaten!$B$6),IFERROR(VLOOKUP(C21,Steuerungsdaten!$B$17:$M$37,12,FALSE),1)-1)),0))</f>
        <v>271</v>
      </c>
      <c r="R21" s="79">
        <f>IF(J21="","",ROUND(J21/(Steuerungsdaten!$B$4*Steuerungsdaten!$B$10*IFERROR(VLOOKUP(C21,Steuerungsdaten!$B$17:$I$37,8,FALSE),1)*POWER(IF(OR(E21=0,F21=0,E21="",F21=""),1,(E21*F21/1000000)/Steuerungsdaten!$B$6),IFERROR(VLOOKUP(C21,Steuerungsdaten!$B$17:$N$37,13,FALSE),1)-1)),0))</f>
        <v>300</v>
      </c>
    </row>
    <row r="22" spans="1:18" ht="21.95" customHeight="1" x14ac:dyDescent="0.25">
      <c r="A22" s="426" t="s">
        <v>27</v>
      </c>
      <c r="B22" s="426"/>
      <c r="C22" s="426"/>
      <c r="D22" s="426"/>
      <c r="E22" s="426"/>
      <c r="F22" s="426"/>
      <c r="G22" s="426"/>
      <c r="H22" s="426"/>
      <c r="I22" s="426"/>
      <c r="J22" s="426"/>
      <c r="K22" s="426" t="str">
        <f>IF(G22="","",ROUND(G22*Steuerungsdaten!$B$5,0))</f>
        <v/>
      </c>
      <c r="L22" s="426" t="str">
        <f>IF(H22="","",ROUND(H22*Steuerungsdaten!$B$5,0))</f>
        <v/>
      </c>
      <c r="M22" s="426" t="str">
        <f>IF(I22="","",ROUND(I22*Steuerungsdaten!$B$5,0))</f>
        <v/>
      </c>
      <c r="N22" s="426" t="str">
        <f>IF(J22="","",ROUND(J22*Steuerungsdaten!$B$5,0))</f>
        <v/>
      </c>
      <c r="O22" s="79"/>
      <c r="P22" s="79"/>
      <c r="Q22" s="79"/>
      <c r="R22" s="79"/>
    </row>
    <row r="23" spans="1:18" x14ac:dyDescent="0.25">
      <c r="A23" s="64">
        <v>3100</v>
      </c>
      <c r="B23" s="65" t="s">
        <v>7</v>
      </c>
      <c r="C23" s="65" t="s">
        <v>27</v>
      </c>
      <c r="D23" s="65" t="s">
        <v>28</v>
      </c>
      <c r="E23" s="66">
        <v>360</v>
      </c>
      <c r="F23" s="66">
        <v>180</v>
      </c>
      <c r="G23" s="67">
        <f>IF(VLOOKUP(C23,Steuerungsdaten!$P$17:$T$39,2,0)="","",MAX(ROUND(VLOOKUP(C23,Steuerungsdaten!$P$17:$T$39,2,0)*Steuerungsdaten!$B$4*Steuerungsdaten!$B$7*IFERROR(VLOOKUP(C23,Steuerungsdaten!$B$17:$C$37,2,FALSE),1)*POWER(IF(OR(E23=0,F23=0,E23="",F23=""),1,(E23*F23/1000000)/Steuerungsdaten!$B$6),IFERROR(VLOOKUP(C23,Steuerungsdaten!$B$17:$K$37,10,FALSE),1)-1),0),Steuerungsdaten!$E$4))</f>
        <v>25</v>
      </c>
      <c r="H23" s="67">
        <f>IF(VLOOKUP(C23,Steuerungsdaten!$P$17:$T$39,3,0)="","",MAX(ROUND(VLOOKUP(C23,Steuerungsdaten!$P$17:$T$39,3,0)*Steuerungsdaten!$B$4*Steuerungsdaten!$B$8*IFERROR(VLOOKUP(C23,Steuerungsdaten!$B$17:$E$37,4,FALSE),1)*POWER(IF(OR(E23=0,F23=0,E23="",F23=""),1,(E23*F23/1000000)/Steuerungsdaten!$B$6),IFERROR(VLOOKUP(C23,Steuerungsdaten!$B$17:$L$37,11,FALSE),1)-1),0),Steuerungsdaten!$E$5))</f>
        <v>103</v>
      </c>
      <c r="I23" s="67">
        <f>IF(VLOOKUP(C23,Steuerungsdaten!$P$17:$T$39,4,0)="","",MAX(ROUND(VLOOKUP(C23,Steuerungsdaten!$P$17:$T$39,4,0)*Steuerungsdaten!$B$4*Steuerungsdaten!$B$9*IFERROR(VLOOKUP(C23,Steuerungsdaten!$B$17:$G$37,6,FALSE),1)*POWER(IF(OR(E23=0,F23=0,E23="",F23=""),1,(E23*F23/1000000)/Steuerungsdaten!$B$6),IFERROR(VLOOKUP(C23,Steuerungsdaten!$B$17:$M$37,12,FALSE),1)-1),0),Steuerungsdaten!$E$6))</f>
        <v>120</v>
      </c>
      <c r="J23" s="67">
        <f>IF(VLOOKUP(C23,Steuerungsdaten!$P$17:$T$39,5,0)="","",MAX(ROUND(VLOOKUP(C23,Steuerungsdaten!$P$17:$T$39,5,0)*Steuerungsdaten!$B$4*Steuerungsdaten!$B$10*IFERROR(VLOOKUP(C23,Steuerungsdaten!$B$17:$I$37,8,FALSE),1)*POWER(IF(OR(E23=0,F23=0,E23="",F23=""),1,(E23*F23/1000000)/Steuerungsdaten!$B$6),IFERROR(VLOOKUP(C23,Steuerungsdaten!$B$17:$N$37,13,FALSE),1)-1),0),Steuerungsdaten!$E$7))</f>
        <v>145</v>
      </c>
      <c r="K23" s="67">
        <f>IFERROR(IF(G23="","",ROUND(G23*Steuerungsdaten!$B$5,0)),"-")</f>
        <v>29</v>
      </c>
      <c r="L23" s="67">
        <f>IFERROR(IF(H23="","",ROUND(H23*Steuerungsdaten!$B$5,0)),"-")</f>
        <v>118</v>
      </c>
      <c r="M23" s="67">
        <f>IFERROR(IF(I23="","",ROUND(I23*Steuerungsdaten!$B$5,0)),"-")</f>
        <v>138</v>
      </c>
      <c r="N23" s="68">
        <f>IFERROR(IF(J23="","",ROUND(J23*Steuerungsdaten!$B$5,0)),"-")</f>
        <v>167</v>
      </c>
      <c r="O23" s="79">
        <v>34</v>
      </c>
      <c r="P23" s="79">
        <f>IF(H23="","",ROUND(H23/(Steuerungsdaten!$B$4*Steuerungsdaten!$B$8*IFERROR(VLOOKUP(C23,Steuerungsdaten!$B$17:$E$37,4,FALSE),1)*POWER(IF(OR(E23=0,F23=0,E23="",F23=""),1,(E23*F23/1000000)/Steuerungsdaten!$B$6),IFERROR(VLOOKUP(C23,Steuerungsdaten!$B$17:$L$37,11,FALSE),1)-1)),0))</f>
        <v>632</v>
      </c>
      <c r="Q23" s="79">
        <f>IF(I23="","",ROUND(I23/(Steuerungsdaten!$B$4*Steuerungsdaten!$B$9*IFERROR(VLOOKUP(C23,Steuerungsdaten!$B$17:$G$37,6,FALSE),1)*POWER(IF(OR(E23=0,F23=0,E23="",F23=""),1,(E23*F23/1000000)/Steuerungsdaten!$B$6),IFERROR(VLOOKUP(C23,Steuerungsdaten!$B$17:$M$37,12,FALSE),1)-1)),0))</f>
        <v>737</v>
      </c>
      <c r="R23" s="79">
        <f>IF(J23="","",ROUND(J23/(Steuerungsdaten!$B$4*Steuerungsdaten!$B$10*IFERROR(VLOOKUP(C23,Steuerungsdaten!$B$17:$I$37,8,FALSE),1)*POWER(IF(OR(E23=0,F23=0,E23="",F23=""),1,(E23*F23/1000000)/Steuerungsdaten!$B$6),IFERROR(VLOOKUP(C23,Steuerungsdaten!$B$17:$N$37,13,FALSE),1)-1)),0))</f>
        <v>816</v>
      </c>
    </row>
    <row r="24" spans="1:18" x14ac:dyDescent="0.25">
      <c r="A24" s="69">
        <v>3101</v>
      </c>
      <c r="B24" s="70" t="s">
        <v>7</v>
      </c>
      <c r="C24" s="70" t="s">
        <v>27</v>
      </c>
      <c r="D24" s="70" t="s">
        <v>29</v>
      </c>
      <c r="E24" s="71">
        <v>360</v>
      </c>
      <c r="F24" s="71">
        <v>360</v>
      </c>
      <c r="G24" s="72">
        <f>IF(VLOOKUP(C24,Steuerungsdaten!$P$17:$T$39,2,0)="","",MAX(ROUND(VLOOKUP(C24,Steuerungsdaten!$P$17:$T$39,2,0)*Steuerungsdaten!$B$4*Steuerungsdaten!$B$7*IFERROR(VLOOKUP(C24,Steuerungsdaten!$B$17:$C$37,2,FALSE),1)*POWER(IF(OR(E24=0,F24=0,E24="",F24=""),1,(E24*F24/1000000)/Steuerungsdaten!$B$6),IFERROR(VLOOKUP(C24,Steuerungsdaten!$B$17:$K$37,10,FALSE),1)-1),0),Steuerungsdaten!$E$4))</f>
        <v>25</v>
      </c>
      <c r="H24" s="72">
        <f>IF(VLOOKUP(C24,Steuerungsdaten!$P$17:$T$39,3,0)="","",MAX(ROUND(VLOOKUP(C24,Steuerungsdaten!$P$17:$T$39,3,0)*Steuerungsdaten!$B$4*Steuerungsdaten!$B$8*IFERROR(VLOOKUP(C24,Steuerungsdaten!$B$17:$E$37,4,FALSE),1)*POWER(IF(OR(E24=0,F24=0,E24="",F24=""),1,(E24*F24/1000000)/Steuerungsdaten!$B$6),IFERROR(VLOOKUP(C24,Steuerungsdaten!$B$17:$L$37,11,FALSE),1)-1),0),Steuerungsdaten!$E$5))</f>
        <v>103</v>
      </c>
      <c r="I24" s="72">
        <f>IF(VLOOKUP(C24,Steuerungsdaten!$P$17:$T$39,4,0)="","",MAX(ROUND(VLOOKUP(C24,Steuerungsdaten!$P$17:$T$39,4,0)*Steuerungsdaten!$B$4*Steuerungsdaten!$B$9*IFERROR(VLOOKUP(C24,Steuerungsdaten!$B$17:$G$37,6,FALSE),1)*POWER(IF(OR(E24=0,F24=0,E24="",F24=""),1,(E24*F24/1000000)/Steuerungsdaten!$B$6),IFERROR(VLOOKUP(C24,Steuerungsdaten!$B$17:$M$37,12,FALSE),1)-1),0),Steuerungsdaten!$E$6))</f>
        <v>120</v>
      </c>
      <c r="J24" s="72">
        <f>IF(VLOOKUP(C24,Steuerungsdaten!$P$17:$T$39,5,0)="","",MAX(ROUND(VLOOKUP(C24,Steuerungsdaten!$P$17:$T$39,5,0)*Steuerungsdaten!$B$4*Steuerungsdaten!$B$10*IFERROR(VLOOKUP(C24,Steuerungsdaten!$B$17:$I$37,8,FALSE),1)*POWER(IF(OR(E24=0,F24=0,E24="",F24=""),1,(E24*F24/1000000)/Steuerungsdaten!$B$6),IFERROR(VLOOKUP(C24,Steuerungsdaten!$B$17:$N$37,13,FALSE),1)-1),0),Steuerungsdaten!$E$7))</f>
        <v>145</v>
      </c>
      <c r="K24" s="72">
        <f>IFERROR(IF(G24="","",ROUND(G24*Steuerungsdaten!$B$5,0)),"-")</f>
        <v>29</v>
      </c>
      <c r="L24" s="72">
        <f>IFERROR(IF(H24="","",ROUND(H24*Steuerungsdaten!$B$5,0)),"-")</f>
        <v>118</v>
      </c>
      <c r="M24" s="72">
        <f>IFERROR(IF(I24="","",ROUND(I24*Steuerungsdaten!$B$5,0)),"-")</f>
        <v>138</v>
      </c>
      <c r="N24" s="73">
        <f>IFERROR(IF(J24="","",ROUND(J24*Steuerungsdaten!$B$5,0)),"-")</f>
        <v>167</v>
      </c>
      <c r="O24" s="79">
        <v>34</v>
      </c>
      <c r="P24" s="79">
        <f>IF(H24="","",ROUND(H24/(Steuerungsdaten!$B$4*Steuerungsdaten!$B$8*IFERROR(VLOOKUP(C24,Steuerungsdaten!$B$17:$E$37,4,FALSE),1)*POWER(IF(OR(E24=0,F24=0,E24="",F24=""),1,(E24*F24/1000000)/Steuerungsdaten!$B$6),IFERROR(VLOOKUP(C24,Steuerungsdaten!$B$17:$L$37,11,FALSE),1)-1)),0))</f>
        <v>316</v>
      </c>
      <c r="Q24" s="79">
        <f>IF(I24="","",ROUND(I24/(Steuerungsdaten!$B$4*Steuerungsdaten!$B$9*IFERROR(VLOOKUP(C24,Steuerungsdaten!$B$17:$G$37,6,FALSE),1)*POWER(IF(OR(E24=0,F24=0,E24="",F24=""),1,(E24*F24/1000000)/Steuerungsdaten!$B$6),IFERROR(VLOOKUP(C24,Steuerungsdaten!$B$17:$M$37,12,FALSE),1)-1)),0))</f>
        <v>368</v>
      </c>
      <c r="R24" s="79">
        <f>IF(J24="","",ROUND(J24/(Steuerungsdaten!$B$4*Steuerungsdaten!$B$10*IFERROR(VLOOKUP(C24,Steuerungsdaten!$B$17:$I$37,8,FALSE),1)*POWER(IF(OR(E24=0,F24=0,E24="",F24=""),1,(E24*F24/1000000)/Steuerungsdaten!$B$6),IFERROR(VLOOKUP(C24,Steuerungsdaten!$B$17:$N$37,13,FALSE),1)-1)),0))</f>
        <v>408</v>
      </c>
    </row>
    <row r="25" spans="1:18" x14ac:dyDescent="0.25">
      <c r="A25" s="74">
        <v>3102</v>
      </c>
      <c r="B25" s="75" t="s">
        <v>7</v>
      </c>
      <c r="C25" s="75" t="s">
        <v>27</v>
      </c>
      <c r="D25" s="75" t="s">
        <v>30</v>
      </c>
      <c r="E25" s="76">
        <v>360</v>
      </c>
      <c r="F25" s="76">
        <v>720</v>
      </c>
      <c r="G25" s="77">
        <f>IF(VLOOKUP(C25,Steuerungsdaten!$P$17:$T$39,2,0)="","",MAX(ROUND(VLOOKUP(C25,Steuerungsdaten!$P$17:$T$39,2,0)*Steuerungsdaten!$B$4*Steuerungsdaten!$B$7*IFERROR(VLOOKUP(C25,Steuerungsdaten!$B$17:$C$37,2,FALSE),1)*POWER(IF(OR(E25=0,F25=0,E25="",F25=""),1,(E25*F25/1000000)/Steuerungsdaten!$B$6),IFERROR(VLOOKUP(C25,Steuerungsdaten!$B$17:$K$37,10,FALSE),1)-1),0),Steuerungsdaten!$E$4))</f>
        <v>46</v>
      </c>
      <c r="H25" s="77">
        <f>IF(VLOOKUP(C25,Steuerungsdaten!$P$17:$T$39,3,0)="","",MAX(ROUND(VLOOKUP(C25,Steuerungsdaten!$P$17:$T$39,3,0)*Steuerungsdaten!$B$4*Steuerungsdaten!$B$8*IFERROR(VLOOKUP(C25,Steuerungsdaten!$B$17:$E$37,4,FALSE),1)*POWER(IF(OR(E25=0,F25=0,E25="",F25=""),1,(E25*F25/1000000)/Steuerungsdaten!$B$6),IFERROR(VLOOKUP(C25,Steuerungsdaten!$B$17:$L$37,11,FALSE),1)-1),0),Steuerungsdaten!$E$5))</f>
        <v>156</v>
      </c>
      <c r="I25" s="77">
        <f>IF(VLOOKUP(C25,Steuerungsdaten!$P$17:$T$39,4,0)="","",MAX(ROUND(VLOOKUP(C25,Steuerungsdaten!$P$17:$T$39,4,0)*Steuerungsdaten!$B$4*Steuerungsdaten!$B$9*IFERROR(VLOOKUP(C25,Steuerungsdaten!$B$17:$G$37,6,FALSE),1)*POWER(IF(OR(E25=0,F25=0,E25="",F25=""),1,(E25*F25/1000000)/Steuerungsdaten!$B$6),IFERROR(VLOOKUP(C25,Steuerungsdaten!$B$17:$M$37,12,FALSE),1)-1),0),Steuerungsdaten!$E$6))</f>
        <v>163</v>
      </c>
      <c r="J25" s="77">
        <f>IF(VLOOKUP(C25,Steuerungsdaten!$P$17:$T$39,5,0)="","",MAX(ROUND(VLOOKUP(C25,Steuerungsdaten!$P$17:$T$39,5,0)*Steuerungsdaten!$B$4*Steuerungsdaten!$B$10*IFERROR(VLOOKUP(C25,Steuerungsdaten!$B$17:$I$37,8,FALSE),1)*POWER(IF(OR(E25=0,F25=0,E25="",F25=""),1,(E25*F25/1000000)/Steuerungsdaten!$B$6),IFERROR(VLOOKUP(C25,Steuerungsdaten!$B$17:$N$37,13,FALSE),1)-1),0),Steuerungsdaten!$E$7))</f>
        <v>181</v>
      </c>
      <c r="K25" s="77">
        <f>IFERROR(IF(G25="","",ROUND(G25*Steuerungsdaten!$B$5,0)),"-")</f>
        <v>53</v>
      </c>
      <c r="L25" s="77">
        <f>IFERROR(IF(H25="","",ROUND(H25*Steuerungsdaten!$B$5,0)),"-")</f>
        <v>179</v>
      </c>
      <c r="M25" s="77">
        <f>IFERROR(IF(I25="","",ROUND(I25*Steuerungsdaten!$B$5,0)),"-")</f>
        <v>187</v>
      </c>
      <c r="N25" s="78">
        <f>IFERROR(IF(J25="","",ROUND(J25*Steuerungsdaten!$B$5,0)),"-")</f>
        <v>208</v>
      </c>
      <c r="O25" s="79">
        <v>52</v>
      </c>
      <c r="P25" s="79">
        <f>IF(H25="","",ROUND(H25/(Steuerungsdaten!$B$4*Steuerungsdaten!$B$8*IFERROR(VLOOKUP(C25,Steuerungsdaten!$B$17:$E$37,4,FALSE),1)*POWER(IF(OR(E25=0,F25=0,E25="",F25=""),1,(E25*F25/1000000)/Steuerungsdaten!$B$6),IFERROR(VLOOKUP(C25,Steuerungsdaten!$B$17:$L$37,11,FALSE),1)-1)),0))</f>
        <v>239</v>
      </c>
      <c r="Q25" s="79">
        <f>IF(I25="","",ROUND(I25/(Steuerungsdaten!$B$4*Steuerungsdaten!$B$9*IFERROR(VLOOKUP(C25,Steuerungsdaten!$B$17:$G$37,6,FALSE),1)*POWER(IF(OR(E25=0,F25=0,E25="",F25=""),1,(E25*F25/1000000)/Steuerungsdaten!$B$6),IFERROR(VLOOKUP(C25,Steuerungsdaten!$B$17:$M$37,12,FALSE),1)-1)),0))</f>
        <v>250</v>
      </c>
      <c r="R25" s="79">
        <f>IF(J25="","",ROUND(J25/(Steuerungsdaten!$B$4*Steuerungsdaten!$B$10*IFERROR(VLOOKUP(C25,Steuerungsdaten!$B$17:$I$37,8,FALSE),1)*POWER(IF(OR(E25=0,F25=0,E25="",F25=""),1,(E25*F25/1000000)/Steuerungsdaten!$B$6),IFERROR(VLOOKUP(C25,Steuerungsdaten!$B$17:$N$37,13,FALSE),1)-1)),0))</f>
        <v>255</v>
      </c>
    </row>
    <row r="26" spans="1:18" x14ac:dyDescent="0.25">
      <c r="A26" s="69">
        <v>3103</v>
      </c>
      <c r="B26" s="70" t="s">
        <v>7</v>
      </c>
      <c r="C26" s="70" t="s">
        <v>27</v>
      </c>
      <c r="D26" s="70" t="s">
        <v>31</v>
      </c>
      <c r="E26" s="71">
        <v>360</v>
      </c>
      <c r="F26" s="71">
        <v>1080</v>
      </c>
      <c r="G26" s="72">
        <f>IF(VLOOKUP(C26,Steuerungsdaten!$P$17:$T$39,2,0)="","",MAX(ROUND(VLOOKUP(C26,Steuerungsdaten!$P$17:$T$39,2,0)*Steuerungsdaten!$B$4*Steuerungsdaten!$B$7*IFERROR(VLOOKUP(C26,Steuerungsdaten!$B$17:$C$37,2,FALSE),1)*POWER(IF(OR(E26=0,F26=0,E26="",F26=""),1,(E26*F26/1000000)/Steuerungsdaten!$B$6),IFERROR(VLOOKUP(C26,Steuerungsdaten!$B$17:$K$37,10,FALSE),1)-1),0),Steuerungsdaten!$E$4))</f>
        <v>68</v>
      </c>
      <c r="H26" s="72">
        <f>IF(VLOOKUP(C26,Steuerungsdaten!$P$17:$T$39,3,0)="","",MAX(ROUND(VLOOKUP(C26,Steuerungsdaten!$P$17:$T$39,3,0)*Steuerungsdaten!$B$4*Steuerungsdaten!$B$8*IFERROR(VLOOKUP(C26,Steuerungsdaten!$B$17:$E$37,4,FALSE),1)*POWER(IF(OR(E26=0,F26=0,E26="",F26=""),1,(E26*F26/1000000)/Steuerungsdaten!$B$6),IFERROR(VLOOKUP(C26,Steuerungsdaten!$B$17:$L$37,11,FALSE),1)-1),0),Steuerungsdaten!$E$5))</f>
        <v>235</v>
      </c>
      <c r="I26" s="72">
        <f>IF(VLOOKUP(C26,Steuerungsdaten!$P$17:$T$39,4,0)="","",MAX(ROUND(VLOOKUP(C26,Steuerungsdaten!$P$17:$T$39,4,0)*Steuerungsdaten!$B$4*Steuerungsdaten!$B$9*IFERROR(VLOOKUP(C26,Steuerungsdaten!$B$17:$G$37,6,FALSE),1)*POWER(IF(OR(E26=0,F26=0,E26="",F26=""),1,(E26*F26/1000000)/Steuerungsdaten!$B$6),IFERROR(VLOOKUP(C26,Steuerungsdaten!$B$17:$M$37,12,FALSE),1)-1),0),Steuerungsdaten!$E$6))</f>
        <v>244</v>
      </c>
      <c r="J26" s="72">
        <f>IF(VLOOKUP(C26,Steuerungsdaten!$P$17:$T$39,5,0)="","",MAX(ROUND(VLOOKUP(C26,Steuerungsdaten!$P$17:$T$39,5,0)*Steuerungsdaten!$B$4*Steuerungsdaten!$B$10*IFERROR(VLOOKUP(C26,Steuerungsdaten!$B$17:$I$37,8,FALSE),1)*POWER(IF(OR(E26=0,F26=0,E26="",F26=""),1,(E26*F26/1000000)/Steuerungsdaten!$B$6),IFERROR(VLOOKUP(C26,Steuerungsdaten!$B$17:$N$37,13,FALSE),1)-1),0),Steuerungsdaten!$E$7))</f>
        <v>272</v>
      </c>
      <c r="K26" s="72">
        <f>IFERROR(IF(G26="","",ROUND(G26*Steuerungsdaten!$B$5,0)),"-")</f>
        <v>78</v>
      </c>
      <c r="L26" s="72">
        <f>IFERROR(IF(H26="","",ROUND(H26*Steuerungsdaten!$B$5,0)),"-")</f>
        <v>270</v>
      </c>
      <c r="M26" s="72">
        <f>IFERROR(IF(I26="","",ROUND(I26*Steuerungsdaten!$B$5,0)),"-")</f>
        <v>281</v>
      </c>
      <c r="N26" s="73">
        <f>IFERROR(IF(J26="","",ROUND(J26*Steuerungsdaten!$B$5,0)),"-")</f>
        <v>313</v>
      </c>
      <c r="O26" s="79">
        <v>76</v>
      </c>
      <c r="P26" s="79">
        <f>IF(H26="","",ROUND(H26/(Steuerungsdaten!$B$4*Steuerungsdaten!$B$8*IFERROR(VLOOKUP(C26,Steuerungsdaten!$B$17:$E$37,4,FALSE),1)*POWER(IF(OR(E26=0,F26=0,E26="",F26=""),1,(E26*F26/1000000)/Steuerungsdaten!$B$6),IFERROR(VLOOKUP(C26,Steuerungsdaten!$B$17:$L$37,11,FALSE),1)-1)),0))</f>
        <v>240</v>
      </c>
      <c r="Q26" s="79">
        <f>IF(I26="","",ROUND(I26/(Steuerungsdaten!$B$4*Steuerungsdaten!$B$9*IFERROR(VLOOKUP(C26,Steuerungsdaten!$B$17:$G$37,6,FALSE),1)*POWER(IF(OR(E26=0,F26=0,E26="",F26=""),1,(E26*F26/1000000)/Steuerungsdaten!$B$6),IFERROR(VLOOKUP(C26,Steuerungsdaten!$B$17:$M$37,12,FALSE),1)-1)),0))</f>
        <v>250</v>
      </c>
      <c r="R26" s="79">
        <f>IF(J26="","",ROUND(J26/(Steuerungsdaten!$B$4*Steuerungsdaten!$B$10*IFERROR(VLOOKUP(C26,Steuerungsdaten!$B$17:$I$37,8,FALSE),1)*POWER(IF(OR(E26=0,F26=0,E26="",F26=""),1,(E26*F26/1000000)/Steuerungsdaten!$B$6),IFERROR(VLOOKUP(C26,Steuerungsdaten!$B$17:$N$37,13,FALSE),1)-1)),0))</f>
        <v>255</v>
      </c>
    </row>
    <row r="27" spans="1:18" x14ac:dyDescent="0.25">
      <c r="A27" s="74">
        <v>3104</v>
      </c>
      <c r="B27" s="75" t="s">
        <v>7</v>
      </c>
      <c r="C27" s="75" t="s">
        <v>27</v>
      </c>
      <c r="D27" s="75" t="s">
        <v>32</v>
      </c>
      <c r="E27" s="76">
        <v>360</v>
      </c>
      <c r="F27" s="76">
        <v>1440</v>
      </c>
      <c r="G27" s="77">
        <f>IF(VLOOKUP(C27,Steuerungsdaten!$P$17:$T$39,2,0)="","",MAX(ROUND(VLOOKUP(C27,Steuerungsdaten!$P$17:$T$39,2,0)*Steuerungsdaten!$B$4*Steuerungsdaten!$B$7*IFERROR(VLOOKUP(C27,Steuerungsdaten!$B$17:$C$37,2,FALSE),1)*POWER(IF(OR(E27=0,F27=0,E27="",F27=""),1,(E27*F27/1000000)/Steuerungsdaten!$B$6),IFERROR(VLOOKUP(C27,Steuerungsdaten!$B$17:$K$37,10,FALSE),1)-1),0),Steuerungsdaten!$E$4))</f>
        <v>91</v>
      </c>
      <c r="H27" s="77">
        <f>IF(VLOOKUP(C27,Steuerungsdaten!$P$17:$T$39,3,0)="","",MAX(ROUND(VLOOKUP(C27,Steuerungsdaten!$P$17:$T$39,3,0)*Steuerungsdaten!$B$4*Steuerungsdaten!$B$8*IFERROR(VLOOKUP(C27,Steuerungsdaten!$B$17:$E$37,4,FALSE),1)*POWER(IF(OR(E27=0,F27=0,E27="",F27=""),1,(E27*F27/1000000)/Steuerungsdaten!$B$6),IFERROR(VLOOKUP(C27,Steuerungsdaten!$B$17:$L$37,11,FALSE),1)-1),0),Steuerungsdaten!$E$5))</f>
        <v>313</v>
      </c>
      <c r="I27" s="77">
        <f>IF(VLOOKUP(C27,Steuerungsdaten!$P$17:$T$39,4,0)="","",MAX(ROUND(VLOOKUP(C27,Steuerungsdaten!$P$17:$T$39,4,0)*Steuerungsdaten!$B$4*Steuerungsdaten!$B$9*IFERROR(VLOOKUP(C27,Steuerungsdaten!$B$17:$G$37,6,FALSE),1)*POWER(IF(OR(E27=0,F27=0,E27="",F27=""),1,(E27*F27/1000000)/Steuerungsdaten!$B$6),IFERROR(VLOOKUP(C27,Steuerungsdaten!$B$17:$M$37,12,FALSE),1)-1),0),Steuerungsdaten!$E$6))</f>
        <v>326</v>
      </c>
      <c r="J27" s="77">
        <f>IF(VLOOKUP(C27,Steuerungsdaten!$P$17:$T$39,5,0)="","",MAX(ROUND(VLOOKUP(C27,Steuerungsdaten!$P$17:$T$39,5,0)*Steuerungsdaten!$B$4*Steuerungsdaten!$B$10*IFERROR(VLOOKUP(C27,Steuerungsdaten!$B$17:$I$37,8,FALSE),1)*POWER(IF(OR(E27=0,F27=0,E27="",F27=""),1,(E27*F27/1000000)/Steuerungsdaten!$B$6),IFERROR(VLOOKUP(C27,Steuerungsdaten!$B$17:$N$37,13,FALSE),1)-1),0),Steuerungsdaten!$E$7))</f>
        <v>363</v>
      </c>
      <c r="K27" s="77">
        <f>IFERROR(IF(G27="","",ROUND(G27*Steuerungsdaten!$B$5,0)),"-")</f>
        <v>105</v>
      </c>
      <c r="L27" s="77">
        <f>IFERROR(IF(H27="","",ROUND(H27*Steuerungsdaten!$B$5,0)),"-")</f>
        <v>360</v>
      </c>
      <c r="M27" s="77">
        <f>IFERROR(IF(I27="","",ROUND(I27*Steuerungsdaten!$B$5,0)),"-")</f>
        <v>375</v>
      </c>
      <c r="N27" s="78">
        <f>IFERROR(IF(J27="","",ROUND(J27*Steuerungsdaten!$B$5,0)),"-")</f>
        <v>417</v>
      </c>
      <c r="O27" s="79">
        <v>100</v>
      </c>
      <c r="P27" s="79">
        <f>IF(H27="","",ROUND(H27/(Steuerungsdaten!$B$4*Steuerungsdaten!$B$8*IFERROR(VLOOKUP(C27,Steuerungsdaten!$B$17:$E$37,4,FALSE),1)*POWER(IF(OR(E27=0,F27=0,E27="",F27=""),1,(E27*F27/1000000)/Steuerungsdaten!$B$6),IFERROR(VLOOKUP(C27,Steuerungsdaten!$B$17:$L$37,11,FALSE),1)-1)),0))</f>
        <v>240</v>
      </c>
      <c r="Q27" s="79">
        <f>IF(I27="","",ROUND(I27/(Steuerungsdaten!$B$4*Steuerungsdaten!$B$9*IFERROR(VLOOKUP(C27,Steuerungsdaten!$B$17:$G$37,6,FALSE),1)*POWER(IF(OR(E27=0,F27=0,E27="",F27=""),1,(E27*F27/1000000)/Steuerungsdaten!$B$6),IFERROR(VLOOKUP(C27,Steuerungsdaten!$B$17:$M$37,12,FALSE),1)-1)),0))</f>
        <v>250</v>
      </c>
      <c r="R27" s="79">
        <f>IF(J27="","",ROUND(J27/(Steuerungsdaten!$B$4*Steuerungsdaten!$B$10*IFERROR(VLOOKUP(C27,Steuerungsdaten!$B$17:$I$37,8,FALSE),1)*POWER(IF(OR(E27=0,F27=0,E27="",F27=""),1,(E27*F27/1000000)/Steuerungsdaten!$B$6),IFERROR(VLOOKUP(C27,Steuerungsdaten!$B$17:$N$37,13,FALSE),1)-1)),0))</f>
        <v>255</v>
      </c>
    </row>
    <row r="28" spans="1:18" x14ac:dyDescent="0.25">
      <c r="A28" s="69">
        <v>3105</v>
      </c>
      <c r="B28" s="70" t="s">
        <v>7</v>
      </c>
      <c r="C28" s="70" t="s">
        <v>27</v>
      </c>
      <c r="D28" s="70" t="s">
        <v>33</v>
      </c>
      <c r="E28" s="71">
        <v>360</v>
      </c>
      <c r="F28" s="71">
        <v>1800</v>
      </c>
      <c r="G28" s="72">
        <f>IF(VLOOKUP(C28,Steuerungsdaten!$P$17:$T$39,2,0)="","",MAX(ROUND(VLOOKUP(C28,Steuerungsdaten!$P$17:$T$39,2,0)*Steuerungsdaten!$B$4*Steuerungsdaten!$B$7*IFERROR(VLOOKUP(C28,Steuerungsdaten!$B$17:$C$37,2,FALSE),1)*POWER(IF(OR(E28=0,F28=0,E28="",F28=""),1,(E28*F28/1000000)/Steuerungsdaten!$B$6),IFERROR(VLOOKUP(C28,Steuerungsdaten!$B$17:$K$37,10,FALSE),1)-1),0),Steuerungsdaten!$E$4))</f>
        <v>114</v>
      </c>
      <c r="H28" s="72">
        <f>IF(VLOOKUP(C28,Steuerungsdaten!$P$17:$T$39,3,0)="","",MAX(ROUND(VLOOKUP(C28,Steuerungsdaten!$P$17:$T$39,3,0)*Steuerungsdaten!$B$4*Steuerungsdaten!$B$8*IFERROR(VLOOKUP(C28,Steuerungsdaten!$B$17:$E$37,4,FALSE),1)*POWER(IF(OR(E28=0,F28=0,E28="",F28=""),1,(E28*F28/1000000)/Steuerungsdaten!$B$6),IFERROR(VLOOKUP(C28,Steuerungsdaten!$B$17:$L$37,11,FALSE),1)-1),0),Steuerungsdaten!$E$5))</f>
        <v>391</v>
      </c>
      <c r="I28" s="72">
        <f>IF(VLOOKUP(C28,Steuerungsdaten!$P$17:$T$39,4,0)="","",MAX(ROUND(VLOOKUP(C28,Steuerungsdaten!$P$17:$T$39,4,0)*Steuerungsdaten!$B$4*Steuerungsdaten!$B$9*IFERROR(VLOOKUP(C28,Steuerungsdaten!$B$17:$G$37,6,FALSE),1)*POWER(IF(OR(E28=0,F28=0,E28="",F28=""),1,(E28*F28/1000000)/Steuerungsdaten!$B$6),IFERROR(VLOOKUP(C28,Steuerungsdaten!$B$17:$M$37,12,FALSE),1)-1),0),Steuerungsdaten!$E$6))</f>
        <v>407</v>
      </c>
      <c r="J28" s="72">
        <f>IF(VLOOKUP(C28,Steuerungsdaten!$P$17:$T$39,5,0)="","",MAX(ROUND(VLOOKUP(C28,Steuerungsdaten!$P$17:$T$39,5,0)*Steuerungsdaten!$B$4*Steuerungsdaten!$B$10*IFERROR(VLOOKUP(C28,Steuerungsdaten!$B$17:$I$37,8,FALSE),1)*POWER(IF(OR(E28=0,F28=0,E28="",F28=""),1,(E28*F28/1000000)/Steuerungsdaten!$B$6),IFERROR(VLOOKUP(C28,Steuerungsdaten!$B$17:$N$37,13,FALSE),1)-1),0),Steuerungsdaten!$E$7))</f>
        <v>453</v>
      </c>
      <c r="K28" s="72">
        <f>IFERROR(IF(G28="","",ROUND(G28*Steuerungsdaten!$B$5,0)),"-")</f>
        <v>131</v>
      </c>
      <c r="L28" s="72">
        <f>IFERROR(IF(H28="","",ROUND(H28*Steuerungsdaten!$B$5,0)),"-")</f>
        <v>450</v>
      </c>
      <c r="M28" s="72">
        <f>IFERROR(IF(I28="","",ROUND(I28*Steuerungsdaten!$B$5,0)),"-")</f>
        <v>468</v>
      </c>
      <c r="N28" s="73">
        <f>IFERROR(IF(J28="","",ROUND(J28*Steuerungsdaten!$B$5,0)),"-")</f>
        <v>521</v>
      </c>
      <c r="O28" s="79">
        <v>125</v>
      </c>
      <c r="P28" s="79">
        <f>IF(H28="","",ROUND(H28/(Steuerungsdaten!$B$4*Steuerungsdaten!$B$8*IFERROR(VLOOKUP(C28,Steuerungsdaten!$B$17:$E$37,4,FALSE),1)*POWER(IF(OR(E28=0,F28=0,E28="",F28=""),1,(E28*F28/1000000)/Steuerungsdaten!$B$6),IFERROR(VLOOKUP(C28,Steuerungsdaten!$B$17:$L$37,11,FALSE),1)-1)),0))</f>
        <v>240</v>
      </c>
      <c r="Q28" s="79">
        <f>IF(I28="","",ROUND(I28/(Steuerungsdaten!$B$4*Steuerungsdaten!$B$9*IFERROR(VLOOKUP(C28,Steuerungsdaten!$B$17:$G$37,6,FALSE),1)*POWER(IF(OR(E28=0,F28=0,E28="",F28=""),1,(E28*F28/1000000)/Steuerungsdaten!$B$6),IFERROR(VLOOKUP(C28,Steuerungsdaten!$B$17:$M$37,12,FALSE),1)-1)),0))</f>
        <v>250</v>
      </c>
      <c r="R28" s="79">
        <f>IF(J28="","",ROUND(J28/(Steuerungsdaten!$B$4*Steuerungsdaten!$B$10*IFERROR(VLOOKUP(C28,Steuerungsdaten!$B$17:$I$37,8,FALSE),1)*POWER(IF(OR(E28=0,F28=0,E28="",F28=""),1,(E28*F28/1000000)/Steuerungsdaten!$B$6),IFERROR(VLOOKUP(C28,Steuerungsdaten!$B$17:$N$37,13,FALSE),1)-1)),0))</f>
        <v>255</v>
      </c>
    </row>
    <row r="29" spans="1:18" x14ac:dyDescent="0.25">
      <c r="A29" s="74">
        <v>3106</v>
      </c>
      <c r="B29" s="75" t="s">
        <v>7</v>
      </c>
      <c r="C29" s="75" t="s">
        <v>27</v>
      </c>
      <c r="D29" s="75" t="s">
        <v>34</v>
      </c>
      <c r="E29" s="76">
        <v>580</v>
      </c>
      <c r="F29" s="76">
        <v>180</v>
      </c>
      <c r="G29" s="77">
        <f>IF(VLOOKUP(C29,Steuerungsdaten!$P$17:$T$39,2,0)="","",MAX(ROUND(VLOOKUP(C29,Steuerungsdaten!$P$17:$T$39,2,0)*Steuerungsdaten!$B$4*Steuerungsdaten!$B$7*IFERROR(VLOOKUP(C29,Steuerungsdaten!$B$17:$C$37,2,FALSE),1)*POWER(IF(OR(E29=0,F29=0,E29="",F29=""),1,(E29*F29/1000000)/Steuerungsdaten!$B$6),IFERROR(VLOOKUP(C29,Steuerungsdaten!$B$17:$K$37,10,FALSE),1)-1),0),Steuerungsdaten!$E$4))</f>
        <v>25</v>
      </c>
      <c r="H29" s="77">
        <f>IF(VLOOKUP(C29,Steuerungsdaten!$P$17:$T$39,3,0)="","",MAX(ROUND(VLOOKUP(C29,Steuerungsdaten!$P$17:$T$39,3,0)*Steuerungsdaten!$B$4*Steuerungsdaten!$B$8*IFERROR(VLOOKUP(C29,Steuerungsdaten!$B$17:$E$37,4,FALSE),1)*POWER(IF(OR(E29=0,F29=0,E29="",F29=""),1,(E29*F29/1000000)/Steuerungsdaten!$B$6),IFERROR(VLOOKUP(C29,Steuerungsdaten!$B$17:$L$37,11,FALSE),1)-1),0),Steuerungsdaten!$E$5))</f>
        <v>103</v>
      </c>
      <c r="I29" s="77">
        <f>IF(VLOOKUP(C29,Steuerungsdaten!$P$17:$T$39,4,0)="","",MAX(ROUND(VLOOKUP(C29,Steuerungsdaten!$P$17:$T$39,4,0)*Steuerungsdaten!$B$4*Steuerungsdaten!$B$9*IFERROR(VLOOKUP(C29,Steuerungsdaten!$B$17:$G$37,6,FALSE),1)*POWER(IF(OR(E29=0,F29=0,E29="",F29=""),1,(E29*F29/1000000)/Steuerungsdaten!$B$6),IFERROR(VLOOKUP(C29,Steuerungsdaten!$B$17:$M$37,12,FALSE),1)-1),0),Steuerungsdaten!$E$6))</f>
        <v>120</v>
      </c>
      <c r="J29" s="77">
        <f>IF(VLOOKUP(C29,Steuerungsdaten!$P$17:$T$39,5,0)="","",MAX(ROUND(VLOOKUP(C29,Steuerungsdaten!$P$17:$T$39,5,0)*Steuerungsdaten!$B$4*Steuerungsdaten!$B$10*IFERROR(VLOOKUP(C29,Steuerungsdaten!$B$17:$I$37,8,FALSE),1)*POWER(IF(OR(E29=0,F29=0,E29="",F29=""),1,(E29*F29/1000000)/Steuerungsdaten!$B$6),IFERROR(VLOOKUP(C29,Steuerungsdaten!$B$17:$N$37,13,FALSE),1)-1),0),Steuerungsdaten!$E$7))</f>
        <v>145</v>
      </c>
      <c r="K29" s="77">
        <f>IFERROR(IF(G29="","",ROUND(G29*Steuerungsdaten!$B$5,0)),"-")</f>
        <v>29</v>
      </c>
      <c r="L29" s="77">
        <f>IFERROR(IF(H29="","",ROUND(H29*Steuerungsdaten!$B$5,0)),"-")</f>
        <v>118</v>
      </c>
      <c r="M29" s="77">
        <f>IFERROR(IF(I29="","",ROUND(I29*Steuerungsdaten!$B$5,0)),"-")</f>
        <v>138</v>
      </c>
      <c r="N29" s="78">
        <f>IFERROR(IF(J29="","",ROUND(J29*Steuerungsdaten!$B$5,0)),"-")</f>
        <v>167</v>
      </c>
      <c r="O29" s="79">
        <v>43</v>
      </c>
      <c r="P29" s="79">
        <f>IF(H29="","",ROUND(H29/(Steuerungsdaten!$B$4*Steuerungsdaten!$B$8*IFERROR(VLOOKUP(C29,Steuerungsdaten!$B$17:$E$37,4,FALSE),1)*POWER(IF(OR(E29=0,F29=0,E29="",F29=""),1,(E29*F29/1000000)/Steuerungsdaten!$B$6),IFERROR(VLOOKUP(C29,Steuerungsdaten!$B$17:$L$37,11,FALSE),1)-1)),0))</f>
        <v>392</v>
      </c>
      <c r="Q29" s="79">
        <f>IF(I29="","",ROUND(I29/(Steuerungsdaten!$B$4*Steuerungsdaten!$B$9*IFERROR(VLOOKUP(C29,Steuerungsdaten!$B$17:$G$37,6,FALSE),1)*POWER(IF(OR(E29=0,F29=0,E29="",F29=""),1,(E29*F29/1000000)/Steuerungsdaten!$B$6),IFERROR(VLOOKUP(C29,Steuerungsdaten!$B$17:$M$37,12,FALSE),1)-1)),0))</f>
        <v>457</v>
      </c>
      <c r="R29" s="79">
        <f>IF(J29="","",ROUND(J29/(Steuerungsdaten!$B$4*Steuerungsdaten!$B$10*IFERROR(VLOOKUP(C29,Steuerungsdaten!$B$17:$I$37,8,FALSE),1)*POWER(IF(OR(E29=0,F29=0,E29="",F29=""),1,(E29*F29/1000000)/Steuerungsdaten!$B$6),IFERROR(VLOOKUP(C29,Steuerungsdaten!$B$17:$N$37,13,FALSE),1)-1)),0))</f>
        <v>506</v>
      </c>
    </row>
    <row r="30" spans="1:18" x14ac:dyDescent="0.25">
      <c r="A30" s="69">
        <v>3107</v>
      </c>
      <c r="B30" s="70" t="s">
        <v>7</v>
      </c>
      <c r="C30" s="70" t="s">
        <v>27</v>
      </c>
      <c r="D30" s="70" t="s">
        <v>35</v>
      </c>
      <c r="E30" s="71">
        <v>580</v>
      </c>
      <c r="F30" s="71">
        <v>360</v>
      </c>
      <c r="G30" s="72">
        <f>IF(VLOOKUP(C30,Steuerungsdaten!$P$17:$T$39,2,0)="","",MAX(ROUND(VLOOKUP(C30,Steuerungsdaten!$P$17:$T$39,2,0)*Steuerungsdaten!$B$4*Steuerungsdaten!$B$7*IFERROR(VLOOKUP(C30,Steuerungsdaten!$B$17:$C$37,2,FALSE),1)*POWER(IF(OR(E30=0,F30=0,E30="",F30=""),1,(E30*F30/1000000)/Steuerungsdaten!$B$6),IFERROR(VLOOKUP(C30,Steuerungsdaten!$B$17:$K$37,10,FALSE),1)-1),0),Steuerungsdaten!$E$4))</f>
        <v>37</v>
      </c>
      <c r="H30" s="72">
        <f>IF(VLOOKUP(C30,Steuerungsdaten!$P$17:$T$39,3,0)="","",MAX(ROUND(VLOOKUP(C30,Steuerungsdaten!$P$17:$T$39,3,0)*Steuerungsdaten!$B$4*Steuerungsdaten!$B$8*IFERROR(VLOOKUP(C30,Steuerungsdaten!$B$17:$E$37,4,FALSE),1)*POWER(IF(OR(E30=0,F30=0,E30="",F30=""),1,(E30*F30/1000000)/Steuerungsdaten!$B$6),IFERROR(VLOOKUP(C30,Steuerungsdaten!$B$17:$L$37,11,FALSE),1)-1),0),Steuerungsdaten!$E$5))</f>
        <v>126</v>
      </c>
      <c r="I30" s="72">
        <f>IF(VLOOKUP(C30,Steuerungsdaten!$P$17:$T$39,4,0)="","",MAX(ROUND(VLOOKUP(C30,Steuerungsdaten!$P$17:$T$39,4,0)*Steuerungsdaten!$B$4*Steuerungsdaten!$B$9*IFERROR(VLOOKUP(C30,Steuerungsdaten!$B$17:$G$37,6,FALSE),1)*POWER(IF(OR(E30=0,F30=0,E30="",F30=""),1,(E30*F30/1000000)/Steuerungsdaten!$B$6),IFERROR(VLOOKUP(C30,Steuerungsdaten!$B$17:$M$37,12,FALSE),1)-1),0),Steuerungsdaten!$E$6))</f>
        <v>131</v>
      </c>
      <c r="J30" s="72">
        <f>IF(VLOOKUP(C30,Steuerungsdaten!$P$17:$T$39,5,0)="","",MAX(ROUND(VLOOKUP(C30,Steuerungsdaten!$P$17:$T$39,5,0)*Steuerungsdaten!$B$4*Steuerungsdaten!$B$10*IFERROR(VLOOKUP(C30,Steuerungsdaten!$B$17:$I$37,8,FALSE),1)*POWER(IF(OR(E30=0,F30=0,E30="",F30=""),1,(E30*F30/1000000)/Steuerungsdaten!$B$6),IFERROR(VLOOKUP(C30,Steuerungsdaten!$B$17:$N$37,13,FALSE),1)-1),0),Steuerungsdaten!$E$7))</f>
        <v>146</v>
      </c>
      <c r="K30" s="72">
        <f>IFERROR(IF(G30="","",ROUND(G30*Steuerungsdaten!$B$5,0)),"-")</f>
        <v>43</v>
      </c>
      <c r="L30" s="72">
        <f>IFERROR(IF(H30="","",ROUND(H30*Steuerungsdaten!$B$5,0)),"-")</f>
        <v>145</v>
      </c>
      <c r="M30" s="72">
        <f>IFERROR(IF(I30="","",ROUND(I30*Steuerungsdaten!$B$5,0)),"-")</f>
        <v>151</v>
      </c>
      <c r="N30" s="73">
        <f>IFERROR(IF(J30="","",ROUND(J30*Steuerungsdaten!$B$5,0)),"-")</f>
        <v>168</v>
      </c>
      <c r="O30" s="79">
        <v>43</v>
      </c>
      <c r="P30" s="79">
        <f>IF(H30="","",ROUND(H30/(Steuerungsdaten!$B$4*Steuerungsdaten!$B$8*IFERROR(VLOOKUP(C30,Steuerungsdaten!$B$17:$E$37,4,FALSE),1)*POWER(IF(OR(E30=0,F30=0,E30="",F30=""),1,(E30*F30/1000000)/Steuerungsdaten!$B$6),IFERROR(VLOOKUP(C30,Steuerungsdaten!$B$17:$L$37,11,FALSE),1)-1)),0))</f>
        <v>240</v>
      </c>
      <c r="Q30" s="79">
        <f>IF(I30="","",ROUND(I30/(Steuerungsdaten!$B$4*Steuerungsdaten!$B$9*IFERROR(VLOOKUP(C30,Steuerungsdaten!$B$17:$G$37,6,FALSE),1)*POWER(IF(OR(E30=0,F30=0,E30="",F30=""),1,(E30*F30/1000000)/Steuerungsdaten!$B$6),IFERROR(VLOOKUP(C30,Steuerungsdaten!$B$17:$M$37,12,FALSE),1)-1)),0))</f>
        <v>250</v>
      </c>
      <c r="R30" s="79">
        <f>IF(J30="","",ROUND(J30/(Steuerungsdaten!$B$4*Steuerungsdaten!$B$10*IFERROR(VLOOKUP(C30,Steuerungsdaten!$B$17:$I$37,8,FALSE),1)*POWER(IF(OR(E30=0,F30=0,E30="",F30=""),1,(E30*F30/1000000)/Steuerungsdaten!$B$6),IFERROR(VLOOKUP(C30,Steuerungsdaten!$B$17:$N$37,13,FALSE),1)-1)),0))</f>
        <v>255</v>
      </c>
    </row>
    <row r="31" spans="1:18" x14ac:dyDescent="0.25">
      <c r="A31" s="74">
        <v>3108</v>
      </c>
      <c r="B31" s="75" t="s">
        <v>7</v>
      </c>
      <c r="C31" s="75" t="s">
        <v>27</v>
      </c>
      <c r="D31" s="75" t="s">
        <v>36</v>
      </c>
      <c r="E31" s="76">
        <v>580</v>
      </c>
      <c r="F31" s="76">
        <v>720</v>
      </c>
      <c r="G31" s="77">
        <f>IF(VLOOKUP(C31,Steuerungsdaten!$P$17:$T$39,2,0)="","",MAX(ROUND(VLOOKUP(C31,Steuerungsdaten!$P$17:$T$39,2,0)*Steuerungsdaten!$B$4*Steuerungsdaten!$B$7*IFERROR(VLOOKUP(C31,Steuerungsdaten!$B$17:$C$37,2,FALSE),1)*POWER(IF(OR(E31=0,F31=0,E31="",F31=""),1,(E31*F31/1000000)/Steuerungsdaten!$B$6),IFERROR(VLOOKUP(C31,Steuerungsdaten!$B$17:$K$37,10,FALSE),1)-1),0),Steuerungsdaten!$E$4))</f>
        <v>73</v>
      </c>
      <c r="H31" s="77">
        <f>IF(VLOOKUP(C31,Steuerungsdaten!$P$17:$T$39,3,0)="","",MAX(ROUND(VLOOKUP(C31,Steuerungsdaten!$P$17:$T$39,3,0)*Steuerungsdaten!$B$4*Steuerungsdaten!$B$8*IFERROR(VLOOKUP(C31,Steuerungsdaten!$B$17:$E$37,4,FALSE),1)*POWER(IF(OR(E31=0,F31=0,E31="",F31=""),1,(E31*F31/1000000)/Steuerungsdaten!$B$6),IFERROR(VLOOKUP(C31,Steuerungsdaten!$B$17:$L$37,11,FALSE),1)-1),0),Steuerungsdaten!$E$5))</f>
        <v>252</v>
      </c>
      <c r="I31" s="77">
        <f>IF(VLOOKUP(C31,Steuerungsdaten!$P$17:$T$39,4,0)="","",MAX(ROUND(VLOOKUP(C31,Steuerungsdaten!$P$17:$T$39,4,0)*Steuerungsdaten!$B$4*Steuerungsdaten!$B$9*IFERROR(VLOOKUP(C31,Steuerungsdaten!$B$17:$G$37,6,FALSE),1)*POWER(IF(OR(E31=0,F31=0,E31="",F31=""),1,(E31*F31/1000000)/Steuerungsdaten!$B$6),IFERROR(VLOOKUP(C31,Steuerungsdaten!$B$17:$M$37,12,FALSE),1)-1),0),Steuerungsdaten!$E$6))</f>
        <v>262</v>
      </c>
      <c r="J31" s="77">
        <f>IF(VLOOKUP(C31,Steuerungsdaten!$P$17:$T$39,5,0)="","",MAX(ROUND(VLOOKUP(C31,Steuerungsdaten!$P$17:$T$39,5,0)*Steuerungsdaten!$B$4*Steuerungsdaten!$B$10*IFERROR(VLOOKUP(C31,Steuerungsdaten!$B$17:$I$37,8,FALSE),1)*POWER(IF(OR(E31=0,F31=0,E31="",F31=""),1,(E31*F31/1000000)/Steuerungsdaten!$B$6),IFERROR(VLOOKUP(C31,Steuerungsdaten!$B$17:$N$37,13,FALSE),1)-1),0),Steuerungsdaten!$E$7))</f>
        <v>292</v>
      </c>
      <c r="K31" s="77">
        <f>IFERROR(IF(G31="","",ROUND(G31*Steuerungsdaten!$B$5,0)),"-")</f>
        <v>84</v>
      </c>
      <c r="L31" s="77">
        <f>IFERROR(IF(H31="","",ROUND(H31*Steuerungsdaten!$B$5,0)),"-")</f>
        <v>290</v>
      </c>
      <c r="M31" s="77">
        <f>IFERROR(IF(I31="","",ROUND(I31*Steuerungsdaten!$B$5,0)),"-")</f>
        <v>301</v>
      </c>
      <c r="N31" s="78">
        <f>IFERROR(IF(J31="","",ROUND(J31*Steuerungsdaten!$B$5,0)),"-")</f>
        <v>336</v>
      </c>
      <c r="O31" s="79">
        <v>82</v>
      </c>
      <c r="P31" s="79">
        <f>IF(H31="","",ROUND(H31/(Steuerungsdaten!$B$4*Steuerungsdaten!$B$8*IFERROR(VLOOKUP(C31,Steuerungsdaten!$B$17:$E$37,4,FALSE),1)*POWER(IF(OR(E31=0,F31=0,E31="",F31=""),1,(E31*F31/1000000)/Steuerungsdaten!$B$6),IFERROR(VLOOKUP(C31,Steuerungsdaten!$B$17:$L$37,11,FALSE),1)-1)),0))</f>
        <v>240</v>
      </c>
      <c r="Q31" s="79">
        <f>IF(I31="","",ROUND(I31/(Steuerungsdaten!$B$4*Steuerungsdaten!$B$9*IFERROR(VLOOKUP(C31,Steuerungsdaten!$B$17:$G$37,6,FALSE),1)*POWER(IF(OR(E31=0,F31=0,E31="",F31=""),1,(E31*F31/1000000)/Steuerungsdaten!$B$6),IFERROR(VLOOKUP(C31,Steuerungsdaten!$B$17:$M$37,12,FALSE),1)-1)),0))</f>
        <v>250</v>
      </c>
      <c r="R31" s="79">
        <f>IF(J31="","",ROUND(J31/(Steuerungsdaten!$B$4*Steuerungsdaten!$B$10*IFERROR(VLOOKUP(C31,Steuerungsdaten!$B$17:$I$37,8,FALSE),1)*POWER(IF(OR(E31=0,F31=0,E31="",F31=""),1,(E31*F31/1000000)/Steuerungsdaten!$B$6),IFERROR(VLOOKUP(C31,Steuerungsdaten!$B$17:$N$37,13,FALSE),1)-1)),0))</f>
        <v>255</v>
      </c>
    </row>
    <row r="32" spans="1:18" x14ac:dyDescent="0.25">
      <c r="A32" s="69">
        <v>3109</v>
      </c>
      <c r="B32" s="70" t="s">
        <v>7</v>
      </c>
      <c r="C32" s="70" t="s">
        <v>27</v>
      </c>
      <c r="D32" s="70" t="s">
        <v>37</v>
      </c>
      <c r="E32" s="71">
        <v>580</v>
      </c>
      <c r="F32" s="71">
        <v>1080</v>
      </c>
      <c r="G32" s="72">
        <f>IF(VLOOKUP(C32,Steuerungsdaten!$P$17:$T$39,2,0)="","",MAX(ROUND(VLOOKUP(C32,Steuerungsdaten!$P$17:$T$39,2,0)*Steuerungsdaten!$B$4*Steuerungsdaten!$B$7*IFERROR(VLOOKUP(C32,Steuerungsdaten!$B$17:$C$37,2,FALSE),1)*POWER(IF(OR(E32=0,F32=0,E32="",F32=""),1,(E32*F32/1000000)/Steuerungsdaten!$B$6),IFERROR(VLOOKUP(C32,Steuerungsdaten!$B$17:$K$37,10,FALSE),1)-1),0),Steuerungsdaten!$E$4))</f>
        <v>110</v>
      </c>
      <c r="H32" s="72">
        <f>IF(VLOOKUP(C32,Steuerungsdaten!$P$17:$T$39,3,0)="","",MAX(ROUND(VLOOKUP(C32,Steuerungsdaten!$P$17:$T$39,3,0)*Steuerungsdaten!$B$4*Steuerungsdaten!$B$8*IFERROR(VLOOKUP(C32,Steuerungsdaten!$B$17:$E$37,4,FALSE),1)*POWER(IF(OR(E32=0,F32=0,E32="",F32=""),1,(E32*F32/1000000)/Steuerungsdaten!$B$6),IFERROR(VLOOKUP(C32,Steuerungsdaten!$B$17:$L$37,11,FALSE),1)-1),0),Steuerungsdaten!$E$5))</f>
        <v>378</v>
      </c>
      <c r="I32" s="72">
        <f>IF(VLOOKUP(C32,Steuerungsdaten!$P$17:$T$39,4,0)="","",MAX(ROUND(VLOOKUP(C32,Steuerungsdaten!$P$17:$T$39,4,0)*Steuerungsdaten!$B$4*Steuerungsdaten!$B$9*IFERROR(VLOOKUP(C32,Steuerungsdaten!$B$17:$G$37,6,FALSE),1)*POWER(IF(OR(E32=0,F32=0,E32="",F32=""),1,(E32*F32/1000000)/Steuerungsdaten!$B$6),IFERROR(VLOOKUP(C32,Steuerungsdaten!$B$17:$M$37,12,FALSE),1)-1),0),Steuerungsdaten!$E$6))</f>
        <v>394</v>
      </c>
      <c r="J32" s="72">
        <f>IF(VLOOKUP(C32,Steuerungsdaten!$P$17:$T$39,5,0)="","",MAX(ROUND(VLOOKUP(C32,Steuerungsdaten!$P$17:$T$39,5,0)*Steuerungsdaten!$B$4*Steuerungsdaten!$B$10*IFERROR(VLOOKUP(C32,Steuerungsdaten!$B$17:$I$37,8,FALSE),1)*POWER(IF(OR(E32=0,F32=0,E32="",F32=""),1,(E32*F32/1000000)/Steuerungsdaten!$B$6),IFERROR(VLOOKUP(C32,Steuerungsdaten!$B$17:$N$37,13,FALSE),1)-1),0),Steuerungsdaten!$E$7))</f>
        <v>438</v>
      </c>
      <c r="K32" s="72">
        <f>IFERROR(IF(G32="","",ROUND(G32*Steuerungsdaten!$B$5,0)),"-")</f>
        <v>127</v>
      </c>
      <c r="L32" s="72">
        <f>IFERROR(IF(H32="","",ROUND(H32*Steuerungsdaten!$B$5,0)),"-")</f>
        <v>435</v>
      </c>
      <c r="M32" s="72">
        <f>IFERROR(IF(I32="","",ROUND(I32*Steuerungsdaten!$B$5,0)),"-")</f>
        <v>453</v>
      </c>
      <c r="N32" s="73">
        <f>IFERROR(IF(J32="","",ROUND(J32*Steuerungsdaten!$B$5,0)),"-")</f>
        <v>504</v>
      </c>
      <c r="O32" s="79">
        <v>119</v>
      </c>
      <c r="P32" s="79">
        <f>IF(H32="","",ROUND(H32/(Steuerungsdaten!$B$4*Steuerungsdaten!$B$8*IFERROR(VLOOKUP(C32,Steuerungsdaten!$B$17:$E$37,4,FALSE),1)*POWER(IF(OR(E32=0,F32=0,E32="",F32=""),1,(E32*F32/1000000)/Steuerungsdaten!$B$6),IFERROR(VLOOKUP(C32,Steuerungsdaten!$B$17:$L$37,11,FALSE),1)-1)),0))</f>
        <v>240</v>
      </c>
      <c r="Q32" s="79">
        <f>IF(I32="","",ROUND(I32/(Steuerungsdaten!$B$4*Steuerungsdaten!$B$9*IFERROR(VLOOKUP(C32,Steuerungsdaten!$B$17:$G$37,6,FALSE),1)*POWER(IF(OR(E32=0,F32=0,E32="",F32=""),1,(E32*F32/1000000)/Steuerungsdaten!$B$6),IFERROR(VLOOKUP(C32,Steuerungsdaten!$B$17:$M$37,12,FALSE),1)-1)),0))</f>
        <v>250</v>
      </c>
      <c r="R32" s="79">
        <f>IF(J32="","",ROUND(J32/(Steuerungsdaten!$B$4*Steuerungsdaten!$B$10*IFERROR(VLOOKUP(C32,Steuerungsdaten!$B$17:$I$37,8,FALSE),1)*POWER(IF(OR(E32=0,F32=0,E32="",F32=""),1,(E32*F32/1000000)/Steuerungsdaten!$B$6),IFERROR(VLOOKUP(C32,Steuerungsdaten!$B$17:$N$37,13,FALSE),1)-1)),0))</f>
        <v>255</v>
      </c>
    </row>
    <row r="33" spans="1:18" x14ac:dyDescent="0.25">
      <c r="A33" s="74">
        <v>3110</v>
      </c>
      <c r="B33" s="75" t="s">
        <v>7</v>
      </c>
      <c r="C33" s="75" t="s">
        <v>27</v>
      </c>
      <c r="D33" s="75" t="s">
        <v>38</v>
      </c>
      <c r="E33" s="76">
        <v>580</v>
      </c>
      <c r="F33" s="76">
        <v>1440</v>
      </c>
      <c r="G33" s="77">
        <f>IF(VLOOKUP(C33,Steuerungsdaten!$P$17:$T$39,2,0)="","",MAX(ROUND(VLOOKUP(C33,Steuerungsdaten!$P$17:$T$39,2,0)*Steuerungsdaten!$B$4*Steuerungsdaten!$B$7*IFERROR(VLOOKUP(C33,Steuerungsdaten!$B$17:$C$37,2,FALSE),1)*POWER(IF(OR(E33=0,F33=0,E33="",F33=""),1,(E33*F33/1000000)/Steuerungsdaten!$B$6),IFERROR(VLOOKUP(C33,Steuerungsdaten!$B$17:$K$37,10,FALSE),1)-1),0),Steuerungsdaten!$E$4))</f>
        <v>147</v>
      </c>
      <c r="H33" s="77">
        <f>IF(VLOOKUP(C33,Steuerungsdaten!$P$17:$T$39,3,0)="","",MAX(ROUND(VLOOKUP(C33,Steuerungsdaten!$P$17:$T$39,3,0)*Steuerungsdaten!$B$4*Steuerungsdaten!$B$8*IFERROR(VLOOKUP(C33,Steuerungsdaten!$B$17:$E$37,4,FALSE),1)*POWER(IF(OR(E33=0,F33=0,E33="",F33=""),1,(E33*F33/1000000)/Steuerungsdaten!$B$6),IFERROR(VLOOKUP(C33,Steuerungsdaten!$B$17:$L$37,11,FALSE),1)-1),0),Steuerungsdaten!$E$5))</f>
        <v>504</v>
      </c>
      <c r="I33" s="77">
        <f>IF(VLOOKUP(C33,Steuerungsdaten!$P$17:$T$39,4,0)="","",MAX(ROUND(VLOOKUP(C33,Steuerungsdaten!$P$17:$T$39,4,0)*Steuerungsdaten!$B$4*Steuerungsdaten!$B$9*IFERROR(VLOOKUP(C33,Steuerungsdaten!$B$17:$G$37,6,FALSE),1)*POWER(IF(OR(E33=0,F33=0,E33="",F33=""),1,(E33*F33/1000000)/Steuerungsdaten!$B$6),IFERROR(VLOOKUP(C33,Steuerungsdaten!$B$17:$M$37,12,FALSE),1)-1),0),Steuerungsdaten!$E$6))</f>
        <v>525</v>
      </c>
      <c r="J33" s="77">
        <f>IF(VLOOKUP(C33,Steuerungsdaten!$P$17:$T$39,5,0)="","",MAX(ROUND(VLOOKUP(C33,Steuerungsdaten!$P$17:$T$39,5,0)*Steuerungsdaten!$B$4*Steuerungsdaten!$B$10*IFERROR(VLOOKUP(C33,Steuerungsdaten!$B$17:$I$37,8,FALSE),1)*POWER(IF(OR(E33=0,F33=0,E33="",F33=""),1,(E33*F33/1000000)/Steuerungsdaten!$B$6),IFERROR(VLOOKUP(C33,Steuerungsdaten!$B$17:$N$37,13,FALSE),1)-1),0),Steuerungsdaten!$E$7))</f>
        <v>584</v>
      </c>
      <c r="K33" s="77">
        <f>IFERROR(IF(G33="","",ROUND(G33*Steuerungsdaten!$B$5,0)),"-")</f>
        <v>169</v>
      </c>
      <c r="L33" s="77">
        <f>IFERROR(IF(H33="","",ROUND(H33*Steuerungsdaten!$B$5,0)),"-")</f>
        <v>580</v>
      </c>
      <c r="M33" s="77">
        <f>IFERROR(IF(I33="","",ROUND(I33*Steuerungsdaten!$B$5,0)),"-")</f>
        <v>604</v>
      </c>
      <c r="N33" s="78">
        <f>IFERROR(IF(J33="","",ROUND(J33*Steuerungsdaten!$B$5,0)),"-")</f>
        <v>672</v>
      </c>
      <c r="O33" s="79">
        <v>158</v>
      </c>
      <c r="P33" s="79">
        <f>IF(H33="","",ROUND(H33/(Steuerungsdaten!$B$4*Steuerungsdaten!$B$8*IFERROR(VLOOKUP(C33,Steuerungsdaten!$B$17:$E$37,4,FALSE),1)*POWER(IF(OR(E33=0,F33=0,E33="",F33=""),1,(E33*F33/1000000)/Steuerungsdaten!$B$6),IFERROR(VLOOKUP(C33,Steuerungsdaten!$B$17:$L$37,11,FALSE),1)-1)),0))</f>
        <v>240</v>
      </c>
      <c r="Q33" s="79">
        <f>IF(I33="","",ROUND(I33/(Steuerungsdaten!$B$4*Steuerungsdaten!$B$9*IFERROR(VLOOKUP(C33,Steuerungsdaten!$B$17:$G$37,6,FALSE),1)*POWER(IF(OR(E33=0,F33=0,E33="",F33=""),1,(E33*F33/1000000)/Steuerungsdaten!$B$6),IFERROR(VLOOKUP(C33,Steuerungsdaten!$B$17:$M$37,12,FALSE),1)-1)),0))</f>
        <v>250</v>
      </c>
      <c r="R33" s="79">
        <f>IF(J33="","",ROUND(J33/(Steuerungsdaten!$B$4*Steuerungsdaten!$B$10*IFERROR(VLOOKUP(C33,Steuerungsdaten!$B$17:$I$37,8,FALSE),1)*POWER(IF(OR(E33=0,F33=0,E33="",F33=""),1,(E33*F33/1000000)/Steuerungsdaten!$B$6),IFERROR(VLOOKUP(C33,Steuerungsdaten!$B$17:$N$37,13,FALSE),1)-1)),0))</f>
        <v>255</v>
      </c>
    </row>
    <row r="34" spans="1:18" x14ac:dyDescent="0.25">
      <c r="A34" s="69">
        <v>3111</v>
      </c>
      <c r="B34" s="70" t="s">
        <v>7</v>
      </c>
      <c r="C34" s="70" t="s">
        <v>27</v>
      </c>
      <c r="D34" s="70" t="s">
        <v>39</v>
      </c>
      <c r="E34" s="71">
        <v>580</v>
      </c>
      <c r="F34" s="71">
        <v>1800</v>
      </c>
      <c r="G34" s="72">
        <f>IF(VLOOKUP(C34,Steuerungsdaten!$P$17:$T$39,2,0)="","",MAX(ROUND(VLOOKUP(C34,Steuerungsdaten!$P$17:$T$39,2,0)*Steuerungsdaten!$B$4*Steuerungsdaten!$B$7*IFERROR(VLOOKUP(C34,Steuerungsdaten!$B$17:$C$37,2,FALSE),1)*POWER(IF(OR(E34=0,F34=0,E34="",F34=""),1,(E34*F34/1000000)/Steuerungsdaten!$B$6),IFERROR(VLOOKUP(C34,Steuerungsdaten!$B$17:$K$37,10,FALSE),1)-1),0),Steuerungsdaten!$E$4))</f>
        <v>184</v>
      </c>
      <c r="H34" s="72">
        <f>IF(VLOOKUP(C34,Steuerungsdaten!$P$17:$T$39,3,0)="","",MAX(ROUND(VLOOKUP(C34,Steuerungsdaten!$P$17:$T$39,3,0)*Steuerungsdaten!$B$4*Steuerungsdaten!$B$8*IFERROR(VLOOKUP(C34,Steuerungsdaten!$B$17:$E$37,4,FALSE),1)*POWER(IF(OR(E34=0,F34=0,E34="",F34=""),1,(E34*F34/1000000)/Steuerungsdaten!$B$6),IFERROR(VLOOKUP(C34,Steuerungsdaten!$B$17:$L$37,11,FALSE),1)-1),0),Steuerungsdaten!$E$5))</f>
        <v>630</v>
      </c>
      <c r="I34" s="72">
        <f>IF(VLOOKUP(C34,Steuerungsdaten!$P$17:$T$39,4,0)="","",MAX(ROUND(VLOOKUP(C34,Steuerungsdaten!$P$17:$T$39,4,0)*Steuerungsdaten!$B$4*Steuerungsdaten!$B$9*IFERROR(VLOOKUP(C34,Steuerungsdaten!$B$17:$G$37,6,FALSE),1)*POWER(IF(OR(E34=0,F34=0,E34="",F34=""),1,(E34*F34/1000000)/Steuerungsdaten!$B$6),IFERROR(VLOOKUP(C34,Steuerungsdaten!$B$17:$M$37,12,FALSE),1)-1),0),Steuerungsdaten!$E$6))</f>
        <v>656</v>
      </c>
      <c r="J34" s="72">
        <f>IF(VLOOKUP(C34,Steuerungsdaten!$P$17:$T$39,5,0)="","",MAX(ROUND(VLOOKUP(C34,Steuerungsdaten!$P$17:$T$39,5,0)*Steuerungsdaten!$B$4*Steuerungsdaten!$B$10*IFERROR(VLOOKUP(C34,Steuerungsdaten!$B$17:$I$37,8,FALSE),1)*POWER(IF(OR(E34=0,F34=0,E34="",F34=""),1,(E34*F34/1000000)/Steuerungsdaten!$B$6),IFERROR(VLOOKUP(C34,Steuerungsdaten!$B$17:$N$37,13,FALSE),1)-1),0),Steuerungsdaten!$E$7))</f>
        <v>730</v>
      </c>
      <c r="K34" s="72">
        <f>IFERROR(IF(G34="","",ROUND(G34*Steuerungsdaten!$B$5,0)),"-")</f>
        <v>212</v>
      </c>
      <c r="L34" s="72">
        <f>IFERROR(IF(H34="","",ROUND(H34*Steuerungsdaten!$B$5,0)),"-")</f>
        <v>725</v>
      </c>
      <c r="M34" s="72">
        <f>IFERROR(IF(I34="","",ROUND(I34*Steuerungsdaten!$B$5,0)),"-")</f>
        <v>754</v>
      </c>
      <c r="N34" s="73">
        <f>IFERROR(IF(J34="","",ROUND(J34*Steuerungsdaten!$B$5,0)),"-")</f>
        <v>840</v>
      </c>
      <c r="O34" s="79">
        <v>197</v>
      </c>
      <c r="P34" s="79">
        <f>IF(H34="","",ROUND(H34/(Steuerungsdaten!$B$4*Steuerungsdaten!$B$8*IFERROR(VLOOKUP(C34,Steuerungsdaten!$B$17:$E$37,4,FALSE),1)*POWER(IF(OR(E34=0,F34=0,E34="",F34=""),1,(E34*F34/1000000)/Steuerungsdaten!$B$6),IFERROR(VLOOKUP(C34,Steuerungsdaten!$B$17:$L$37,11,FALSE),1)-1)),0))</f>
        <v>240</v>
      </c>
      <c r="Q34" s="79">
        <f>IF(I34="","",ROUND(I34/(Steuerungsdaten!$B$4*Steuerungsdaten!$B$9*IFERROR(VLOOKUP(C34,Steuerungsdaten!$B$17:$G$37,6,FALSE),1)*POWER(IF(OR(E34=0,F34=0,E34="",F34=""),1,(E34*F34/1000000)/Steuerungsdaten!$B$6),IFERROR(VLOOKUP(C34,Steuerungsdaten!$B$17:$M$37,12,FALSE),1)-1)),0))</f>
        <v>250</v>
      </c>
      <c r="R34" s="79">
        <f>IF(J34="","",ROUND(J34/(Steuerungsdaten!$B$4*Steuerungsdaten!$B$10*IFERROR(VLOOKUP(C34,Steuerungsdaten!$B$17:$I$37,8,FALSE),1)*POWER(IF(OR(E34=0,F34=0,E34="",F34=""),1,(E34*F34/1000000)/Steuerungsdaten!$B$6),IFERROR(VLOOKUP(C34,Steuerungsdaten!$B$17:$N$37,13,FALSE),1)-1)),0))</f>
        <v>255</v>
      </c>
    </row>
    <row r="35" spans="1:18" x14ac:dyDescent="0.25">
      <c r="A35" s="74">
        <v>3112</v>
      </c>
      <c r="B35" s="75" t="s">
        <v>7</v>
      </c>
      <c r="C35" s="75" t="s">
        <v>27</v>
      </c>
      <c r="D35" s="75" t="s">
        <v>40</v>
      </c>
      <c r="E35" s="76">
        <v>180</v>
      </c>
      <c r="F35" s="76">
        <v>780</v>
      </c>
      <c r="G35" s="77">
        <f>IF(VLOOKUP(C35,Steuerungsdaten!$P$17:$T$39,2,0)="","",MAX(ROUND(VLOOKUP(C35,Steuerungsdaten!$P$17:$T$39,2,0)*Steuerungsdaten!$B$4*Steuerungsdaten!$B$7*IFERROR(VLOOKUP(C35,Steuerungsdaten!$B$17:$C$37,2,FALSE),1)*POWER(IF(OR(E35=0,F35=0,E35="",F35=""),1,(E35*F35/1000000)/Steuerungsdaten!$B$6),IFERROR(VLOOKUP(C35,Steuerungsdaten!$B$17:$K$37,10,FALSE),1)-1),0),Steuerungsdaten!$E$4))</f>
        <v>25</v>
      </c>
      <c r="H35" s="77">
        <f>IF(VLOOKUP(C35,Steuerungsdaten!$P$17:$T$39,3,0)="","",MAX(ROUND(VLOOKUP(C35,Steuerungsdaten!$P$17:$T$39,3,0)*Steuerungsdaten!$B$4*Steuerungsdaten!$B$8*IFERROR(VLOOKUP(C35,Steuerungsdaten!$B$17:$E$37,4,FALSE),1)*POWER(IF(OR(E35=0,F35=0,E35="",F35=""),1,(E35*F35/1000000)/Steuerungsdaten!$B$6),IFERROR(VLOOKUP(C35,Steuerungsdaten!$B$17:$L$37,11,FALSE),1)-1),0),Steuerungsdaten!$E$5))</f>
        <v>103</v>
      </c>
      <c r="I35" s="77">
        <f>IF(VLOOKUP(C35,Steuerungsdaten!$P$17:$T$39,4,0)="","",MAX(ROUND(VLOOKUP(C35,Steuerungsdaten!$P$17:$T$39,4,0)*Steuerungsdaten!$B$4*Steuerungsdaten!$B$9*IFERROR(VLOOKUP(C35,Steuerungsdaten!$B$17:$G$37,6,FALSE),1)*POWER(IF(OR(E35=0,F35=0,E35="",F35=""),1,(E35*F35/1000000)/Steuerungsdaten!$B$6),IFERROR(VLOOKUP(C35,Steuerungsdaten!$B$17:$M$37,12,FALSE),1)-1),0),Steuerungsdaten!$E$6))</f>
        <v>120</v>
      </c>
      <c r="J35" s="77">
        <f>IF(VLOOKUP(C35,Steuerungsdaten!$P$17:$T$39,5,0)="","",MAX(ROUND(VLOOKUP(C35,Steuerungsdaten!$P$17:$T$39,5,0)*Steuerungsdaten!$B$4*Steuerungsdaten!$B$10*IFERROR(VLOOKUP(C35,Steuerungsdaten!$B$17:$I$37,8,FALSE),1)*POWER(IF(OR(E35=0,F35=0,E35="",F35=""),1,(E35*F35/1000000)/Steuerungsdaten!$B$6),IFERROR(VLOOKUP(C35,Steuerungsdaten!$B$17:$N$37,13,FALSE),1)-1),0),Steuerungsdaten!$E$7))</f>
        <v>145</v>
      </c>
      <c r="K35" s="77">
        <f>IFERROR(IF(G35="","",ROUND(G35*Steuerungsdaten!$B$5,0)),"-")</f>
        <v>29</v>
      </c>
      <c r="L35" s="77">
        <f>IFERROR(IF(H35="","",ROUND(H35*Steuerungsdaten!$B$5,0)),"-")</f>
        <v>118</v>
      </c>
      <c r="M35" s="77">
        <f>IFERROR(IF(I35="","",ROUND(I35*Steuerungsdaten!$B$5,0)),"-")</f>
        <v>138</v>
      </c>
      <c r="N35" s="78">
        <f>IFERROR(IF(J35="","",ROUND(J35*Steuerungsdaten!$B$5,0)),"-")</f>
        <v>167</v>
      </c>
      <c r="O35" s="79">
        <v>56</v>
      </c>
      <c r="P35" s="79">
        <f>IF(H35="","",ROUND(H35/(Steuerungsdaten!$B$4*Steuerungsdaten!$B$8*IFERROR(VLOOKUP(C35,Steuerungsdaten!$B$17:$E$37,4,FALSE),1)*POWER(IF(OR(E35=0,F35=0,E35="",F35=""),1,(E35*F35/1000000)/Steuerungsdaten!$B$6),IFERROR(VLOOKUP(C35,Steuerungsdaten!$B$17:$L$37,11,FALSE),1)-1)),0))</f>
        <v>292</v>
      </c>
      <c r="Q35" s="79">
        <f>IF(I35="","",ROUND(I35/(Steuerungsdaten!$B$4*Steuerungsdaten!$B$9*IFERROR(VLOOKUP(C35,Steuerungsdaten!$B$17:$G$37,6,FALSE),1)*POWER(IF(OR(E35=0,F35=0,E35="",F35=""),1,(E35*F35/1000000)/Steuerungsdaten!$B$6),IFERROR(VLOOKUP(C35,Steuerungsdaten!$B$17:$M$37,12,FALSE),1)-1)),0))</f>
        <v>340</v>
      </c>
      <c r="R35" s="79">
        <f>IF(J35="","",ROUND(J35/(Steuerungsdaten!$B$4*Steuerungsdaten!$B$10*IFERROR(VLOOKUP(C35,Steuerungsdaten!$B$17:$I$37,8,FALSE),1)*POWER(IF(OR(E35=0,F35=0,E35="",F35=""),1,(E35*F35/1000000)/Steuerungsdaten!$B$6),IFERROR(VLOOKUP(C35,Steuerungsdaten!$B$17:$N$37,13,FALSE),1)-1)),0))</f>
        <v>377</v>
      </c>
    </row>
    <row r="36" spans="1:18" x14ac:dyDescent="0.25">
      <c r="A36" s="69">
        <v>3113</v>
      </c>
      <c r="B36" s="70" t="s">
        <v>7</v>
      </c>
      <c r="C36" s="70" t="s">
        <v>27</v>
      </c>
      <c r="D36" s="70" t="s">
        <v>41</v>
      </c>
      <c r="E36" s="71">
        <v>180</v>
      </c>
      <c r="F36" s="71">
        <v>980</v>
      </c>
      <c r="G36" s="72">
        <f>IF(VLOOKUP(C36,Steuerungsdaten!$P$17:$T$39,2,0)="","",MAX(ROUND(VLOOKUP(C36,Steuerungsdaten!$P$17:$T$39,2,0)*Steuerungsdaten!$B$4*Steuerungsdaten!$B$7*IFERROR(VLOOKUP(C36,Steuerungsdaten!$B$17:$C$37,2,FALSE),1)*POWER(IF(OR(E36=0,F36=0,E36="",F36=""),1,(E36*F36/1000000)/Steuerungsdaten!$B$6),IFERROR(VLOOKUP(C36,Steuerungsdaten!$B$17:$K$37,10,FALSE),1)-1),0),Steuerungsdaten!$E$4))</f>
        <v>31</v>
      </c>
      <c r="H36" s="72">
        <f>IF(VLOOKUP(C36,Steuerungsdaten!$P$17:$T$39,3,0)="","",MAX(ROUND(VLOOKUP(C36,Steuerungsdaten!$P$17:$T$39,3,0)*Steuerungsdaten!$B$4*Steuerungsdaten!$B$8*IFERROR(VLOOKUP(C36,Steuerungsdaten!$B$17:$E$37,4,FALSE),1)*POWER(IF(OR(E36=0,F36=0,E36="",F36=""),1,(E36*F36/1000000)/Steuerungsdaten!$B$6),IFERROR(VLOOKUP(C36,Steuerungsdaten!$B$17:$L$37,11,FALSE),1)-1),0),Steuerungsdaten!$E$5))</f>
        <v>106</v>
      </c>
      <c r="I36" s="72">
        <f>IF(VLOOKUP(C36,Steuerungsdaten!$P$17:$T$39,4,0)="","",MAX(ROUND(VLOOKUP(C36,Steuerungsdaten!$P$17:$T$39,4,0)*Steuerungsdaten!$B$4*Steuerungsdaten!$B$9*IFERROR(VLOOKUP(C36,Steuerungsdaten!$B$17:$G$37,6,FALSE),1)*POWER(IF(OR(E36=0,F36=0,E36="",F36=""),1,(E36*F36/1000000)/Steuerungsdaten!$B$6),IFERROR(VLOOKUP(C36,Steuerungsdaten!$B$17:$M$37,12,FALSE),1)-1),0),Steuerungsdaten!$E$6))</f>
        <v>120</v>
      </c>
      <c r="J36" s="72">
        <f>IF(VLOOKUP(C36,Steuerungsdaten!$P$17:$T$39,5,0)="","",MAX(ROUND(VLOOKUP(C36,Steuerungsdaten!$P$17:$T$39,5,0)*Steuerungsdaten!$B$4*Steuerungsdaten!$B$10*IFERROR(VLOOKUP(C36,Steuerungsdaten!$B$17:$I$37,8,FALSE),1)*POWER(IF(OR(E36=0,F36=0,E36="",F36=""),1,(E36*F36/1000000)/Steuerungsdaten!$B$6),IFERROR(VLOOKUP(C36,Steuerungsdaten!$B$17:$N$37,13,FALSE),1)-1),0),Steuerungsdaten!$E$7))</f>
        <v>145</v>
      </c>
      <c r="K36" s="72">
        <f>IFERROR(IF(G36="","",ROUND(G36*Steuerungsdaten!$B$5,0)),"-")</f>
        <v>36</v>
      </c>
      <c r="L36" s="72">
        <f>IFERROR(IF(H36="","",ROUND(H36*Steuerungsdaten!$B$5,0)),"-")</f>
        <v>122</v>
      </c>
      <c r="M36" s="72">
        <f>IFERROR(IF(I36="","",ROUND(I36*Steuerungsdaten!$B$5,0)),"-")</f>
        <v>138</v>
      </c>
      <c r="N36" s="73">
        <f>IFERROR(IF(J36="","",ROUND(J36*Steuerungsdaten!$B$5,0)),"-")</f>
        <v>167</v>
      </c>
      <c r="O36" s="79">
        <v>70</v>
      </c>
      <c r="P36" s="79">
        <f>IF(H36="","",ROUND(H36/(Steuerungsdaten!$B$4*Steuerungsdaten!$B$8*IFERROR(VLOOKUP(C36,Steuerungsdaten!$B$17:$E$37,4,FALSE),1)*POWER(IF(OR(E36=0,F36=0,E36="",F36=""),1,(E36*F36/1000000)/Steuerungsdaten!$B$6),IFERROR(VLOOKUP(C36,Steuerungsdaten!$B$17:$L$37,11,FALSE),1)-1)),0))</f>
        <v>239</v>
      </c>
      <c r="Q36" s="79">
        <f>IF(I36="","",ROUND(I36/(Steuerungsdaten!$B$4*Steuerungsdaten!$B$9*IFERROR(VLOOKUP(C36,Steuerungsdaten!$B$17:$G$37,6,FALSE),1)*POWER(IF(OR(E36=0,F36=0,E36="",F36=""),1,(E36*F36/1000000)/Steuerungsdaten!$B$6),IFERROR(VLOOKUP(C36,Steuerungsdaten!$B$17:$M$37,12,FALSE),1)-1)),0))</f>
        <v>271</v>
      </c>
      <c r="R36" s="79">
        <f>IF(J36="","",ROUND(J36/(Steuerungsdaten!$B$4*Steuerungsdaten!$B$10*IFERROR(VLOOKUP(C36,Steuerungsdaten!$B$17:$I$37,8,FALSE),1)*POWER(IF(OR(E36=0,F36=0,E36="",F36=""),1,(E36*F36/1000000)/Steuerungsdaten!$B$6),IFERROR(VLOOKUP(C36,Steuerungsdaten!$B$17:$N$37,13,FALSE),1)-1)),0))</f>
        <v>300</v>
      </c>
    </row>
    <row r="37" spans="1:18" x14ac:dyDescent="0.25">
      <c r="A37" s="74">
        <v>3114</v>
      </c>
      <c r="B37" s="75" t="s">
        <v>7</v>
      </c>
      <c r="C37" s="75" t="s">
        <v>27</v>
      </c>
      <c r="D37" s="75" t="s">
        <v>42</v>
      </c>
      <c r="E37" s="76">
        <v>360</v>
      </c>
      <c r="F37" s="76">
        <v>780</v>
      </c>
      <c r="G37" s="77">
        <f>IF(VLOOKUP(C37,Steuerungsdaten!$P$17:$T$39,2,0)="","",MAX(ROUND(VLOOKUP(C37,Steuerungsdaten!$P$17:$T$39,2,0)*Steuerungsdaten!$B$4*Steuerungsdaten!$B$7*IFERROR(VLOOKUP(C37,Steuerungsdaten!$B$17:$C$37,2,FALSE),1)*POWER(IF(OR(E37=0,F37=0,E37="",F37=""),1,(E37*F37/1000000)/Steuerungsdaten!$B$6),IFERROR(VLOOKUP(C37,Steuerungsdaten!$B$17:$K$37,10,FALSE),1)-1),0),Steuerungsdaten!$E$4))</f>
        <v>49</v>
      </c>
      <c r="H37" s="77">
        <f>IF(VLOOKUP(C37,Steuerungsdaten!$P$17:$T$39,3,0)="","",MAX(ROUND(VLOOKUP(C37,Steuerungsdaten!$P$17:$T$39,3,0)*Steuerungsdaten!$B$4*Steuerungsdaten!$B$8*IFERROR(VLOOKUP(C37,Steuerungsdaten!$B$17:$E$37,4,FALSE),1)*POWER(IF(OR(E37=0,F37=0,E37="",F37=""),1,(E37*F37/1000000)/Steuerungsdaten!$B$6),IFERROR(VLOOKUP(C37,Steuerungsdaten!$B$17:$L$37,11,FALSE),1)-1),0),Steuerungsdaten!$E$5))</f>
        <v>169</v>
      </c>
      <c r="I37" s="77">
        <f>IF(VLOOKUP(C37,Steuerungsdaten!$P$17:$T$39,4,0)="","",MAX(ROUND(VLOOKUP(C37,Steuerungsdaten!$P$17:$T$39,4,0)*Steuerungsdaten!$B$4*Steuerungsdaten!$B$9*IFERROR(VLOOKUP(C37,Steuerungsdaten!$B$17:$G$37,6,FALSE),1)*POWER(IF(OR(E37=0,F37=0,E37="",F37=""),1,(E37*F37/1000000)/Steuerungsdaten!$B$6),IFERROR(VLOOKUP(C37,Steuerungsdaten!$B$17:$M$37,12,FALSE),1)-1),0),Steuerungsdaten!$E$6))</f>
        <v>177</v>
      </c>
      <c r="J37" s="77">
        <f>IF(VLOOKUP(C37,Steuerungsdaten!$P$17:$T$39,5,0)="","",MAX(ROUND(VLOOKUP(C37,Steuerungsdaten!$P$17:$T$39,5,0)*Steuerungsdaten!$B$4*Steuerungsdaten!$B$10*IFERROR(VLOOKUP(C37,Steuerungsdaten!$B$17:$I$37,8,FALSE),1)*POWER(IF(OR(E37=0,F37=0,E37="",F37=""),1,(E37*F37/1000000)/Steuerungsdaten!$B$6),IFERROR(VLOOKUP(C37,Steuerungsdaten!$B$17:$N$37,13,FALSE),1)-1),0),Steuerungsdaten!$E$7))</f>
        <v>196</v>
      </c>
      <c r="K37" s="77">
        <f>IFERROR(IF(G37="","",ROUND(G37*Steuerungsdaten!$B$5,0)),"-")</f>
        <v>56</v>
      </c>
      <c r="L37" s="77">
        <f>IFERROR(IF(H37="","",ROUND(H37*Steuerungsdaten!$B$5,0)),"-")</f>
        <v>194</v>
      </c>
      <c r="M37" s="77">
        <f>IFERROR(IF(I37="","",ROUND(I37*Steuerungsdaten!$B$5,0)),"-")</f>
        <v>204</v>
      </c>
      <c r="N37" s="78">
        <f>IFERROR(IF(J37="","",ROUND(J37*Steuerungsdaten!$B$5,0)),"-")</f>
        <v>225</v>
      </c>
      <c r="O37" s="79">
        <v>56</v>
      </c>
      <c r="P37" s="79">
        <f>IF(H37="","",ROUND(H37/(Steuerungsdaten!$B$4*Steuerungsdaten!$B$8*IFERROR(VLOOKUP(C37,Steuerungsdaten!$B$17:$E$37,4,FALSE),1)*POWER(IF(OR(E37=0,F37=0,E37="",F37=""),1,(E37*F37/1000000)/Steuerungsdaten!$B$6),IFERROR(VLOOKUP(C37,Steuerungsdaten!$B$17:$L$37,11,FALSE),1)-1)),0))</f>
        <v>239</v>
      </c>
      <c r="Q37" s="79">
        <f>IF(I37="","",ROUND(I37/(Steuerungsdaten!$B$4*Steuerungsdaten!$B$9*IFERROR(VLOOKUP(C37,Steuerungsdaten!$B$17:$G$37,6,FALSE),1)*POWER(IF(OR(E37=0,F37=0,E37="",F37=""),1,(E37*F37/1000000)/Steuerungsdaten!$B$6),IFERROR(VLOOKUP(C37,Steuerungsdaten!$B$17:$M$37,12,FALSE),1)-1)),0))</f>
        <v>251</v>
      </c>
      <c r="R37" s="79">
        <f>IF(J37="","",ROUND(J37/(Steuerungsdaten!$B$4*Steuerungsdaten!$B$10*IFERROR(VLOOKUP(C37,Steuerungsdaten!$B$17:$I$37,8,FALSE),1)*POWER(IF(OR(E37=0,F37=0,E37="",F37=""),1,(E37*F37/1000000)/Steuerungsdaten!$B$6),IFERROR(VLOOKUP(C37,Steuerungsdaten!$B$17:$N$37,13,FALSE),1)-1)),0))</f>
        <v>254</v>
      </c>
    </row>
    <row r="38" spans="1:18" x14ac:dyDescent="0.25">
      <c r="A38" s="69">
        <v>3115</v>
      </c>
      <c r="B38" s="70" t="s">
        <v>7</v>
      </c>
      <c r="C38" s="70" t="s">
        <v>27</v>
      </c>
      <c r="D38" s="70" t="s">
        <v>43</v>
      </c>
      <c r="E38" s="71">
        <v>360</v>
      </c>
      <c r="F38" s="71">
        <v>980</v>
      </c>
      <c r="G38" s="72">
        <f>IF(VLOOKUP(C38,Steuerungsdaten!$P$17:$T$39,2,0)="","",MAX(ROUND(VLOOKUP(C38,Steuerungsdaten!$P$17:$T$39,2,0)*Steuerungsdaten!$B$4*Steuerungsdaten!$B$7*IFERROR(VLOOKUP(C38,Steuerungsdaten!$B$17:$C$37,2,FALSE),1)*POWER(IF(OR(E38=0,F38=0,E38="",F38=""),1,(E38*F38/1000000)/Steuerungsdaten!$B$6),IFERROR(VLOOKUP(C38,Steuerungsdaten!$B$17:$K$37,10,FALSE),1)-1),0),Steuerungsdaten!$E$4))</f>
        <v>62</v>
      </c>
      <c r="H38" s="72">
        <f>IF(VLOOKUP(C38,Steuerungsdaten!$P$17:$T$39,3,0)="","",MAX(ROUND(VLOOKUP(C38,Steuerungsdaten!$P$17:$T$39,3,0)*Steuerungsdaten!$B$4*Steuerungsdaten!$B$8*IFERROR(VLOOKUP(C38,Steuerungsdaten!$B$17:$E$37,4,FALSE),1)*POWER(IF(OR(E38=0,F38=0,E38="",F38=""),1,(E38*F38/1000000)/Steuerungsdaten!$B$6),IFERROR(VLOOKUP(C38,Steuerungsdaten!$B$17:$L$37,11,FALSE),1)-1),0),Steuerungsdaten!$E$5))</f>
        <v>213</v>
      </c>
      <c r="I38" s="72">
        <f>IF(VLOOKUP(C38,Steuerungsdaten!$P$17:$T$39,4,0)="","",MAX(ROUND(VLOOKUP(C38,Steuerungsdaten!$P$17:$T$39,4,0)*Steuerungsdaten!$B$4*Steuerungsdaten!$B$9*IFERROR(VLOOKUP(C38,Steuerungsdaten!$B$17:$G$37,6,FALSE),1)*POWER(IF(OR(E38=0,F38=0,E38="",F38=""),1,(E38*F38/1000000)/Steuerungsdaten!$B$6),IFERROR(VLOOKUP(C38,Steuerungsdaten!$B$17:$M$37,12,FALSE),1)-1),0),Steuerungsdaten!$E$6))</f>
        <v>222</v>
      </c>
      <c r="J38" s="72">
        <f>IF(VLOOKUP(C38,Steuerungsdaten!$P$17:$T$39,5,0)="","",MAX(ROUND(VLOOKUP(C38,Steuerungsdaten!$P$17:$T$39,5,0)*Steuerungsdaten!$B$4*Steuerungsdaten!$B$10*IFERROR(VLOOKUP(C38,Steuerungsdaten!$B$17:$I$37,8,FALSE),1)*POWER(IF(OR(E38=0,F38=0,E38="",F38=""),1,(E38*F38/1000000)/Steuerungsdaten!$B$6),IFERROR(VLOOKUP(C38,Steuerungsdaten!$B$17:$N$37,13,FALSE),1)-1),0),Steuerungsdaten!$E$7))</f>
        <v>247</v>
      </c>
      <c r="K38" s="72">
        <f>IFERROR(IF(G38="","",ROUND(G38*Steuerungsdaten!$B$5,0)),"-")</f>
        <v>71</v>
      </c>
      <c r="L38" s="72">
        <f>IFERROR(IF(H38="","",ROUND(H38*Steuerungsdaten!$B$5,0)),"-")</f>
        <v>245</v>
      </c>
      <c r="M38" s="72">
        <f>IFERROR(IF(I38="","",ROUND(I38*Steuerungsdaten!$B$5,0)),"-")</f>
        <v>255</v>
      </c>
      <c r="N38" s="73">
        <f>IFERROR(IF(J38="","",ROUND(J38*Steuerungsdaten!$B$5,0)),"-")</f>
        <v>284</v>
      </c>
      <c r="O38" s="79">
        <v>70</v>
      </c>
      <c r="P38" s="79">
        <f>IF(H38="","",ROUND(H38/(Steuerungsdaten!$B$4*Steuerungsdaten!$B$8*IFERROR(VLOOKUP(C38,Steuerungsdaten!$B$17:$E$37,4,FALSE),1)*POWER(IF(OR(E38=0,F38=0,E38="",F38=""),1,(E38*F38/1000000)/Steuerungsdaten!$B$6),IFERROR(VLOOKUP(C38,Steuerungsdaten!$B$17:$L$37,11,FALSE),1)-1)),0))</f>
        <v>240</v>
      </c>
      <c r="Q38" s="79">
        <f>IF(I38="","",ROUND(I38/(Steuerungsdaten!$B$4*Steuerungsdaten!$B$9*IFERROR(VLOOKUP(C38,Steuerungsdaten!$B$17:$G$37,6,FALSE),1)*POWER(IF(OR(E38=0,F38=0,E38="",F38=""),1,(E38*F38/1000000)/Steuerungsdaten!$B$6),IFERROR(VLOOKUP(C38,Steuerungsdaten!$B$17:$M$37,12,FALSE),1)-1)),0))</f>
        <v>250</v>
      </c>
      <c r="R38" s="79">
        <f>IF(J38="","",ROUND(J38/(Steuerungsdaten!$B$4*Steuerungsdaten!$B$10*IFERROR(VLOOKUP(C38,Steuerungsdaten!$B$17:$I$37,8,FALSE),1)*POWER(IF(OR(E38=0,F38=0,E38="",F38=""),1,(E38*F38/1000000)/Steuerungsdaten!$B$6),IFERROR(VLOOKUP(C38,Steuerungsdaten!$B$17:$N$37,13,FALSE),1)-1)),0))</f>
        <v>255</v>
      </c>
    </row>
    <row r="39" spans="1:18" x14ac:dyDescent="0.25">
      <c r="A39" s="74">
        <v>3116</v>
      </c>
      <c r="B39" s="75" t="s">
        <v>7</v>
      </c>
      <c r="C39" s="75" t="s">
        <v>27</v>
      </c>
      <c r="D39" s="75" t="s">
        <v>44</v>
      </c>
      <c r="E39" s="76">
        <v>720</v>
      </c>
      <c r="F39" s="76">
        <v>780</v>
      </c>
      <c r="G39" s="77">
        <f>IF(VLOOKUP(C39,Steuerungsdaten!$P$17:$T$39,2,0)="","",MAX(ROUND(VLOOKUP(C39,Steuerungsdaten!$P$17:$T$39,2,0)*Steuerungsdaten!$B$4*Steuerungsdaten!$B$7*IFERROR(VLOOKUP(C39,Steuerungsdaten!$B$17:$C$37,2,FALSE),1)*POWER(IF(OR(E39=0,F39=0,E39="",F39=""),1,(E39*F39/1000000)/Steuerungsdaten!$B$6),IFERROR(VLOOKUP(C39,Steuerungsdaten!$B$17:$K$37,10,FALSE),1)-1),0),Steuerungsdaten!$E$4))</f>
        <v>99</v>
      </c>
      <c r="H39" s="77">
        <f>IF(VLOOKUP(C39,Steuerungsdaten!$P$17:$T$39,3,0)="","",MAX(ROUND(VLOOKUP(C39,Steuerungsdaten!$P$17:$T$39,3,0)*Steuerungsdaten!$B$4*Steuerungsdaten!$B$8*IFERROR(VLOOKUP(C39,Steuerungsdaten!$B$17:$E$37,4,FALSE),1)*POWER(IF(OR(E39=0,F39=0,E39="",F39=""),1,(E39*F39/1000000)/Steuerungsdaten!$B$6),IFERROR(VLOOKUP(C39,Steuerungsdaten!$B$17:$L$37,11,FALSE),1)-1),0),Steuerungsdaten!$E$5))</f>
        <v>339</v>
      </c>
      <c r="I39" s="77">
        <f>IF(VLOOKUP(C39,Steuerungsdaten!$P$17:$T$39,4,0)="","",MAX(ROUND(VLOOKUP(C39,Steuerungsdaten!$P$17:$T$39,4,0)*Steuerungsdaten!$B$4*Steuerungsdaten!$B$9*IFERROR(VLOOKUP(C39,Steuerungsdaten!$B$17:$G$37,6,FALSE),1)*POWER(IF(OR(E39=0,F39=0,E39="",F39=""),1,(E39*F39/1000000)/Steuerungsdaten!$B$6),IFERROR(VLOOKUP(C39,Steuerungsdaten!$B$17:$M$37,12,FALSE),1)-1),0),Steuerungsdaten!$E$6))</f>
        <v>353</v>
      </c>
      <c r="J39" s="77">
        <f>IF(VLOOKUP(C39,Steuerungsdaten!$P$17:$T$39,5,0)="","",MAX(ROUND(VLOOKUP(C39,Steuerungsdaten!$P$17:$T$39,5,0)*Steuerungsdaten!$B$4*Steuerungsdaten!$B$10*IFERROR(VLOOKUP(C39,Steuerungsdaten!$B$17:$I$37,8,FALSE),1)*POWER(IF(OR(E39=0,F39=0,E39="",F39=""),1,(E39*F39/1000000)/Steuerungsdaten!$B$6),IFERROR(VLOOKUP(C39,Steuerungsdaten!$B$17:$N$37,13,FALSE),1)-1),0),Steuerungsdaten!$E$7))</f>
        <v>393</v>
      </c>
      <c r="K39" s="77">
        <f>IFERROR(IF(G39="","",ROUND(G39*Steuerungsdaten!$B$5,0)),"-")</f>
        <v>114</v>
      </c>
      <c r="L39" s="77">
        <f>IFERROR(IF(H39="","",ROUND(H39*Steuerungsdaten!$B$5,0)),"-")</f>
        <v>390</v>
      </c>
      <c r="M39" s="77">
        <f>IFERROR(IF(I39="","",ROUND(I39*Steuerungsdaten!$B$5,0)),"-")</f>
        <v>406</v>
      </c>
      <c r="N39" s="78">
        <f>IFERROR(IF(J39="","",ROUND(J39*Steuerungsdaten!$B$5,0)),"-")</f>
        <v>452</v>
      </c>
      <c r="O39" s="79">
        <v>107</v>
      </c>
      <c r="P39" s="79">
        <f>IF(H39="","",ROUND(H39/(Steuerungsdaten!$B$4*Steuerungsdaten!$B$8*IFERROR(VLOOKUP(C39,Steuerungsdaten!$B$17:$E$37,4,FALSE),1)*POWER(IF(OR(E39=0,F39=0,E39="",F39=""),1,(E39*F39/1000000)/Steuerungsdaten!$B$6),IFERROR(VLOOKUP(C39,Steuerungsdaten!$B$17:$L$37,11,FALSE),1)-1)),0))</f>
        <v>240</v>
      </c>
      <c r="Q39" s="79">
        <f>IF(I39="","",ROUND(I39/(Steuerungsdaten!$B$4*Steuerungsdaten!$B$9*IFERROR(VLOOKUP(C39,Steuerungsdaten!$B$17:$G$37,6,FALSE),1)*POWER(IF(OR(E39=0,F39=0,E39="",F39=""),1,(E39*F39/1000000)/Steuerungsdaten!$B$6),IFERROR(VLOOKUP(C39,Steuerungsdaten!$B$17:$M$37,12,FALSE),1)-1)),0))</f>
        <v>250</v>
      </c>
      <c r="R39" s="79">
        <f>IF(J39="","",ROUND(J39/(Steuerungsdaten!$B$4*Steuerungsdaten!$B$10*IFERROR(VLOOKUP(C39,Steuerungsdaten!$B$17:$I$37,8,FALSE),1)*POWER(IF(OR(E39=0,F39=0,E39="",F39=""),1,(E39*F39/1000000)/Steuerungsdaten!$B$6),IFERROR(VLOOKUP(C39,Steuerungsdaten!$B$17:$N$37,13,FALSE),1)-1)),0))</f>
        <v>255</v>
      </c>
    </row>
    <row r="40" spans="1:18" x14ac:dyDescent="0.25">
      <c r="A40" s="69">
        <v>3117</v>
      </c>
      <c r="B40" s="70" t="s">
        <v>7</v>
      </c>
      <c r="C40" s="70" t="s">
        <v>27</v>
      </c>
      <c r="D40" s="70" t="s">
        <v>45</v>
      </c>
      <c r="E40" s="71">
        <v>720</v>
      </c>
      <c r="F40" s="71">
        <v>980</v>
      </c>
      <c r="G40" s="72">
        <f>IF(VLOOKUP(C40,Steuerungsdaten!$P$17:$T$39,2,0)="","",MAX(ROUND(VLOOKUP(C40,Steuerungsdaten!$P$17:$T$39,2,0)*Steuerungsdaten!$B$4*Steuerungsdaten!$B$7*IFERROR(VLOOKUP(C40,Steuerungsdaten!$B$17:$C$37,2,FALSE),1)*POWER(IF(OR(E40=0,F40=0,E40="",F40=""),1,(E40*F40/1000000)/Steuerungsdaten!$B$6),IFERROR(VLOOKUP(C40,Steuerungsdaten!$B$17:$K$37,10,FALSE),1)-1),0),Steuerungsdaten!$E$4))</f>
        <v>124</v>
      </c>
      <c r="H40" s="72">
        <f>IF(VLOOKUP(C40,Steuerungsdaten!$P$17:$T$39,3,0)="","",MAX(ROUND(VLOOKUP(C40,Steuerungsdaten!$P$17:$T$39,3,0)*Steuerungsdaten!$B$4*Steuerungsdaten!$B$8*IFERROR(VLOOKUP(C40,Steuerungsdaten!$B$17:$E$37,4,FALSE),1)*POWER(IF(OR(E40=0,F40=0,E40="",F40=""),1,(E40*F40/1000000)/Steuerungsdaten!$B$6),IFERROR(VLOOKUP(C40,Steuerungsdaten!$B$17:$L$37,11,FALSE),1)-1),0),Steuerungsdaten!$E$5))</f>
        <v>426</v>
      </c>
      <c r="I40" s="72">
        <f>IF(VLOOKUP(C40,Steuerungsdaten!$P$17:$T$39,4,0)="","",MAX(ROUND(VLOOKUP(C40,Steuerungsdaten!$P$17:$T$39,4,0)*Steuerungsdaten!$B$4*Steuerungsdaten!$B$9*IFERROR(VLOOKUP(C40,Steuerungsdaten!$B$17:$G$37,6,FALSE),1)*POWER(IF(OR(E40=0,F40=0,E40="",F40=""),1,(E40*F40/1000000)/Steuerungsdaten!$B$6),IFERROR(VLOOKUP(C40,Steuerungsdaten!$B$17:$M$37,12,FALSE),1)-1),0),Steuerungsdaten!$E$6))</f>
        <v>444</v>
      </c>
      <c r="J40" s="72">
        <f>IF(VLOOKUP(C40,Steuerungsdaten!$P$17:$T$39,5,0)="","",MAX(ROUND(VLOOKUP(C40,Steuerungsdaten!$P$17:$T$39,5,0)*Steuerungsdaten!$B$4*Steuerungsdaten!$B$10*IFERROR(VLOOKUP(C40,Steuerungsdaten!$B$17:$I$37,8,FALSE),1)*POWER(IF(OR(E40=0,F40=0,E40="",F40=""),1,(E40*F40/1000000)/Steuerungsdaten!$B$6),IFERROR(VLOOKUP(C40,Steuerungsdaten!$B$17:$N$37,13,FALSE),1)-1),0),Steuerungsdaten!$E$7))</f>
        <v>494</v>
      </c>
      <c r="K40" s="72">
        <f>IFERROR(IF(G40="","",ROUND(G40*Steuerungsdaten!$B$5,0)),"-")</f>
        <v>143</v>
      </c>
      <c r="L40" s="72">
        <f>IFERROR(IF(H40="","",ROUND(H40*Steuerungsdaten!$B$5,0)),"-")</f>
        <v>490</v>
      </c>
      <c r="M40" s="72">
        <f>IFERROR(IF(I40="","",ROUND(I40*Steuerungsdaten!$B$5,0)),"-")</f>
        <v>511</v>
      </c>
      <c r="N40" s="73">
        <f>IFERROR(IF(J40="","",ROUND(J40*Steuerungsdaten!$B$5,0)),"-")</f>
        <v>568</v>
      </c>
      <c r="O40" s="79">
        <v>134</v>
      </c>
      <c r="P40" s="79">
        <f>IF(H40="","",ROUND(H40/(Steuerungsdaten!$B$4*Steuerungsdaten!$B$8*IFERROR(VLOOKUP(C40,Steuerungsdaten!$B$17:$E$37,4,FALSE),1)*POWER(IF(OR(E40=0,F40=0,E40="",F40=""),1,(E40*F40/1000000)/Steuerungsdaten!$B$6),IFERROR(VLOOKUP(C40,Steuerungsdaten!$B$17:$L$37,11,FALSE),1)-1)),0))</f>
        <v>240</v>
      </c>
      <c r="Q40" s="79">
        <f>IF(I40="","",ROUND(I40/(Steuerungsdaten!$B$4*Steuerungsdaten!$B$9*IFERROR(VLOOKUP(C40,Steuerungsdaten!$B$17:$G$37,6,FALSE),1)*POWER(IF(OR(E40=0,F40=0,E40="",F40=""),1,(E40*F40/1000000)/Steuerungsdaten!$B$6),IFERROR(VLOOKUP(C40,Steuerungsdaten!$B$17:$M$37,12,FALSE),1)-1)),0))</f>
        <v>250</v>
      </c>
      <c r="R40" s="79">
        <f>IF(J40="","",ROUND(J40/(Steuerungsdaten!$B$4*Steuerungsdaten!$B$10*IFERROR(VLOOKUP(C40,Steuerungsdaten!$B$17:$I$37,8,FALSE),1)*POWER(IF(OR(E40=0,F40=0,E40="",F40=""),1,(E40*F40/1000000)/Steuerungsdaten!$B$6),IFERROR(VLOOKUP(C40,Steuerungsdaten!$B$17:$N$37,13,FALSE),1)-1)),0))</f>
        <v>255</v>
      </c>
    </row>
    <row r="41" spans="1:18" x14ac:dyDescent="0.25">
      <c r="A41" s="74">
        <v>3118</v>
      </c>
      <c r="B41" s="75" t="s">
        <v>7</v>
      </c>
      <c r="C41" s="75" t="s">
        <v>27</v>
      </c>
      <c r="D41" s="75" t="s">
        <v>46</v>
      </c>
      <c r="E41" s="76">
        <v>1080</v>
      </c>
      <c r="F41" s="76">
        <v>780</v>
      </c>
      <c r="G41" s="77">
        <f>IF(VLOOKUP(C41,Steuerungsdaten!$P$17:$T$39,2,0)="","",MAX(ROUND(VLOOKUP(C41,Steuerungsdaten!$P$17:$T$39,2,0)*Steuerungsdaten!$B$4*Steuerungsdaten!$B$7*IFERROR(VLOOKUP(C41,Steuerungsdaten!$B$17:$C$37,2,FALSE),1)*POWER(IF(OR(E41=0,F41=0,E41="",F41=""),1,(E41*F41/1000000)/Steuerungsdaten!$B$6),IFERROR(VLOOKUP(C41,Steuerungsdaten!$B$17:$K$37,10,FALSE),1)-1),0),Steuerungsdaten!$E$4))</f>
        <v>148</v>
      </c>
      <c r="H41" s="77">
        <f>IF(VLOOKUP(C41,Steuerungsdaten!$P$17:$T$39,3,0)="","",MAX(ROUND(VLOOKUP(C41,Steuerungsdaten!$P$17:$T$39,3,0)*Steuerungsdaten!$B$4*Steuerungsdaten!$B$8*IFERROR(VLOOKUP(C41,Steuerungsdaten!$B$17:$E$37,4,FALSE),1)*POWER(IF(OR(E41=0,F41=0,E41="",F41=""),1,(E41*F41/1000000)/Steuerungsdaten!$B$6),IFERROR(VLOOKUP(C41,Steuerungsdaten!$B$17:$L$37,11,FALSE),1)-1),0),Steuerungsdaten!$E$5))</f>
        <v>508</v>
      </c>
      <c r="I41" s="77">
        <f>IF(VLOOKUP(C41,Steuerungsdaten!$P$17:$T$39,4,0)="","",MAX(ROUND(VLOOKUP(C41,Steuerungsdaten!$P$17:$T$39,4,0)*Steuerungsdaten!$B$4*Steuerungsdaten!$B$9*IFERROR(VLOOKUP(C41,Steuerungsdaten!$B$17:$G$37,6,FALSE),1)*POWER(IF(OR(E41=0,F41=0,E41="",F41=""),1,(E41*F41/1000000)/Steuerungsdaten!$B$6),IFERROR(VLOOKUP(C41,Steuerungsdaten!$B$17:$M$37,12,FALSE),1)-1),0),Steuerungsdaten!$E$6))</f>
        <v>530</v>
      </c>
      <c r="J41" s="77" t="s">
        <v>988</v>
      </c>
      <c r="K41" s="77">
        <f>IFERROR(IF(G41="","",ROUND(G41*Steuerungsdaten!$B$5,0)),"-")</f>
        <v>170</v>
      </c>
      <c r="L41" s="77">
        <f>IFERROR(IF(H41="","",ROUND(H41*Steuerungsdaten!$B$5,0)),"-")</f>
        <v>584</v>
      </c>
      <c r="M41" s="77">
        <f>IFERROR(IF(I41="","",ROUND(I41*Steuerungsdaten!$B$5,0)),"-")</f>
        <v>610</v>
      </c>
      <c r="N41" s="78" t="str">
        <f>IFERROR(IF(J41="","",ROUND(J41*Steuerungsdaten!$B$5,0)),"-")</f>
        <v>-</v>
      </c>
      <c r="O41" s="79">
        <v>161</v>
      </c>
      <c r="P41" s="79">
        <f>IF(H41="","",ROUND(H41/(Steuerungsdaten!$B$4*Steuerungsdaten!$B$8*IFERROR(VLOOKUP(C41,Steuerungsdaten!$B$17:$E$37,4,FALSE),1)*POWER(IF(OR(E41=0,F41=0,E41="",F41=""),1,(E41*F41/1000000)/Steuerungsdaten!$B$6),IFERROR(VLOOKUP(C41,Steuerungsdaten!$B$17:$L$37,11,FALSE),1)-1)),0))</f>
        <v>240</v>
      </c>
      <c r="Q41" s="79">
        <f>IF(I41="","",ROUND(I41/(Steuerungsdaten!$B$4*Steuerungsdaten!$B$9*IFERROR(VLOOKUP(C41,Steuerungsdaten!$B$17:$G$37,6,FALSE),1)*POWER(IF(OR(E41=0,F41=0,E41="",F41=""),1,(E41*F41/1000000)/Steuerungsdaten!$B$6),IFERROR(VLOOKUP(C41,Steuerungsdaten!$B$17:$M$37,12,FALSE),1)-1)),0))</f>
        <v>250</v>
      </c>
      <c r="R41" s="79" t="e">
        <f>IF(J41="","",ROUND(J41/(Steuerungsdaten!$B$4*Steuerungsdaten!$B$10*IFERROR(VLOOKUP(C41,Steuerungsdaten!$B$17:$I$37,8,FALSE),1)*POWER(IF(OR(E41=0,F41=0,E41="",F41=""),1,(E41*F41/1000000)/Steuerungsdaten!$B$6),IFERROR(VLOOKUP(C41,Steuerungsdaten!$B$17:$N$37,13,FALSE),1)-1)),0))</f>
        <v>#VALUE!</v>
      </c>
    </row>
    <row r="42" spans="1:18" x14ac:dyDescent="0.25">
      <c r="A42" s="69">
        <v>3119</v>
      </c>
      <c r="B42" s="70" t="s">
        <v>7</v>
      </c>
      <c r="C42" s="70" t="s">
        <v>27</v>
      </c>
      <c r="D42" s="70" t="s">
        <v>47</v>
      </c>
      <c r="E42" s="71">
        <v>1080</v>
      </c>
      <c r="F42" s="71">
        <v>980</v>
      </c>
      <c r="G42" s="72">
        <f>IF(VLOOKUP(C42,Steuerungsdaten!$P$17:$T$39,2,0)="","",MAX(ROUND(VLOOKUP(C42,Steuerungsdaten!$P$17:$T$39,2,0)*Steuerungsdaten!$B$4*Steuerungsdaten!$B$7*IFERROR(VLOOKUP(C42,Steuerungsdaten!$B$17:$C$37,2,FALSE),1)*POWER(IF(OR(E42=0,F42=0,E42="",F42=""),1,(E42*F42/1000000)/Steuerungsdaten!$B$6),IFERROR(VLOOKUP(C42,Steuerungsdaten!$B$17:$K$37,10,FALSE),1)-1),0),Steuerungsdaten!$E$4))</f>
        <v>186</v>
      </c>
      <c r="H42" s="72">
        <f>IF(VLOOKUP(C42,Steuerungsdaten!$P$17:$T$39,3,0)="","",MAX(ROUND(VLOOKUP(C42,Steuerungsdaten!$P$17:$T$39,3,0)*Steuerungsdaten!$B$4*Steuerungsdaten!$B$8*IFERROR(VLOOKUP(C42,Steuerungsdaten!$B$17:$E$37,4,FALSE),1)*POWER(IF(OR(E42=0,F42=0,E42="",F42=""),1,(E42*F42/1000000)/Steuerungsdaten!$B$6),IFERROR(VLOOKUP(C42,Steuerungsdaten!$B$17:$L$37,11,FALSE),1)-1),0),Steuerungsdaten!$E$5))</f>
        <v>639</v>
      </c>
      <c r="I42" s="72">
        <f>IF(VLOOKUP(C42,Steuerungsdaten!$P$17:$T$39,4,0)="","",MAX(ROUND(VLOOKUP(C42,Steuerungsdaten!$P$17:$T$39,4,0)*Steuerungsdaten!$B$4*Steuerungsdaten!$B$9*IFERROR(VLOOKUP(C42,Steuerungsdaten!$B$17:$G$37,6,FALSE),1)*POWER(IF(OR(E42=0,F42=0,E42="",F42=""),1,(E42*F42/1000000)/Steuerungsdaten!$B$6),IFERROR(VLOOKUP(C42,Steuerungsdaten!$B$17:$M$37,12,FALSE),1)-1),0),Steuerungsdaten!$E$6))</f>
        <v>665</v>
      </c>
      <c r="J42" s="72" t="s">
        <v>988</v>
      </c>
      <c r="K42" s="72">
        <f>IFERROR(IF(G42="","",ROUND(G42*Steuerungsdaten!$B$5,0)),"-")</f>
        <v>214</v>
      </c>
      <c r="L42" s="72">
        <f>IFERROR(IF(H42="","",ROUND(H42*Steuerungsdaten!$B$5,0)),"-")</f>
        <v>735</v>
      </c>
      <c r="M42" s="72">
        <f>IFERROR(IF(I42="","",ROUND(I42*Steuerungsdaten!$B$5,0)),"-")</f>
        <v>765</v>
      </c>
      <c r="N42" s="73" t="str">
        <f>IFERROR(IF(J42="","",ROUND(J42*Steuerungsdaten!$B$5,0)),"-")</f>
        <v>-</v>
      </c>
      <c r="O42" s="79">
        <v>200</v>
      </c>
      <c r="P42" s="79">
        <f>IF(H42="","",ROUND(H42/(Steuerungsdaten!$B$4*Steuerungsdaten!$B$8*IFERROR(VLOOKUP(C42,Steuerungsdaten!$B$17:$E$37,4,FALSE),1)*POWER(IF(OR(E42=0,F42=0,E42="",F42=""),1,(E42*F42/1000000)/Steuerungsdaten!$B$6),IFERROR(VLOOKUP(C42,Steuerungsdaten!$B$17:$L$37,11,FALSE),1)-1)),0))</f>
        <v>240</v>
      </c>
      <c r="Q42" s="79">
        <f>IF(I42="","",ROUND(I42/(Steuerungsdaten!$B$4*Steuerungsdaten!$B$9*IFERROR(VLOOKUP(C42,Steuerungsdaten!$B$17:$G$37,6,FALSE),1)*POWER(IF(OR(E42=0,F42=0,E42="",F42=""),1,(E42*F42/1000000)/Steuerungsdaten!$B$6),IFERROR(VLOOKUP(C42,Steuerungsdaten!$B$17:$M$37,12,FALSE),1)-1)),0))</f>
        <v>250</v>
      </c>
      <c r="R42" s="79" t="e">
        <f>IF(J42="","",ROUND(J42/(Steuerungsdaten!$B$4*Steuerungsdaten!$B$10*IFERROR(VLOOKUP(C42,Steuerungsdaten!$B$17:$I$37,8,FALSE),1)*POWER(IF(OR(E42=0,F42=0,E42="",F42=""),1,(E42*F42/1000000)/Steuerungsdaten!$B$6),IFERROR(VLOOKUP(C42,Steuerungsdaten!$B$17:$N$37,13,FALSE),1)-1)),0))</f>
        <v>#VALUE!</v>
      </c>
    </row>
    <row r="43" spans="1:18" x14ac:dyDescent="0.25">
      <c r="A43" s="74">
        <v>3120</v>
      </c>
      <c r="B43" s="75" t="s">
        <v>7</v>
      </c>
      <c r="C43" s="75" t="s">
        <v>27</v>
      </c>
      <c r="D43" s="75" t="s">
        <v>48</v>
      </c>
      <c r="E43" s="76">
        <v>1440</v>
      </c>
      <c r="F43" s="76">
        <v>780</v>
      </c>
      <c r="G43" s="77">
        <f>IF(VLOOKUP(C43,Steuerungsdaten!$P$17:$T$39,2,0)="","",MAX(ROUND(VLOOKUP(C43,Steuerungsdaten!$P$17:$T$39,2,0)*Steuerungsdaten!$B$4*Steuerungsdaten!$B$7*IFERROR(VLOOKUP(C43,Steuerungsdaten!$B$17:$C$37,2,FALSE),1)*POWER(IF(OR(E43=0,F43=0,E43="",F43=""),1,(E43*F43/1000000)/Steuerungsdaten!$B$6),IFERROR(VLOOKUP(C43,Steuerungsdaten!$B$17:$K$37,10,FALSE),1)-1),0),Steuerungsdaten!$E$4))</f>
        <v>198</v>
      </c>
      <c r="H43" s="77">
        <f>IF(VLOOKUP(C43,Steuerungsdaten!$P$17:$T$39,3,0)="","",MAX(ROUND(VLOOKUP(C43,Steuerungsdaten!$P$17:$T$39,3,0)*Steuerungsdaten!$B$4*Steuerungsdaten!$B$8*IFERROR(VLOOKUP(C43,Steuerungsdaten!$B$17:$E$37,4,FALSE),1)*POWER(IF(OR(E43=0,F43=0,E43="",F43=""),1,(E43*F43/1000000)/Steuerungsdaten!$B$6),IFERROR(VLOOKUP(C43,Steuerungsdaten!$B$17:$L$37,11,FALSE),1)-1),0),Steuerungsdaten!$E$5))</f>
        <v>678</v>
      </c>
      <c r="I43" s="77">
        <f>IF(VLOOKUP(C43,Steuerungsdaten!$P$17:$T$39,4,0)="","",MAX(ROUND(VLOOKUP(C43,Steuerungsdaten!$P$17:$T$39,4,0)*Steuerungsdaten!$B$4*Steuerungsdaten!$B$9*IFERROR(VLOOKUP(C43,Steuerungsdaten!$B$17:$G$37,6,FALSE),1)*POWER(IF(OR(E43=0,F43=0,E43="",F43=""),1,(E43*F43/1000000)/Steuerungsdaten!$B$6),IFERROR(VLOOKUP(C43,Steuerungsdaten!$B$17:$M$37,12,FALSE),1)-1),0),Steuerungsdaten!$E$6))</f>
        <v>706</v>
      </c>
      <c r="J43" s="77" t="s">
        <v>988</v>
      </c>
      <c r="K43" s="77">
        <f>IFERROR(IF(G43="","",ROUND(G43*Steuerungsdaten!$B$5,0)),"-")</f>
        <v>228</v>
      </c>
      <c r="L43" s="77">
        <f>IFERROR(IF(H43="","",ROUND(H43*Steuerungsdaten!$B$5,0)),"-")</f>
        <v>780</v>
      </c>
      <c r="M43" s="77">
        <f>IFERROR(IF(I43="","",ROUND(I43*Steuerungsdaten!$B$5,0)),"-")</f>
        <v>812</v>
      </c>
      <c r="N43" s="78" t="str">
        <f>IFERROR(IF(J43="","",ROUND(J43*Steuerungsdaten!$B$5,0)),"-")</f>
        <v>-</v>
      </c>
      <c r="O43" s="79">
        <v>211</v>
      </c>
      <c r="P43" s="79">
        <f>IF(H43="","",ROUND(H43/(Steuerungsdaten!$B$4*Steuerungsdaten!$B$8*IFERROR(VLOOKUP(C43,Steuerungsdaten!$B$17:$E$37,4,FALSE),1)*POWER(IF(OR(E43=0,F43=0,E43="",F43=""),1,(E43*F43/1000000)/Steuerungsdaten!$B$6),IFERROR(VLOOKUP(C43,Steuerungsdaten!$B$17:$L$37,11,FALSE),1)-1)),0))</f>
        <v>240</v>
      </c>
      <c r="Q43" s="79">
        <f>IF(I43="","",ROUND(I43/(Steuerungsdaten!$B$4*Steuerungsdaten!$B$9*IFERROR(VLOOKUP(C43,Steuerungsdaten!$B$17:$G$37,6,FALSE),1)*POWER(IF(OR(E43=0,F43=0,E43="",F43=""),1,(E43*F43/1000000)/Steuerungsdaten!$B$6),IFERROR(VLOOKUP(C43,Steuerungsdaten!$B$17:$M$37,12,FALSE),1)-1)),0))</f>
        <v>250</v>
      </c>
      <c r="R43" s="79" t="e">
        <f>IF(J43="","",ROUND(J43/(Steuerungsdaten!$B$4*Steuerungsdaten!$B$10*IFERROR(VLOOKUP(C43,Steuerungsdaten!$B$17:$I$37,8,FALSE),1)*POWER(IF(OR(E43=0,F43=0,E43="",F43=""),1,(E43*F43/1000000)/Steuerungsdaten!$B$6),IFERROR(VLOOKUP(C43,Steuerungsdaten!$B$17:$N$37,13,FALSE),1)-1)),0))</f>
        <v>#VALUE!</v>
      </c>
    </row>
    <row r="44" spans="1:18" x14ac:dyDescent="0.25">
      <c r="A44" s="69">
        <v>3121</v>
      </c>
      <c r="B44" s="70" t="s">
        <v>7</v>
      </c>
      <c r="C44" s="70" t="s">
        <v>27</v>
      </c>
      <c r="D44" s="70" t="s">
        <v>49</v>
      </c>
      <c r="E44" s="71">
        <v>1440</v>
      </c>
      <c r="F44" s="71">
        <v>980</v>
      </c>
      <c r="G44" s="72">
        <f>IF(VLOOKUP(C44,Steuerungsdaten!$P$17:$T$39,2,0)="","",MAX(ROUND(VLOOKUP(C44,Steuerungsdaten!$P$17:$T$39,2,0)*Steuerungsdaten!$B$4*Steuerungsdaten!$B$7*IFERROR(VLOOKUP(C44,Steuerungsdaten!$B$17:$C$37,2,FALSE),1)*POWER(IF(OR(E44=0,F44=0,E44="",F44=""),1,(E44*F44/1000000)/Steuerungsdaten!$B$6),IFERROR(VLOOKUP(C44,Steuerungsdaten!$B$17:$K$37,10,FALSE),1)-1),0),Steuerungsdaten!$E$4))</f>
        <v>248</v>
      </c>
      <c r="H44" s="72">
        <f>IF(VLOOKUP(C44,Steuerungsdaten!$P$17:$T$39,3,0)="","",MAX(ROUND(VLOOKUP(C44,Steuerungsdaten!$P$17:$T$39,3,0)*Steuerungsdaten!$B$4*Steuerungsdaten!$B$8*IFERROR(VLOOKUP(C44,Steuerungsdaten!$B$17:$E$37,4,FALSE),1)*POWER(IF(OR(E44=0,F44=0,E44="",F44=""),1,(E44*F44/1000000)/Steuerungsdaten!$B$6),IFERROR(VLOOKUP(C44,Steuerungsdaten!$B$17:$L$37,11,FALSE),1)-1),0),Steuerungsdaten!$E$5))</f>
        <v>852</v>
      </c>
      <c r="I44" s="72">
        <f>IF(VLOOKUP(C44,Steuerungsdaten!$P$17:$T$39,4,0)="","",MAX(ROUND(VLOOKUP(C44,Steuerungsdaten!$P$17:$T$39,4,0)*Steuerungsdaten!$B$4*Steuerungsdaten!$B$9*IFERROR(VLOOKUP(C44,Steuerungsdaten!$B$17:$G$37,6,FALSE),1)*POWER(IF(OR(E44=0,F44=0,E44="",F44=""),1,(E44*F44/1000000)/Steuerungsdaten!$B$6),IFERROR(VLOOKUP(C44,Steuerungsdaten!$B$17:$M$37,12,FALSE),1)-1),0),Steuerungsdaten!$E$6))</f>
        <v>887</v>
      </c>
      <c r="J44" s="72" t="s">
        <v>988</v>
      </c>
      <c r="K44" s="72">
        <f>IFERROR(IF(G44="","",ROUND(G44*Steuerungsdaten!$B$5,0)),"-")</f>
        <v>285</v>
      </c>
      <c r="L44" s="72">
        <f>IFERROR(IF(H44="","",ROUND(H44*Steuerungsdaten!$B$5,0)),"-")</f>
        <v>980</v>
      </c>
      <c r="M44" s="72">
        <f>IFERROR(IF(I44="","",ROUND(I44*Steuerungsdaten!$B$5,0)),"-")</f>
        <v>1020</v>
      </c>
      <c r="N44" s="73" t="str">
        <f>IFERROR(IF(J44="","",ROUND(J44*Steuerungsdaten!$B$5,0)),"-")</f>
        <v>-</v>
      </c>
      <c r="O44" s="79">
        <v>264</v>
      </c>
      <c r="P44" s="79">
        <f>IF(H44="","",ROUND(H44/(Steuerungsdaten!$B$4*Steuerungsdaten!$B$8*IFERROR(VLOOKUP(C44,Steuerungsdaten!$B$17:$E$37,4,FALSE),1)*POWER(IF(OR(E44=0,F44=0,E44="",F44=""),1,(E44*F44/1000000)/Steuerungsdaten!$B$6),IFERROR(VLOOKUP(C44,Steuerungsdaten!$B$17:$L$37,11,FALSE),1)-1)),0))</f>
        <v>240</v>
      </c>
      <c r="Q44" s="79">
        <f>IF(I44="","",ROUND(I44/(Steuerungsdaten!$B$4*Steuerungsdaten!$B$9*IFERROR(VLOOKUP(C44,Steuerungsdaten!$B$17:$G$37,6,FALSE),1)*POWER(IF(OR(E44=0,F44=0,E44="",F44=""),1,(E44*F44/1000000)/Steuerungsdaten!$B$6),IFERROR(VLOOKUP(C44,Steuerungsdaten!$B$17:$M$37,12,FALSE),1)-1)),0))</f>
        <v>250</v>
      </c>
      <c r="R44" s="79" t="e">
        <f>IF(J44="","",ROUND(J44/(Steuerungsdaten!$B$4*Steuerungsdaten!$B$10*IFERROR(VLOOKUP(C44,Steuerungsdaten!$B$17:$I$37,8,FALSE),1)*POWER(IF(OR(E44=0,F44=0,E44="",F44=""),1,(E44*F44/1000000)/Steuerungsdaten!$B$6),IFERROR(VLOOKUP(C44,Steuerungsdaten!$B$17:$N$37,13,FALSE),1)-1)),0))</f>
        <v>#VALUE!</v>
      </c>
    </row>
    <row r="45" spans="1:18" x14ac:dyDescent="0.25">
      <c r="A45" s="74">
        <v>3122</v>
      </c>
      <c r="B45" s="75" t="s">
        <v>7</v>
      </c>
      <c r="C45" s="75" t="s">
        <v>27</v>
      </c>
      <c r="D45" s="75" t="s">
        <v>50</v>
      </c>
      <c r="E45" s="76">
        <v>1800</v>
      </c>
      <c r="F45" s="76">
        <v>780</v>
      </c>
      <c r="G45" s="77">
        <f>IF(VLOOKUP(C45,Steuerungsdaten!$P$17:$T$39,2,0)="","",MAX(ROUND(VLOOKUP(C45,Steuerungsdaten!$P$17:$T$39,2,0)*Steuerungsdaten!$B$4*Steuerungsdaten!$B$7*IFERROR(VLOOKUP(C45,Steuerungsdaten!$B$17:$C$37,2,FALSE),1)*POWER(IF(OR(E45=0,F45=0,E45="",F45=""),1,(E45*F45/1000000)/Steuerungsdaten!$B$6),IFERROR(VLOOKUP(C45,Steuerungsdaten!$B$17:$K$37,10,FALSE),1)-1),0),Steuerungsdaten!$E$4))</f>
        <v>247</v>
      </c>
      <c r="H45" s="77">
        <f>IF(VLOOKUP(C45,Steuerungsdaten!$P$17:$T$39,3,0)="","",MAX(ROUND(VLOOKUP(C45,Steuerungsdaten!$P$17:$T$39,3,0)*Steuerungsdaten!$B$4*Steuerungsdaten!$B$8*IFERROR(VLOOKUP(C45,Steuerungsdaten!$B$17:$E$37,4,FALSE),1)*POWER(IF(OR(E45=0,F45=0,E45="",F45=""),1,(E45*F45/1000000)/Steuerungsdaten!$B$6),IFERROR(VLOOKUP(C45,Steuerungsdaten!$B$17:$L$37,11,FALSE),1)-1),0),Steuerungsdaten!$E$5))</f>
        <v>847</v>
      </c>
      <c r="I45" s="77">
        <f>IF(VLOOKUP(C45,Steuerungsdaten!$P$17:$T$39,4,0)="","",MAX(ROUND(VLOOKUP(C45,Steuerungsdaten!$P$17:$T$39,4,0)*Steuerungsdaten!$B$4*Steuerungsdaten!$B$9*IFERROR(VLOOKUP(C45,Steuerungsdaten!$B$17:$G$37,6,FALSE),1)*POWER(IF(OR(E45=0,F45=0,E45="",F45=""),1,(E45*F45/1000000)/Steuerungsdaten!$B$6),IFERROR(VLOOKUP(C45,Steuerungsdaten!$B$17:$M$37,12,FALSE),1)-1),0),Steuerungsdaten!$E$6))</f>
        <v>883</v>
      </c>
      <c r="J45" s="77" t="s">
        <v>988</v>
      </c>
      <c r="K45" s="77">
        <f>IFERROR(IF(G45="","",ROUND(G45*Steuerungsdaten!$B$5,0)),"-")</f>
        <v>284</v>
      </c>
      <c r="L45" s="77">
        <f>IFERROR(IF(H45="","",ROUND(H45*Steuerungsdaten!$B$5,0)),"-")</f>
        <v>974</v>
      </c>
      <c r="M45" s="77">
        <f>IFERROR(IF(I45="","",ROUND(I45*Steuerungsdaten!$B$5,0)),"-")</f>
        <v>1015</v>
      </c>
      <c r="N45" s="78" t="str">
        <f>IFERROR(IF(J45="","",ROUND(J45*Steuerungsdaten!$B$5,0)),"-")</f>
        <v>-</v>
      </c>
      <c r="O45" s="79">
        <v>264</v>
      </c>
      <c r="P45" s="79">
        <f>IF(H45="","",ROUND(H45/(Steuerungsdaten!$B$4*Steuerungsdaten!$B$8*IFERROR(VLOOKUP(C45,Steuerungsdaten!$B$17:$E$37,4,FALSE),1)*POWER(IF(OR(E45=0,F45=0,E45="",F45=""),1,(E45*F45/1000000)/Steuerungsdaten!$B$6),IFERROR(VLOOKUP(C45,Steuerungsdaten!$B$17:$L$37,11,FALSE),1)-1)),0))</f>
        <v>240</v>
      </c>
      <c r="Q45" s="79">
        <f>IF(I45="","",ROUND(I45/(Steuerungsdaten!$B$4*Steuerungsdaten!$B$9*IFERROR(VLOOKUP(C45,Steuerungsdaten!$B$17:$G$37,6,FALSE),1)*POWER(IF(OR(E45=0,F45=0,E45="",F45=""),1,(E45*F45/1000000)/Steuerungsdaten!$B$6),IFERROR(VLOOKUP(C45,Steuerungsdaten!$B$17:$M$37,12,FALSE),1)-1)),0))</f>
        <v>250</v>
      </c>
      <c r="R45" s="79" t="e">
        <f>IF(J45="","",ROUND(J45/(Steuerungsdaten!$B$4*Steuerungsdaten!$B$10*IFERROR(VLOOKUP(C45,Steuerungsdaten!$B$17:$I$37,8,FALSE),1)*POWER(IF(OR(E45=0,F45=0,E45="",F45=""),1,(E45*F45/1000000)/Steuerungsdaten!$B$6),IFERROR(VLOOKUP(C45,Steuerungsdaten!$B$17:$N$37,13,FALSE),1)-1)),0))</f>
        <v>#VALUE!</v>
      </c>
    </row>
    <row r="46" spans="1:18" x14ac:dyDescent="0.25">
      <c r="A46" s="69">
        <v>3123</v>
      </c>
      <c r="B46" s="70" t="s">
        <v>7</v>
      </c>
      <c r="C46" s="70" t="s">
        <v>27</v>
      </c>
      <c r="D46" s="70" t="s">
        <v>51</v>
      </c>
      <c r="E46" s="71">
        <v>1800</v>
      </c>
      <c r="F46" s="71">
        <v>980</v>
      </c>
      <c r="G46" s="72">
        <f>IF(VLOOKUP(C46,Steuerungsdaten!$P$17:$T$39,2,0)="","",MAX(ROUND(VLOOKUP(C46,Steuerungsdaten!$P$17:$T$39,2,0)*Steuerungsdaten!$B$4*Steuerungsdaten!$B$7*IFERROR(VLOOKUP(C46,Steuerungsdaten!$B$17:$C$37,2,FALSE),1)*POWER(IF(OR(E46=0,F46=0,E46="",F46=""),1,(E46*F46/1000000)/Steuerungsdaten!$B$6),IFERROR(VLOOKUP(C46,Steuerungsdaten!$B$17:$K$37,10,FALSE),1)-1),0),Steuerungsdaten!$E$4))</f>
        <v>310</v>
      </c>
      <c r="H46" s="72">
        <f>IF(VLOOKUP(C46,Steuerungsdaten!$P$17:$T$39,3,0)="","",MAX(ROUND(VLOOKUP(C46,Steuerungsdaten!$P$17:$T$39,3,0)*Steuerungsdaten!$B$4*Steuerungsdaten!$B$8*IFERROR(VLOOKUP(C46,Steuerungsdaten!$B$17:$E$37,4,FALSE),1)*POWER(IF(OR(E46=0,F46=0,E46="",F46=""),1,(E46*F46/1000000)/Steuerungsdaten!$B$6),IFERROR(VLOOKUP(C46,Steuerungsdaten!$B$17:$L$37,11,FALSE),1)-1),0),Steuerungsdaten!$E$5))</f>
        <v>1064</v>
      </c>
      <c r="I46" s="72">
        <f>IF(VLOOKUP(C46,Steuerungsdaten!$P$17:$T$39,4,0)="","",MAX(ROUND(VLOOKUP(C46,Steuerungsdaten!$P$17:$T$39,4,0)*Steuerungsdaten!$B$4*Steuerungsdaten!$B$9*IFERROR(VLOOKUP(C46,Steuerungsdaten!$B$17:$G$37,6,FALSE),1)*POWER(IF(OR(E46=0,F46=0,E46="",F46=""),1,(E46*F46/1000000)/Steuerungsdaten!$B$6),IFERROR(VLOOKUP(C46,Steuerungsdaten!$B$17:$M$37,12,FALSE),1)-1),0),Steuerungsdaten!$E$6))</f>
        <v>1109</v>
      </c>
      <c r="J46" s="72" t="s">
        <v>988</v>
      </c>
      <c r="K46" s="72">
        <f>IFERROR(IF(G46="","",ROUND(G46*Steuerungsdaten!$B$5,0)),"-")</f>
        <v>357</v>
      </c>
      <c r="L46" s="72">
        <f>IFERROR(IF(H46="","",ROUND(H46*Steuerungsdaten!$B$5,0)),"-")</f>
        <v>1224</v>
      </c>
      <c r="M46" s="72">
        <f>IFERROR(IF(I46="","",ROUND(I46*Steuerungsdaten!$B$5,0)),"-")</f>
        <v>1275</v>
      </c>
      <c r="N46" s="73" t="str">
        <f>IFERROR(IF(J46="","",ROUND(J46*Steuerungsdaten!$B$5,0)),"-")</f>
        <v>-</v>
      </c>
      <c r="O46" s="79">
        <v>329</v>
      </c>
      <c r="P46" s="79">
        <f>IF(H46="","",ROUND(H46/(Steuerungsdaten!$B$4*Steuerungsdaten!$B$8*IFERROR(VLOOKUP(C46,Steuerungsdaten!$B$17:$E$37,4,FALSE),1)*POWER(IF(OR(E46=0,F46=0,E46="",F46=""),1,(E46*F46/1000000)/Steuerungsdaten!$B$6),IFERROR(VLOOKUP(C46,Steuerungsdaten!$B$17:$L$37,11,FALSE),1)-1)),0))</f>
        <v>240</v>
      </c>
      <c r="Q46" s="79">
        <f>IF(I46="","",ROUND(I46/(Steuerungsdaten!$B$4*Steuerungsdaten!$B$9*IFERROR(VLOOKUP(C46,Steuerungsdaten!$B$17:$G$37,6,FALSE),1)*POWER(IF(OR(E46=0,F46=0,E46="",F46=""),1,(E46*F46/1000000)/Steuerungsdaten!$B$6),IFERROR(VLOOKUP(C46,Steuerungsdaten!$B$17:$M$37,12,FALSE),1)-1)),0))</f>
        <v>250</v>
      </c>
      <c r="R46" s="79" t="e">
        <f>IF(J46="","",ROUND(J46/(Steuerungsdaten!$B$4*Steuerungsdaten!$B$10*IFERROR(VLOOKUP(C46,Steuerungsdaten!$B$17:$I$37,8,FALSE),1)*POWER(IF(OR(E46=0,F46=0,E46="",F46=""),1,(E46*F46/1000000)/Steuerungsdaten!$B$6),IFERROR(VLOOKUP(C46,Steuerungsdaten!$B$17:$N$37,13,FALSE),1)-1)),0))</f>
        <v>#VALUE!</v>
      </c>
    </row>
    <row r="47" spans="1:18" x14ac:dyDescent="0.25">
      <c r="A47" s="74">
        <v>3124</v>
      </c>
      <c r="B47" s="75" t="s">
        <v>7</v>
      </c>
      <c r="C47" s="75" t="s">
        <v>27</v>
      </c>
      <c r="D47" s="75" t="s">
        <v>52</v>
      </c>
      <c r="E47" s="76">
        <v>580</v>
      </c>
      <c r="F47" s="76">
        <v>580</v>
      </c>
      <c r="G47" s="77">
        <f>IF(VLOOKUP(C47,Steuerungsdaten!$P$17:$T$39,2,0)="","",MAX(ROUND(VLOOKUP(C47,Steuerungsdaten!$P$17:$T$39,2,0)*Steuerungsdaten!$B$4*Steuerungsdaten!$B$7*IFERROR(VLOOKUP(C47,Steuerungsdaten!$B$17:$C$37,2,FALSE),1)*POWER(IF(OR(E47=0,F47=0,E47="",F47=""),1,(E47*F47/1000000)/Steuerungsdaten!$B$6),IFERROR(VLOOKUP(C47,Steuerungsdaten!$B$17:$K$37,10,FALSE),1)-1),0),Steuerungsdaten!$E$4))</f>
        <v>59</v>
      </c>
      <c r="H47" s="77">
        <f>IF(VLOOKUP(C47,Steuerungsdaten!$P$17:$T$39,3,0)="","",MAX(ROUND(VLOOKUP(C47,Steuerungsdaten!$P$17:$T$39,3,0)*Steuerungsdaten!$B$4*Steuerungsdaten!$B$8*IFERROR(VLOOKUP(C47,Steuerungsdaten!$B$17:$E$37,4,FALSE),1)*POWER(IF(OR(E47=0,F47=0,E47="",F47=""),1,(E47*F47/1000000)/Steuerungsdaten!$B$6),IFERROR(VLOOKUP(C47,Steuerungsdaten!$B$17:$L$37,11,FALSE),1)-1),0),Steuerungsdaten!$E$5))</f>
        <v>203</v>
      </c>
      <c r="I47" s="77">
        <f>IF(VLOOKUP(C47,Steuerungsdaten!$P$17:$T$39,4,0)="","",MAX(ROUND(VLOOKUP(C47,Steuerungsdaten!$P$17:$T$39,4,0)*Steuerungsdaten!$B$4*Steuerungsdaten!$B$9*IFERROR(VLOOKUP(C47,Steuerungsdaten!$B$17:$G$37,6,FALSE),1)*POWER(IF(OR(E47=0,F47=0,E47="",F47=""),1,(E47*F47/1000000)/Steuerungsdaten!$B$6),IFERROR(VLOOKUP(C47,Steuerungsdaten!$B$17:$M$37,12,FALSE),1)-1),0),Steuerungsdaten!$E$6))</f>
        <v>211</v>
      </c>
      <c r="J47" s="77" t="s">
        <v>988</v>
      </c>
      <c r="K47" s="77">
        <f>IFERROR(IF(G47="","",ROUND(G47*Steuerungsdaten!$B$5,0)),"-")</f>
        <v>68</v>
      </c>
      <c r="L47" s="77">
        <f>IFERROR(IF(H47="","",ROUND(H47*Steuerungsdaten!$B$5,0)),"-")</f>
        <v>233</v>
      </c>
      <c r="M47" s="77">
        <f>IFERROR(IF(I47="","",ROUND(I47*Steuerungsdaten!$B$5,0)),"-")</f>
        <v>243</v>
      </c>
      <c r="N47" s="78" t="str">
        <f>IFERROR(IF(J47="","",ROUND(J47*Steuerungsdaten!$B$5,0)),"-")</f>
        <v>-</v>
      </c>
      <c r="O47" s="79">
        <v>67</v>
      </c>
      <c r="P47" s="79">
        <f>IF(H47="","",ROUND(H47/(Steuerungsdaten!$B$4*Steuerungsdaten!$B$8*IFERROR(VLOOKUP(C47,Steuerungsdaten!$B$17:$E$37,4,FALSE),1)*POWER(IF(OR(E47=0,F47=0,E47="",F47=""),1,(E47*F47/1000000)/Steuerungsdaten!$B$6),IFERROR(VLOOKUP(C47,Steuerungsdaten!$B$17:$L$37,11,FALSE),1)-1)),0))</f>
        <v>240</v>
      </c>
      <c r="Q47" s="79">
        <f>IF(I47="","",ROUND(I47/(Steuerungsdaten!$B$4*Steuerungsdaten!$B$9*IFERROR(VLOOKUP(C47,Steuerungsdaten!$B$17:$G$37,6,FALSE),1)*POWER(IF(OR(E47=0,F47=0,E47="",F47=""),1,(E47*F47/1000000)/Steuerungsdaten!$B$6),IFERROR(VLOOKUP(C47,Steuerungsdaten!$B$17:$M$37,12,FALSE),1)-1)),0))</f>
        <v>249</v>
      </c>
      <c r="R47" s="79" t="e">
        <f>IF(J47="","",ROUND(J47/(Steuerungsdaten!$B$4*Steuerungsdaten!$B$10*IFERROR(VLOOKUP(C47,Steuerungsdaten!$B$17:$I$37,8,FALSE),1)*POWER(IF(OR(E47=0,F47=0,E47="",F47=""),1,(E47*F47/1000000)/Steuerungsdaten!$B$6),IFERROR(VLOOKUP(C47,Steuerungsdaten!$B$17:$N$37,13,FALSE),1)-1)),0))</f>
        <v>#VALUE!</v>
      </c>
    </row>
    <row r="48" spans="1:18" x14ac:dyDescent="0.25">
      <c r="A48" s="69" t="s">
        <v>53</v>
      </c>
      <c r="B48" s="70" t="s">
        <v>7</v>
      </c>
      <c r="C48" s="70" t="s">
        <v>27</v>
      </c>
      <c r="D48" s="70" t="s">
        <v>54</v>
      </c>
      <c r="E48" s="71">
        <v>660</v>
      </c>
      <c r="F48" s="71">
        <v>360</v>
      </c>
      <c r="G48" s="72">
        <f>IF(VLOOKUP(C48,Steuerungsdaten!$P$17:$T$39,2,0)="","",MAX(ROUND(VLOOKUP(C48,Steuerungsdaten!$P$17:$T$39,2,0)*Steuerungsdaten!$B$4*Steuerungsdaten!$B$7*IFERROR(VLOOKUP(C48,Steuerungsdaten!$B$17:$C$37,2,FALSE),1)*POWER(IF(OR(E48=0,F48=0,E48="",F48=""),1,(E48*F48/1000000)/Steuerungsdaten!$B$6),IFERROR(VLOOKUP(C48,Steuerungsdaten!$B$17:$K$37,10,FALSE),1)-1),0),Steuerungsdaten!$E$4))</f>
        <v>42</v>
      </c>
      <c r="H48" s="72">
        <f>IF(VLOOKUP(C48,Steuerungsdaten!$P$17:$T$39,3,0)="","",MAX(ROUND(VLOOKUP(C48,Steuerungsdaten!$P$17:$T$39,3,0)*Steuerungsdaten!$B$4*Steuerungsdaten!$B$8*IFERROR(VLOOKUP(C48,Steuerungsdaten!$B$17:$E$37,4,FALSE),1)*POWER(IF(OR(E48=0,F48=0,E48="",F48=""),1,(E48*F48/1000000)/Steuerungsdaten!$B$6),IFERROR(VLOOKUP(C48,Steuerungsdaten!$B$17:$L$37,11,FALSE),1)-1),0),Steuerungsdaten!$E$5))</f>
        <v>143</v>
      </c>
      <c r="I48" s="72">
        <f>IF(VLOOKUP(C48,Steuerungsdaten!$P$17:$T$39,4,0)="","",MAX(ROUND(VLOOKUP(C48,Steuerungsdaten!$P$17:$T$39,4,0)*Steuerungsdaten!$B$4*Steuerungsdaten!$B$9*IFERROR(VLOOKUP(C48,Steuerungsdaten!$B$17:$G$37,6,FALSE),1)*POWER(IF(OR(E48=0,F48=0,E48="",F48=""),1,(E48*F48/1000000)/Steuerungsdaten!$B$6),IFERROR(VLOOKUP(C48,Steuerungsdaten!$B$17:$M$37,12,FALSE),1)-1),0),Steuerungsdaten!$E$6))</f>
        <v>149</v>
      </c>
      <c r="J48" s="72" t="s">
        <v>988</v>
      </c>
      <c r="K48" s="72">
        <f>IFERROR(IF(G48="","",ROUND(G48*Steuerungsdaten!$B$5,0)),"-")</f>
        <v>48</v>
      </c>
      <c r="L48" s="72">
        <f>IFERROR(IF(H48="","",ROUND(H48*Steuerungsdaten!$B$5,0)),"-")</f>
        <v>164</v>
      </c>
      <c r="M48" s="72">
        <f>IFERROR(IF(I48="","",ROUND(I48*Steuerungsdaten!$B$5,0)),"-")</f>
        <v>171</v>
      </c>
      <c r="N48" s="73" t="str">
        <f>IFERROR(IF(J48="","",ROUND(J48*Steuerungsdaten!$B$5,0)),"-")</f>
        <v>-</v>
      </c>
      <c r="O48" s="79">
        <v>162</v>
      </c>
      <c r="P48" s="79">
        <f>IF(H48="","",ROUND(H48/(Steuerungsdaten!$B$4*Steuerungsdaten!$B$8*IFERROR(VLOOKUP(C48,Steuerungsdaten!$B$17:$E$37,4,FALSE),1)*POWER(IF(OR(E48=0,F48=0,E48="",F48=""),1,(E48*F48/1000000)/Steuerungsdaten!$B$6),IFERROR(VLOOKUP(C48,Steuerungsdaten!$B$17:$L$37,11,FALSE),1)-1)),0))</f>
        <v>239</v>
      </c>
      <c r="Q48" s="79">
        <f>IF(I48="","",ROUND(I48/(Steuerungsdaten!$B$4*Steuerungsdaten!$B$9*IFERROR(VLOOKUP(C48,Steuerungsdaten!$B$17:$G$37,6,FALSE),1)*POWER(IF(OR(E48=0,F48=0,E48="",F48=""),1,(E48*F48/1000000)/Steuerungsdaten!$B$6),IFERROR(VLOOKUP(C48,Steuerungsdaten!$B$17:$M$37,12,FALSE),1)-1)),0))</f>
        <v>249</v>
      </c>
      <c r="R48" s="79" t="e">
        <f>IF(J48="","",ROUND(J48/(Steuerungsdaten!$B$4*Steuerungsdaten!$B$10*IFERROR(VLOOKUP(C48,Steuerungsdaten!$B$17:$I$37,8,FALSE),1)*POWER(IF(OR(E48=0,F48=0,E48="",F48=""),1,(E48*F48/1000000)/Steuerungsdaten!$B$6),IFERROR(VLOOKUP(C48,Steuerungsdaten!$B$17:$N$37,13,FALSE),1)-1)),0))</f>
        <v>#VALUE!</v>
      </c>
    </row>
    <row r="49" spans="1:18" ht="21.95" customHeight="1" x14ac:dyDescent="0.25">
      <c r="A49" s="426" t="s">
        <v>55</v>
      </c>
      <c r="B49" s="426"/>
      <c r="C49" s="426"/>
      <c r="D49" s="426"/>
      <c r="E49" s="426"/>
      <c r="F49" s="426"/>
      <c r="G49" s="426"/>
      <c r="H49" s="426"/>
      <c r="I49" s="426"/>
      <c r="J49" s="426"/>
      <c r="K49" s="426" t="str">
        <f>IFERROR(IF(G49="","",ROUND(G49*Steuerungsdaten!$B$5,0)),"-")</f>
        <v/>
      </c>
      <c r="L49" s="426" t="str">
        <f>IFERROR(IF(H49="","",ROUND(H49*Steuerungsdaten!$B$5,0)),"-")</f>
        <v/>
      </c>
      <c r="M49" s="426" t="str">
        <f>IFERROR(IF(I49="","",ROUND(I49*Steuerungsdaten!$B$5,0)),"-")</f>
        <v/>
      </c>
      <c r="N49" s="426" t="str">
        <f>IFERROR(IF(J49="","",ROUND(J49*Steuerungsdaten!$B$5,0)),"-")</f>
        <v/>
      </c>
      <c r="O49" s="79"/>
      <c r="P49" s="79"/>
      <c r="Q49" s="79"/>
      <c r="R49" s="79"/>
    </row>
    <row r="50" spans="1:18" x14ac:dyDescent="0.25">
      <c r="A50" s="64">
        <v>3200</v>
      </c>
      <c r="B50" s="65" t="s">
        <v>7</v>
      </c>
      <c r="C50" s="65" t="s">
        <v>55</v>
      </c>
      <c r="D50" s="65" t="s">
        <v>56</v>
      </c>
      <c r="E50" s="66">
        <v>360</v>
      </c>
      <c r="F50" s="66">
        <v>360</v>
      </c>
      <c r="G50" s="67">
        <f>IF(VLOOKUP(C50,Steuerungsdaten!$P$17:$T$39,2,0)="","",MAX(ROUND(VLOOKUP(C50,Steuerungsdaten!$P$17:$T$39,2,0)*Steuerungsdaten!$B$4*Steuerungsdaten!$B$7*IFERROR(VLOOKUP(C50,Steuerungsdaten!$B$17:$C$37,2,FALSE),1)*POWER(IF(OR(E50=0,F50=0,E50="",F50=""),1,(E50*F50/1000000)/Steuerungsdaten!$B$6),IFERROR(VLOOKUP(C50,Steuerungsdaten!$B$17:$K$37,10,FALSE),1)-1),0),Steuerungsdaten!$E$4))</f>
        <v>25</v>
      </c>
      <c r="H50" s="67">
        <f>IF(VLOOKUP(C50,Steuerungsdaten!$P$17:$T$39,3,0)="","",MAX(ROUND(VLOOKUP(C50,Steuerungsdaten!$P$17:$T$39,3,0)*Steuerungsdaten!$B$4*Steuerungsdaten!$B$8*IFERROR(VLOOKUP(C50,Steuerungsdaten!$B$17:$E$37,4,FALSE),1)*POWER(IF(OR(E50=0,F50=0,E50="",F50=""),1,(E50*F50/1000000)/Steuerungsdaten!$B$6),IFERROR(VLOOKUP(C50,Steuerungsdaten!$B$17:$L$37,11,FALSE),1)-1),0),Steuerungsdaten!$E$5))</f>
        <v>103</v>
      </c>
      <c r="I50" s="67">
        <f>IF(VLOOKUP(C50,Steuerungsdaten!$P$17:$T$39,4,0)="","",MAX(ROUND(VLOOKUP(C50,Steuerungsdaten!$P$17:$T$39,4,0)*Steuerungsdaten!$B$4*Steuerungsdaten!$B$9*IFERROR(VLOOKUP(C50,Steuerungsdaten!$B$17:$G$37,6,FALSE),1)*POWER(IF(OR(E50=0,F50=0,E50="",F50=""),1,(E50*F50/1000000)/Steuerungsdaten!$B$6),IFERROR(VLOOKUP(C50,Steuerungsdaten!$B$17:$M$37,12,FALSE),1)-1),0),Steuerungsdaten!$E$6))</f>
        <v>120</v>
      </c>
      <c r="J50" s="67">
        <f>IF(VLOOKUP(C50,Steuerungsdaten!$P$17:$T$39,5,0)="","",MAX(ROUND(VLOOKUP(C50,Steuerungsdaten!$P$17:$T$39,5,0)*Steuerungsdaten!$B$4*Steuerungsdaten!$B$10*IFERROR(VLOOKUP(C50,Steuerungsdaten!$B$17:$I$37,8,FALSE),1)*POWER(IF(OR(E50=0,F50=0,E50="",F50=""),1,(E50*F50/1000000)/Steuerungsdaten!$B$6),IFERROR(VLOOKUP(C50,Steuerungsdaten!$B$17:$N$37,13,FALSE),1)-1),0),Steuerungsdaten!$E$7))</f>
        <v>145</v>
      </c>
      <c r="K50" s="67">
        <f>IFERROR(IF(G50="","",ROUND(G50*Steuerungsdaten!$B$5,0)),"-")</f>
        <v>29</v>
      </c>
      <c r="L50" s="67">
        <f>IFERROR(IF(H50="","",ROUND(H50*Steuerungsdaten!$B$5,0)),"-")</f>
        <v>118</v>
      </c>
      <c r="M50" s="67">
        <f>IFERROR(IF(I50="","",ROUND(I50*Steuerungsdaten!$B$5,0)),"-")</f>
        <v>138</v>
      </c>
      <c r="N50" s="68" t="s">
        <v>988</v>
      </c>
      <c r="O50" s="79">
        <v>34</v>
      </c>
      <c r="P50" s="79">
        <f>IF(H50="","",ROUND(H50/(Steuerungsdaten!$B$4*Steuerungsdaten!$B$8*IFERROR(VLOOKUP(C50,Steuerungsdaten!$B$17:$E$37,4,FALSE),1)*POWER(IF(OR(E50=0,F50=0,E50="",F50=""),1,(E50*F50/1000000)/Steuerungsdaten!$B$6),IFERROR(VLOOKUP(C50,Steuerungsdaten!$B$17:$L$37,11,FALSE),1)-1)),0))</f>
        <v>316</v>
      </c>
      <c r="Q50" s="79">
        <f>IF(I50="","",ROUND(I50/(Steuerungsdaten!$B$4*Steuerungsdaten!$B$9*IFERROR(VLOOKUP(C50,Steuerungsdaten!$B$17:$G$37,6,FALSE),1)*POWER(IF(OR(E50=0,F50=0,E50="",F50=""),1,(E50*F50/1000000)/Steuerungsdaten!$B$6),IFERROR(VLOOKUP(C50,Steuerungsdaten!$B$17:$M$37,12,FALSE),1)-1)),0))</f>
        <v>368</v>
      </c>
      <c r="R50" s="79">
        <f>IF(J50="","",ROUND(J50/(Steuerungsdaten!$B$4*Steuerungsdaten!$B$10*IFERROR(VLOOKUP(C50,Steuerungsdaten!$B$17:$I$37,8,FALSE),1)*POWER(IF(OR(E50=0,F50=0,E50="",F50=""),1,(E50*F50/1000000)/Steuerungsdaten!$B$6),IFERROR(VLOOKUP(C50,Steuerungsdaten!$B$17:$N$37,13,FALSE),1)-1)),0))</f>
        <v>408</v>
      </c>
    </row>
    <row r="51" spans="1:18" x14ac:dyDescent="0.25">
      <c r="A51" s="69">
        <v>3201</v>
      </c>
      <c r="B51" s="70" t="s">
        <v>7</v>
      </c>
      <c r="C51" s="70" t="s">
        <v>55</v>
      </c>
      <c r="D51" s="70" t="s">
        <v>57</v>
      </c>
      <c r="E51" s="71">
        <v>360</v>
      </c>
      <c r="F51" s="71">
        <v>720</v>
      </c>
      <c r="G51" s="72">
        <f>IF(VLOOKUP(C51,Steuerungsdaten!$P$17:$T$39,2,0)="","",MAX(ROUND(VLOOKUP(C51,Steuerungsdaten!$P$17:$T$39,2,0)*Steuerungsdaten!$B$4*Steuerungsdaten!$B$7*IFERROR(VLOOKUP(C51,Steuerungsdaten!$B$17:$C$37,2,FALSE),1)*POWER(IF(OR(E51=0,F51=0,E51="",F51=""),1,(E51*F51/1000000)/Steuerungsdaten!$B$6),IFERROR(VLOOKUP(C51,Steuerungsdaten!$B$17:$K$37,10,FALSE),1)-1),0),Steuerungsdaten!$E$4))</f>
        <v>46</v>
      </c>
      <c r="H51" s="72">
        <f>IF(VLOOKUP(C51,Steuerungsdaten!$P$17:$T$39,3,0)="","",MAX(ROUND(VLOOKUP(C51,Steuerungsdaten!$P$17:$T$39,3,0)*Steuerungsdaten!$B$4*Steuerungsdaten!$B$8*IFERROR(VLOOKUP(C51,Steuerungsdaten!$B$17:$E$37,4,FALSE),1)*POWER(IF(OR(E51=0,F51=0,E51="",F51=""),1,(E51*F51/1000000)/Steuerungsdaten!$B$6),IFERROR(VLOOKUP(C51,Steuerungsdaten!$B$17:$L$37,11,FALSE),1)-1),0),Steuerungsdaten!$E$5))</f>
        <v>156</v>
      </c>
      <c r="I51" s="72">
        <f>IF(VLOOKUP(C51,Steuerungsdaten!$P$17:$T$39,4,0)="","",MAX(ROUND(VLOOKUP(C51,Steuerungsdaten!$P$17:$T$39,4,0)*Steuerungsdaten!$B$4*Steuerungsdaten!$B$9*IFERROR(VLOOKUP(C51,Steuerungsdaten!$B$17:$G$37,6,FALSE),1)*POWER(IF(OR(E51=0,F51=0,E51="",F51=""),1,(E51*F51/1000000)/Steuerungsdaten!$B$6),IFERROR(VLOOKUP(C51,Steuerungsdaten!$B$17:$M$37,12,FALSE),1)-1),0),Steuerungsdaten!$E$6))</f>
        <v>163</v>
      </c>
      <c r="J51" s="72">
        <f>IF(VLOOKUP(C51,Steuerungsdaten!$P$17:$T$39,5,0)="","",MAX(ROUND(VLOOKUP(C51,Steuerungsdaten!$P$17:$T$39,5,0)*Steuerungsdaten!$B$4*Steuerungsdaten!$B$10*IFERROR(VLOOKUP(C51,Steuerungsdaten!$B$17:$I$37,8,FALSE),1)*POWER(IF(OR(E51=0,F51=0,E51="",F51=""),1,(E51*F51/1000000)/Steuerungsdaten!$B$6),IFERROR(VLOOKUP(C51,Steuerungsdaten!$B$17:$N$37,13,FALSE),1)-1),0),Steuerungsdaten!$E$7))</f>
        <v>181</v>
      </c>
      <c r="K51" s="72">
        <f>IFERROR(IF(G51="","",ROUND(G51*Steuerungsdaten!$B$5,0)),"-")</f>
        <v>53</v>
      </c>
      <c r="L51" s="72">
        <f>IFERROR(IF(H51="","",ROUND(H51*Steuerungsdaten!$B$5,0)),"-")</f>
        <v>179</v>
      </c>
      <c r="M51" s="72">
        <f>IFERROR(IF(I51="","",ROUND(I51*Steuerungsdaten!$B$5,0)),"-")</f>
        <v>187</v>
      </c>
      <c r="N51" s="73" t="s">
        <v>988</v>
      </c>
      <c r="O51" s="79">
        <v>52</v>
      </c>
      <c r="P51" s="79">
        <f>IF(H51="","",ROUND(H51/(Steuerungsdaten!$B$4*Steuerungsdaten!$B$8*IFERROR(VLOOKUP(C51,Steuerungsdaten!$B$17:$E$37,4,FALSE),1)*POWER(IF(OR(E51=0,F51=0,E51="",F51=""),1,(E51*F51/1000000)/Steuerungsdaten!$B$6),IFERROR(VLOOKUP(C51,Steuerungsdaten!$B$17:$L$37,11,FALSE),1)-1)),0))</f>
        <v>239</v>
      </c>
      <c r="Q51" s="79">
        <f>IF(I51="","",ROUND(I51/(Steuerungsdaten!$B$4*Steuerungsdaten!$B$9*IFERROR(VLOOKUP(C51,Steuerungsdaten!$B$17:$G$37,6,FALSE),1)*POWER(IF(OR(E51=0,F51=0,E51="",F51=""),1,(E51*F51/1000000)/Steuerungsdaten!$B$6),IFERROR(VLOOKUP(C51,Steuerungsdaten!$B$17:$M$37,12,FALSE),1)-1)),0))</f>
        <v>250</v>
      </c>
      <c r="R51" s="79">
        <f>IF(J51="","",ROUND(J51/(Steuerungsdaten!$B$4*Steuerungsdaten!$B$10*IFERROR(VLOOKUP(C51,Steuerungsdaten!$B$17:$I$37,8,FALSE),1)*POWER(IF(OR(E51=0,F51=0,E51="",F51=""),1,(E51*F51/1000000)/Steuerungsdaten!$B$6),IFERROR(VLOOKUP(C51,Steuerungsdaten!$B$17:$N$37,13,FALSE),1)-1)),0))</f>
        <v>255</v>
      </c>
    </row>
    <row r="52" spans="1:18" x14ac:dyDescent="0.25">
      <c r="A52" s="74">
        <v>3202</v>
      </c>
      <c r="B52" s="75" t="s">
        <v>7</v>
      </c>
      <c r="C52" s="75" t="s">
        <v>55</v>
      </c>
      <c r="D52" s="75" t="s">
        <v>58</v>
      </c>
      <c r="E52" s="76">
        <v>360</v>
      </c>
      <c r="F52" s="76">
        <v>1080</v>
      </c>
      <c r="G52" s="77">
        <f>IF(VLOOKUP(C52,Steuerungsdaten!$P$17:$T$39,2,0)="","",MAX(ROUND(VLOOKUP(C52,Steuerungsdaten!$P$17:$T$39,2,0)*Steuerungsdaten!$B$4*Steuerungsdaten!$B$7*IFERROR(VLOOKUP(C52,Steuerungsdaten!$B$17:$C$37,2,FALSE),1)*POWER(IF(OR(E52=0,F52=0,E52="",F52=""),1,(E52*F52/1000000)/Steuerungsdaten!$B$6),IFERROR(VLOOKUP(C52,Steuerungsdaten!$B$17:$K$37,10,FALSE),1)-1),0),Steuerungsdaten!$E$4))</f>
        <v>68</v>
      </c>
      <c r="H52" s="77">
        <f>IF(VLOOKUP(C52,Steuerungsdaten!$P$17:$T$39,3,0)="","",MAX(ROUND(VLOOKUP(C52,Steuerungsdaten!$P$17:$T$39,3,0)*Steuerungsdaten!$B$4*Steuerungsdaten!$B$8*IFERROR(VLOOKUP(C52,Steuerungsdaten!$B$17:$E$37,4,FALSE),1)*POWER(IF(OR(E52=0,F52=0,E52="",F52=""),1,(E52*F52/1000000)/Steuerungsdaten!$B$6),IFERROR(VLOOKUP(C52,Steuerungsdaten!$B$17:$L$37,11,FALSE),1)-1),0),Steuerungsdaten!$E$5))</f>
        <v>235</v>
      </c>
      <c r="I52" s="77">
        <f>IF(VLOOKUP(C52,Steuerungsdaten!$P$17:$T$39,4,0)="","",MAX(ROUND(VLOOKUP(C52,Steuerungsdaten!$P$17:$T$39,4,0)*Steuerungsdaten!$B$4*Steuerungsdaten!$B$9*IFERROR(VLOOKUP(C52,Steuerungsdaten!$B$17:$G$37,6,FALSE),1)*POWER(IF(OR(E52=0,F52=0,E52="",F52=""),1,(E52*F52/1000000)/Steuerungsdaten!$B$6),IFERROR(VLOOKUP(C52,Steuerungsdaten!$B$17:$M$37,12,FALSE),1)-1),0),Steuerungsdaten!$E$6))</f>
        <v>244</v>
      </c>
      <c r="J52" s="77">
        <f>IF(VLOOKUP(C52,Steuerungsdaten!$P$17:$T$39,5,0)="","",MAX(ROUND(VLOOKUP(C52,Steuerungsdaten!$P$17:$T$39,5,0)*Steuerungsdaten!$B$4*Steuerungsdaten!$B$10*IFERROR(VLOOKUP(C52,Steuerungsdaten!$B$17:$I$37,8,FALSE),1)*POWER(IF(OR(E52=0,F52=0,E52="",F52=""),1,(E52*F52/1000000)/Steuerungsdaten!$B$6),IFERROR(VLOOKUP(C52,Steuerungsdaten!$B$17:$N$37,13,FALSE),1)-1),0),Steuerungsdaten!$E$7))</f>
        <v>272</v>
      </c>
      <c r="K52" s="77">
        <f>IFERROR(IF(G52="","",ROUND(G52*Steuerungsdaten!$B$5,0)),"-")</f>
        <v>78</v>
      </c>
      <c r="L52" s="77">
        <f>IFERROR(IF(H52="","",ROUND(H52*Steuerungsdaten!$B$5,0)),"-")</f>
        <v>270</v>
      </c>
      <c r="M52" s="77">
        <f>IFERROR(IF(I52="","",ROUND(I52*Steuerungsdaten!$B$5,0)),"-")</f>
        <v>281</v>
      </c>
      <c r="N52" s="78" t="s">
        <v>988</v>
      </c>
      <c r="O52" s="79">
        <v>76</v>
      </c>
      <c r="P52" s="79">
        <f>IF(H52="","",ROUND(H52/(Steuerungsdaten!$B$4*Steuerungsdaten!$B$8*IFERROR(VLOOKUP(C52,Steuerungsdaten!$B$17:$E$37,4,FALSE),1)*POWER(IF(OR(E52=0,F52=0,E52="",F52=""),1,(E52*F52/1000000)/Steuerungsdaten!$B$6),IFERROR(VLOOKUP(C52,Steuerungsdaten!$B$17:$L$37,11,FALSE),1)-1)),0))</f>
        <v>240</v>
      </c>
      <c r="Q52" s="79">
        <f>IF(I52="","",ROUND(I52/(Steuerungsdaten!$B$4*Steuerungsdaten!$B$9*IFERROR(VLOOKUP(C52,Steuerungsdaten!$B$17:$G$37,6,FALSE),1)*POWER(IF(OR(E52=0,F52=0,E52="",F52=""),1,(E52*F52/1000000)/Steuerungsdaten!$B$6),IFERROR(VLOOKUP(C52,Steuerungsdaten!$B$17:$M$37,12,FALSE),1)-1)),0))</f>
        <v>250</v>
      </c>
      <c r="R52" s="79">
        <f>IF(J52="","",ROUND(J52/(Steuerungsdaten!$B$4*Steuerungsdaten!$B$10*IFERROR(VLOOKUP(C52,Steuerungsdaten!$B$17:$I$37,8,FALSE),1)*POWER(IF(OR(E52=0,F52=0,E52="",F52=""),1,(E52*F52/1000000)/Steuerungsdaten!$B$6),IFERROR(VLOOKUP(C52,Steuerungsdaten!$B$17:$N$37,13,FALSE),1)-1)),0))</f>
        <v>255</v>
      </c>
    </row>
    <row r="53" spans="1:18" x14ac:dyDescent="0.25">
      <c r="A53" s="69">
        <v>3203</v>
      </c>
      <c r="B53" s="70" t="s">
        <v>7</v>
      </c>
      <c r="C53" s="70" t="s">
        <v>55</v>
      </c>
      <c r="D53" s="70" t="s">
        <v>59</v>
      </c>
      <c r="E53" s="71">
        <v>360</v>
      </c>
      <c r="F53" s="71">
        <v>1440</v>
      </c>
      <c r="G53" s="72">
        <f>IF(VLOOKUP(C53,Steuerungsdaten!$P$17:$T$39,2,0)="","",MAX(ROUND(VLOOKUP(C53,Steuerungsdaten!$P$17:$T$39,2,0)*Steuerungsdaten!$B$4*Steuerungsdaten!$B$7*IFERROR(VLOOKUP(C53,Steuerungsdaten!$B$17:$C$37,2,FALSE),1)*POWER(IF(OR(E53=0,F53=0,E53="",F53=""),1,(E53*F53/1000000)/Steuerungsdaten!$B$6),IFERROR(VLOOKUP(C53,Steuerungsdaten!$B$17:$K$37,10,FALSE),1)-1),0),Steuerungsdaten!$E$4))</f>
        <v>91</v>
      </c>
      <c r="H53" s="72">
        <f>IF(VLOOKUP(C53,Steuerungsdaten!$P$17:$T$39,3,0)="","",MAX(ROUND(VLOOKUP(C53,Steuerungsdaten!$P$17:$T$39,3,0)*Steuerungsdaten!$B$4*Steuerungsdaten!$B$8*IFERROR(VLOOKUP(C53,Steuerungsdaten!$B$17:$E$37,4,FALSE),1)*POWER(IF(OR(E53=0,F53=0,E53="",F53=""),1,(E53*F53/1000000)/Steuerungsdaten!$B$6),IFERROR(VLOOKUP(C53,Steuerungsdaten!$B$17:$L$37,11,FALSE),1)-1),0),Steuerungsdaten!$E$5))</f>
        <v>313</v>
      </c>
      <c r="I53" s="72">
        <f>IF(VLOOKUP(C53,Steuerungsdaten!$P$17:$T$39,4,0)="","",MAX(ROUND(VLOOKUP(C53,Steuerungsdaten!$P$17:$T$39,4,0)*Steuerungsdaten!$B$4*Steuerungsdaten!$B$9*IFERROR(VLOOKUP(C53,Steuerungsdaten!$B$17:$G$37,6,FALSE),1)*POWER(IF(OR(E53=0,F53=0,E53="",F53=""),1,(E53*F53/1000000)/Steuerungsdaten!$B$6),IFERROR(VLOOKUP(C53,Steuerungsdaten!$B$17:$M$37,12,FALSE),1)-1),0),Steuerungsdaten!$E$6))</f>
        <v>326</v>
      </c>
      <c r="J53" s="72">
        <f>IF(VLOOKUP(C53,Steuerungsdaten!$P$17:$T$39,5,0)="","",MAX(ROUND(VLOOKUP(C53,Steuerungsdaten!$P$17:$T$39,5,0)*Steuerungsdaten!$B$4*Steuerungsdaten!$B$10*IFERROR(VLOOKUP(C53,Steuerungsdaten!$B$17:$I$37,8,FALSE),1)*POWER(IF(OR(E53=0,F53=0,E53="",F53=""),1,(E53*F53/1000000)/Steuerungsdaten!$B$6),IFERROR(VLOOKUP(C53,Steuerungsdaten!$B$17:$N$37,13,FALSE),1)-1),0),Steuerungsdaten!$E$7))</f>
        <v>363</v>
      </c>
      <c r="K53" s="72">
        <f>IFERROR(IF(G53="","",ROUND(G53*Steuerungsdaten!$B$5,0)),"-")</f>
        <v>105</v>
      </c>
      <c r="L53" s="72">
        <f>IFERROR(IF(H53="","",ROUND(H53*Steuerungsdaten!$B$5,0)),"-")</f>
        <v>360</v>
      </c>
      <c r="M53" s="72">
        <f>IFERROR(IF(I53="","",ROUND(I53*Steuerungsdaten!$B$5,0)),"-")</f>
        <v>375</v>
      </c>
      <c r="N53" s="73" t="s">
        <v>988</v>
      </c>
      <c r="O53" s="79">
        <v>100</v>
      </c>
      <c r="P53" s="79">
        <f>IF(H53="","",ROUND(H53/(Steuerungsdaten!$B$4*Steuerungsdaten!$B$8*IFERROR(VLOOKUP(C53,Steuerungsdaten!$B$17:$E$37,4,FALSE),1)*POWER(IF(OR(E53=0,F53=0,E53="",F53=""),1,(E53*F53/1000000)/Steuerungsdaten!$B$6),IFERROR(VLOOKUP(C53,Steuerungsdaten!$B$17:$L$37,11,FALSE),1)-1)),0))</f>
        <v>240</v>
      </c>
      <c r="Q53" s="79">
        <f>IF(I53="","",ROUND(I53/(Steuerungsdaten!$B$4*Steuerungsdaten!$B$9*IFERROR(VLOOKUP(C53,Steuerungsdaten!$B$17:$G$37,6,FALSE),1)*POWER(IF(OR(E53=0,F53=0,E53="",F53=""),1,(E53*F53/1000000)/Steuerungsdaten!$B$6),IFERROR(VLOOKUP(C53,Steuerungsdaten!$B$17:$M$37,12,FALSE),1)-1)),0))</f>
        <v>250</v>
      </c>
      <c r="R53" s="79">
        <f>IF(J53="","",ROUND(J53/(Steuerungsdaten!$B$4*Steuerungsdaten!$B$10*IFERROR(VLOOKUP(C53,Steuerungsdaten!$B$17:$I$37,8,FALSE),1)*POWER(IF(OR(E53=0,F53=0,E53="",F53=""),1,(E53*F53/1000000)/Steuerungsdaten!$B$6),IFERROR(VLOOKUP(C53,Steuerungsdaten!$B$17:$N$37,13,FALSE),1)-1)),0))</f>
        <v>255</v>
      </c>
    </row>
    <row r="54" spans="1:18" x14ac:dyDescent="0.25">
      <c r="A54" s="74">
        <v>3204</v>
      </c>
      <c r="B54" s="75" t="s">
        <v>7</v>
      </c>
      <c r="C54" s="75" t="s">
        <v>55</v>
      </c>
      <c r="D54" s="75" t="s">
        <v>60</v>
      </c>
      <c r="E54" s="76">
        <v>360</v>
      </c>
      <c r="F54" s="76">
        <v>1800</v>
      </c>
      <c r="G54" s="77">
        <f>IF(VLOOKUP(C54,Steuerungsdaten!$P$17:$T$39,2,0)="","",MAX(ROUND(VLOOKUP(C54,Steuerungsdaten!$P$17:$T$39,2,0)*Steuerungsdaten!$B$4*Steuerungsdaten!$B$7*IFERROR(VLOOKUP(C54,Steuerungsdaten!$B$17:$C$37,2,FALSE),1)*POWER(IF(OR(E54=0,F54=0,E54="",F54=""),1,(E54*F54/1000000)/Steuerungsdaten!$B$6),IFERROR(VLOOKUP(C54,Steuerungsdaten!$B$17:$K$37,10,FALSE),1)-1),0),Steuerungsdaten!$E$4))</f>
        <v>114</v>
      </c>
      <c r="H54" s="77">
        <f>IF(VLOOKUP(C54,Steuerungsdaten!$P$17:$T$39,3,0)="","",MAX(ROUND(VLOOKUP(C54,Steuerungsdaten!$P$17:$T$39,3,0)*Steuerungsdaten!$B$4*Steuerungsdaten!$B$8*IFERROR(VLOOKUP(C54,Steuerungsdaten!$B$17:$E$37,4,FALSE),1)*POWER(IF(OR(E54=0,F54=0,E54="",F54=""),1,(E54*F54/1000000)/Steuerungsdaten!$B$6),IFERROR(VLOOKUP(C54,Steuerungsdaten!$B$17:$L$37,11,FALSE),1)-1),0),Steuerungsdaten!$E$5))</f>
        <v>391</v>
      </c>
      <c r="I54" s="77">
        <f>IF(VLOOKUP(C54,Steuerungsdaten!$P$17:$T$39,4,0)="","",MAX(ROUND(VLOOKUP(C54,Steuerungsdaten!$P$17:$T$39,4,0)*Steuerungsdaten!$B$4*Steuerungsdaten!$B$9*IFERROR(VLOOKUP(C54,Steuerungsdaten!$B$17:$G$37,6,FALSE),1)*POWER(IF(OR(E54=0,F54=0,E54="",F54=""),1,(E54*F54/1000000)/Steuerungsdaten!$B$6),IFERROR(VLOOKUP(C54,Steuerungsdaten!$B$17:$M$37,12,FALSE),1)-1),0),Steuerungsdaten!$E$6))</f>
        <v>407</v>
      </c>
      <c r="J54" s="77">
        <f>IF(VLOOKUP(C54,Steuerungsdaten!$P$17:$T$39,5,0)="","",MAX(ROUND(VLOOKUP(C54,Steuerungsdaten!$P$17:$T$39,5,0)*Steuerungsdaten!$B$4*Steuerungsdaten!$B$10*IFERROR(VLOOKUP(C54,Steuerungsdaten!$B$17:$I$37,8,FALSE),1)*POWER(IF(OR(E54=0,F54=0,E54="",F54=""),1,(E54*F54/1000000)/Steuerungsdaten!$B$6),IFERROR(VLOOKUP(C54,Steuerungsdaten!$B$17:$N$37,13,FALSE),1)-1),0),Steuerungsdaten!$E$7))</f>
        <v>453</v>
      </c>
      <c r="K54" s="77">
        <f>IFERROR(IF(G54="","",ROUND(G54*Steuerungsdaten!$B$5,0)),"-")</f>
        <v>131</v>
      </c>
      <c r="L54" s="77">
        <f>IFERROR(IF(H54="","",ROUND(H54*Steuerungsdaten!$B$5,0)),"-")</f>
        <v>450</v>
      </c>
      <c r="M54" s="77">
        <f>IFERROR(IF(I54="","",ROUND(I54*Steuerungsdaten!$B$5,0)),"-")</f>
        <v>468</v>
      </c>
      <c r="N54" s="78" t="s">
        <v>988</v>
      </c>
      <c r="O54" s="79">
        <v>125</v>
      </c>
      <c r="P54" s="79">
        <f>IF(H54="","",ROUND(H54/(Steuerungsdaten!$B$4*Steuerungsdaten!$B$8*IFERROR(VLOOKUP(C54,Steuerungsdaten!$B$17:$E$37,4,FALSE),1)*POWER(IF(OR(E54=0,F54=0,E54="",F54=""),1,(E54*F54/1000000)/Steuerungsdaten!$B$6),IFERROR(VLOOKUP(C54,Steuerungsdaten!$B$17:$L$37,11,FALSE),1)-1)),0))</f>
        <v>240</v>
      </c>
      <c r="Q54" s="79">
        <f>IF(I54="","",ROUND(I54/(Steuerungsdaten!$B$4*Steuerungsdaten!$B$9*IFERROR(VLOOKUP(C54,Steuerungsdaten!$B$17:$G$37,6,FALSE),1)*POWER(IF(OR(E54=0,F54=0,E54="",F54=""),1,(E54*F54/1000000)/Steuerungsdaten!$B$6),IFERROR(VLOOKUP(C54,Steuerungsdaten!$B$17:$M$37,12,FALSE),1)-1)),0))</f>
        <v>250</v>
      </c>
      <c r="R54" s="79">
        <f>IF(J54="","",ROUND(J54/(Steuerungsdaten!$B$4*Steuerungsdaten!$B$10*IFERROR(VLOOKUP(C54,Steuerungsdaten!$B$17:$I$37,8,FALSE),1)*POWER(IF(OR(E54=0,F54=0,E54="",F54=""),1,(E54*F54/1000000)/Steuerungsdaten!$B$6),IFERROR(VLOOKUP(C54,Steuerungsdaten!$B$17:$N$37,13,FALSE),1)-1)),0))</f>
        <v>255</v>
      </c>
    </row>
    <row r="55" spans="1:18" x14ac:dyDescent="0.25">
      <c r="A55" s="69">
        <v>3205</v>
      </c>
      <c r="B55" s="70" t="s">
        <v>7</v>
      </c>
      <c r="C55" s="70" t="s">
        <v>55</v>
      </c>
      <c r="D55" s="70" t="s">
        <v>61</v>
      </c>
      <c r="E55" s="71">
        <v>580</v>
      </c>
      <c r="F55" s="71">
        <v>360</v>
      </c>
      <c r="G55" s="72">
        <f>IF(VLOOKUP(C55,Steuerungsdaten!$P$17:$T$39,2,0)="","",MAX(ROUND(VLOOKUP(C55,Steuerungsdaten!$P$17:$T$39,2,0)*Steuerungsdaten!$B$4*Steuerungsdaten!$B$7*IFERROR(VLOOKUP(C55,Steuerungsdaten!$B$17:$C$37,2,FALSE),1)*POWER(IF(OR(E55=0,F55=0,E55="",F55=""),1,(E55*F55/1000000)/Steuerungsdaten!$B$6),IFERROR(VLOOKUP(C55,Steuerungsdaten!$B$17:$K$37,10,FALSE),1)-1),0),Steuerungsdaten!$E$4))</f>
        <v>37</v>
      </c>
      <c r="H55" s="72">
        <f>IF(VLOOKUP(C55,Steuerungsdaten!$P$17:$T$39,3,0)="","",MAX(ROUND(VLOOKUP(C55,Steuerungsdaten!$P$17:$T$39,3,0)*Steuerungsdaten!$B$4*Steuerungsdaten!$B$8*IFERROR(VLOOKUP(C55,Steuerungsdaten!$B$17:$E$37,4,FALSE),1)*POWER(IF(OR(E55=0,F55=0,E55="",F55=""),1,(E55*F55/1000000)/Steuerungsdaten!$B$6),IFERROR(VLOOKUP(C55,Steuerungsdaten!$B$17:$L$37,11,FALSE),1)-1),0),Steuerungsdaten!$E$5))</f>
        <v>126</v>
      </c>
      <c r="I55" s="72">
        <f>IF(VLOOKUP(C55,Steuerungsdaten!$P$17:$T$39,4,0)="","",MAX(ROUND(VLOOKUP(C55,Steuerungsdaten!$P$17:$T$39,4,0)*Steuerungsdaten!$B$4*Steuerungsdaten!$B$9*IFERROR(VLOOKUP(C55,Steuerungsdaten!$B$17:$G$37,6,FALSE),1)*POWER(IF(OR(E55=0,F55=0,E55="",F55=""),1,(E55*F55/1000000)/Steuerungsdaten!$B$6),IFERROR(VLOOKUP(C55,Steuerungsdaten!$B$17:$M$37,12,FALSE),1)-1),0),Steuerungsdaten!$E$6))</f>
        <v>131</v>
      </c>
      <c r="J55" s="72">
        <f>IF(VLOOKUP(C55,Steuerungsdaten!$P$17:$T$39,5,0)="","",MAX(ROUND(VLOOKUP(C55,Steuerungsdaten!$P$17:$T$39,5,0)*Steuerungsdaten!$B$4*Steuerungsdaten!$B$10*IFERROR(VLOOKUP(C55,Steuerungsdaten!$B$17:$I$37,8,FALSE),1)*POWER(IF(OR(E55=0,F55=0,E55="",F55=""),1,(E55*F55/1000000)/Steuerungsdaten!$B$6),IFERROR(VLOOKUP(C55,Steuerungsdaten!$B$17:$N$37,13,FALSE),1)-1),0),Steuerungsdaten!$E$7))</f>
        <v>146</v>
      </c>
      <c r="K55" s="72">
        <f>IFERROR(IF(G55="","",ROUND(G55*Steuerungsdaten!$B$5,0)),"-")</f>
        <v>43</v>
      </c>
      <c r="L55" s="72">
        <f>IFERROR(IF(H55="","",ROUND(H55*Steuerungsdaten!$B$5,0)),"-")</f>
        <v>145</v>
      </c>
      <c r="M55" s="72">
        <f>IFERROR(IF(I55="","",ROUND(I55*Steuerungsdaten!$B$5,0)),"-")</f>
        <v>151</v>
      </c>
      <c r="N55" s="73" t="s">
        <v>988</v>
      </c>
      <c r="O55" s="79">
        <v>43</v>
      </c>
      <c r="P55" s="79">
        <f>IF(H55="","",ROUND(H55/(Steuerungsdaten!$B$4*Steuerungsdaten!$B$8*IFERROR(VLOOKUP(C55,Steuerungsdaten!$B$17:$E$37,4,FALSE),1)*POWER(IF(OR(E55=0,F55=0,E55="",F55=""),1,(E55*F55/1000000)/Steuerungsdaten!$B$6),IFERROR(VLOOKUP(C55,Steuerungsdaten!$B$17:$L$37,11,FALSE),1)-1)),0))</f>
        <v>240</v>
      </c>
      <c r="Q55" s="79">
        <f>IF(I55="","",ROUND(I55/(Steuerungsdaten!$B$4*Steuerungsdaten!$B$9*IFERROR(VLOOKUP(C55,Steuerungsdaten!$B$17:$G$37,6,FALSE),1)*POWER(IF(OR(E55=0,F55=0,E55="",F55=""),1,(E55*F55/1000000)/Steuerungsdaten!$B$6),IFERROR(VLOOKUP(C55,Steuerungsdaten!$B$17:$M$37,12,FALSE),1)-1)),0))</f>
        <v>250</v>
      </c>
      <c r="R55" s="79">
        <f>IF(J55="","",ROUND(J55/(Steuerungsdaten!$B$4*Steuerungsdaten!$B$10*IFERROR(VLOOKUP(C55,Steuerungsdaten!$B$17:$I$37,8,FALSE),1)*POWER(IF(OR(E55=0,F55=0,E55="",F55=""),1,(E55*F55/1000000)/Steuerungsdaten!$B$6),IFERROR(VLOOKUP(C55,Steuerungsdaten!$B$17:$N$37,13,FALSE),1)-1)),0))</f>
        <v>255</v>
      </c>
    </row>
    <row r="56" spans="1:18" x14ac:dyDescent="0.25">
      <c r="A56" s="74">
        <v>3206</v>
      </c>
      <c r="B56" s="75" t="s">
        <v>7</v>
      </c>
      <c r="C56" s="75" t="s">
        <v>55</v>
      </c>
      <c r="D56" s="75" t="s">
        <v>62</v>
      </c>
      <c r="E56" s="76">
        <v>580</v>
      </c>
      <c r="F56" s="76">
        <v>720</v>
      </c>
      <c r="G56" s="77">
        <f>IF(VLOOKUP(C56,Steuerungsdaten!$P$17:$T$39,2,0)="","",MAX(ROUND(VLOOKUP(C56,Steuerungsdaten!$P$17:$T$39,2,0)*Steuerungsdaten!$B$4*Steuerungsdaten!$B$7*IFERROR(VLOOKUP(C56,Steuerungsdaten!$B$17:$C$37,2,FALSE),1)*POWER(IF(OR(E56=0,F56=0,E56="",F56=""),1,(E56*F56/1000000)/Steuerungsdaten!$B$6),IFERROR(VLOOKUP(C56,Steuerungsdaten!$B$17:$K$37,10,FALSE),1)-1),0),Steuerungsdaten!$E$4))</f>
        <v>73</v>
      </c>
      <c r="H56" s="77">
        <f>IF(VLOOKUP(C56,Steuerungsdaten!$P$17:$T$39,3,0)="","",MAX(ROUND(VLOOKUP(C56,Steuerungsdaten!$P$17:$T$39,3,0)*Steuerungsdaten!$B$4*Steuerungsdaten!$B$8*IFERROR(VLOOKUP(C56,Steuerungsdaten!$B$17:$E$37,4,FALSE),1)*POWER(IF(OR(E56=0,F56=0,E56="",F56=""),1,(E56*F56/1000000)/Steuerungsdaten!$B$6),IFERROR(VLOOKUP(C56,Steuerungsdaten!$B$17:$L$37,11,FALSE),1)-1),0),Steuerungsdaten!$E$5))</f>
        <v>252</v>
      </c>
      <c r="I56" s="77">
        <f>IF(VLOOKUP(C56,Steuerungsdaten!$P$17:$T$39,4,0)="","",MAX(ROUND(VLOOKUP(C56,Steuerungsdaten!$P$17:$T$39,4,0)*Steuerungsdaten!$B$4*Steuerungsdaten!$B$9*IFERROR(VLOOKUP(C56,Steuerungsdaten!$B$17:$G$37,6,FALSE),1)*POWER(IF(OR(E56=0,F56=0,E56="",F56=""),1,(E56*F56/1000000)/Steuerungsdaten!$B$6),IFERROR(VLOOKUP(C56,Steuerungsdaten!$B$17:$M$37,12,FALSE),1)-1),0),Steuerungsdaten!$E$6))</f>
        <v>262</v>
      </c>
      <c r="J56" s="77">
        <f>IF(VLOOKUP(C56,Steuerungsdaten!$P$17:$T$39,5,0)="","",MAX(ROUND(VLOOKUP(C56,Steuerungsdaten!$P$17:$T$39,5,0)*Steuerungsdaten!$B$4*Steuerungsdaten!$B$10*IFERROR(VLOOKUP(C56,Steuerungsdaten!$B$17:$I$37,8,FALSE),1)*POWER(IF(OR(E56=0,F56=0,E56="",F56=""),1,(E56*F56/1000000)/Steuerungsdaten!$B$6),IFERROR(VLOOKUP(C56,Steuerungsdaten!$B$17:$N$37,13,FALSE),1)-1),0),Steuerungsdaten!$E$7))</f>
        <v>292</v>
      </c>
      <c r="K56" s="77">
        <f>IFERROR(IF(G56="","",ROUND(G56*Steuerungsdaten!$B$5,0)),"-")</f>
        <v>84</v>
      </c>
      <c r="L56" s="77">
        <f>IFERROR(IF(H56="","",ROUND(H56*Steuerungsdaten!$B$5,0)),"-")</f>
        <v>290</v>
      </c>
      <c r="M56" s="77">
        <f>IFERROR(IF(I56="","",ROUND(I56*Steuerungsdaten!$B$5,0)),"-")</f>
        <v>301</v>
      </c>
      <c r="N56" s="78" t="s">
        <v>988</v>
      </c>
      <c r="O56" s="79">
        <v>82</v>
      </c>
      <c r="P56" s="79">
        <f>IF(H56="","",ROUND(H56/(Steuerungsdaten!$B$4*Steuerungsdaten!$B$8*IFERROR(VLOOKUP(C56,Steuerungsdaten!$B$17:$E$37,4,FALSE),1)*POWER(IF(OR(E56=0,F56=0,E56="",F56=""),1,(E56*F56/1000000)/Steuerungsdaten!$B$6),IFERROR(VLOOKUP(C56,Steuerungsdaten!$B$17:$L$37,11,FALSE),1)-1)),0))</f>
        <v>240</v>
      </c>
      <c r="Q56" s="79">
        <f>IF(I56="","",ROUND(I56/(Steuerungsdaten!$B$4*Steuerungsdaten!$B$9*IFERROR(VLOOKUP(C56,Steuerungsdaten!$B$17:$G$37,6,FALSE),1)*POWER(IF(OR(E56=0,F56=0,E56="",F56=""),1,(E56*F56/1000000)/Steuerungsdaten!$B$6),IFERROR(VLOOKUP(C56,Steuerungsdaten!$B$17:$M$37,12,FALSE),1)-1)),0))</f>
        <v>250</v>
      </c>
      <c r="R56" s="79">
        <f>IF(J56="","",ROUND(J56/(Steuerungsdaten!$B$4*Steuerungsdaten!$B$10*IFERROR(VLOOKUP(C56,Steuerungsdaten!$B$17:$I$37,8,FALSE),1)*POWER(IF(OR(E56=0,F56=0,E56="",F56=""),1,(E56*F56/1000000)/Steuerungsdaten!$B$6),IFERROR(VLOOKUP(C56,Steuerungsdaten!$B$17:$N$37,13,FALSE),1)-1)),0))</f>
        <v>255</v>
      </c>
    </row>
    <row r="57" spans="1:18" x14ac:dyDescent="0.25">
      <c r="A57" s="69">
        <v>3207</v>
      </c>
      <c r="B57" s="70" t="s">
        <v>7</v>
      </c>
      <c r="C57" s="70" t="s">
        <v>55</v>
      </c>
      <c r="D57" s="70" t="s">
        <v>63</v>
      </c>
      <c r="E57" s="71">
        <v>580</v>
      </c>
      <c r="F57" s="71">
        <v>1080</v>
      </c>
      <c r="G57" s="72">
        <f>IF(VLOOKUP(C57,Steuerungsdaten!$P$17:$T$39,2,0)="","",MAX(ROUND(VLOOKUP(C57,Steuerungsdaten!$P$17:$T$39,2,0)*Steuerungsdaten!$B$4*Steuerungsdaten!$B$7*IFERROR(VLOOKUP(C57,Steuerungsdaten!$B$17:$C$37,2,FALSE),1)*POWER(IF(OR(E57=0,F57=0,E57="",F57=""),1,(E57*F57/1000000)/Steuerungsdaten!$B$6),IFERROR(VLOOKUP(C57,Steuerungsdaten!$B$17:$K$37,10,FALSE),1)-1),0),Steuerungsdaten!$E$4))</f>
        <v>110</v>
      </c>
      <c r="H57" s="72">
        <f>IF(VLOOKUP(C57,Steuerungsdaten!$P$17:$T$39,3,0)="","",MAX(ROUND(VLOOKUP(C57,Steuerungsdaten!$P$17:$T$39,3,0)*Steuerungsdaten!$B$4*Steuerungsdaten!$B$8*IFERROR(VLOOKUP(C57,Steuerungsdaten!$B$17:$E$37,4,FALSE),1)*POWER(IF(OR(E57=0,F57=0,E57="",F57=""),1,(E57*F57/1000000)/Steuerungsdaten!$B$6),IFERROR(VLOOKUP(C57,Steuerungsdaten!$B$17:$L$37,11,FALSE),1)-1),0),Steuerungsdaten!$E$5))</f>
        <v>378</v>
      </c>
      <c r="I57" s="72">
        <f>IF(VLOOKUP(C57,Steuerungsdaten!$P$17:$T$39,4,0)="","",MAX(ROUND(VLOOKUP(C57,Steuerungsdaten!$P$17:$T$39,4,0)*Steuerungsdaten!$B$4*Steuerungsdaten!$B$9*IFERROR(VLOOKUP(C57,Steuerungsdaten!$B$17:$G$37,6,FALSE),1)*POWER(IF(OR(E57=0,F57=0,E57="",F57=""),1,(E57*F57/1000000)/Steuerungsdaten!$B$6),IFERROR(VLOOKUP(C57,Steuerungsdaten!$B$17:$M$37,12,FALSE),1)-1),0),Steuerungsdaten!$E$6))</f>
        <v>394</v>
      </c>
      <c r="J57" s="72">
        <f>IF(VLOOKUP(C57,Steuerungsdaten!$P$17:$T$39,5,0)="","",MAX(ROUND(VLOOKUP(C57,Steuerungsdaten!$P$17:$T$39,5,0)*Steuerungsdaten!$B$4*Steuerungsdaten!$B$10*IFERROR(VLOOKUP(C57,Steuerungsdaten!$B$17:$I$37,8,FALSE),1)*POWER(IF(OR(E57=0,F57=0,E57="",F57=""),1,(E57*F57/1000000)/Steuerungsdaten!$B$6),IFERROR(VLOOKUP(C57,Steuerungsdaten!$B$17:$N$37,13,FALSE),1)-1),0),Steuerungsdaten!$E$7))</f>
        <v>438</v>
      </c>
      <c r="K57" s="72">
        <f>IFERROR(IF(G57="","",ROUND(G57*Steuerungsdaten!$B$5,0)),"-")</f>
        <v>127</v>
      </c>
      <c r="L57" s="72">
        <f>IFERROR(IF(H57="","",ROUND(H57*Steuerungsdaten!$B$5,0)),"-")</f>
        <v>435</v>
      </c>
      <c r="M57" s="72">
        <f>IFERROR(IF(I57="","",ROUND(I57*Steuerungsdaten!$B$5,0)),"-")</f>
        <v>453</v>
      </c>
      <c r="N57" s="73" t="s">
        <v>988</v>
      </c>
      <c r="O57" s="79">
        <v>119</v>
      </c>
      <c r="P57" s="79">
        <f>IF(H57="","",ROUND(H57/(Steuerungsdaten!$B$4*Steuerungsdaten!$B$8*IFERROR(VLOOKUP(C57,Steuerungsdaten!$B$17:$E$37,4,FALSE),1)*POWER(IF(OR(E57=0,F57=0,E57="",F57=""),1,(E57*F57/1000000)/Steuerungsdaten!$B$6),IFERROR(VLOOKUP(C57,Steuerungsdaten!$B$17:$L$37,11,FALSE),1)-1)),0))</f>
        <v>240</v>
      </c>
      <c r="Q57" s="79">
        <f>IF(I57="","",ROUND(I57/(Steuerungsdaten!$B$4*Steuerungsdaten!$B$9*IFERROR(VLOOKUP(C57,Steuerungsdaten!$B$17:$G$37,6,FALSE),1)*POWER(IF(OR(E57=0,F57=0,E57="",F57=""),1,(E57*F57/1000000)/Steuerungsdaten!$B$6),IFERROR(VLOOKUP(C57,Steuerungsdaten!$B$17:$M$37,12,FALSE),1)-1)),0))</f>
        <v>250</v>
      </c>
      <c r="R57" s="79">
        <f>IF(J57="","",ROUND(J57/(Steuerungsdaten!$B$4*Steuerungsdaten!$B$10*IFERROR(VLOOKUP(C57,Steuerungsdaten!$B$17:$I$37,8,FALSE),1)*POWER(IF(OR(E57=0,F57=0,E57="",F57=""),1,(E57*F57/1000000)/Steuerungsdaten!$B$6),IFERROR(VLOOKUP(C57,Steuerungsdaten!$B$17:$N$37,13,FALSE),1)-1)),0))</f>
        <v>255</v>
      </c>
    </row>
    <row r="58" spans="1:18" x14ac:dyDescent="0.25">
      <c r="A58" s="74">
        <v>3208</v>
      </c>
      <c r="B58" s="75" t="s">
        <v>7</v>
      </c>
      <c r="C58" s="75" t="s">
        <v>55</v>
      </c>
      <c r="D58" s="75" t="s">
        <v>64</v>
      </c>
      <c r="E58" s="76">
        <v>580</v>
      </c>
      <c r="F58" s="76">
        <v>1440</v>
      </c>
      <c r="G58" s="77">
        <f>IF(VLOOKUP(C58,Steuerungsdaten!$P$17:$T$39,2,0)="","",MAX(ROUND(VLOOKUP(C58,Steuerungsdaten!$P$17:$T$39,2,0)*Steuerungsdaten!$B$4*Steuerungsdaten!$B$7*IFERROR(VLOOKUP(C58,Steuerungsdaten!$B$17:$C$37,2,FALSE),1)*POWER(IF(OR(E58=0,F58=0,E58="",F58=""),1,(E58*F58/1000000)/Steuerungsdaten!$B$6),IFERROR(VLOOKUP(C58,Steuerungsdaten!$B$17:$K$37,10,FALSE),1)-1),0),Steuerungsdaten!$E$4))</f>
        <v>147</v>
      </c>
      <c r="H58" s="77">
        <f>IF(VLOOKUP(C58,Steuerungsdaten!$P$17:$T$39,3,0)="","",MAX(ROUND(VLOOKUP(C58,Steuerungsdaten!$P$17:$T$39,3,0)*Steuerungsdaten!$B$4*Steuerungsdaten!$B$8*IFERROR(VLOOKUP(C58,Steuerungsdaten!$B$17:$E$37,4,FALSE),1)*POWER(IF(OR(E58=0,F58=0,E58="",F58=""),1,(E58*F58/1000000)/Steuerungsdaten!$B$6),IFERROR(VLOOKUP(C58,Steuerungsdaten!$B$17:$L$37,11,FALSE),1)-1),0),Steuerungsdaten!$E$5))</f>
        <v>504</v>
      </c>
      <c r="I58" s="77">
        <f>IF(VLOOKUP(C58,Steuerungsdaten!$P$17:$T$39,4,0)="","",MAX(ROUND(VLOOKUP(C58,Steuerungsdaten!$P$17:$T$39,4,0)*Steuerungsdaten!$B$4*Steuerungsdaten!$B$9*IFERROR(VLOOKUP(C58,Steuerungsdaten!$B$17:$G$37,6,FALSE),1)*POWER(IF(OR(E58=0,F58=0,E58="",F58=""),1,(E58*F58/1000000)/Steuerungsdaten!$B$6),IFERROR(VLOOKUP(C58,Steuerungsdaten!$B$17:$M$37,12,FALSE),1)-1),0),Steuerungsdaten!$E$6))</f>
        <v>525</v>
      </c>
      <c r="J58" s="77">
        <f>IF(VLOOKUP(C58,Steuerungsdaten!$P$17:$T$39,5,0)="","",MAX(ROUND(VLOOKUP(C58,Steuerungsdaten!$P$17:$T$39,5,0)*Steuerungsdaten!$B$4*Steuerungsdaten!$B$10*IFERROR(VLOOKUP(C58,Steuerungsdaten!$B$17:$I$37,8,FALSE),1)*POWER(IF(OR(E58=0,F58=0,E58="",F58=""),1,(E58*F58/1000000)/Steuerungsdaten!$B$6),IFERROR(VLOOKUP(C58,Steuerungsdaten!$B$17:$N$37,13,FALSE),1)-1),0),Steuerungsdaten!$E$7))</f>
        <v>584</v>
      </c>
      <c r="K58" s="77">
        <f>IFERROR(IF(G58="","",ROUND(G58*Steuerungsdaten!$B$5,0)),"-")</f>
        <v>169</v>
      </c>
      <c r="L58" s="77">
        <f>IFERROR(IF(H58="","",ROUND(H58*Steuerungsdaten!$B$5,0)),"-")</f>
        <v>580</v>
      </c>
      <c r="M58" s="77">
        <f>IFERROR(IF(I58="","",ROUND(I58*Steuerungsdaten!$B$5,0)),"-")</f>
        <v>604</v>
      </c>
      <c r="N58" s="78" t="s">
        <v>988</v>
      </c>
      <c r="O58" s="79">
        <v>158</v>
      </c>
      <c r="P58" s="79">
        <f>IF(H58="","",ROUND(H58/(Steuerungsdaten!$B$4*Steuerungsdaten!$B$8*IFERROR(VLOOKUP(C58,Steuerungsdaten!$B$17:$E$37,4,FALSE),1)*POWER(IF(OR(E58=0,F58=0,E58="",F58=""),1,(E58*F58/1000000)/Steuerungsdaten!$B$6),IFERROR(VLOOKUP(C58,Steuerungsdaten!$B$17:$L$37,11,FALSE),1)-1)),0))</f>
        <v>240</v>
      </c>
      <c r="Q58" s="79">
        <f>IF(I58="","",ROUND(I58/(Steuerungsdaten!$B$4*Steuerungsdaten!$B$9*IFERROR(VLOOKUP(C58,Steuerungsdaten!$B$17:$G$37,6,FALSE),1)*POWER(IF(OR(E58=0,F58=0,E58="",F58=""),1,(E58*F58/1000000)/Steuerungsdaten!$B$6),IFERROR(VLOOKUP(C58,Steuerungsdaten!$B$17:$M$37,12,FALSE),1)-1)),0))</f>
        <v>250</v>
      </c>
      <c r="R58" s="79">
        <f>IF(J58="","",ROUND(J58/(Steuerungsdaten!$B$4*Steuerungsdaten!$B$10*IFERROR(VLOOKUP(C58,Steuerungsdaten!$B$17:$I$37,8,FALSE),1)*POWER(IF(OR(E58=0,F58=0,E58="",F58=""),1,(E58*F58/1000000)/Steuerungsdaten!$B$6),IFERROR(VLOOKUP(C58,Steuerungsdaten!$B$17:$N$37,13,FALSE),1)-1)),0))</f>
        <v>255</v>
      </c>
    </row>
    <row r="59" spans="1:18" x14ac:dyDescent="0.25">
      <c r="A59" s="69">
        <v>3209</v>
      </c>
      <c r="B59" s="70" t="s">
        <v>7</v>
      </c>
      <c r="C59" s="70" t="s">
        <v>55</v>
      </c>
      <c r="D59" s="70" t="s">
        <v>65</v>
      </c>
      <c r="E59" s="71">
        <v>580</v>
      </c>
      <c r="F59" s="71">
        <v>1800</v>
      </c>
      <c r="G59" s="72">
        <f>IF(VLOOKUP(C59,Steuerungsdaten!$P$17:$T$39,2,0)="","",MAX(ROUND(VLOOKUP(C59,Steuerungsdaten!$P$17:$T$39,2,0)*Steuerungsdaten!$B$4*Steuerungsdaten!$B$7*IFERROR(VLOOKUP(C59,Steuerungsdaten!$B$17:$C$37,2,FALSE),1)*POWER(IF(OR(E59=0,F59=0,E59="",F59=""),1,(E59*F59/1000000)/Steuerungsdaten!$B$6),IFERROR(VLOOKUP(C59,Steuerungsdaten!$B$17:$K$37,10,FALSE),1)-1),0),Steuerungsdaten!$E$4))</f>
        <v>184</v>
      </c>
      <c r="H59" s="72">
        <f>IF(VLOOKUP(C59,Steuerungsdaten!$P$17:$T$39,3,0)="","",MAX(ROUND(VLOOKUP(C59,Steuerungsdaten!$P$17:$T$39,3,0)*Steuerungsdaten!$B$4*Steuerungsdaten!$B$8*IFERROR(VLOOKUP(C59,Steuerungsdaten!$B$17:$E$37,4,FALSE),1)*POWER(IF(OR(E59=0,F59=0,E59="",F59=""),1,(E59*F59/1000000)/Steuerungsdaten!$B$6),IFERROR(VLOOKUP(C59,Steuerungsdaten!$B$17:$L$37,11,FALSE),1)-1),0),Steuerungsdaten!$E$5))</f>
        <v>630</v>
      </c>
      <c r="I59" s="72">
        <f>IF(VLOOKUP(C59,Steuerungsdaten!$P$17:$T$39,4,0)="","",MAX(ROUND(VLOOKUP(C59,Steuerungsdaten!$P$17:$T$39,4,0)*Steuerungsdaten!$B$4*Steuerungsdaten!$B$9*IFERROR(VLOOKUP(C59,Steuerungsdaten!$B$17:$G$37,6,FALSE),1)*POWER(IF(OR(E59=0,F59=0,E59="",F59=""),1,(E59*F59/1000000)/Steuerungsdaten!$B$6),IFERROR(VLOOKUP(C59,Steuerungsdaten!$B$17:$M$37,12,FALSE),1)-1),0),Steuerungsdaten!$E$6))</f>
        <v>656</v>
      </c>
      <c r="J59" s="72">
        <f>IF(VLOOKUP(C59,Steuerungsdaten!$P$17:$T$39,5,0)="","",MAX(ROUND(VLOOKUP(C59,Steuerungsdaten!$P$17:$T$39,5,0)*Steuerungsdaten!$B$4*Steuerungsdaten!$B$10*IFERROR(VLOOKUP(C59,Steuerungsdaten!$B$17:$I$37,8,FALSE),1)*POWER(IF(OR(E59=0,F59=0,E59="",F59=""),1,(E59*F59/1000000)/Steuerungsdaten!$B$6),IFERROR(VLOOKUP(C59,Steuerungsdaten!$B$17:$N$37,13,FALSE),1)-1),0),Steuerungsdaten!$E$7))</f>
        <v>730</v>
      </c>
      <c r="K59" s="72">
        <f>IFERROR(IF(G59="","",ROUND(G59*Steuerungsdaten!$B$5,0)),"-")</f>
        <v>212</v>
      </c>
      <c r="L59" s="72">
        <f>IFERROR(IF(H59="","",ROUND(H59*Steuerungsdaten!$B$5,0)),"-")</f>
        <v>725</v>
      </c>
      <c r="M59" s="72">
        <f>IFERROR(IF(I59="","",ROUND(I59*Steuerungsdaten!$B$5,0)),"-")</f>
        <v>754</v>
      </c>
      <c r="N59" s="73" t="s">
        <v>988</v>
      </c>
      <c r="O59" s="79">
        <v>197</v>
      </c>
      <c r="P59" s="79">
        <f>IF(H59="","",ROUND(H59/(Steuerungsdaten!$B$4*Steuerungsdaten!$B$8*IFERROR(VLOOKUP(C59,Steuerungsdaten!$B$17:$E$37,4,FALSE),1)*POWER(IF(OR(E59=0,F59=0,E59="",F59=""),1,(E59*F59/1000000)/Steuerungsdaten!$B$6),IFERROR(VLOOKUP(C59,Steuerungsdaten!$B$17:$L$37,11,FALSE),1)-1)),0))</f>
        <v>240</v>
      </c>
      <c r="Q59" s="79">
        <f>IF(I59="","",ROUND(I59/(Steuerungsdaten!$B$4*Steuerungsdaten!$B$9*IFERROR(VLOOKUP(C59,Steuerungsdaten!$B$17:$G$37,6,FALSE),1)*POWER(IF(OR(E59=0,F59=0,E59="",F59=""),1,(E59*F59/1000000)/Steuerungsdaten!$B$6),IFERROR(VLOOKUP(C59,Steuerungsdaten!$B$17:$M$37,12,FALSE),1)-1)),0))</f>
        <v>250</v>
      </c>
      <c r="R59" s="79">
        <f>IF(J59="","",ROUND(J59/(Steuerungsdaten!$B$4*Steuerungsdaten!$B$10*IFERROR(VLOOKUP(C59,Steuerungsdaten!$B$17:$I$37,8,FALSE),1)*POWER(IF(OR(E59=0,F59=0,E59="",F59=""),1,(E59*F59/1000000)/Steuerungsdaten!$B$6),IFERROR(VLOOKUP(C59,Steuerungsdaten!$B$17:$N$37,13,FALSE),1)-1)),0))</f>
        <v>255</v>
      </c>
    </row>
    <row r="60" spans="1:18" x14ac:dyDescent="0.25">
      <c r="A60" s="74">
        <v>3210</v>
      </c>
      <c r="B60" s="75" t="s">
        <v>7</v>
      </c>
      <c r="C60" s="75" t="s">
        <v>55</v>
      </c>
      <c r="D60" s="75" t="s">
        <v>66</v>
      </c>
      <c r="E60" s="76">
        <v>180</v>
      </c>
      <c r="F60" s="76">
        <v>780</v>
      </c>
      <c r="G60" s="77">
        <f>IF(VLOOKUP(C60,Steuerungsdaten!$P$17:$T$39,2,0)="","",MAX(ROUND(VLOOKUP(C60,Steuerungsdaten!$P$17:$T$39,2,0)*Steuerungsdaten!$B$4*Steuerungsdaten!$B$7*IFERROR(VLOOKUP(C60,Steuerungsdaten!$B$17:$C$37,2,FALSE),1)*POWER(IF(OR(E60=0,F60=0,E60="",F60=""),1,(E60*F60/1000000)/Steuerungsdaten!$B$6),IFERROR(VLOOKUP(C60,Steuerungsdaten!$B$17:$K$37,10,FALSE),1)-1),0),Steuerungsdaten!$E$4))</f>
        <v>25</v>
      </c>
      <c r="H60" s="77">
        <f>IF(VLOOKUP(C60,Steuerungsdaten!$P$17:$T$39,3,0)="","",MAX(ROUND(VLOOKUP(C60,Steuerungsdaten!$P$17:$T$39,3,0)*Steuerungsdaten!$B$4*Steuerungsdaten!$B$8*IFERROR(VLOOKUP(C60,Steuerungsdaten!$B$17:$E$37,4,FALSE),1)*POWER(IF(OR(E60=0,F60=0,E60="",F60=""),1,(E60*F60/1000000)/Steuerungsdaten!$B$6),IFERROR(VLOOKUP(C60,Steuerungsdaten!$B$17:$L$37,11,FALSE),1)-1),0),Steuerungsdaten!$E$5))</f>
        <v>103</v>
      </c>
      <c r="I60" s="77">
        <f>IF(VLOOKUP(C60,Steuerungsdaten!$P$17:$T$39,4,0)="","",MAX(ROUND(VLOOKUP(C60,Steuerungsdaten!$P$17:$T$39,4,0)*Steuerungsdaten!$B$4*Steuerungsdaten!$B$9*IFERROR(VLOOKUP(C60,Steuerungsdaten!$B$17:$G$37,6,FALSE),1)*POWER(IF(OR(E60=0,F60=0,E60="",F60=""),1,(E60*F60/1000000)/Steuerungsdaten!$B$6),IFERROR(VLOOKUP(C60,Steuerungsdaten!$B$17:$M$37,12,FALSE),1)-1),0),Steuerungsdaten!$E$6))</f>
        <v>120</v>
      </c>
      <c r="J60" s="77">
        <f>IF(VLOOKUP(C60,Steuerungsdaten!$P$17:$T$39,5,0)="","",MAX(ROUND(VLOOKUP(C60,Steuerungsdaten!$P$17:$T$39,5,0)*Steuerungsdaten!$B$4*Steuerungsdaten!$B$10*IFERROR(VLOOKUP(C60,Steuerungsdaten!$B$17:$I$37,8,FALSE),1)*POWER(IF(OR(E60=0,F60=0,E60="",F60=""),1,(E60*F60/1000000)/Steuerungsdaten!$B$6),IFERROR(VLOOKUP(C60,Steuerungsdaten!$B$17:$N$37,13,FALSE),1)-1),0),Steuerungsdaten!$E$7))</f>
        <v>145</v>
      </c>
      <c r="K60" s="77">
        <f>IFERROR(IF(G60="","",ROUND(G60*Steuerungsdaten!$B$5,0)),"-")</f>
        <v>29</v>
      </c>
      <c r="L60" s="77">
        <f>IFERROR(IF(H60="","",ROUND(H60*Steuerungsdaten!$B$5,0)),"-")</f>
        <v>118</v>
      </c>
      <c r="M60" s="77">
        <f>IFERROR(IF(I60="","",ROUND(I60*Steuerungsdaten!$B$5,0)),"-")</f>
        <v>138</v>
      </c>
      <c r="N60" s="78" t="s">
        <v>988</v>
      </c>
      <c r="O60" s="79">
        <v>56</v>
      </c>
      <c r="P60" s="79">
        <f>IF(H60="","",ROUND(H60/(Steuerungsdaten!$B$4*Steuerungsdaten!$B$8*IFERROR(VLOOKUP(C60,Steuerungsdaten!$B$17:$E$37,4,FALSE),1)*POWER(IF(OR(E60=0,F60=0,E60="",F60=""),1,(E60*F60/1000000)/Steuerungsdaten!$B$6),IFERROR(VLOOKUP(C60,Steuerungsdaten!$B$17:$L$37,11,FALSE),1)-1)),0))</f>
        <v>292</v>
      </c>
      <c r="Q60" s="79">
        <f>IF(I60="","",ROUND(I60/(Steuerungsdaten!$B$4*Steuerungsdaten!$B$9*IFERROR(VLOOKUP(C60,Steuerungsdaten!$B$17:$G$37,6,FALSE),1)*POWER(IF(OR(E60=0,F60=0,E60="",F60=""),1,(E60*F60/1000000)/Steuerungsdaten!$B$6),IFERROR(VLOOKUP(C60,Steuerungsdaten!$B$17:$M$37,12,FALSE),1)-1)),0))</f>
        <v>340</v>
      </c>
      <c r="R60" s="79">
        <f>IF(J60="","",ROUND(J60/(Steuerungsdaten!$B$4*Steuerungsdaten!$B$10*IFERROR(VLOOKUP(C60,Steuerungsdaten!$B$17:$I$37,8,FALSE),1)*POWER(IF(OR(E60=0,F60=0,E60="",F60=""),1,(E60*F60/1000000)/Steuerungsdaten!$B$6),IFERROR(VLOOKUP(C60,Steuerungsdaten!$B$17:$N$37,13,FALSE),1)-1)),0))</f>
        <v>377</v>
      </c>
    </row>
    <row r="61" spans="1:18" x14ac:dyDescent="0.25">
      <c r="A61" s="69">
        <v>3211</v>
      </c>
      <c r="B61" s="70" t="s">
        <v>7</v>
      </c>
      <c r="C61" s="70" t="s">
        <v>55</v>
      </c>
      <c r="D61" s="70" t="s">
        <v>67</v>
      </c>
      <c r="E61" s="71">
        <v>180</v>
      </c>
      <c r="F61" s="71">
        <v>980</v>
      </c>
      <c r="G61" s="72">
        <f>IF(VLOOKUP(C61,Steuerungsdaten!$P$17:$T$39,2,0)="","",MAX(ROUND(VLOOKUP(C61,Steuerungsdaten!$P$17:$T$39,2,0)*Steuerungsdaten!$B$4*Steuerungsdaten!$B$7*IFERROR(VLOOKUP(C61,Steuerungsdaten!$B$17:$C$37,2,FALSE),1)*POWER(IF(OR(E61=0,F61=0,E61="",F61=""),1,(E61*F61/1000000)/Steuerungsdaten!$B$6),IFERROR(VLOOKUP(C61,Steuerungsdaten!$B$17:$K$37,10,FALSE),1)-1),0),Steuerungsdaten!$E$4))</f>
        <v>31</v>
      </c>
      <c r="H61" s="72">
        <f>IF(VLOOKUP(C61,Steuerungsdaten!$P$17:$T$39,3,0)="","",MAX(ROUND(VLOOKUP(C61,Steuerungsdaten!$P$17:$T$39,3,0)*Steuerungsdaten!$B$4*Steuerungsdaten!$B$8*IFERROR(VLOOKUP(C61,Steuerungsdaten!$B$17:$E$37,4,FALSE),1)*POWER(IF(OR(E61=0,F61=0,E61="",F61=""),1,(E61*F61/1000000)/Steuerungsdaten!$B$6),IFERROR(VLOOKUP(C61,Steuerungsdaten!$B$17:$L$37,11,FALSE),1)-1),0),Steuerungsdaten!$E$5))</f>
        <v>106</v>
      </c>
      <c r="I61" s="72">
        <f>IF(VLOOKUP(C61,Steuerungsdaten!$P$17:$T$39,4,0)="","",MAX(ROUND(VLOOKUP(C61,Steuerungsdaten!$P$17:$T$39,4,0)*Steuerungsdaten!$B$4*Steuerungsdaten!$B$9*IFERROR(VLOOKUP(C61,Steuerungsdaten!$B$17:$G$37,6,FALSE),1)*POWER(IF(OR(E61=0,F61=0,E61="",F61=""),1,(E61*F61/1000000)/Steuerungsdaten!$B$6),IFERROR(VLOOKUP(C61,Steuerungsdaten!$B$17:$M$37,12,FALSE),1)-1),0),Steuerungsdaten!$E$6))</f>
        <v>120</v>
      </c>
      <c r="J61" s="72">
        <f>IF(VLOOKUP(C61,Steuerungsdaten!$P$17:$T$39,5,0)="","",MAX(ROUND(VLOOKUP(C61,Steuerungsdaten!$P$17:$T$39,5,0)*Steuerungsdaten!$B$4*Steuerungsdaten!$B$10*IFERROR(VLOOKUP(C61,Steuerungsdaten!$B$17:$I$37,8,FALSE),1)*POWER(IF(OR(E61=0,F61=0,E61="",F61=""),1,(E61*F61/1000000)/Steuerungsdaten!$B$6),IFERROR(VLOOKUP(C61,Steuerungsdaten!$B$17:$N$37,13,FALSE),1)-1),0),Steuerungsdaten!$E$7))</f>
        <v>145</v>
      </c>
      <c r="K61" s="72">
        <f>IFERROR(IF(G61="","",ROUND(G61*Steuerungsdaten!$B$5,0)),"-")</f>
        <v>36</v>
      </c>
      <c r="L61" s="72">
        <f>IFERROR(IF(H61="","",ROUND(H61*Steuerungsdaten!$B$5,0)),"-")</f>
        <v>122</v>
      </c>
      <c r="M61" s="72">
        <f>IFERROR(IF(I61="","",ROUND(I61*Steuerungsdaten!$B$5,0)),"-")</f>
        <v>138</v>
      </c>
      <c r="N61" s="73" t="s">
        <v>988</v>
      </c>
      <c r="O61" s="79">
        <v>70</v>
      </c>
      <c r="P61" s="79">
        <f>IF(H61="","",ROUND(H61/(Steuerungsdaten!$B$4*Steuerungsdaten!$B$8*IFERROR(VLOOKUP(C61,Steuerungsdaten!$B$17:$E$37,4,FALSE),1)*POWER(IF(OR(E61=0,F61=0,E61="",F61=""),1,(E61*F61/1000000)/Steuerungsdaten!$B$6),IFERROR(VLOOKUP(C61,Steuerungsdaten!$B$17:$L$37,11,FALSE),1)-1)),0))</f>
        <v>239</v>
      </c>
      <c r="Q61" s="79">
        <f>IF(I61="","",ROUND(I61/(Steuerungsdaten!$B$4*Steuerungsdaten!$B$9*IFERROR(VLOOKUP(C61,Steuerungsdaten!$B$17:$G$37,6,FALSE),1)*POWER(IF(OR(E61=0,F61=0,E61="",F61=""),1,(E61*F61/1000000)/Steuerungsdaten!$B$6),IFERROR(VLOOKUP(C61,Steuerungsdaten!$B$17:$M$37,12,FALSE),1)-1)),0))</f>
        <v>271</v>
      </c>
      <c r="R61" s="79">
        <f>IF(J61="","",ROUND(J61/(Steuerungsdaten!$B$4*Steuerungsdaten!$B$10*IFERROR(VLOOKUP(C61,Steuerungsdaten!$B$17:$I$37,8,FALSE),1)*POWER(IF(OR(E61=0,F61=0,E61="",F61=""),1,(E61*F61/1000000)/Steuerungsdaten!$B$6),IFERROR(VLOOKUP(C61,Steuerungsdaten!$B$17:$N$37,13,FALSE),1)-1)),0))</f>
        <v>300</v>
      </c>
    </row>
    <row r="62" spans="1:18" x14ac:dyDescent="0.25">
      <c r="A62" s="74">
        <v>3212</v>
      </c>
      <c r="B62" s="75" t="s">
        <v>7</v>
      </c>
      <c r="C62" s="75" t="s">
        <v>55</v>
      </c>
      <c r="D62" s="75" t="s">
        <v>68</v>
      </c>
      <c r="E62" s="76">
        <v>360</v>
      </c>
      <c r="F62" s="76">
        <v>780</v>
      </c>
      <c r="G62" s="77">
        <f>IF(VLOOKUP(C62,Steuerungsdaten!$P$17:$T$39,2,0)="","",MAX(ROUND(VLOOKUP(C62,Steuerungsdaten!$P$17:$T$39,2,0)*Steuerungsdaten!$B$4*Steuerungsdaten!$B$7*IFERROR(VLOOKUP(C62,Steuerungsdaten!$B$17:$C$37,2,FALSE),1)*POWER(IF(OR(E62=0,F62=0,E62="",F62=""),1,(E62*F62/1000000)/Steuerungsdaten!$B$6),IFERROR(VLOOKUP(C62,Steuerungsdaten!$B$17:$K$37,10,FALSE),1)-1),0),Steuerungsdaten!$E$4))</f>
        <v>49</v>
      </c>
      <c r="H62" s="77">
        <f>IF(VLOOKUP(C62,Steuerungsdaten!$P$17:$T$39,3,0)="","",MAX(ROUND(VLOOKUP(C62,Steuerungsdaten!$P$17:$T$39,3,0)*Steuerungsdaten!$B$4*Steuerungsdaten!$B$8*IFERROR(VLOOKUP(C62,Steuerungsdaten!$B$17:$E$37,4,FALSE),1)*POWER(IF(OR(E62=0,F62=0,E62="",F62=""),1,(E62*F62/1000000)/Steuerungsdaten!$B$6),IFERROR(VLOOKUP(C62,Steuerungsdaten!$B$17:$L$37,11,FALSE),1)-1),0),Steuerungsdaten!$E$5))</f>
        <v>169</v>
      </c>
      <c r="I62" s="77">
        <f>IF(VLOOKUP(C62,Steuerungsdaten!$P$17:$T$39,4,0)="","",MAX(ROUND(VLOOKUP(C62,Steuerungsdaten!$P$17:$T$39,4,0)*Steuerungsdaten!$B$4*Steuerungsdaten!$B$9*IFERROR(VLOOKUP(C62,Steuerungsdaten!$B$17:$G$37,6,FALSE),1)*POWER(IF(OR(E62=0,F62=0,E62="",F62=""),1,(E62*F62/1000000)/Steuerungsdaten!$B$6),IFERROR(VLOOKUP(C62,Steuerungsdaten!$B$17:$M$37,12,FALSE),1)-1),0),Steuerungsdaten!$E$6))</f>
        <v>177</v>
      </c>
      <c r="J62" s="77">
        <f>IF(VLOOKUP(C62,Steuerungsdaten!$P$17:$T$39,5,0)="","",MAX(ROUND(VLOOKUP(C62,Steuerungsdaten!$P$17:$T$39,5,0)*Steuerungsdaten!$B$4*Steuerungsdaten!$B$10*IFERROR(VLOOKUP(C62,Steuerungsdaten!$B$17:$I$37,8,FALSE),1)*POWER(IF(OR(E62=0,F62=0,E62="",F62=""),1,(E62*F62/1000000)/Steuerungsdaten!$B$6),IFERROR(VLOOKUP(C62,Steuerungsdaten!$B$17:$N$37,13,FALSE),1)-1),0),Steuerungsdaten!$E$7))</f>
        <v>196</v>
      </c>
      <c r="K62" s="77">
        <f>IFERROR(IF(G62="","",ROUND(G62*Steuerungsdaten!$B$5,0)),"-")</f>
        <v>56</v>
      </c>
      <c r="L62" s="77">
        <f>IFERROR(IF(H62="","",ROUND(H62*Steuerungsdaten!$B$5,0)),"-")</f>
        <v>194</v>
      </c>
      <c r="M62" s="77">
        <f>IFERROR(IF(I62="","",ROUND(I62*Steuerungsdaten!$B$5,0)),"-")</f>
        <v>204</v>
      </c>
      <c r="N62" s="78" t="s">
        <v>988</v>
      </c>
      <c r="O62" s="79">
        <v>56</v>
      </c>
      <c r="P62" s="79">
        <f>IF(H62="","",ROUND(H62/(Steuerungsdaten!$B$4*Steuerungsdaten!$B$8*IFERROR(VLOOKUP(C62,Steuerungsdaten!$B$17:$E$37,4,FALSE),1)*POWER(IF(OR(E62=0,F62=0,E62="",F62=""),1,(E62*F62/1000000)/Steuerungsdaten!$B$6),IFERROR(VLOOKUP(C62,Steuerungsdaten!$B$17:$L$37,11,FALSE),1)-1)),0))</f>
        <v>239</v>
      </c>
      <c r="Q62" s="79">
        <f>IF(I62="","",ROUND(I62/(Steuerungsdaten!$B$4*Steuerungsdaten!$B$9*IFERROR(VLOOKUP(C62,Steuerungsdaten!$B$17:$G$37,6,FALSE),1)*POWER(IF(OR(E62=0,F62=0,E62="",F62=""),1,(E62*F62/1000000)/Steuerungsdaten!$B$6),IFERROR(VLOOKUP(C62,Steuerungsdaten!$B$17:$M$37,12,FALSE),1)-1)),0))</f>
        <v>251</v>
      </c>
      <c r="R62" s="79">
        <f>IF(J62="","",ROUND(J62/(Steuerungsdaten!$B$4*Steuerungsdaten!$B$10*IFERROR(VLOOKUP(C62,Steuerungsdaten!$B$17:$I$37,8,FALSE),1)*POWER(IF(OR(E62=0,F62=0,E62="",F62=""),1,(E62*F62/1000000)/Steuerungsdaten!$B$6),IFERROR(VLOOKUP(C62,Steuerungsdaten!$B$17:$N$37,13,FALSE),1)-1)),0))</f>
        <v>254</v>
      </c>
    </row>
    <row r="63" spans="1:18" x14ac:dyDescent="0.25">
      <c r="A63" s="69">
        <v>3213</v>
      </c>
      <c r="B63" s="70" t="s">
        <v>7</v>
      </c>
      <c r="C63" s="70" t="s">
        <v>55</v>
      </c>
      <c r="D63" s="70" t="s">
        <v>69</v>
      </c>
      <c r="E63" s="71">
        <v>360</v>
      </c>
      <c r="F63" s="71">
        <v>980</v>
      </c>
      <c r="G63" s="72">
        <f>IF(VLOOKUP(C63,Steuerungsdaten!$P$17:$T$39,2,0)="","",MAX(ROUND(VLOOKUP(C63,Steuerungsdaten!$P$17:$T$39,2,0)*Steuerungsdaten!$B$4*Steuerungsdaten!$B$7*IFERROR(VLOOKUP(C63,Steuerungsdaten!$B$17:$C$37,2,FALSE),1)*POWER(IF(OR(E63=0,F63=0,E63="",F63=""),1,(E63*F63/1000000)/Steuerungsdaten!$B$6),IFERROR(VLOOKUP(C63,Steuerungsdaten!$B$17:$K$37,10,FALSE),1)-1),0),Steuerungsdaten!$E$4))</f>
        <v>62</v>
      </c>
      <c r="H63" s="72">
        <f>IF(VLOOKUP(C63,Steuerungsdaten!$P$17:$T$39,3,0)="","",MAX(ROUND(VLOOKUP(C63,Steuerungsdaten!$P$17:$T$39,3,0)*Steuerungsdaten!$B$4*Steuerungsdaten!$B$8*IFERROR(VLOOKUP(C63,Steuerungsdaten!$B$17:$E$37,4,FALSE),1)*POWER(IF(OR(E63=0,F63=0,E63="",F63=""),1,(E63*F63/1000000)/Steuerungsdaten!$B$6),IFERROR(VLOOKUP(C63,Steuerungsdaten!$B$17:$L$37,11,FALSE),1)-1),0),Steuerungsdaten!$E$5))</f>
        <v>213</v>
      </c>
      <c r="I63" s="72">
        <f>IF(VLOOKUP(C63,Steuerungsdaten!$P$17:$T$39,4,0)="","",MAX(ROUND(VLOOKUP(C63,Steuerungsdaten!$P$17:$T$39,4,0)*Steuerungsdaten!$B$4*Steuerungsdaten!$B$9*IFERROR(VLOOKUP(C63,Steuerungsdaten!$B$17:$G$37,6,FALSE),1)*POWER(IF(OR(E63=0,F63=0,E63="",F63=""),1,(E63*F63/1000000)/Steuerungsdaten!$B$6),IFERROR(VLOOKUP(C63,Steuerungsdaten!$B$17:$M$37,12,FALSE),1)-1),0),Steuerungsdaten!$E$6))</f>
        <v>222</v>
      </c>
      <c r="J63" s="72">
        <f>IF(VLOOKUP(C63,Steuerungsdaten!$P$17:$T$39,5,0)="","",MAX(ROUND(VLOOKUP(C63,Steuerungsdaten!$P$17:$T$39,5,0)*Steuerungsdaten!$B$4*Steuerungsdaten!$B$10*IFERROR(VLOOKUP(C63,Steuerungsdaten!$B$17:$I$37,8,FALSE),1)*POWER(IF(OR(E63=0,F63=0,E63="",F63=""),1,(E63*F63/1000000)/Steuerungsdaten!$B$6),IFERROR(VLOOKUP(C63,Steuerungsdaten!$B$17:$N$37,13,FALSE),1)-1),0),Steuerungsdaten!$E$7))</f>
        <v>247</v>
      </c>
      <c r="K63" s="72">
        <f>IFERROR(IF(G63="","",ROUND(G63*Steuerungsdaten!$B$5,0)),"-")</f>
        <v>71</v>
      </c>
      <c r="L63" s="72">
        <f>IFERROR(IF(H63="","",ROUND(H63*Steuerungsdaten!$B$5,0)),"-")</f>
        <v>245</v>
      </c>
      <c r="M63" s="72">
        <f>IFERROR(IF(I63="","",ROUND(I63*Steuerungsdaten!$B$5,0)),"-")</f>
        <v>255</v>
      </c>
      <c r="N63" s="73" t="s">
        <v>988</v>
      </c>
      <c r="O63" s="79">
        <v>70</v>
      </c>
      <c r="P63" s="79">
        <f>IF(H63="","",ROUND(H63/(Steuerungsdaten!$B$4*Steuerungsdaten!$B$8*IFERROR(VLOOKUP(C63,Steuerungsdaten!$B$17:$E$37,4,FALSE),1)*POWER(IF(OR(E63=0,F63=0,E63="",F63=""),1,(E63*F63/1000000)/Steuerungsdaten!$B$6),IFERROR(VLOOKUP(C63,Steuerungsdaten!$B$17:$L$37,11,FALSE),1)-1)),0))</f>
        <v>240</v>
      </c>
      <c r="Q63" s="79">
        <f>IF(I63="","",ROUND(I63/(Steuerungsdaten!$B$4*Steuerungsdaten!$B$9*IFERROR(VLOOKUP(C63,Steuerungsdaten!$B$17:$G$37,6,FALSE),1)*POWER(IF(OR(E63=0,F63=0,E63="",F63=""),1,(E63*F63/1000000)/Steuerungsdaten!$B$6),IFERROR(VLOOKUP(C63,Steuerungsdaten!$B$17:$M$37,12,FALSE),1)-1)),0))</f>
        <v>250</v>
      </c>
      <c r="R63" s="79">
        <f>IF(J63="","",ROUND(J63/(Steuerungsdaten!$B$4*Steuerungsdaten!$B$10*IFERROR(VLOOKUP(C63,Steuerungsdaten!$B$17:$I$37,8,FALSE),1)*POWER(IF(OR(E63=0,F63=0,E63="",F63=""),1,(E63*F63/1000000)/Steuerungsdaten!$B$6),IFERROR(VLOOKUP(C63,Steuerungsdaten!$B$17:$N$37,13,FALSE),1)-1)),0))</f>
        <v>255</v>
      </c>
    </row>
    <row r="64" spans="1:18" x14ac:dyDescent="0.25">
      <c r="A64" s="74">
        <v>3214</v>
      </c>
      <c r="B64" s="75" t="s">
        <v>7</v>
      </c>
      <c r="C64" s="75" t="s">
        <v>55</v>
      </c>
      <c r="D64" s="75" t="s">
        <v>70</v>
      </c>
      <c r="E64" s="76">
        <v>720</v>
      </c>
      <c r="F64" s="76">
        <v>780</v>
      </c>
      <c r="G64" s="77">
        <f>IF(VLOOKUP(C64,Steuerungsdaten!$P$17:$T$39,2,0)="","",MAX(ROUND(VLOOKUP(C64,Steuerungsdaten!$P$17:$T$39,2,0)*Steuerungsdaten!$B$4*Steuerungsdaten!$B$7*IFERROR(VLOOKUP(C64,Steuerungsdaten!$B$17:$C$37,2,FALSE),1)*POWER(IF(OR(E64=0,F64=0,E64="",F64=""),1,(E64*F64/1000000)/Steuerungsdaten!$B$6),IFERROR(VLOOKUP(C64,Steuerungsdaten!$B$17:$K$37,10,FALSE),1)-1),0),Steuerungsdaten!$E$4))</f>
        <v>99</v>
      </c>
      <c r="H64" s="77">
        <f>IF(VLOOKUP(C64,Steuerungsdaten!$P$17:$T$39,3,0)="","",MAX(ROUND(VLOOKUP(C64,Steuerungsdaten!$P$17:$T$39,3,0)*Steuerungsdaten!$B$4*Steuerungsdaten!$B$8*IFERROR(VLOOKUP(C64,Steuerungsdaten!$B$17:$E$37,4,FALSE),1)*POWER(IF(OR(E64=0,F64=0,E64="",F64=""),1,(E64*F64/1000000)/Steuerungsdaten!$B$6),IFERROR(VLOOKUP(C64,Steuerungsdaten!$B$17:$L$37,11,FALSE),1)-1),0),Steuerungsdaten!$E$5))</f>
        <v>339</v>
      </c>
      <c r="I64" s="77">
        <f>IF(VLOOKUP(C64,Steuerungsdaten!$P$17:$T$39,4,0)="","",MAX(ROUND(VLOOKUP(C64,Steuerungsdaten!$P$17:$T$39,4,0)*Steuerungsdaten!$B$4*Steuerungsdaten!$B$9*IFERROR(VLOOKUP(C64,Steuerungsdaten!$B$17:$G$37,6,FALSE),1)*POWER(IF(OR(E64=0,F64=0,E64="",F64=""),1,(E64*F64/1000000)/Steuerungsdaten!$B$6),IFERROR(VLOOKUP(C64,Steuerungsdaten!$B$17:$M$37,12,FALSE),1)-1),0),Steuerungsdaten!$E$6))</f>
        <v>353</v>
      </c>
      <c r="J64" s="77">
        <f>IF(VLOOKUP(C64,Steuerungsdaten!$P$17:$T$39,5,0)="","",MAX(ROUND(VLOOKUP(C64,Steuerungsdaten!$P$17:$T$39,5,0)*Steuerungsdaten!$B$4*Steuerungsdaten!$B$10*IFERROR(VLOOKUP(C64,Steuerungsdaten!$B$17:$I$37,8,FALSE),1)*POWER(IF(OR(E64=0,F64=0,E64="",F64=""),1,(E64*F64/1000000)/Steuerungsdaten!$B$6),IFERROR(VLOOKUP(C64,Steuerungsdaten!$B$17:$N$37,13,FALSE),1)-1),0),Steuerungsdaten!$E$7))</f>
        <v>393</v>
      </c>
      <c r="K64" s="77">
        <f>IFERROR(IF(G64="","",ROUND(G64*Steuerungsdaten!$B$5,0)),"-")</f>
        <v>114</v>
      </c>
      <c r="L64" s="77">
        <f>IFERROR(IF(H64="","",ROUND(H64*Steuerungsdaten!$B$5,0)),"-")</f>
        <v>390</v>
      </c>
      <c r="M64" s="77">
        <f>IFERROR(IF(I64="","",ROUND(I64*Steuerungsdaten!$B$5,0)),"-")</f>
        <v>406</v>
      </c>
      <c r="N64" s="78" t="s">
        <v>988</v>
      </c>
      <c r="O64" s="79">
        <v>107</v>
      </c>
      <c r="P64" s="79">
        <f>IF(H64="","",ROUND(H64/(Steuerungsdaten!$B$4*Steuerungsdaten!$B$8*IFERROR(VLOOKUP(C64,Steuerungsdaten!$B$17:$E$37,4,FALSE),1)*POWER(IF(OR(E64=0,F64=0,E64="",F64=""),1,(E64*F64/1000000)/Steuerungsdaten!$B$6),IFERROR(VLOOKUP(C64,Steuerungsdaten!$B$17:$L$37,11,FALSE),1)-1)),0))</f>
        <v>240</v>
      </c>
      <c r="Q64" s="79">
        <f>IF(I64="","",ROUND(I64/(Steuerungsdaten!$B$4*Steuerungsdaten!$B$9*IFERROR(VLOOKUP(C64,Steuerungsdaten!$B$17:$G$37,6,FALSE),1)*POWER(IF(OR(E64=0,F64=0,E64="",F64=""),1,(E64*F64/1000000)/Steuerungsdaten!$B$6),IFERROR(VLOOKUP(C64,Steuerungsdaten!$B$17:$M$37,12,FALSE),1)-1)),0))</f>
        <v>250</v>
      </c>
      <c r="R64" s="79">
        <f>IF(J64="","",ROUND(J64/(Steuerungsdaten!$B$4*Steuerungsdaten!$B$10*IFERROR(VLOOKUP(C64,Steuerungsdaten!$B$17:$I$37,8,FALSE),1)*POWER(IF(OR(E64=0,F64=0,E64="",F64=""),1,(E64*F64/1000000)/Steuerungsdaten!$B$6),IFERROR(VLOOKUP(C64,Steuerungsdaten!$B$17:$N$37,13,FALSE),1)-1)),0))</f>
        <v>255</v>
      </c>
    </row>
    <row r="65" spans="1:18" x14ac:dyDescent="0.25">
      <c r="A65" s="69">
        <v>3215</v>
      </c>
      <c r="B65" s="70" t="s">
        <v>7</v>
      </c>
      <c r="C65" s="70" t="s">
        <v>55</v>
      </c>
      <c r="D65" s="70" t="s">
        <v>71</v>
      </c>
      <c r="E65" s="71">
        <v>720</v>
      </c>
      <c r="F65" s="71">
        <v>980</v>
      </c>
      <c r="G65" s="72">
        <f>IF(VLOOKUP(C65,Steuerungsdaten!$P$17:$T$39,2,0)="","",MAX(ROUND(VLOOKUP(C65,Steuerungsdaten!$P$17:$T$39,2,0)*Steuerungsdaten!$B$4*Steuerungsdaten!$B$7*IFERROR(VLOOKUP(C65,Steuerungsdaten!$B$17:$C$37,2,FALSE),1)*POWER(IF(OR(E65=0,F65=0,E65="",F65=""),1,(E65*F65/1000000)/Steuerungsdaten!$B$6),IFERROR(VLOOKUP(C65,Steuerungsdaten!$B$17:$K$37,10,FALSE),1)-1),0),Steuerungsdaten!$E$4))</f>
        <v>124</v>
      </c>
      <c r="H65" s="72">
        <f>IF(VLOOKUP(C65,Steuerungsdaten!$P$17:$T$39,3,0)="","",MAX(ROUND(VLOOKUP(C65,Steuerungsdaten!$P$17:$T$39,3,0)*Steuerungsdaten!$B$4*Steuerungsdaten!$B$8*IFERROR(VLOOKUP(C65,Steuerungsdaten!$B$17:$E$37,4,FALSE),1)*POWER(IF(OR(E65=0,F65=0,E65="",F65=""),1,(E65*F65/1000000)/Steuerungsdaten!$B$6),IFERROR(VLOOKUP(C65,Steuerungsdaten!$B$17:$L$37,11,FALSE),1)-1),0),Steuerungsdaten!$E$5))</f>
        <v>426</v>
      </c>
      <c r="I65" s="72">
        <f>IF(VLOOKUP(C65,Steuerungsdaten!$P$17:$T$39,4,0)="","",MAX(ROUND(VLOOKUP(C65,Steuerungsdaten!$P$17:$T$39,4,0)*Steuerungsdaten!$B$4*Steuerungsdaten!$B$9*IFERROR(VLOOKUP(C65,Steuerungsdaten!$B$17:$G$37,6,FALSE),1)*POWER(IF(OR(E65=0,F65=0,E65="",F65=""),1,(E65*F65/1000000)/Steuerungsdaten!$B$6),IFERROR(VLOOKUP(C65,Steuerungsdaten!$B$17:$M$37,12,FALSE),1)-1),0),Steuerungsdaten!$E$6))</f>
        <v>444</v>
      </c>
      <c r="J65" s="72">
        <f>IF(VLOOKUP(C65,Steuerungsdaten!$P$17:$T$39,5,0)="","",MAX(ROUND(VLOOKUP(C65,Steuerungsdaten!$P$17:$T$39,5,0)*Steuerungsdaten!$B$4*Steuerungsdaten!$B$10*IFERROR(VLOOKUP(C65,Steuerungsdaten!$B$17:$I$37,8,FALSE),1)*POWER(IF(OR(E65=0,F65=0,E65="",F65=""),1,(E65*F65/1000000)/Steuerungsdaten!$B$6),IFERROR(VLOOKUP(C65,Steuerungsdaten!$B$17:$N$37,13,FALSE),1)-1),0),Steuerungsdaten!$E$7))</f>
        <v>494</v>
      </c>
      <c r="K65" s="72">
        <f>IFERROR(IF(G65="","",ROUND(G65*Steuerungsdaten!$B$5,0)),"-")</f>
        <v>143</v>
      </c>
      <c r="L65" s="72">
        <f>IFERROR(IF(H65="","",ROUND(H65*Steuerungsdaten!$B$5,0)),"-")</f>
        <v>490</v>
      </c>
      <c r="M65" s="72">
        <f>IFERROR(IF(I65="","",ROUND(I65*Steuerungsdaten!$B$5,0)),"-")</f>
        <v>511</v>
      </c>
      <c r="N65" s="73" t="s">
        <v>988</v>
      </c>
      <c r="O65" s="79">
        <v>134</v>
      </c>
      <c r="P65" s="79">
        <f>IF(H65="","",ROUND(H65/(Steuerungsdaten!$B$4*Steuerungsdaten!$B$8*IFERROR(VLOOKUP(C65,Steuerungsdaten!$B$17:$E$37,4,FALSE),1)*POWER(IF(OR(E65=0,F65=0,E65="",F65=""),1,(E65*F65/1000000)/Steuerungsdaten!$B$6),IFERROR(VLOOKUP(C65,Steuerungsdaten!$B$17:$L$37,11,FALSE),1)-1)),0))</f>
        <v>240</v>
      </c>
      <c r="Q65" s="79">
        <f>IF(I65="","",ROUND(I65/(Steuerungsdaten!$B$4*Steuerungsdaten!$B$9*IFERROR(VLOOKUP(C65,Steuerungsdaten!$B$17:$G$37,6,FALSE),1)*POWER(IF(OR(E65=0,F65=0,E65="",F65=""),1,(E65*F65/1000000)/Steuerungsdaten!$B$6),IFERROR(VLOOKUP(C65,Steuerungsdaten!$B$17:$M$37,12,FALSE),1)-1)),0))</f>
        <v>250</v>
      </c>
      <c r="R65" s="79">
        <f>IF(J65="","",ROUND(J65/(Steuerungsdaten!$B$4*Steuerungsdaten!$B$10*IFERROR(VLOOKUP(C65,Steuerungsdaten!$B$17:$I$37,8,FALSE),1)*POWER(IF(OR(E65=0,F65=0,E65="",F65=""),1,(E65*F65/1000000)/Steuerungsdaten!$B$6),IFERROR(VLOOKUP(C65,Steuerungsdaten!$B$17:$N$37,13,FALSE),1)-1)),0))</f>
        <v>255</v>
      </c>
    </row>
    <row r="66" spans="1:18" x14ac:dyDescent="0.25">
      <c r="A66" s="74">
        <v>3216</v>
      </c>
      <c r="B66" s="75" t="s">
        <v>7</v>
      </c>
      <c r="C66" s="75" t="s">
        <v>55</v>
      </c>
      <c r="D66" s="75" t="s">
        <v>72</v>
      </c>
      <c r="E66" s="76">
        <v>1080</v>
      </c>
      <c r="F66" s="76">
        <v>780</v>
      </c>
      <c r="G66" s="77">
        <f>IF(VLOOKUP(C66,Steuerungsdaten!$P$17:$T$39,2,0)="","",MAX(ROUND(VLOOKUP(C66,Steuerungsdaten!$P$17:$T$39,2,0)*Steuerungsdaten!$B$4*Steuerungsdaten!$B$7*IFERROR(VLOOKUP(C66,Steuerungsdaten!$B$17:$C$37,2,FALSE),1)*POWER(IF(OR(E66=0,F66=0,E66="",F66=""),1,(E66*F66/1000000)/Steuerungsdaten!$B$6),IFERROR(VLOOKUP(C66,Steuerungsdaten!$B$17:$K$37,10,FALSE),1)-1),0),Steuerungsdaten!$E$4))</f>
        <v>148</v>
      </c>
      <c r="H66" s="77">
        <f>IF(VLOOKUP(C66,Steuerungsdaten!$P$17:$T$39,3,0)="","",MAX(ROUND(VLOOKUP(C66,Steuerungsdaten!$P$17:$T$39,3,0)*Steuerungsdaten!$B$4*Steuerungsdaten!$B$8*IFERROR(VLOOKUP(C66,Steuerungsdaten!$B$17:$E$37,4,FALSE),1)*POWER(IF(OR(E66=0,F66=0,E66="",F66=""),1,(E66*F66/1000000)/Steuerungsdaten!$B$6),IFERROR(VLOOKUP(C66,Steuerungsdaten!$B$17:$L$37,11,FALSE),1)-1),0),Steuerungsdaten!$E$5))</f>
        <v>508</v>
      </c>
      <c r="I66" s="77">
        <f>IF(VLOOKUP(C66,Steuerungsdaten!$P$17:$T$39,4,0)="","",MAX(ROUND(VLOOKUP(C66,Steuerungsdaten!$P$17:$T$39,4,0)*Steuerungsdaten!$B$4*Steuerungsdaten!$B$9*IFERROR(VLOOKUP(C66,Steuerungsdaten!$B$17:$G$37,6,FALSE),1)*POWER(IF(OR(E66=0,F66=0,E66="",F66=""),1,(E66*F66/1000000)/Steuerungsdaten!$B$6),IFERROR(VLOOKUP(C66,Steuerungsdaten!$B$17:$M$37,12,FALSE),1)-1),0),Steuerungsdaten!$E$6))</f>
        <v>530</v>
      </c>
      <c r="J66" s="77">
        <f>IF(VLOOKUP(C66,Steuerungsdaten!$P$17:$T$39,5,0)="","",MAX(ROUND(VLOOKUP(C66,Steuerungsdaten!$P$17:$T$39,5,0)*Steuerungsdaten!$B$4*Steuerungsdaten!$B$10*IFERROR(VLOOKUP(C66,Steuerungsdaten!$B$17:$I$37,8,FALSE),1)*POWER(IF(OR(E66=0,F66=0,E66="",F66=""),1,(E66*F66/1000000)/Steuerungsdaten!$B$6),IFERROR(VLOOKUP(C66,Steuerungsdaten!$B$17:$N$37,13,FALSE),1)-1),0),Steuerungsdaten!$E$7))</f>
        <v>589</v>
      </c>
      <c r="K66" s="77">
        <f>IFERROR(IF(G66="","",ROUND(G66*Steuerungsdaten!$B$5,0)),"-")</f>
        <v>170</v>
      </c>
      <c r="L66" s="77">
        <f>IFERROR(IF(H66="","",ROUND(H66*Steuerungsdaten!$B$5,0)),"-")</f>
        <v>584</v>
      </c>
      <c r="M66" s="77">
        <f>IFERROR(IF(I66="","",ROUND(I66*Steuerungsdaten!$B$5,0)),"-")</f>
        <v>610</v>
      </c>
      <c r="N66" s="78" t="s">
        <v>988</v>
      </c>
      <c r="O66" s="79">
        <v>161</v>
      </c>
      <c r="P66" s="79">
        <f>IF(H66="","",ROUND(H66/(Steuerungsdaten!$B$4*Steuerungsdaten!$B$8*IFERROR(VLOOKUP(C66,Steuerungsdaten!$B$17:$E$37,4,FALSE),1)*POWER(IF(OR(E66=0,F66=0,E66="",F66=""),1,(E66*F66/1000000)/Steuerungsdaten!$B$6),IFERROR(VLOOKUP(C66,Steuerungsdaten!$B$17:$L$37,11,FALSE),1)-1)),0))</f>
        <v>240</v>
      </c>
      <c r="Q66" s="79">
        <f>IF(I66="","",ROUND(I66/(Steuerungsdaten!$B$4*Steuerungsdaten!$B$9*IFERROR(VLOOKUP(C66,Steuerungsdaten!$B$17:$G$37,6,FALSE),1)*POWER(IF(OR(E66=0,F66=0,E66="",F66=""),1,(E66*F66/1000000)/Steuerungsdaten!$B$6),IFERROR(VLOOKUP(C66,Steuerungsdaten!$B$17:$M$37,12,FALSE),1)-1)),0))</f>
        <v>250</v>
      </c>
      <c r="R66" s="79">
        <f>IF(J66="","",ROUND(J66/(Steuerungsdaten!$B$4*Steuerungsdaten!$B$10*IFERROR(VLOOKUP(C66,Steuerungsdaten!$B$17:$I$37,8,FALSE),1)*POWER(IF(OR(E66=0,F66=0,E66="",F66=""),1,(E66*F66/1000000)/Steuerungsdaten!$B$6),IFERROR(VLOOKUP(C66,Steuerungsdaten!$B$17:$N$37,13,FALSE),1)-1)),0))</f>
        <v>255</v>
      </c>
    </row>
    <row r="67" spans="1:18" x14ac:dyDescent="0.25">
      <c r="A67" s="69">
        <v>3217</v>
      </c>
      <c r="B67" s="70" t="s">
        <v>7</v>
      </c>
      <c r="C67" s="70" t="s">
        <v>55</v>
      </c>
      <c r="D67" s="70" t="s">
        <v>73</v>
      </c>
      <c r="E67" s="71">
        <v>1080</v>
      </c>
      <c r="F67" s="71">
        <v>980</v>
      </c>
      <c r="G67" s="72">
        <f>IF(VLOOKUP(C67,Steuerungsdaten!$P$17:$T$39,2,0)="","",MAX(ROUND(VLOOKUP(C67,Steuerungsdaten!$P$17:$T$39,2,0)*Steuerungsdaten!$B$4*Steuerungsdaten!$B$7*IFERROR(VLOOKUP(C67,Steuerungsdaten!$B$17:$C$37,2,FALSE),1)*POWER(IF(OR(E67=0,F67=0,E67="",F67=""),1,(E67*F67/1000000)/Steuerungsdaten!$B$6),IFERROR(VLOOKUP(C67,Steuerungsdaten!$B$17:$K$37,10,FALSE),1)-1),0),Steuerungsdaten!$E$4))</f>
        <v>186</v>
      </c>
      <c r="H67" s="72">
        <f>IF(VLOOKUP(C67,Steuerungsdaten!$P$17:$T$39,3,0)="","",MAX(ROUND(VLOOKUP(C67,Steuerungsdaten!$P$17:$T$39,3,0)*Steuerungsdaten!$B$4*Steuerungsdaten!$B$8*IFERROR(VLOOKUP(C67,Steuerungsdaten!$B$17:$E$37,4,FALSE),1)*POWER(IF(OR(E67=0,F67=0,E67="",F67=""),1,(E67*F67/1000000)/Steuerungsdaten!$B$6),IFERROR(VLOOKUP(C67,Steuerungsdaten!$B$17:$L$37,11,FALSE),1)-1),0),Steuerungsdaten!$E$5))</f>
        <v>639</v>
      </c>
      <c r="I67" s="72">
        <f>IF(VLOOKUP(C67,Steuerungsdaten!$P$17:$T$39,4,0)="","",MAX(ROUND(VLOOKUP(C67,Steuerungsdaten!$P$17:$T$39,4,0)*Steuerungsdaten!$B$4*Steuerungsdaten!$B$9*IFERROR(VLOOKUP(C67,Steuerungsdaten!$B$17:$G$37,6,FALSE),1)*POWER(IF(OR(E67=0,F67=0,E67="",F67=""),1,(E67*F67/1000000)/Steuerungsdaten!$B$6),IFERROR(VLOOKUP(C67,Steuerungsdaten!$B$17:$M$37,12,FALSE),1)-1),0),Steuerungsdaten!$E$6))</f>
        <v>665</v>
      </c>
      <c r="J67" s="72">
        <f>IF(VLOOKUP(C67,Steuerungsdaten!$P$17:$T$39,5,0)="","",MAX(ROUND(VLOOKUP(C67,Steuerungsdaten!$P$17:$T$39,5,0)*Steuerungsdaten!$B$4*Steuerungsdaten!$B$10*IFERROR(VLOOKUP(C67,Steuerungsdaten!$B$17:$I$37,8,FALSE),1)*POWER(IF(OR(E67=0,F67=0,E67="",F67=""),1,(E67*F67/1000000)/Steuerungsdaten!$B$6),IFERROR(VLOOKUP(C67,Steuerungsdaten!$B$17:$N$37,13,FALSE),1)-1),0),Steuerungsdaten!$E$7))</f>
        <v>740</v>
      </c>
      <c r="K67" s="72">
        <f>IFERROR(IF(G67="","",ROUND(G67*Steuerungsdaten!$B$5,0)),"-")</f>
        <v>214</v>
      </c>
      <c r="L67" s="72">
        <f>IFERROR(IF(H67="","",ROUND(H67*Steuerungsdaten!$B$5,0)),"-")</f>
        <v>735</v>
      </c>
      <c r="M67" s="72">
        <f>IFERROR(IF(I67="","",ROUND(I67*Steuerungsdaten!$B$5,0)),"-")</f>
        <v>765</v>
      </c>
      <c r="N67" s="73" t="s">
        <v>988</v>
      </c>
      <c r="O67" s="79">
        <v>200</v>
      </c>
      <c r="P67" s="79">
        <f>IF(H67="","",ROUND(H67/(Steuerungsdaten!$B$4*Steuerungsdaten!$B$8*IFERROR(VLOOKUP(C67,Steuerungsdaten!$B$17:$E$37,4,FALSE),1)*POWER(IF(OR(E67=0,F67=0,E67="",F67=""),1,(E67*F67/1000000)/Steuerungsdaten!$B$6),IFERROR(VLOOKUP(C67,Steuerungsdaten!$B$17:$L$37,11,FALSE),1)-1)),0))</f>
        <v>240</v>
      </c>
      <c r="Q67" s="79">
        <f>IF(I67="","",ROUND(I67/(Steuerungsdaten!$B$4*Steuerungsdaten!$B$9*IFERROR(VLOOKUP(C67,Steuerungsdaten!$B$17:$G$37,6,FALSE),1)*POWER(IF(OR(E67=0,F67=0,E67="",F67=""),1,(E67*F67/1000000)/Steuerungsdaten!$B$6),IFERROR(VLOOKUP(C67,Steuerungsdaten!$B$17:$M$37,12,FALSE),1)-1)),0))</f>
        <v>250</v>
      </c>
      <c r="R67" s="79">
        <f>IF(J67="","",ROUND(J67/(Steuerungsdaten!$B$4*Steuerungsdaten!$B$10*IFERROR(VLOOKUP(C67,Steuerungsdaten!$B$17:$I$37,8,FALSE),1)*POWER(IF(OR(E67=0,F67=0,E67="",F67=""),1,(E67*F67/1000000)/Steuerungsdaten!$B$6),IFERROR(VLOOKUP(C67,Steuerungsdaten!$B$17:$N$37,13,FALSE),1)-1)),0))</f>
        <v>255</v>
      </c>
    </row>
    <row r="68" spans="1:18" x14ac:dyDescent="0.25">
      <c r="A68" s="74">
        <v>3218</v>
      </c>
      <c r="B68" s="75" t="s">
        <v>7</v>
      </c>
      <c r="C68" s="75" t="s">
        <v>55</v>
      </c>
      <c r="D68" s="75" t="s">
        <v>74</v>
      </c>
      <c r="E68" s="76">
        <v>1440</v>
      </c>
      <c r="F68" s="76">
        <v>780</v>
      </c>
      <c r="G68" s="77">
        <f>IF(VLOOKUP(C68,Steuerungsdaten!$P$17:$T$39,2,0)="","",MAX(ROUND(VLOOKUP(C68,Steuerungsdaten!$P$17:$T$39,2,0)*Steuerungsdaten!$B$4*Steuerungsdaten!$B$7*IFERROR(VLOOKUP(C68,Steuerungsdaten!$B$17:$C$37,2,FALSE),1)*POWER(IF(OR(E68=0,F68=0,E68="",F68=""),1,(E68*F68/1000000)/Steuerungsdaten!$B$6),IFERROR(VLOOKUP(C68,Steuerungsdaten!$B$17:$K$37,10,FALSE),1)-1),0),Steuerungsdaten!$E$4))</f>
        <v>198</v>
      </c>
      <c r="H68" s="77">
        <f>IF(VLOOKUP(C68,Steuerungsdaten!$P$17:$T$39,3,0)="","",MAX(ROUND(VLOOKUP(C68,Steuerungsdaten!$P$17:$T$39,3,0)*Steuerungsdaten!$B$4*Steuerungsdaten!$B$8*IFERROR(VLOOKUP(C68,Steuerungsdaten!$B$17:$E$37,4,FALSE),1)*POWER(IF(OR(E68=0,F68=0,E68="",F68=""),1,(E68*F68/1000000)/Steuerungsdaten!$B$6),IFERROR(VLOOKUP(C68,Steuerungsdaten!$B$17:$L$37,11,FALSE),1)-1),0),Steuerungsdaten!$E$5))</f>
        <v>678</v>
      </c>
      <c r="I68" s="77">
        <f>IF(VLOOKUP(C68,Steuerungsdaten!$P$17:$T$39,4,0)="","",MAX(ROUND(VLOOKUP(C68,Steuerungsdaten!$P$17:$T$39,4,0)*Steuerungsdaten!$B$4*Steuerungsdaten!$B$9*IFERROR(VLOOKUP(C68,Steuerungsdaten!$B$17:$G$37,6,FALSE),1)*POWER(IF(OR(E68=0,F68=0,E68="",F68=""),1,(E68*F68/1000000)/Steuerungsdaten!$B$6),IFERROR(VLOOKUP(C68,Steuerungsdaten!$B$17:$M$37,12,FALSE),1)-1),0),Steuerungsdaten!$E$6))</f>
        <v>706</v>
      </c>
      <c r="J68" s="77">
        <f>IF(VLOOKUP(C68,Steuerungsdaten!$P$17:$T$39,5,0)="","",MAX(ROUND(VLOOKUP(C68,Steuerungsdaten!$P$17:$T$39,5,0)*Steuerungsdaten!$B$4*Steuerungsdaten!$B$10*IFERROR(VLOOKUP(C68,Steuerungsdaten!$B$17:$I$37,8,FALSE),1)*POWER(IF(OR(E68=0,F68=0,E68="",F68=""),1,(E68*F68/1000000)/Steuerungsdaten!$B$6),IFERROR(VLOOKUP(C68,Steuerungsdaten!$B$17:$N$37,13,FALSE),1)-1),0),Steuerungsdaten!$E$7))</f>
        <v>786</v>
      </c>
      <c r="K68" s="77">
        <f>IFERROR(IF(G68="","",ROUND(G68*Steuerungsdaten!$B$5,0)),"-")</f>
        <v>228</v>
      </c>
      <c r="L68" s="77">
        <f>IFERROR(IF(H68="","",ROUND(H68*Steuerungsdaten!$B$5,0)),"-")</f>
        <v>780</v>
      </c>
      <c r="M68" s="77">
        <f>IFERROR(IF(I68="","",ROUND(I68*Steuerungsdaten!$B$5,0)),"-")</f>
        <v>812</v>
      </c>
      <c r="N68" s="78" t="s">
        <v>988</v>
      </c>
      <c r="O68" s="79">
        <v>211</v>
      </c>
      <c r="P68" s="79">
        <f>IF(H68="","",ROUND(H68/(Steuerungsdaten!$B$4*Steuerungsdaten!$B$8*IFERROR(VLOOKUP(C68,Steuerungsdaten!$B$17:$E$37,4,FALSE),1)*POWER(IF(OR(E68=0,F68=0,E68="",F68=""),1,(E68*F68/1000000)/Steuerungsdaten!$B$6),IFERROR(VLOOKUP(C68,Steuerungsdaten!$B$17:$L$37,11,FALSE),1)-1)),0))</f>
        <v>240</v>
      </c>
      <c r="Q68" s="79">
        <f>IF(I68="","",ROUND(I68/(Steuerungsdaten!$B$4*Steuerungsdaten!$B$9*IFERROR(VLOOKUP(C68,Steuerungsdaten!$B$17:$G$37,6,FALSE),1)*POWER(IF(OR(E68=0,F68=0,E68="",F68=""),1,(E68*F68/1000000)/Steuerungsdaten!$B$6),IFERROR(VLOOKUP(C68,Steuerungsdaten!$B$17:$M$37,12,FALSE),1)-1)),0))</f>
        <v>250</v>
      </c>
      <c r="R68" s="79">
        <f>IF(J68="","",ROUND(J68/(Steuerungsdaten!$B$4*Steuerungsdaten!$B$10*IFERROR(VLOOKUP(C68,Steuerungsdaten!$B$17:$I$37,8,FALSE),1)*POWER(IF(OR(E68=0,F68=0,E68="",F68=""),1,(E68*F68/1000000)/Steuerungsdaten!$B$6),IFERROR(VLOOKUP(C68,Steuerungsdaten!$B$17:$N$37,13,FALSE),1)-1)),0))</f>
        <v>255</v>
      </c>
    </row>
    <row r="69" spans="1:18" x14ac:dyDescent="0.25">
      <c r="A69" s="69">
        <v>3219</v>
      </c>
      <c r="B69" s="70" t="s">
        <v>7</v>
      </c>
      <c r="C69" s="70" t="s">
        <v>55</v>
      </c>
      <c r="D69" s="70" t="s">
        <v>75</v>
      </c>
      <c r="E69" s="71">
        <v>1440</v>
      </c>
      <c r="F69" s="71">
        <v>980</v>
      </c>
      <c r="G69" s="72">
        <f>IF(VLOOKUP(C69,Steuerungsdaten!$P$17:$T$39,2,0)="","",MAX(ROUND(VLOOKUP(C69,Steuerungsdaten!$P$17:$T$39,2,0)*Steuerungsdaten!$B$4*Steuerungsdaten!$B$7*IFERROR(VLOOKUP(C69,Steuerungsdaten!$B$17:$C$37,2,FALSE),1)*POWER(IF(OR(E69=0,F69=0,E69="",F69=""),1,(E69*F69/1000000)/Steuerungsdaten!$B$6),IFERROR(VLOOKUP(C69,Steuerungsdaten!$B$17:$K$37,10,FALSE),1)-1),0),Steuerungsdaten!$E$4))</f>
        <v>248</v>
      </c>
      <c r="H69" s="72">
        <f>IF(VLOOKUP(C69,Steuerungsdaten!$P$17:$T$39,3,0)="","",MAX(ROUND(VLOOKUP(C69,Steuerungsdaten!$P$17:$T$39,3,0)*Steuerungsdaten!$B$4*Steuerungsdaten!$B$8*IFERROR(VLOOKUP(C69,Steuerungsdaten!$B$17:$E$37,4,FALSE),1)*POWER(IF(OR(E69=0,F69=0,E69="",F69=""),1,(E69*F69/1000000)/Steuerungsdaten!$B$6),IFERROR(VLOOKUP(C69,Steuerungsdaten!$B$17:$L$37,11,FALSE),1)-1),0),Steuerungsdaten!$E$5))</f>
        <v>852</v>
      </c>
      <c r="I69" s="72">
        <f>IF(VLOOKUP(C69,Steuerungsdaten!$P$17:$T$39,4,0)="","",MAX(ROUND(VLOOKUP(C69,Steuerungsdaten!$P$17:$T$39,4,0)*Steuerungsdaten!$B$4*Steuerungsdaten!$B$9*IFERROR(VLOOKUP(C69,Steuerungsdaten!$B$17:$G$37,6,FALSE),1)*POWER(IF(OR(E69=0,F69=0,E69="",F69=""),1,(E69*F69/1000000)/Steuerungsdaten!$B$6),IFERROR(VLOOKUP(C69,Steuerungsdaten!$B$17:$M$37,12,FALSE),1)-1),0),Steuerungsdaten!$E$6))</f>
        <v>887</v>
      </c>
      <c r="J69" s="72">
        <f>IF(VLOOKUP(C69,Steuerungsdaten!$P$17:$T$39,5,0)="","",MAX(ROUND(VLOOKUP(C69,Steuerungsdaten!$P$17:$T$39,5,0)*Steuerungsdaten!$B$4*Steuerungsdaten!$B$10*IFERROR(VLOOKUP(C69,Steuerungsdaten!$B$17:$I$37,8,FALSE),1)*POWER(IF(OR(E69=0,F69=0,E69="",F69=""),1,(E69*F69/1000000)/Steuerungsdaten!$B$6),IFERROR(VLOOKUP(C69,Steuerungsdaten!$B$17:$N$37,13,FALSE),1)-1),0),Steuerungsdaten!$E$7))</f>
        <v>987</v>
      </c>
      <c r="K69" s="72">
        <f>IFERROR(IF(G69="","",ROUND(G69*Steuerungsdaten!$B$5,0)),"-")</f>
        <v>285</v>
      </c>
      <c r="L69" s="72">
        <f>IFERROR(IF(H69="","",ROUND(H69*Steuerungsdaten!$B$5,0)),"-")</f>
        <v>980</v>
      </c>
      <c r="M69" s="72">
        <f>IFERROR(IF(I69="","",ROUND(I69*Steuerungsdaten!$B$5,0)),"-")</f>
        <v>1020</v>
      </c>
      <c r="N69" s="73" t="s">
        <v>988</v>
      </c>
      <c r="O69" s="79">
        <v>264</v>
      </c>
      <c r="P69" s="79">
        <f>IF(H69="","",ROUND(H69/(Steuerungsdaten!$B$4*Steuerungsdaten!$B$8*IFERROR(VLOOKUP(C69,Steuerungsdaten!$B$17:$E$37,4,FALSE),1)*POWER(IF(OR(E69=0,F69=0,E69="",F69=""),1,(E69*F69/1000000)/Steuerungsdaten!$B$6),IFERROR(VLOOKUP(C69,Steuerungsdaten!$B$17:$L$37,11,FALSE),1)-1)),0))</f>
        <v>240</v>
      </c>
      <c r="Q69" s="79">
        <f>IF(I69="","",ROUND(I69/(Steuerungsdaten!$B$4*Steuerungsdaten!$B$9*IFERROR(VLOOKUP(C69,Steuerungsdaten!$B$17:$G$37,6,FALSE),1)*POWER(IF(OR(E69=0,F69=0,E69="",F69=""),1,(E69*F69/1000000)/Steuerungsdaten!$B$6),IFERROR(VLOOKUP(C69,Steuerungsdaten!$B$17:$M$37,12,FALSE),1)-1)),0))</f>
        <v>250</v>
      </c>
      <c r="R69" s="79">
        <f>IF(J69="","",ROUND(J69/(Steuerungsdaten!$B$4*Steuerungsdaten!$B$10*IFERROR(VLOOKUP(C69,Steuerungsdaten!$B$17:$I$37,8,FALSE),1)*POWER(IF(OR(E69=0,F69=0,E69="",F69=""),1,(E69*F69/1000000)/Steuerungsdaten!$B$6),IFERROR(VLOOKUP(C69,Steuerungsdaten!$B$17:$N$37,13,FALSE),1)-1)),0))</f>
        <v>255</v>
      </c>
    </row>
    <row r="70" spans="1:18" x14ac:dyDescent="0.25">
      <c r="A70" s="74">
        <v>3220</v>
      </c>
      <c r="B70" s="75" t="s">
        <v>7</v>
      </c>
      <c r="C70" s="75" t="s">
        <v>55</v>
      </c>
      <c r="D70" s="75" t="s">
        <v>76</v>
      </c>
      <c r="E70" s="76">
        <v>1800</v>
      </c>
      <c r="F70" s="76">
        <v>780</v>
      </c>
      <c r="G70" s="77">
        <f>IF(VLOOKUP(C70,Steuerungsdaten!$P$17:$T$39,2,0)="","",MAX(ROUND(VLOOKUP(C70,Steuerungsdaten!$P$17:$T$39,2,0)*Steuerungsdaten!$B$4*Steuerungsdaten!$B$7*IFERROR(VLOOKUP(C70,Steuerungsdaten!$B$17:$C$37,2,FALSE),1)*POWER(IF(OR(E70=0,F70=0,E70="",F70=""),1,(E70*F70/1000000)/Steuerungsdaten!$B$6),IFERROR(VLOOKUP(C70,Steuerungsdaten!$B$17:$K$37,10,FALSE),1)-1),0),Steuerungsdaten!$E$4))</f>
        <v>247</v>
      </c>
      <c r="H70" s="77">
        <f>IF(VLOOKUP(C70,Steuerungsdaten!$P$17:$T$39,3,0)="","",MAX(ROUND(VLOOKUP(C70,Steuerungsdaten!$P$17:$T$39,3,0)*Steuerungsdaten!$B$4*Steuerungsdaten!$B$8*IFERROR(VLOOKUP(C70,Steuerungsdaten!$B$17:$E$37,4,FALSE),1)*POWER(IF(OR(E70=0,F70=0,E70="",F70=""),1,(E70*F70/1000000)/Steuerungsdaten!$B$6),IFERROR(VLOOKUP(C70,Steuerungsdaten!$B$17:$L$37,11,FALSE),1)-1),0),Steuerungsdaten!$E$5))</f>
        <v>847</v>
      </c>
      <c r="I70" s="77">
        <f>IF(VLOOKUP(C70,Steuerungsdaten!$P$17:$T$39,4,0)="","",MAX(ROUND(VLOOKUP(C70,Steuerungsdaten!$P$17:$T$39,4,0)*Steuerungsdaten!$B$4*Steuerungsdaten!$B$9*IFERROR(VLOOKUP(C70,Steuerungsdaten!$B$17:$G$37,6,FALSE),1)*POWER(IF(OR(E70=0,F70=0,E70="",F70=""),1,(E70*F70/1000000)/Steuerungsdaten!$B$6),IFERROR(VLOOKUP(C70,Steuerungsdaten!$B$17:$M$37,12,FALSE),1)-1),0),Steuerungsdaten!$E$6))</f>
        <v>883</v>
      </c>
      <c r="J70" s="77">
        <f>IF(VLOOKUP(C70,Steuerungsdaten!$P$17:$T$39,5,0)="","",MAX(ROUND(VLOOKUP(C70,Steuerungsdaten!$P$17:$T$39,5,0)*Steuerungsdaten!$B$4*Steuerungsdaten!$B$10*IFERROR(VLOOKUP(C70,Steuerungsdaten!$B$17:$I$37,8,FALSE),1)*POWER(IF(OR(E70=0,F70=0,E70="",F70=""),1,(E70*F70/1000000)/Steuerungsdaten!$B$6),IFERROR(VLOOKUP(C70,Steuerungsdaten!$B$17:$N$37,13,FALSE),1)-1),0),Steuerungsdaten!$E$7))</f>
        <v>982</v>
      </c>
      <c r="K70" s="77">
        <f>IFERROR(IF(G70="","",ROUND(G70*Steuerungsdaten!$B$5,0)),"-")</f>
        <v>284</v>
      </c>
      <c r="L70" s="77">
        <f>IFERROR(IF(H70="","",ROUND(H70*Steuerungsdaten!$B$5,0)),"-")</f>
        <v>974</v>
      </c>
      <c r="M70" s="77">
        <f>IFERROR(IF(I70="","",ROUND(I70*Steuerungsdaten!$B$5,0)),"-")</f>
        <v>1015</v>
      </c>
      <c r="N70" s="78" t="s">
        <v>988</v>
      </c>
      <c r="O70" s="79">
        <v>264</v>
      </c>
      <c r="P70" s="79">
        <f>IF(H70="","",ROUND(H70/(Steuerungsdaten!$B$4*Steuerungsdaten!$B$8*IFERROR(VLOOKUP(C70,Steuerungsdaten!$B$17:$E$37,4,FALSE),1)*POWER(IF(OR(E70=0,F70=0,E70="",F70=""),1,(E70*F70/1000000)/Steuerungsdaten!$B$6),IFERROR(VLOOKUP(C70,Steuerungsdaten!$B$17:$L$37,11,FALSE),1)-1)),0))</f>
        <v>240</v>
      </c>
      <c r="Q70" s="79">
        <f>IF(I70="","",ROUND(I70/(Steuerungsdaten!$B$4*Steuerungsdaten!$B$9*IFERROR(VLOOKUP(C70,Steuerungsdaten!$B$17:$G$37,6,FALSE),1)*POWER(IF(OR(E70=0,F70=0,E70="",F70=""),1,(E70*F70/1000000)/Steuerungsdaten!$B$6),IFERROR(VLOOKUP(C70,Steuerungsdaten!$B$17:$M$37,12,FALSE),1)-1)),0))</f>
        <v>250</v>
      </c>
      <c r="R70" s="79">
        <f>IF(J70="","",ROUND(J70/(Steuerungsdaten!$B$4*Steuerungsdaten!$B$10*IFERROR(VLOOKUP(C70,Steuerungsdaten!$B$17:$I$37,8,FALSE),1)*POWER(IF(OR(E70=0,F70=0,E70="",F70=""),1,(E70*F70/1000000)/Steuerungsdaten!$B$6),IFERROR(VLOOKUP(C70,Steuerungsdaten!$B$17:$N$37,13,FALSE),1)-1)),0))</f>
        <v>255</v>
      </c>
    </row>
    <row r="71" spans="1:18" x14ac:dyDescent="0.25">
      <c r="A71" s="69">
        <v>3221</v>
      </c>
      <c r="B71" s="70" t="s">
        <v>7</v>
      </c>
      <c r="C71" s="70" t="s">
        <v>55</v>
      </c>
      <c r="D71" s="70" t="s">
        <v>77</v>
      </c>
      <c r="E71" s="71">
        <v>1800</v>
      </c>
      <c r="F71" s="71">
        <v>980</v>
      </c>
      <c r="G71" s="72">
        <f>IF(VLOOKUP(C71,Steuerungsdaten!$P$17:$T$39,2,0)="","",MAX(ROUND(VLOOKUP(C71,Steuerungsdaten!$P$17:$T$39,2,0)*Steuerungsdaten!$B$4*Steuerungsdaten!$B$7*IFERROR(VLOOKUP(C71,Steuerungsdaten!$B$17:$C$37,2,FALSE),1)*POWER(IF(OR(E71=0,F71=0,E71="",F71=""),1,(E71*F71/1000000)/Steuerungsdaten!$B$6),IFERROR(VLOOKUP(C71,Steuerungsdaten!$B$17:$K$37,10,FALSE),1)-1),0),Steuerungsdaten!$E$4))</f>
        <v>310</v>
      </c>
      <c r="H71" s="72">
        <f>IF(VLOOKUP(C71,Steuerungsdaten!$P$17:$T$39,3,0)="","",MAX(ROUND(VLOOKUP(C71,Steuerungsdaten!$P$17:$T$39,3,0)*Steuerungsdaten!$B$4*Steuerungsdaten!$B$8*IFERROR(VLOOKUP(C71,Steuerungsdaten!$B$17:$E$37,4,FALSE),1)*POWER(IF(OR(E71=0,F71=0,E71="",F71=""),1,(E71*F71/1000000)/Steuerungsdaten!$B$6),IFERROR(VLOOKUP(C71,Steuerungsdaten!$B$17:$L$37,11,FALSE),1)-1),0),Steuerungsdaten!$E$5))</f>
        <v>1064</v>
      </c>
      <c r="I71" s="72">
        <f>IF(VLOOKUP(C71,Steuerungsdaten!$P$17:$T$39,4,0)="","",MAX(ROUND(VLOOKUP(C71,Steuerungsdaten!$P$17:$T$39,4,0)*Steuerungsdaten!$B$4*Steuerungsdaten!$B$9*IFERROR(VLOOKUP(C71,Steuerungsdaten!$B$17:$G$37,6,FALSE),1)*POWER(IF(OR(E71=0,F71=0,E71="",F71=""),1,(E71*F71/1000000)/Steuerungsdaten!$B$6),IFERROR(VLOOKUP(C71,Steuerungsdaten!$B$17:$M$37,12,FALSE),1)-1),0),Steuerungsdaten!$E$6))</f>
        <v>1109</v>
      </c>
      <c r="J71" s="72">
        <f>IF(VLOOKUP(C71,Steuerungsdaten!$P$17:$T$39,5,0)="","",MAX(ROUND(VLOOKUP(C71,Steuerungsdaten!$P$17:$T$39,5,0)*Steuerungsdaten!$B$4*Steuerungsdaten!$B$10*IFERROR(VLOOKUP(C71,Steuerungsdaten!$B$17:$I$37,8,FALSE),1)*POWER(IF(OR(E71=0,F71=0,E71="",F71=""),1,(E71*F71/1000000)/Steuerungsdaten!$B$6),IFERROR(VLOOKUP(C71,Steuerungsdaten!$B$17:$N$37,13,FALSE),1)-1),0),Steuerungsdaten!$E$7))</f>
        <v>1234</v>
      </c>
      <c r="K71" s="72">
        <f>IFERROR(IF(G71="","",ROUND(G71*Steuerungsdaten!$B$5,0)),"-")</f>
        <v>357</v>
      </c>
      <c r="L71" s="72">
        <f>IFERROR(IF(H71="","",ROUND(H71*Steuerungsdaten!$B$5,0)),"-")</f>
        <v>1224</v>
      </c>
      <c r="M71" s="72">
        <f>IFERROR(IF(I71="","",ROUND(I71*Steuerungsdaten!$B$5,0)),"-")</f>
        <v>1275</v>
      </c>
      <c r="N71" s="73" t="s">
        <v>988</v>
      </c>
      <c r="O71" s="79">
        <v>329</v>
      </c>
      <c r="P71" s="79">
        <f>IF(H71="","",ROUND(H71/(Steuerungsdaten!$B$4*Steuerungsdaten!$B$8*IFERROR(VLOOKUP(C71,Steuerungsdaten!$B$17:$E$37,4,FALSE),1)*POWER(IF(OR(E71=0,F71=0,E71="",F71=""),1,(E71*F71/1000000)/Steuerungsdaten!$B$6),IFERROR(VLOOKUP(C71,Steuerungsdaten!$B$17:$L$37,11,FALSE),1)-1)),0))</f>
        <v>240</v>
      </c>
      <c r="Q71" s="79">
        <f>IF(I71="","",ROUND(I71/(Steuerungsdaten!$B$4*Steuerungsdaten!$B$9*IFERROR(VLOOKUP(C71,Steuerungsdaten!$B$17:$G$37,6,FALSE),1)*POWER(IF(OR(E71=0,F71=0,E71="",F71=""),1,(E71*F71/1000000)/Steuerungsdaten!$B$6),IFERROR(VLOOKUP(C71,Steuerungsdaten!$B$17:$M$37,12,FALSE),1)-1)),0))</f>
        <v>250</v>
      </c>
      <c r="R71" s="79">
        <f>IF(J71="","",ROUND(J71/(Steuerungsdaten!$B$4*Steuerungsdaten!$B$10*IFERROR(VLOOKUP(C71,Steuerungsdaten!$B$17:$I$37,8,FALSE),1)*POWER(IF(OR(E71=0,F71=0,E71="",F71=""),1,(E71*F71/1000000)/Steuerungsdaten!$B$6),IFERROR(VLOOKUP(C71,Steuerungsdaten!$B$17:$N$37,13,FALSE),1)-1)),0))</f>
        <v>255</v>
      </c>
    </row>
    <row r="72" spans="1:18" ht="21.95" customHeight="1" x14ac:dyDescent="0.25">
      <c r="A72" s="426" t="s">
        <v>78</v>
      </c>
      <c r="B72" s="426"/>
      <c r="C72" s="426"/>
      <c r="D72" s="426"/>
      <c r="E72" s="426"/>
      <c r="F72" s="426"/>
      <c r="G72" s="426"/>
      <c r="H72" s="426"/>
      <c r="I72" s="426"/>
      <c r="J72" s="426"/>
      <c r="K72" s="426" t="str">
        <f>IFERROR(IF(G72="","",ROUND(G72*Steuerungsdaten!$B$5,0)),"-")</f>
        <v/>
      </c>
      <c r="L72" s="426" t="str">
        <f>IFERROR(IF(H72="","",ROUND(H72*Steuerungsdaten!$B$5,0)),"-")</f>
        <v/>
      </c>
      <c r="M72" s="426" t="str">
        <f>IFERROR(IF(I72="","",ROUND(I72*Steuerungsdaten!$B$5,0)),"-")</f>
        <v/>
      </c>
      <c r="N72" s="426" t="str">
        <f>IFERROR(IF(J72="","",ROUND(J72*Steuerungsdaten!$B$5,0)),"-")</f>
        <v/>
      </c>
      <c r="O72" s="79"/>
      <c r="P72" s="79"/>
      <c r="Q72" s="79"/>
      <c r="R72" s="79"/>
    </row>
    <row r="73" spans="1:18" x14ac:dyDescent="0.25">
      <c r="A73" s="64">
        <v>3300</v>
      </c>
      <c r="B73" s="65" t="s">
        <v>7</v>
      </c>
      <c r="C73" s="65" t="s">
        <v>78</v>
      </c>
      <c r="D73" s="65" t="s">
        <v>79</v>
      </c>
      <c r="E73" s="66">
        <v>360</v>
      </c>
      <c r="F73" s="66">
        <v>180</v>
      </c>
      <c r="G73" s="67">
        <f>IF(VLOOKUP(C73,Steuerungsdaten!$P$17:$T$39,2,0)="","",MAX(ROUND(VLOOKUP(C73,Steuerungsdaten!$P$17:$T$39,2,0)*Steuerungsdaten!$B$4*Steuerungsdaten!$B$7*IFERROR(VLOOKUP(C73,Steuerungsdaten!$B$17:$C$37,2,FALSE),1)*POWER(IF(OR(E73=0,F73=0,E73="",F73=""),1,(E73*F73/1000000)/Steuerungsdaten!$B$6),IFERROR(VLOOKUP(C73,Steuerungsdaten!$B$17:$K$37,10,FALSE),1)-1),0),Steuerungsdaten!$E$4))</f>
        <v>25</v>
      </c>
      <c r="H73" s="67">
        <f>IF(VLOOKUP(C73,Steuerungsdaten!$P$17:$T$39,3,0)="","",MAX(ROUND(VLOOKUP(C73,Steuerungsdaten!$P$17:$T$39,3,0)*Steuerungsdaten!$B$4*Steuerungsdaten!$B$8*IFERROR(VLOOKUP(C73,Steuerungsdaten!$B$17:$E$37,4,FALSE),1)*POWER(IF(OR(E73=0,F73=0,E73="",F73=""),1,(E73*F73/1000000)/Steuerungsdaten!$B$6),IFERROR(VLOOKUP(C73,Steuerungsdaten!$B$17:$L$37,11,FALSE),1)-1),0),Steuerungsdaten!$E$5))</f>
        <v>103</v>
      </c>
      <c r="I73" s="67">
        <f>IF(VLOOKUP(C73,Steuerungsdaten!$P$17:$T$39,4,0)="","",MAX(ROUND(VLOOKUP(C73,Steuerungsdaten!$P$17:$T$39,4,0)*Steuerungsdaten!$B$4*Steuerungsdaten!$B$9*IFERROR(VLOOKUP(C73,Steuerungsdaten!$B$17:$G$37,6,FALSE),1)*POWER(IF(OR(E73=0,F73=0,E73="",F73=""),1,(E73*F73/1000000)/Steuerungsdaten!$B$6),IFERROR(VLOOKUP(C73,Steuerungsdaten!$B$17:$M$37,12,FALSE),1)-1),0),Steuerungsdaten!$E$6))</f>
        <v>120</v>
      </c>
      <c r="J73" s="67">
        <f>IF(VLOOKUP(C73,Steuerungsdaten!$P$17:$T$39,5,0)="","",MAX(ROUND(VLOOKUP(C73,Steuerungsdaten!$P$17:$T$39,5,0)*Steuerungsdaten!$B$4*Steuerungsdaten!$B$10*IFERROR(VLOOKUP(C73,Steuerungsdaten!$B$17:$I$37,8,FALSE),1)*POWER(IF(OR(E73=0,F73=0,E73="",F73=""),1,(E73*F73/1000000)/Steuerungsdaten!$B$6),IFERROR(VLOOKUP(C73,Steuerungsdaten!$B$17:$N$37,13,FALSE),1)-1),0),Steuerungsdaten!$E$7))</f>
        <v>145</v>
      </c>
      <c r="K73" s="67">
        <f>IFERROR(IF(G73="","",ROUND(G73*Steuerungsdaten!$B$5,0)),"-")</f>
        <v>29</v>
      </c>
      <c r="L73" s="67">
        <f>IFERROR(IF(H73="","",ROUND(H73*Steuerungsdaten!$B$5,0)),"-")</f>
        <v>118</v>
      </c>
      <c r="M73" s="67">
        <f>IFERROR(IF(I73="","",ROUND(I73*Steuerungsdaten!$B$5,0)),"-")</f>
        <v>138</v>
      </c>
      <c r="N73" s="68">
        <f>IFERROR(IF(J73="","",ROUND(J73*Steuerungsdaten!$B$5,0)),"-")</f>
        <v>167</v>
      </c>
      <c r="O73" s="79">
        <v>34</v>
      </c>
      <c r="P73" s="79">
        <f>IF(H73="","",ROUND(H73/(Steuerungsdaten!$B$4*Steuerungsdaten!$B$8*IFERROR(VLOOKUP(C73,Steuerungsdaten!$B$17:$E$37,4,FALSE),1)*POWER(IF(OR(E73=0,F73=0,E73="",F73=""),1,(E73*F73/1000000)/Steuerungsdaten!$B$6),IFERROR(VLOOKUP(C73,Steuerungsdaten!$B$17:$L$37,11,FALSE),1)-1)),0))</f>
        <v>632</v>
      </c>
      <c r="Q73" s="79">
        <f>IF(I73="","",ROUND(I73/(Steuerungsdaten!$B$4*Steuerungsdaten!$B$9*IFERROR(VLOOKUP(C73,Steuerungsdaten!$B$17:$G$37,6,FALSE),1)*POWER(IF(OR(E73=0,F73=0,E73="",F73=""),1,(E73*F73/1000000)/Steuerungsdaten!$B$6),IFERROR(VLOOKUP(C73,Steuerungsdaten!$B$17:$M$37,12,FALSE),1)-1)),0))</f>
        <v>737</v>
      </c>
      <c r="R73" s="79">
        <f>IF(J73="","",ROUND(J73/(Steuerungsdaten!$B$4*Steuerungsdaten!$B$10*IFERROR(VLOOKUP(C73,Steuerungsdaten!$B$17:$I$37,8,FALSE),1)*POWER(IF(OR(E73=0,F73=0,E73="",F73=""),1,(E73*F73/1000000)/Steuerungsdaten!$B$6),IFERROR(VLOOKUP(C73,Steuerungsdaten!$B$17:$N$37,13,FALSE),1)-1)),0))</f>
        <v>816</v>
      </c>
    </row>
    <row r="74" spans="1:18" x14ac:dyDescent="0.25">
      <c r="A74" s="69">
        <v>3301</v>
      </c>
      <c r="B74" s="70" t="s">
        <v>7</v>
      </c>
      <c r="C74" s="70" t="s">
        <v>78</v>
      </c>
      <c r="D74" s="70" t="s">
        <v>80</v>
      </c>
      <c r="E74" s="71">
        <v>420</v>
      </c>
      <c r="F74" s="71">
        <v>180</v>
      </c>
      <c r="G74" s="72">
        <f>IF(VLOOKUP(C74,Steuerungsdaten!$P$17:$T$39,2,0)="","",MAX(ROUND(VLOOKUP(C74,Steuerungsdaten!$P$17:$T$39,2,0)*Steuerungsdaten!$B$4*Steuerungsdaten!$B$7*IFERROR(VLOOKUP(C74,Steuerungsdaten!$B$17:$C$37,2,FALSE),1)*POWER(IF(OR(E74=0,F74=0,E74="",F74=""),1,(E74*F74/1000000)/Steuerungsdaten!$B$6),IFERROR(VLOOKUP(C74,Steuerungsdaten!$B$17:$K$37,10,FALSE),1)-1),0),Steuerungsdaten!$E$4))</f>
        <v>25</v>
      </c>
      <c r="H74" s="72">
        <f>IF(VLOOKUP(C74,Steuerungsdaten!$P$17:$T$39,3,0)="","",MAX(ROUND(VLOOKUP(C74,Steuerungsdaten!$P$17:$T$39,3,0)*Steuerungsdaten!$B$4*Steuerungsdaten!$B$8*IFERROR(VLOOKUP(C74,Steuerungsdaten!$B$17:$E$37,4,FALSE),1)*POWER(IF(OR(E74=0,F74=0,E74="",F74=""),1,(E74*F74/1000000)/Steuerungsdaten!$B$6),IFERROR(VLOOKUP(C74,Steuerungsdaten!$B$17:$L$37,11,FALSE),1)-1),0),Steuerungsdaten!$E$5))</f>
        <v>103</v>
      </c>
      <c r="I74" s="72">
        <f>IF(VLOOKUP(C74,Steuerungsdaten!$P$17:$T$39,4,0)="","",MAX(ROUND(VLOOKUP(C74,Steuerungsdaten!$P$17:$T$39,4,0)*Steuerungsdaten!$B$4*Steuerungsdaten!$B$9*IFERROR(VLOOKUP(C74,Steuerungsdaten!$B$17:$G$37,6,FALSE),1)*POWER(IF(OR(E74=0,F74=0,E74="",F74=""),1,(E74*F74/1000000)/Steuerungsdaten!$B$6),IFERROR(VLOOKUP(C74,Steuerungsdaten!$B$17:$M$37,12,FALSE),1)-1),0),Steuerungsdaten!$E$6))</f>
        <v>120</v>
      </c>
      <c r="J74" s="72">
        <f>IF(VLOOKUP(C74,Steuerungsdaten!$P$17:$T$39,5,0)="","",MAX(ROUND(VLOOKUP(C74,Steuerungsdaten!$P$17:$T$39,5,0)*Steuerungsdaten!$B$4*Steuerungsdaten!$B$10*IFERROR(VLOOKUP(C74,Steuerungsdaten!$B$17:$I$37,8,FALSE),1)*POWER(IF(OR(E74=0,F74=0,E74="",F74=""),1,(E74*F74/1000000)/Steuerungsdaten!$B$6),IFERROR(VLOOKUP(C74,Steuerungsdaten!$B$17:$N$37,13,FALSE),1)-1),0),Steuerungsdaten!$E$7))</f>
        <v>145</v>
      </c>
      <c r="K74" s="72">
        <f>IFERROR(IF(G74="","",ROUND(G74*Steuerungsdaten!$B$5,0)),"-")</f>
        <v>29</v>
      </c>
      <c r="L74" s="72">
        <f>IFERROR(IF(H74="","",ROUND(H74*Steuerungsdaten!$B$5,0)),"-")</f>
        <v>118</v>
      </c>
      <c r="M74" s="72">
        <f>IFERROR(IF(I74="","",ROUND(I74*Steuerungsdaten!$B$5,0)),"-")</f>
        <v>138</v>
      </c>
      <c r="N74" s="73">
        <f>IFERROR(IF(J74="","",ROUND(J74*Steuerungsdaten!$B$5,0)),"-")</f>
        <v>167</v>
      </c>
      <c r="O74" s="79">
        <v>34</v>
      </c>
      <c r="P74" s="79">
        <f>IF(H74="","",ROUND(H74/(Steuerungsdaten!$B$4*Steuerungsdaten!$B$8*IFERROR(VLOOKUP(C74,Steuerungsdaten!$B$17:$E$37,4,FALSE),1)*POWER(IF(OR(E74=0,F74=0,E74="",F74=""),1,(E74*F74/1000000)/Steuerungsdaten!$B$6),IFERROR(VLOOKUP(C74,Steuerungsdaten!$B$17:$L$37,11,FALSE),1)-1)),0))</f>
        <v>542</v>
      </c>
      <c r="Q74" s="79">
        <f>IF(I74="","",ROUND(I74/(Steuerungsdaten!$B$4*Steuerungsdaten!$B$9*IFERROR(VLOOKUP(C74,Steuerungsdaten!$B$17:$G$37,6,FALSE),1)*POWER(IF(OR(E74=0,F74=0,E74="",F74=""),1,(E74*F74/1000000)/Steuerungsdaten!$B$6),IFERROR(VLOOKUP(C74,Steuerungsdaten!$B$17:$M$37,12,FALSE),1)-1)),0))</f>
        <v>631</v>
      </c>
      <c r="R74" s="79">
        <f>IF(J74="","",ROUND(J74/(Steuerungsdaten!$B$4*Steuerungsdaten!$B$10*IFERROR(VLOOKUP(C74,Steuerungsdaten!$B$17:$I$37,8,FALSE),1)*POWER(IF(OR(E74=0,F74=0,E74="",F74=""),1,(E74*F74/1000000)/Steuerungsdaten!$B$6),IFERROR(VLOOKUP(C74,Steuerungsdaten!$B$17:$N$37,13,FALSE),1)-1)),0))</f>
        <v>699</v>
      </c>
    </row>
    <row r="75" spans="1:18" x14ac:dyDescent="0.25">
      <c r="A75" s="74">
        <v>3302</v>
      </c>
      <c r="B75" s="75" t="s">
        <v>7</v>
      </c>
      <c r="C75" s="75" t="s">
        <v>78</v>
      </c>
      <c r="D75" s="75" t="s">
        <v>81</v>
      </c>
      <c r="E75" s="76">
        <v>580</v>
      </c>
      <c r="F75" s="76">
        <v>180</v>
      </c>
      <c r="G75" s="77">
        <f>IF(VLOOKUP(C75,Steuerungsdaten!$P$17:$T$39,2,0)="","",MAX(ROUND(VLOOKUP(C75,Steuerungsdaten!$P$17:$T$39,2,0)*Steuerungsdaten!$B$4*Steuerungsdaten!$B$7*IFERROR(VLOOKUP(C75,Steuerungsdaten!$B$17:$C$37,2,FALSE),1)*POWER(IF(OR(E75=0,F75=0,E75="",F75=""),1,(E75*F75/1000000)/Steuerungsdaten!$B$6),IFERROR(VLOOKUP(C75,Steuerungsdaten!$B$17:$K$37,10,FALSE),1)-1),0),Steuerungsdaten!$E$4))</f>
        <v>25</v>
      </c>
      <c r="H75" s="77">
        <f>IF(VLOOKUP(C75,Steuerungsdaten!$P$17:$T$39,3,0)="","",MAX(ROUND(VLOOKUP(C75,Steuerungsdaten!$P$17:$T$39,3,0)*Steuerungsdaten!$B$4*Steuerungsdaten!$B$8*IFERROR(VLOOKUP(C75,Steuerungsdaten!$B$17:$E$37,4,FALSE),1)*POWER(IF(OR(E75=0,F75=0,E75="",F75=""),1,(E75*F75/1000000)/Steuerungsdaten!$B$6),IFERROR(VLOOKUP(C75,Steuerungsdaten!$B$17:$L$37,11,FALSE),1)-1),0),Steuerungsdaten!$E$5))</f>
        <v>103</v>
      </c>
      <c r="I75" s="77">
        <f>IF(VLOOKUP(C75,Steuerungsdaten!$P$17:$T$39,4,0)="","",MAX(ROUND(VLOOKUP(C75,Steuerungsdaten!$P$17:$T$39,4,0)*Steuerungsdaten!$B$4*Steuerungsdaten!$B$9*IFERROR(VLOOKUP(C75,Steuerungsdaten!$B$17:$G$37,6,FALSE),1)*POWER(IF(OR(E75=0,F75=0,E75="",F75=""),1,(E75*F75/1000000)/Steuerungsdaten!$B$6),IFERROR(VLOOKUP(C75,Steuerungsdaten!$B$17:$M$37,12,FALSE),1)-1),0),Steuerungsdaten!$E$6))</f>
        <v>120</v>
      </c>
      <c r="J75" s="77">
        <f>IF(VLOOKUP(C75,Steuerungsdaten!$P$17:$T$39,5,0)="","",MAX(ROUND(VLOOKUP(C75,Steuerungsdaten!$P$17:$T$39,5,0)*Steuerungsdaten!$B$4*Steuerungsdaten!$B$10*IFERROR(VLOOKUP(C75,Steuerungsdaten!$B$17:$I$37,8,FALSE),1)*POWER(IF(OR(E75=0,F75=0,E75="",F75=""),1,(E75*F75/1000000)/Steuerungsdaten!$B$6),IFERROR(VLOOKUP(C75,Steuerungsdaten!$B$17:$N$37,13,FALSE),1)-1),0),Steuerungsdaten!$E$7))</f>
        <v>145</v>
      </c>
      <c r="K75" s="77">
        <f>IFERROR(IF(G75="","",ROUND(G75*Steuerungsdaten!$B$5,0)),"-")</f>
        <v>29</v>
      </c>
      <c r="L75" s="77">
        <f>IFERROR(IF(H75="","",ROUND(H75*Steuerungsdaten!$B$5,0)),"-")</f>
        <v>118</v>
      </c>
      <c r="M75" s="77">
        <f>IFERROR(IF(I75="","",ROUND(I75*Steuerungsdaten!$B$5,0)),"-")</f>
        <v>138</v>
      </c>
      <c r="N75" s="78">
        <f>IFERROR(IF(J75="","",ROUND(J75*Steuerungsdaten!$B$5,0)),"-")</f>
        <v>167</v>
      </c>
      <c r="O75" s="79">
        <v>43</v>
      </c>
      <c r="P75" s="79">
        <f>IF(H75="","",ROUND(H75/(Steuerungsdaten!$B$4*Steuerungsdaten!$B$8*IFERROR(VLOOKUP(C75,Steuerungsdaten!$B$17:$E$37,4,FALSE),1)*POWER(IF(OR(E75=0,F75=0,E75="",F75=""),1,(E75*F75/1000000)/Steuerungsdaten!$B$6),IFERROR(VLOOKUP(C75,Steuerungsdaten!$B$17:$L$37,11,FALSE),1)-1)),0))</f>
        <v>392</v>
      </c>
      <c r="Q75" s="79">
        <f>IF(I75="","",ROUND(I75/(Steuerungsdaten!$B$4*Steuerungsdaten!$B$9*IFERROR(VLOOKUP(C75,Steuerungsdaten!$B$17:$G$37,6,FALSE),1)*POWER(IF(OR(E75=0,F75=0,E75="",F75=""),1,(E75*F75/1000000)/Steuerungsdaten!$B$6),IFERROR(VLOOKUP(C75,Steuerungsdaten!$B$17:$M$37,12,FALSE),1)-1)),0))</f>
        <v>457</v>
      </c>
      <c r="R75" s="79">
        <f>IF(J75="","",ROUND(J75/(Steuerungsdaten!$B$4*Steuerungsdaten!$B$10*IFERROR(VLOOKUP(C75,Steuerungsdaten!$B$17:$I$37,8,FALSE),1)*POWER(IF(OR(E75=0,F75=0,E75="",F75=""),1,(E75*F75/1000000)/Steuerungsdaten!$B$6),IFERROR(VLOOKUP(C75,Steuerungsdaten!$B$17:$N$37,13,FALSE),1)-1)),0))</f>
        <v>506</v>
      </c>
    </row>
    <row r="76" spans="1:18" x14ac:dyDescent="0.25">
      <c r="A76" s="69">
        <v>3303</v>
      </c>
      <c r="B76" s="70" t="s">
        <v>7</v>
      </c>
      <c r="C76" s="70" t="s">
        <v>78</v>
      </c>
      <c r="D76" s="70" t="s">
        <v>82</v>
      </c>
      <c r="E76" s="71">
        <v>780</v>
      </c>
      <c r="F76" s="71">
        <v>180</v>
      </c>
      <c r="G76" s="72">
        <f>IF(VLOOKUP(C76,Steuerungsdaten!$P$17:$T$39,2,0)="","",MAX(ROUND(VLOOKUP(C76,Steuerungsdaten!$P$17:$T$39,2,0)*Steuerungsdaten!$B$4*Steuerungsdaten!$B$7*IFERROR(VLOOKUP(C76,Steuerungsdaten!$B$17:$C$37,2,FALSE),1)*POWER(IF(OR(E76=0,F76=0,E76="",F76=""),1,(E76*F76/1000000)/Steuerungsdaten!$B$6),IFERROR(VLOOKUP(C76,Steuerungsdaten!$B$17:$K$37,10,FALSE),1)-1),0),Steuerungsdaten!$E$4))</f>
        <v>25</v>
      </c>
      <c r="H76" s="72">
        <f>IF(VLOOKUP(C76,Steuerungsdaten!$P$17:$T$39,3,0)="","",MAX(ROUND(VLOOKUP(C76,Steuerungsdaten!$P$17:$T$39,3,0)*Steuerungsdaten!$B$4*Steuerungsdaten!$B$8*IFERROR(VLOOKUP(C76,Steuerungsdaten!$B$17:$E$37,4,FALSE),1)*POWER(IF(OR(E76=0,F76=0,E76="",F76=""),1,(E76*F76/1000000)/Steuerungsdaten!$B$6),IFERROR(VLOOKUP(C76,Steuerungsdaten!$B$17:$L$37,11,FALSE),1)-1),0),Steuerungsdaten!$E$5))</f>
        <v>103</v>
      </c>
      <c r="I76" s="72">
        <f>IF(VLOOKUP(C76,Steuerungsdaten!$P$17:$T$39,4,0)="","",MAX(ROUND(VLOOKUP(C76,Steuerungsdaten!$P$17:$T$39,4,0)*Steuerungsdaten!$B$4*Steuerungsdaten!$B$9*IFERROR(VLOOKUP(C76,Steuerungsdaten!$B$17:$G$37,6,FALSE),1)*POWER(IF(OR(E76=0,F76=0,E76="",F76=""),1,(E76*F76/1000000)/Steuerungsdaten!$B$6),IFERROR(VLOOKUP(C76,Steuerungsdaten!$B$17:$M$37,12,FALSE),1)-1),0),Steuerungsdaten!$E$6))</f>
        <v>120</v>
      </c>
      <c r="J76" s="72">
        <f>IF(VLOOKUP(C76,Steuerungsdaten!$P$17:$T$39,5,0)="","",MAX(ROUND(VLOOKUP(C76,Steuerungsdaten!$P$17:$T$39,5,0)*Steuerungsdaten!$B$4*Steuerungsdaten!$B$10*IFERROR(VLOOKUP(C76,Steuerungsdaten!$B$17:$I$37,8,FALSE),1)*POWER(IF(OR(E76=0,F76=0,E76="",F76=""),1,(E76*F76/1000000)/Steuerungsdaten!$B$6),IFERROR(VLOOKUP(C76,Steuerungsdaten!$B$17:$N$37,13,FALSE),1)-1),0),Steuerungsdaten!$E$7))</f>
        <v>145</v>
      </c>
      <c r="K76" s="72">
        <f>IFERROR(IF(G76="","",ROUND(G76*Steuerungsdaten!$B$5,0)),"-")</f>
        <v>29</v>
      </c>
      <c r="L76" s="72">
        <f>IFERROR(IF(H76="","",ROUND(H76*Steuerungsdaten!$B$5,0)),"-")</f>
        <v>118</v>
      </c>
      <c r="M76" s="72">
        <f>IFERROR(IF(I76="","",ROUND(I76*Steuerungsdaten!$B$5,0)),"-")</f>
        <v>138</v>
      </c>
      <c r="N76" s="73">
        <f>IFERROR(IF(J76="","",ROUND(J76*Steuerungsdaten!$B$5,0)),"-")</f>
        <v>167</v>
      </c>
      <c r="O76" s="79">
        <v>56</v>
      </c>
      <c r="P76" s="79">
        <f>IF(H76="","",ROUND(H76/(Steuerungsdaten!$B$4*Steuerungsdaten!$B$8*IFERROR(VLOOKUP(C76,Steuerungsdaten!$B$17:$E$37,4,FALSE),1)*POWER(IF(OR(E76=0,F76=0,E76="",F76=""),1,(E76*F76/1000000)/Steuerungsdaten!$B$6),IFERROR(VLOOKUP(C76,Steuerungsdaten!$B$17:$L$37,11,FALSE),1)-1)),0))</f>
        <v>292</v>
      </c>
      <c r="Q76" s="79">
        <f>IF(I76="","",ROUND(I76/(Steuerungsdaten!$B$4*Steuerungsdaten!$B$9*IFERROR(VLOOKUP(C76,Steuerungsdaten!$B$17:$G$37,6,FALSE),1)*POWER(IF(OR(E76=0,F76=0,E76="",F76=""),1,(E76*F76/1000000)/Steuerungsdaten!$B$6),IFERROR(VLOOKUP(C76,Steuerungsdaten!$B$17:$M$37,12,FALSE),1)-1)),0))</f>
        <v>340</v>
      </c>
      <c r="R76" s="79">
        <f>IF(J76="","",ROUND(J76/(Steuerungsdaten!$B$4*Steuerungsdaten!$B$10*IFERROR(VLOOKUP(C76,Steuerungsdaten!$B$17:$I$37,8,FALSE),1)*POWER(IF(OR(E76=0,F76=0,E76="",F76=""),1,(E76*F76/1000000)/Steuerungsdaten!$B$6),IFERROR(VLOOKUP(C76,Steuerungsdaten!$B$17:$N$37,13,FALSE),1)-1)),0))</f>
        <v>377</v>
      </c>
    </row>
    <row r="77" spans="1:18" x14ac:dyDescent="0.25">
      <c r="A77" s="74">
        <v>3304</v>
      </c>
      <c r="B77" s="75" t="s">
        <v>7</v>
      </c>
      <c r="C77" s="75" t="s">
        <v>78</v>
      </c>
      <c r="D77" s="75" t="s">
        <v>83</v>
      </c>
      <c r="E77" s="76">
        <v>980</v>
      </c>
      <c r="F77" s="76">
        <v>180</v>
      </c>
      <c r="G77" s="77">
        <f>IF(VLOOKUP(C77,Steuerungsdaten!$P$17:$T$39,2,0)="","",MAX(ROUND(VLOOKUP(C77,Steuerungsdaten!$P$17:$T$39,2,0)*Steuerungsdaten!$B$4*Steuerungsdaten!$B$7*IFERROR(VLOOKUP(C77,Steuerungsdaten!$B$17:$C$37,2,FALSE),1)*POWER(IF(OR(E77=0,F77=0,E77="",F77=""),1,(E77*F77/1000000)/Steuerungsdaten!$B$6),IFERROR(VLOOKUP(C77,Steuerungsdaten!$B$17:$K$37,10,FALSE),1)-1),0),Steuerungsdaten!$E$4))</f>
        <v>31</v>
      </c>
      <c r="H77" s="77">
        <f>IF(VLOOKUP(C77,Steuerungsdaten!$P$17:$T$39,3,0)="","",MAX(ROUND(VLOOKUP(C77,Steuerungsdaten!$P$17:$T$39,3,0)*Steuerungsdaten!$B$4*Steuerungsdaten!$B$8*IFERROR(VLOOKUP(C77,Steuerungsdaten!$B$17:$E$37,4,FALSE),1)*POWER(IF(OR(E77=0,F77=0,E77="",F77=""),1,(E77*F77/1000000)/Steuerungsdaten!$B$6),IFERROR(VLOOKUP(C77,Steuerungsdaten!$B$17:$L$37,11,FALSE),1)-1),0),Steuerungsdaten!$E$5))</f>
        <v>106</v>
      </c>
      <c r="I77" s="77">
        <f>IF(VLOOKUP(C77,Steuerungsdaten!$P$17:$T$39,4,0)="","",MAX(ROUND(VLOOKUP(C77,Steuerungsdaten!$P$17:$T$39,4,0)*Steuerungsdaten!$B$4*Steuerungsdaten!$B$9*IFERROR(VLOOKUP(C77,Steuerungsdaten!$B$17:$G$37,6,FALSE),1)*POWER(IF(OR(E77=0,F77=0,E77="",F77=""),1,(E77*F77/1000000)/Steuerungsdaten!$B$6),IFERROR(VLOOKUP(C77,Steuerungsdaten!$B$17:$M$37,12,FALSE),1)-1),0),Steuerungsdaten!$E$6))</f>
        <v>120</v>
      </c>
      <c r="J77" s="77">
        <f>IF(VLOOKUP(C77,Steuerungsdaten!$P$17:$T$39,5,0)="","",MAX(ROUND(VLOOKUP(C77,Steuerungsdaten!$P$17:$T$39,5,0)*Steuerungsdaten!$B$4*Steuerungsdaten!$B$10*IFERROR(VLOOKUP(C77,Steuerungsdaten!$B$17:$I$37,8,FALSE),1)*POWER(IF(OR(E77=0,F77=0,E77="",F77=""),1,(E77*F77/1000000)/Steuerungsdaten!$B$6),IFERROR(VLOOKUP(C77,Steuerungsdaten!$B$17:$N$37,13,FALSE),1)-1),0),Steuerungsdaten!$E$7))</f>
        <v>145</v>
      </c>
      <c r="K77" s="77">
        <f>IFERROR(IF(G77="","",ROUND(G77*Steuerungsdaten!$B$5,0)),"-")</f>
        <v>36</v>
      </c>
      <c r="L77" s="77">
        <f>IFERROR(IF(H77="","",ROUND(H77*Steuerungsdaten!$B$5,0)),"-")</f>
        <v>122</v>
      </c>
      <c r="M77" s="77">
        <f>IFERROR(IF(I77="","",ROUND(I77*Steuerungsdaten!$B$5,0)),"-")</f>
        <v>138</v>
      </c>
      <c r="N77" s="78">
        <f>IFERROR(IF(J77="","",ROUND(J77*Steuerungsdaten!$B$5,0)),"-")</f>
        <v>167</v>
      </c>
      <c r="O77" s="79">
        <v>70</v>
      </c>
      <c r="P77" s="79">
        <f>IF(H77="","",ROUND(H77/(Steuerungsdaten!$B$4*Steuerungsdaten!$B$8*IFERROR(VLOOKUP(C77,Steuerungsdaten!$B$17:$E$37,4,FALSE),1)*POWER(IF(OR(E77=0,F77=0,E77="",F77=""),1,(E77*F77/1000000)/Steuerungsdaten!$B$6),IFERROR(VLOOKUP(C77,Steuerungsdaten!$B$17:$L$37,11,FALSE),1)-1)),0))</f>
        <v>239</v>
      </c>
      <c r="Q77" s="79">
        <f>IF(I77="","",ROUND(I77/(Steuerungsdaten!$B$4*Steuerungsdaten!$B$9*IFERROR(VLOOKUP(C77,Steuerungsdaten!$B$17:$G$37,6,FALSE),1)*POWER(IF(OR(E77=0,F77=0,E77="",F77=""),1,(E77*F77/1000000)/Steuerungsdaten!$B$6),IFERROR(VLOOKUP(C77,Steuerungsdaten!$B$17:$M$37,12,FALSE),1)-1)),0))</f>
        <v>271</v>
      </c>
      <c r="R77" s="79">
        <f>IF(J77="","",ROUND(J77/(Steuerungsdaten!$B$4*Steuerungsdaten!$B$10*IFERROR(VLOOKUP(C77,Steuerungsdaten!$B$17:$I$37,8,FALSE),1)*POWER(IF(OR(E77=0,F77=0,E77="",F77=""),1,(E77*F77/1000000)/Steuerungsdaten!$B$6),IFERROR(VLOOKUP(C77,Steuerungsdaten!$B$17:$N$37,13,FALSE),1)-1)),0))</f>
        <v>300</v>
      </c>
    </row>
    <row r="78" spans="1:18" x14ac:dyDescent="0.25">
      <c r="A78" s="69">
        <v>3305</v>
      </c>
      <c r="B78" s="70" t="s">
        <v>7</v>
      </c>
      <c r="C78" s="70" t="s">
        <v>78</v>
      </c>
      <c r="D78" s="70" t="s">
        <v>84</v>
      </c>
      <c r="E78" s="71">
        <v>360</v>
      </c>
      <c r="F78" s="71">
        <v>360</v>
      </c>
      <c r="G78" s="72">
        <f>IF(VLOOKUP(C78,Steuerungsdaten!$P$17:$T$39,2,0)="","",MAX(ROUND(VLOOKUP(C78,Steuerungsdaten!$P$17:$T$39,2,0)*Steuerungsdaten!$B$4*Steuerungsdaten!$B$7*IFERROR(VLOOKUP(C78,Steuerungsdaten!$B$17:$C$37,2,FALSE),1)*POWER(IF(OR(E78=0,F78=0,E78="",F78=""),1,(E78*F78/1000000)/Steuerungsdaten!$B$6),IFERROR(VLOOKUP(C78,Steuerungsdaten!$B$17:$K$37,10,FALSE),1)-1),0),Steuerungsdaten!$E$4))</f>
        <v>25</v>
      </c>
      <c r="H78" s="72">
        <f>IF(VLOOKUP(C78,Steuerungsdaten!$P$17:$T$39,3,0)="","",MAX(ROUND(VLOOKUP(C78,Steuerungsdaten!$P$17:$T$39,3,0)*Steuerungsdaten!$B$4*Steuerungsdaten!$B$8*IFERROR(VLOOKUP(C78,Steuerungsdaten!$B$17:$E$37,4,FALSE),1)*POWER(IF(OR(E78=0,F78=0,E78="",F78=""),1,(E78*F78/1000000)/Steuerungsdaten!$B$6),IFERROR(VLOOKUP(C78,Steuerungsdaten!$B$17:$L$37,11,FALSE),1)-1),0),Steuerungsdaten!$E$5))</f>
        <v>103</v>
      </c>
      <c r="I78" s="72">
        <f>IF(VLOOKUP(C78,Steuerungsdaten!$P$17:$T$39,4,0)="","",MAX(ROUND(VLOOKUP(C78,Steuerungsdaten!$P$17:$T$39,4,0)*Steuerungsdaten!$B$4*Steuerungsdaten!$B$9*IFERROR(VLOOKUP(C78,Steuerungsdaten!$B$17:$G$37,6,FALSE),1)*POWER(IF(OR(E78=0,F78=0,E78="",F78=""),1,(E78*F78/1000000)/Steuerungsdaten!$B$6),IFERROR(VLOOKUP(C78,Steuerungsdaten!$B$17:$M$37,12,FALSE),1)-1),0),Steuerungsdaten!$E$6))</f>
        <v>120</v>
      </c>
      <c r="J78" s="72">
        <f>IF(VLOOKUP(C78,Steuerungsdaten!$P$17:$T$39,5,0)="","",MAX(ROUND(VLOOKUP(C78,Steuerungsdaten!$P$17:$T$39,5,0)*Steuerungsdaten!$B$4*Steuerungsdaten!$B$10*IFERROR(VLOOKUP(C78,Steuerungsdaten!$B$17:$I$37,8,FALSE),1)*POWER(IF(OR(E78=0,F78=0,E78="",F78=""),1,(E78*F78/1000000)/Steuerungsdaten!$B$6),IFERROR(VLOOKUP(C78,Steuerungsdaten!$B$17:$N$37,13,FALSE),1)-1),0),Steuerungsdaten!$E$7))</f>
        <v>145</v>
      </c>
      <c r="K78" s="72">
        <f>IFERROR(IF(G78="","",ROUND(G78*Steuerungsdaten!$B$5,0)),"-")</f>
        <v>29</v>
      </c>
      <c r="L78" s="72">
        <f>IFERROR(IF(H78="","",ROUND(H78*Steuerungsdaten!$B$5,0)),"-")</f>
        <v>118</v>
      </c>
      <c r="M78" s="72">
        <f>IFERROR(IF(I78="","",ROUND(I78*Steuerungsdaten!$B$5,0)),"-")</f>
        <v>138</v>
      </c>
      <c r="N78" s="73">
        <f>IFERROR(IF(J78="","",ROUND(J78*Steuerungsdaten!$B$5,0)),"-")</f>
        <v>167</v>
      </c>
      <c r="O78" s="79">
        <v>34</v>
      </c>
      <c r="P78" s="79">
        <f>IF(H78="","",ROUND(H78/(Steuerungsdaten!$B$4*Steuerungsdaten!$B$8*IFERROR(VLOOKUP(C78,Steuerungsdaten!$B$17:$E$37,4,FALSE),1)*POWER(IF(OR(E78=0,F78=0,E78="",F78=""),1,(E78*F78/1000000)/Steuerungsdaten!$B$6),IFERROR(VLOOKUP(C78,Steuerungsdaten!$B$17:$L$37,11,FALSE),1)-1)),0))</f>
        <v>316</v>
      </c>
      <c r="Q78" s="79">
        <f>IF(I78="","",ROUND(I78/(Steuerungsdaten!$B$4*Steuerungsdaten!$B$9*IFERROR(VLOOKUP(C78,Steuerungsdaten!$B$17:$G$37,6,FALSE),1)*POWER(IF(OR(E78=0,F78=0,E78="",F78=""),1,(E78*F78/1000000)/Steuerungsdaten!$B$6),IFERROR(VLOOKUP(C78,Steuerungsdaten!$B$17:$M$37,12,FALSE),1)-1)),0))</f>
        <v>368</v>
      </c>
      <c r="R78" s="79">
        <f>IF(J78="","",ROUND(J78/(Steuerungsdaten!$B$4*Steuerungsdaten!$B$10*IFERROR(VLOOKUP(C78,Steuerungsdaten!$B$17:$I$37,8,FALSE),1)*POWER(IF(OR(E78=0,F78=0,E78="",F78=""),1,(E78*F78/1000000)/Steuerungsdaten!$B$6),IFERROR(VLOOKUP(C78,Steuerungsdaten!$B$17:$N$37,13,FALSE),1)-1)),0))</f>
        <v>408</v>
      </c>
    </row>
    <row r="79" spans="1:18" x14ac:dyDescent="0.25">
      <c r="A79" s="74">
        <v>3306</v>
      </c>
      <c r="B79" s="75" t="s">
        <v>7</v>
      </c>
      <c r="C79" s="75" t="s">
        <v>78</v>
      </c>
      <c r="D79" s="75" t="s">
        <v>85</v>
      </c>
      <c r="E79" s="76">
        <v>420</v>
      </c>
      <c r="F79" s="76">
        <v>360</v>
      </c>
      <c r="G79" s="77">
        <f>IF(VLOOKUP(C79,Steuerungsdaten!$P$17:$T$39,2,0)="","",MAX(ROUND(VLOOKUP(C79,Steuerungsdaten!$P$17:$T$39,2,0)*Steuerungsdaten!$B$4*Steuerungsdaten!$B$7*IFERROR(VLOOKUP(C79,Steuerungsdaten!$B$17:$C$37,2,FALSE),1)*POWER(IF(OR(E79=0,F79=0,E79="",F79=""),1,(E79*F79/1000000)/Steuerungsdaten!$B$6),IFERROR(VLOOKUP(C79,Steuerungsdaten!$B$17:$K$37,10,FALSE),1)-1),0),Steuerungsdaten!$E$4))</f>
        <v>27</v>
      </c>
      <c r="H79" s="77">
        <f>IF(VLOOKUP(C79,Steuerungsdaten!$P$17:$T$39,3,0)="","",MAX(ROUND(VLOOKUP(C79,Steuerungsdaten!$P$17:$T$39,3,0)*Steuerungsdaten!$B$4*Steuerungsdaten!$B$8*IFERROR(VLOOKUP(C79,Steuerungsdaten!$B$17:$E$37,4,FALSE),1)*POWER(IF(OR(E79=0,F79=0,E79="",F79=""),1,(E79*F79/1000000)/Steuerungsdaten!$B$6),IFERROR(VLOOKUP(C79,Steuerungsdaten!$B$17:$L$37,11,FALSE),1)-1),0),Steuerungsdaten!$E$5))</f>
        <v>103</v>
      </c>
      <c r="I79" s="77">
        <f>IF(VLOOKUP(C79,Steuerungsdaten!$P$17:$T$39,4,0)="","",MAX(ROUND(VLOOKUP(C79,Steuerungsdaten!$P$17:$T$39,4,0)*Steuerungsdaten!$B$4*Steuerungsdaten!$B$9*IFERROR(VLOOKUP(C79,Steuerungsdaten!$B$17:$G$37,6,FALSE),1)*POWER(IF(OR(E79=0,F79=0,E79="",F79=""),1,(E79*F79/1000000)/Steuerungsdaten!$B$6),IFERROR(VLOOKUP(C79,Steuerungsdaten!$B$17:$M$37,12,FALSE),1)-1),0),Steuerungsdaten!$E$6))</f>
        <v>120</v>
      </c>
      <c r="J79" s="77">
        <f>IF(VLOOKUP(C79,Steuerungsdaten!$P$17:$T$39,5,0)="","",MAX(ROUND(VLOOKUP(C79,Steuerungsdaten!$P$17:$T$39,5,0)*Steuerungsdaten!$B$4*Steuerungsdaten!$B$10*IFERROR(VLOOKUP(C79,Steuerungsdaten!$B$17:$I$37,8,FALSE),1)*POWER(IF(OR(E79=0,F79=0,E79="",F79=""),1,(E79*F79/1000000)/Steuerungsdaten!$B$6),IFERROR(VLOOKUP(C79,Steuerungsdaten!$B$17:$N$37,13,FALSE),1)-1),0),Steuerungsdaten!$E$7))</f>
        <v>145</v>
      </c>
      <c r="K79" s="77">
        <f>IFERROR(IF(G79="","",ROUND(G79*Steuerungsdaten!$B$5,0)),"-")</f>
        <v>31</v>
      </c>
      <c r="L79" s="77">
        <f>IFERROR(IF(H79="","",ROUND(H79*Steuerungsdaten!$B$5,0)),"-")</f>
        <v>118</v>
      </c>
      <c r="M79" s="77">
        <f>IFERROR(IF(I79="","",ROUND(I79*Steuerungsdaten!$B$5,0)),"-")</f>
        <v>138</v>
      </c>
      <c r="N79" s="78">
        <f>IFERROR(IF(J79="","",ROUND(J79*Steuerungsdaten!$B$5,0)),"-")</f>
        <v>167</v>
      </c>
      <c r="O79" s="79">
        <v>34</v>
      </c>
      <c r="P79" s="79">
        <f>IF(H79="","",ROUND(H79/(Steuerungsdaten!$B$4*Steuerungsdaten!$B$8*IFERROR(VLOOKUP(C79,Steuerungsdaten!$B$17:$E$37,4,FALSE),1)*POWER(IF(OR(E79=0,F79=0,E79="",F79=""),1,(E79*F79/1000000)/Steuerungsdaten!$B$6),IFERROR(VLOOKUP(C79,Steuerungsdaten!$B$17:$L$37,11,FALSE),1)-1)),0))</f>
        <v>271</v>
      </c>
      <c r="Q79" s="79">
        <f>IF(I79="","",ROUND(I79/(Steuerungsdaten!$B$4*Steuerungsdaten!$B$9*IFERROR(VLOOKUP(C79,Steuerungsdaten!$B$17:$G$37,6,FALSE),1)*POWER(IF(OR(E79=0,F79=0,E79="",F79=""),1,(E79*F79/1000000)/Steuerungsdaten!$B$6),IFERROR(VLOOKUP(C79,Steuerungsdaten!$B$17:$M$37,12,FALSE),1)-1)),0))</f>
        <v>316</v>
      </c>
      <c r="R79" s="79">
        <f>IF(J79="","",ROUND(J79/(Steuerungsdaten!$B$4*Steuerungsdaten!$B$10*IFERROR(VLOOKUP(C79,Steuerungsdaten!$B$17:$I$37,8,FALSE),1)*POWER(IF(OR(E79=0,F79=0,E79="",F79=""),1,(E79*F79/1000000)/Steuerungsdaten!$B$6),IFERROR(VLOOKUP(C79,Steuerungsdaten!$B$17:$N$37,13,FALSE),1)-1)),0))</f>
        <v>350</v>
      </c>
    </row>
    <row r="80" spans="1:18" x14ac:dyDescent="0.25">
      <c r="A80" s="69">
        <v>3307</v>
      </c>
      <c r="B80" s="70" t="s">
        <v>7</v>
      </c>
      <c r="C80" s="70" t="s">
        <v>78</v>
      </c>
      <c r="D80" s="70" t="s">
        <v>86</v>
      </c>
      <c r="E80" s="71">
        <v>580</v>
      </c>
      <c r="F80" s="71">
        <v>360</v>
      </c>
      <c r="G80" s="72">
        <f>IF(VLOOKUP(C80,Steuerungsdaten!$P$17:$T$39,2,0)="","",MAX(ROUND(VLOOKUP(C80,Steuerungsdaten!$P$17:$T$39,2,0)*Steuerungsdaten!$B$4*Steuerungsdaten!$B$7*IFERROR(VLOOKUP(C80,Steuerungsdaten!$B$17:$C$37,2,FALSE),1)*POWER(IF(OR(E80=0,F80=0,E80="",F80=""),1,(E80*F80/1000000)/Steuerungsdaten!$B$6),IFERROR(VLOOKUP(C80,Steuerungsdaten!$B$17:$K$37,10,FALSE),1)-1),0),Steuerungsdaten!$E$4))</f>
        <v>37</v>
      </c>
      <c r="H80" s="72">
        <f>IF(VLOOKUP(C80,Steuerungsdaten!$P$17:$T$39,3,0)="","",MAX(ROUND(VLOOKUP(C80,Steuerungsdaten!$P$17:$T$39,3,0)*Steuerungsdaten!$B$4*Steuerungsdaten!$B$8*IFERROR(VLOOKUP(C80,Steuerungsdaten!$B$17:$E$37,4,FALSE),1)*POWER(IF(OR(E80=0,F80=0,E80="",F80=""),1,(E80*F80/1000000)/Steuerungsdaten!$B$6),IFERROR(VLOOKUP(C80,Steuerungsdaten!$B$17:$L$37,11,FALSE),1)-1),0),Steuerungsdaten!$E$5))</f>
        <v>126</v>
      </c>
      <c r="I80" s="72">
        <f>IF(VLOOKUP(C80,Steuerungsdaten!$P$17:$T$39,4,0)="","",MAX(ROUND(VLOOKUP(C80,Steuerungsdaten!$P$17:$T$39,4,0)*Steuerungsdaten!$B$4*Steuerungsdaten!$B$9*IFERROR(VLOOKUP(C80,Steuerungsdaten!$B$17:$G$37,6,FALSE),1)*POWER(IF(OR(E80=0,F80=0,E80="",F80=""),1,(E80*F80/1000000)/Steuerungsdaten!$B$6),IFERROR(VLOOKUP(C80,Steuerungsdaten!$B$17:$M$37,12,FALSE),1)-1),0),Steuerungsdaten!$E$6))</f>
        <v>131</v>
      </c>
      <c r="J80" s="72">
        <f>IF(VLOOKUP(C80,Steuerungsdaten!$P$17:$T$39,5,0)="","",MAX(ROUND(VLOOKUP(C80,Steuerungsdaten!$P$17:$T$39,5,0)*Steuerungsdaten!$B$4*Steuerungsdaten!$B$10*IFERROR(VLOOKUP(C80,Steuerungsdaten!$B$17:$I$37,8,FALSE),1)*POWER(IF(OR(E80=0,F80=0,E80="",F80=""),1,(E80*F80/1000000)/Steuerungsdaten!$B$6),IFERROR(VLOOKUP(C80,Steuerungsdaten!$B$17:$N$37,13,FALSE),1)-1),0),Steuerungsdaten!$E$7))</f>
        <v>146</v>
      </c>
      <c r="K80" s="72">
        <f>IFERROR(IF(G80="","",ROUND(G80*Steuerungsdaten!$B$5,0)),"-")</f>
        <v>43</v>
      </c>
      <c r="L80" s="72">
        <f>IFERROR(IF(H80="","",ROUND(H80*Steuerungsdaten!$B$5,0)),"-")</f>
        <v>145</v>
      </c>
      <c r="M80" s="72">
        <f>IFERROR(IF(I80="","",ROUND(I80*Steuerungsdaten!$B$5,0)),"-")</f>
        <v>151</v>
      </c>
      <c r="N80" s="73">
        <f>IFERROR(IF(J80="","",ROUND(J80*Steuerungsdaten!$B$5,0)),"-")</f>
        <v>168</v>
      </c>
      <c r="O80" s="79">
        <v>43</v>
      </c>
      <c r="P80" s="79">
        <f>IF(H80="","",ROUND(H80/(Steuerungsdaten!$B$4*Steuerungsdaten!$B$8*IFERROR(VLOOKUP(C80,Steuerungsdaten!$B$17:$E$37,4,FALSE),1)*POWER(IF(OR(E80=0,F80=0,E80="",F80=""),1,(E80*F80/1000000)/Steuerungsdaten!$B$6),IFERROR(VLOOKUP(C80,Steuerungsdaten!$B$17:$L$37,11,FALSE),1)-1)),0))</f>
        <v>240</v>
      </c>
      <c r="Q80" s="79">
        <f>IF(I80="","",ROUND(I80/(Steuerungsdaten!$B$4*Steuerungsdaten!$B$9*IFERROR(VLOOKUP(C80,Steuerungsdaten!$B$17:$G$37,6,FALSE),1)*POWER(IF(OR(E80=0,F80=0,E80="",F80=""),1,(E80*F80/1000000)/Steuerungsdaten!$B$6),IFERROR(VLOOKUP(C80,Steuerungsdaten!$B$17:$M$37,12,FALSE),1)-1)),0))</f>
        <v>250</v>
      </c>
      <c r="R80" s="79">
        <f>IF(J80="","",ROUND(J80/(Steuerungsdaten!$B$4*Steuerungsdaten!$B$10*IFERROR(VLOOKUP(C80,Steuerungsdaten!$B$17:$I$37,8,FALSE),1)*POWER(IF(OR(E80=0,F80=0,E80="",F80=""),1,(E80*F80/1000000)/Steuerungsdaten!$B$6),IFERROR(VLOOKUP(C80,Steuerungsdaten!$B$17:$N$37,13,FALSE),1)-1)),0))</f>
        <v>255</v>
      </c>
    </row>
    <row r="81" spans="1:18" x14ac:dyDescent="0.25">
      <c r="A81" s="74">
        <v>3308</v>
      </c>
      <c r="B81" s="75" t="s">
        <v>7</v>
      </c>
      <c r="C81" s="75" t="s">
        <v>78</v>
      </c>
      <c r="D81" s="75" t="s">
        <v>87</v>
      </c>
      <c r="E81" s="76">
        <v>780</v>
      </c>
      <c r="F81" s="76">
        <v>360</v>
      </c>
      <c r="G81" s="77">
        <f>IF(VLOOKUP(C81,Steuerungsdaten!$P$17:$T$39,2,0)="","",MAX(ROUND(VLOOKUP(C81,Steuerungsdaten!$P$17:$T$39,2,0)*Steuerungsdaten!$B$4*Steuerungsdaten!$B$7*IFERROR(VLOOKUP(C81,Steuerungsdaten!$B$17:$C$37,2,FALSE),1)*POWER(IF(OR(E81=0,F81=0,E81="",F81=""),1,(E81*F81/1000000)/Steuerungsdaten!$B$6),IFERROR(VLOOKUP(C81,Steuerungsdaten!$B$17:$K$37,10,FALSE),1)-1),0),Steuerungsdaten!$E$4))</f>
        <v>49</v>
      </c>
      <c r="H81" s="77">
        <f>IF(VLOOKUP(C81,Steuerungsdaten!$P$17:$T$39,3,0)="","",MAX(ROUND(VLOOKUP(C81,Steuerungsdaten!$P$17:$T$39,3,0)*Steuerungsdaten!$B$4*Steuerungsdaten!$B$8*IFERROR(VLOOKUP(C81,Steuerungsdaten!$B$17:$E$37,4,FALSE),1)*POWER(IF(OR(E81=0,F81=0,E81="",F81=""),1,(E81*F81/1000000)/Steuerungsdaten!$B$6),IFERROR(VLOOKUP(C81,Steuerungsdaten!$B$17:$L$37,11,FALSE),1)-1),0),Steuerungsdaten!$E$5))</f>
        <v>169</v>
      </c>
      <c r="I81" s="77">
        <f>IF(VLOOKUP(C81,Steuerungsdaten!$P$17:$T$39,4,0)="","",MAX(ROUND(VLOOKUP(C81,Steuerungsdaten!$P$17:$T$39,4,0)*Steuerungsdaten!$B$4*Steuerungsdaten!$B$9*IFERROR(VLOOKUP(C81,Steuerungsdaten!$B$17:$G$37,6,FALSE),1)*POWER(IF(OR(E81=0,F81=0,E81="",F81=""),1,(E81*F81/1000000)/Steuerungsdaten!$B$6),IFERROR(VLOOKUP(C81,Steuerungsdaten!$B$17:$M$37,12,FALSE),1)-1),0),Steuerungsdaten!$E$6))</f>
        <v>177</v>
      </c>
      <c r="J81" s="77">
        <f>IF(VLOOKUP(C81,Steuerungsdaten!$P$17:$T$39,5,0)="","",MAX(ROUND(VLOOKUP(C81,Steuerungsdaten!$P$17:$T$39,5,0)*Steuerungsdaten!$B$4*Steuerungsdaten!$B$10*IFERROR(VLOOKUP(C81,Steuerungsdaten!$B$17:$I$37,8,FALSE),1)*POWER(IF(OR(E81=0,F81=0,E81="",F81=""),1,(E81*F81/1000000)/Steuerungsdaten!$B$6),IFERROR(VLOOKUP(C81,Steuerungsdaten!$B$17:$N$37,13,FALSE),1)-1),0),Steuerungsdaten!$E$7))</f>
        <v>196</v>
      </c>
      <c r="K81" s="77">
        <f>IFERROR(IF(G81="","",ROUND(G81*Steuerungsdaten!$B$5,0)),"-")</f>
        <v>56</v>
      </c>
      <c r="L81" s="77">
        <f>IFERROR(IF(H81="","",ROUND(H81*Steuerungsdaten!$B$5,0)),"-")</f>
        <v>194</v>
      </c>
      <c r="M81" s="77">
        <f>IFERROR(IF(I81="","",ROUND(I81*Steuerungsdaten!$B$5,0)),"-")</f>
        <v>204</v>
      </c>
      <c r="N81" s="78">
        <f>IFERROR(IF(J81="","",ROUND(J81*Steuerungsdaten!$B$5,0)),"-")</f>
        <v>225</v>
      </c>
      <c r="O81" s="79">
        <v>56</v>
      </c>
      <c r="P81" s="79">
        <f>IF(H81="","",ROUND(H81/(Steuerungsdaten!$B$4*Steuerungsdaten!$B$8*IFERROR(VLOOKUP(C81,Steuerungsdaten!$B$17:$E$37,4,FALSE),1)*POWER(IF(OR(E81=0,F81=0,E81="",F81=""),1,(E81*F81/1000000)/Steuerungsdaten!$B$6),IFERROR(VLOOKUP(C81,Steuerungsdaten!$B$17:$L$37,11,FALSE),1)-1)),0))</f>
        <v>239</v>
      </c>
      <c r="Q81" s="79">
        <f>IF(I81="","",ROUND(I81/(Steuerungsdaten!$B$4*Steuerungsdaten!$B$9*IFERROR(VLOOKUP(C81,Steuerungsdaten!$B$17:$G$37,6,FALSE),1)*POWER(IF(OR(E81=0,F81=0,E81="",F81=""),1,(E81*F81/1000000)/Steuerungsdaten!$B$6),IFERROR(VLOOKUP(C81,Steuerungsdaten!$B$17:$M$37,12,FALSE),1)-1)),0))</f>
        <v>251</v>
      </c>
      <c r="R81" s="79">
        <f>IF(J81="","",ROUND(J81/(Steuerungsdaten!$B$4*Steuerungsdaten!$B$10*IFERROR(VLOOKUP(C81,Steuerungsdaten!$B$17:$I$37,8,FALSE),1)*POWER(IF(OR(E81=0,F81=0,E81="",F81=""),1,(E81*F81/1000000)/Steuerungsdaten!$B$6),IFERROR(VLOOKUP(C81,Steuerungsdaten!$B$17:$N$37,13,FALSE),1)-1)),0))</f>
        <v>254</v>
      </c>
    </row>
    <row r="82" spans="1:18" x14ac:dyDescent="0.25">
      <c r="A82" s="69">
        <v>3309</v>
      </c>
      <c r="B82" s="70" t="s">
        <v>7</v>
      </c>
      <c r="C82" s="70" t="s">
        <v>78</v>
      </c>
      <c r="D82" s="70" t="s">
        <v>88</v>
      </c>
      <c r="E82" s="71">
        <v>980</v>
      </c>
      <c r="F82" s="71">
        <v>360</v>
      </c>
      <c r="G82" s="72">
        <f>IF(VLOOKUP(C82,Steuerungsdaten!$P$17:$T$39,2,0)="","",MAX(ROUND(VLOOKUP(C82,Steuerungsdaten!$P$17:$T$39,2,0)*Steuerungsdaten!$B$4*Steuerungsdaten!$B$7*IFERROR(VLOOKUP(C82,Steuerungsdaten!$B$17:$C$37,2,FALSE),1)*POWER(IF(OR(E82=0,F82=0,E82="",F82=""),1,(E82*F82/1000000)/Steuerungsdaten!$B$6),IFERROR(VLOOKUP(C82,Steuerungsdaten!$B$17:$K$37,10,FALSE),1)-1),0),Steuerungsdaten!$E$4))</f>
        <v>62</v>
      </c>
      <c r="H82" s="72">
        <f>IF(VLOOKUP(C82,Steuerungsdaten!$P$17:$T$39,3,0)="","",MAX(ROUND(VLOOKUP(C82,Steuerungsdaten!$P$17:$T$39,3,0)*Steuerungsdaten!$B$4*Steuerungsdaten!$B$8*IFERROR(VLOOKUP(C82,Steuerungsdaten!$B$17:$E$37,4,FALSE),1)*POWER(IF(OR(E82=0,F82=0,E82="",F82=""),1,(E82*F82/1000000)/Steuerungsdaten!$B$6),IFERROR(VLOOKUP(C82,Steuerungsdaten!$B$17:$L$37,11,FALSE),1)-1),0),Steuerungsdaten!$E$5))</f>
        <v>213</v>
      </c>
      <c r="I82" s="72">
        <f>IF(VLOOKUP(C82,Steuerungsdaten!$P$17:$T$39,4,0)="","",MAX(ROUND(VLOOKUP(C82,Steuerungsdaten!$P$17:$T$39,4,0)*Steuerungsdaten!$B$4*Steuerungsdaten!$B$9*IFERROR(VLOOKUP(C82,Steuerungsdaten!$B$17:$G$37,6,FALSE),1)*POWER(IF(OR(E82=0,F82=0,E82="",F82=""),1,(E82*F82/1000000)/Steuerungsdaten!$B$6),IFERROR(VLOOKUP(C82,Steuerungsdaten!$B$17:$M$37,12,FALSE),1)-1),0),Steuerungsdaten!$E$6))</f>
        <v>222</v>
      </c>
      <c r="J82" s="72">
        <f>IF(VLOOKUP(C82,Steuerungsdaten!$P$17:$T$39,5,0)="","",MAX(ROUND(VLOOKUP(C82,Steuerungsdaten!$P$17:$T$39,5,0)*Steuerungsdaten!$B$4*Steuerungsdaten!$B$10*IFERROR(VLOOKUP(C82,Steuerungsdaten!$B$17:$I$37,8,FALSE),1)*POWER(IF(OR(E82=0,F82=0,E82="",F82=""),1,(E82*F82/1000000)/Steuerungsdaten!$B$6),IFERROR(VLOOKUP(C82,Steuerungsdaten!$B$17:$N$37,13,FALSE),1)-1),0),Steuerungsdaten!$E$7))</f>
        <v>247</v>
      </c>
      <c r="K82" s="72">
        <f>IFERROR(IF(G82="","",ROUND(G82*Steuerungsdaten!$B$5,0)),"-")</f>
        <v>71</v>
      </c>
      <c r="L82" s="72">
        <f>IFERROR(IF(H82="","",ROUND(H82*Steuerungsdaten!$B$5,0)),"-")</f>
        <v>245</v>
      </c>
      <c r="M82" s="72">
        <f>IFERROR(IF(I82="","",ROUND(I82*Steuerungsdaten!$B$5,0)),"-")</f>
        <v>255</v>
      </c>
      <c r="N82" s="73">
        <f>IFERROR(IF(J82="","",ROUND(J82*Steuerungsdaten!$B$5,0)),"-")</f>
        <v>284</v>
      </c>
      <c r="O82" s="79">
        <v>70</v>
      </c>
      <c r="P82" s="79">
        <f>IF(H82="","",ROUND(H82/(Steuerungsdaten!$B$4*Steuerungsdaten!$B$8*IFERROR(VLOOKUP(C82,Steuerungsdaten!$B$17:$E$37,4,FALSE),1)*POWER(IF(OR(E82=0,F82=0,E82="",F82=""),1,(E82*F82/1000000)/Steuerungsdaten!$B$6),IFERROR(VLOOKUP(C82,Steuerungsdaten!$B$17:$L$37,11,FALSE),1)-1)),0))</f>
        <v>240</v>
      </c>
      <c r="Q82" s="79">
        <f>IF(I82="","",ROUND(I82/(Steuerungsdaten!$B$4*Steuerungsdaten!$B$9*IFERROR(VLOOKUP(C82,Steuerungsdaten!$B$17:$G$37,6,FALSE),1)*POWER(IF(OR(E82=0,F82=0,E82="",F82=""),1,(E82*F82/1000000)/Steuerungsdaten!$B$6),IFERROR(VLOOKUP(C82,Steuerungsdaten!$B$17:$M$37,12,FALSE),1)-1)),0))</f>
        <v>250</v>
      </c>
      <c r="R82" s="79">
        <f>IF(J82="","",ROUND(J82/(Steuerungsdaten!$B$4*Steuerungsdaten!$B$10*IFERROR(VLOOKUP(C82,Steuerungsdaten!$B$17:$I$37,8,FALSE),1)*POWER(IF(OR(E82=0,F82=0,E82="",F82=""),1,(E82*F82/1000000)/Steuerungsdaten!$B$6),IFERROR(VLOOKUP(C82,Steuerungsdaten!$B$17:$N$37,13,FALSE),1)-1)),0))</f>
        <v>255</v>
      </c>
    </row>
    <row r="83" spans="1:18" x14ac:dyDescent="0.25">
      <c r="A83" s="74">
        <v>3310</v>
      </c>
      <c r="B83" s="75" t="s">
        <v>7</v>
      </c>
      <c r="C83" s="75" t="s">
        <v>78</v>
      </c>
      <c r="D83" s="75" t="s">
        <v>89</v>
      </c>
      <c r="E83" s="76">
        <v>360</v>
      </c>
      <c r="F83" s="76">
        <v>720</v>
      </c>
      <c r="G83" s="77">
        <f>IF(VLOOKUP(C83,Steuerungsdaten!$P$17:$T$39,2,0)="","",MAX(ROUND(VLOOKUP(C83,Steuerungsdaten!$P$17:$T$39,2,0)*Steuerungsdaten!$B$4*Steuerungsdaten!$B$7*IFERROR(VLOOKUP(C83,Steuerungsdaten!$B$17:$C$37,2,FALSE),1)*POWER(IF(OR(E83=0,F83=0,E83="",F83=""),1,(E83*F83/1000000)/Steuerungsdaten!$B$6),IFERROR(VLOOKUP(C83,Steuerungsdaten!$B$17:$K$37,10,FALSE),1)-1),0),Steuerungsdaten!$E$4))</f>
        <v>46</v>
      </c>
      <c r="H83" s="77">
        <f>IF(VLOOKUP(C83,Steuerungsdaten!$P$17:$T$39,3,0)="","",MAX(ROUND(VLOOKUP(C83,Steuerungsdaten!$P$17:$T$39,3,0)*Steuerungsdaten!$B$4*Steuerungsdaten!$B$8*IFERROR(VLOOKUP(C83,Steuerungsdaten!$B$17:$E$37,4,FALSE),1)*POWER(IF(OR(E83=0,F83=0,E83="",F83=""),1,(E83*F83/1000000)/Steuerungsdaten!$B$6),IFERROR(VLOOKUP(C83,Steuerungsdaten!$B$17:$L$37,11,FALSE),1)-1),0),Steuerungsdaten!$E$5))</f>
        <v>156</v>
      </c>
      <c r="I83" s="77">
        <f>IF(VLOOKUP(C83,Steuerungsdaten!$P$17:$T$39,4,0)="","",MAX(ROUND(VLOOKUP(C83,Steuerungsdaten!$P$17:$T$39,4,0)*Steuerungsdaten!$B$4*Steuerungsdaten!$B$9*IFERROR(VLOOKUP(C83,Steuerungsdaten!$B$17:$G$37,6,FALSE),1)*POWER(IF(OR(E83=0,F83=0,E83="",F83=""),1,(E83*F83/1000000)/Steuerungsdaten!$B$6),IFERROR(VLOOKUP(C83,Steuerungsdaten!$B$17:$M$37,12,FALSE),1)-1),0),Steuerungsdaten!$E$6))</f>
        <v>163</v>
      </c>
      <c r="J83" s="77">
        <f>IF(VLOOKUP(C83,Steuerungsdaten!$P$17:$T$39,5,0)="","",MAX(ROUND(VLOOKUP(C83,Steuerungsdaten!$P$17:$T$39,5,0)*Steuerungsdaten!$B$4*Steuerungsdaten!$B$10*IFERROR(VLOOKUP(C83,Steuerungsdaten!$B$17:$I$37,8,FALSE),1)*POWER(IF(OR(E83=0,F83=0,E83="",F83=""),1,(E83*F83/1000000)/Steuerungsdaten!$B$6),IFERROR(VLOOKUP(C83,Steuerungsdaten!$B$17:$N$37,13,FALSE),1)-1),0),Steuerungsdaten!$E$7))</f>
        <v>181</v>
      </c>
      <c r="K83" s="77">
        <f>IFERROR(IF(G83="","",ROUND(G83*Steuerungsdaten!$B$5,0)),"-")</f>
        <v>53</v>
      </c>
      <c r="L83" s="77">
        <f>IFERROR(IF(H83="","",ROUND(H83*Steuerungsdaten!$B$5,0)),"-")</f>
        <v>179</v>
      </c>
      <c r="M83" s="77">
        <f>IFERROR(IF(I83="","",ROUND(I83*Steuerungsdaten!$B$5,0)),"-")</f>
        <v>187</v>
      </c>
      <c r="N83" s="78">
        <f>IFERROR(IF(J83="","",ROUND(J83*Steuerungsdaten!$B$5,0)),"-")</f>
        <v>208</v>
      </c>
      <c r="O83" s="79">
        <v>52</v>
      </c>
      <c r="P83" s="79">
        <f>IF(H83="","",ROUND(H83/(Steuerungsdaten!$B$4*Steuerungsdaten!$B$8*IFERROR(VLOOKUP(C83,Steuerungsdaten!$B$17:$E$37,4,FALSE),1)*POWER(IF(OR(E83=0,F83=0,E83="",F83=""),1,(E83*F83/1000000)/Steuerungsdaten!$B$6),IFERROR(VLOOKUP(C83,Steuerungsdaten!$B$17:$L$37,11,FALSE),1)-1)),0))</f>
        <v>239</v>
      </c>
      <c r="Q83" s="79">
        <f>IF(I83="","",ROUND(I83/(Steuerungsdaten!$B$4*Steuerungsdaten!$B$9*IFERROR(VLOOKUP(C83,Steuerungsdaten!$B$17:$G$37,6,FALSE),1)*POWER(IF(OR(E83=0,F83=0,E83="",F83=""),1,(E83*F83/1000000)/Steuerungsdaten!$B$6),IFERROR(VLOOKUP(C83,Steuerungsdaten!$B$17:$M$37,12,FALSE),1)-1)),0))</f>
        <v>250</v>
      </c>
      <c r="R83" s="79">
        <f>IF(J83="","",ROUND(J83/(Steuerungsdaten!$B$4*Steuerungsdaten!$B$10*IFERROR(VLOOKUP(C83,Steuerungsdaten!$B$17:$I$37,8,FALSE),1)*POWER(IF(OR(E83=0,F83=0,E83="",F83=""),1,(E83*F83/1000000)/Steuerungsdaten!$B$6),IFERROR(VLOOKUP(C83,Steuerungsdaten!$B$17:$N$37,13,FALSE),1)-1)),0))</f>
        <v>255</v>
      </c>
    </row>
    <row r="84" spans="1:18" x14ac:dyDescent="0.25">
      <c r="A84" s="69">
        <v>3311</v>
      </c>
      <c r="B84" s="70" t="s">
        <v>7</v>
      </c>
      <c r="C84" s="70" t="s">
        <v>78</v>
      </c>
      <c r="D84" s="70" t="s">
        <v>90</v>
      </c>
      <c r="E84" s="71">
        <v>420</v>
      </c>
      <c r="F84" s="71">
        <v>720</v>
      </c>
      <c r="G84" s="72">
        <f>IF(VLOOKUP(C84,Steuerungsdaten!$P$17:$T$39,2,0)="","",MAX(ROUND(VLOOKUP(C84,Steuerungsdaten!$P$17:$T$39,2,0)*Steuerungsdaten!$B$4*Steuerungsdaten!$B$7*IFERROR(VLOOKUP(C84,Steuerungsdaten!$B$17:$C$37,2,FALSE),1)*POWER(IF(OR(E84=0,F84=0,E84="",F84=""),1,(E84*F84/1000000)/Steuerungsdaten!$B$6),IFERROR(VLOOKUP(C84,Steuerungsdaten!$B$17:$K$37,10,FALSE),1)-1),0),Steuerungsdaten!$E$4))</f>
        <v>53</v>
      </c>
      <c r="H84" s="72">
        <f>IF(VLOOKUP(C84,Steuerungsdaten!$P$17:$T$39,3,0)="","",MAX(ROUND(VLOOKUP(C84,Steuerungsdaten!$P$17:$T$39,3,0)*Steuerungsdaten!$B$4*Steuerungsdaten!$B$8*IFERROR(VLOOKUP(C84,Steuerungsdaten!$B$17:$E$37,4,FALSE),1)*POWER(IF(OR(E84=0,F84=0,E84="",F84=""),1,(E84*F84/1000000)/Steuerungsdaten!$B$6),IFERROR(VLOOKUP(C84,Steuerungsdaten!$B$17:$L$37,11,FALSE),1)-1),0),Steuerungsdaten!$E$5))</f>
        <v>182</v>
      </c>
      <c r="I84" s="72">
        <f>IF(VLOOKUP(C84,Steuerungsdaten!$P$17:$T$39,4,0)="","",MAX(ROUND(VLOOKUP(C84,Steuerungsdaten!$P$17:$T$39,4,0)*Steuerungsdaten!$B$4*Steuerungsdaten!$B$9*IFERROR(VLOOKUP(C84,Steuerungsdaten!$B$17:$G$37,6,FALSE),1)*POWER(IF(OR(E84=0,F84=0,E84="",F84=""),1,(E84*F84/1000000)/Steuerungsdaten!$B$6),IFERROR(VLOOKUP(C84,Steuerungsdaten!$B$17:$M$37,12,FALSE),1)-1),0),Steuerungsdaten!$E$6))</f>
        <v>190</v>
      </c>
      <c r="J84" s="72">
        <f>IF(VLOOKUP(C84,Steuerungsdaten!$P$17:$T$39,5,0)="","",MAX(ROUND(VLOOKUP(C84,Steuerungsdaten!$P$17:$T$39,5,0)*Steuerungsdaten!$B$4*Steuerungsdaten!$B$10*IFERROR(VLOOKUP(C84,Steuerungsdaten!$B$17:$I$37,8,FALSE),1)*POWER(IF(OR(E84=0,F84=0,E84="",F84=""),1,(E84*F84/1000000)/Steuerungsdaten!$B$6),IFERROR(VLOOKUP(C84,Steuerungsdaten!$B$17:$N$37,13,FALSE),1)-1),0),Steuerungsdaten!$E$7))</f>
        <v>212</v>
      </c>
      <c r="K84" s="72">
        <f>IFERROR(IF(G84="","",ROUND(G84*Steuerungsdaten!$B$5,0)),"-")</f>
        <v>61</v>
      </c>
      <c r="L84" s="72">
        <f>IFERROR(IF(H84="","",ROUND(H84*Steuerungsdaten!$B$5,0)),"-")</f>
        <v>209</v>
      </c>
      <c r="M84" s="72">
        <f>IFERROR(IF(I84="","",ROUND(I84*Steuerungsdaten!$B$5,0)),"-")</f>
        <v>219</v>
      </c>
      <c r="N84" s="73">
        <f>IFERROR(IF(J84="","",ROUND(J84*Steuerungsdaten!$B$5,0)),"-")</f>
        <v>244</v>
      </c>
      <c r="O84" s="79">
        <v>60</v>
      </c>
      <c r="P84" s="79">
        <f>IF(H84="","",ROUND(H84/(Steuerungsdaten!$B$4*Steuerungsdaten!$B$8*IFERROR(VLOOKUP(C84,Steuerungsdaten!$B$17:$E$37,4,FALSE),1)*POWER(IF(OR(E84=0,F84=0,E84="",F84=""),1,(E84*F84/1000000)/Steuerungsdaten!$B$6),IFERROR(VLOOKUP(C84,Steuerungsdaten!$B$17:$L$37,11,FALSE),1)-1)),0))</f>
        <v>239</v>
      </c>
      <c r="Q84" s="79">
        <f>IF(I84="","",ROUND(I84/(Steuerungsdaten!$B$4*Steuerungsdaten!$B$9*IFERROR(VLOOKUP(C84,Steuerungsdaten!$B$17:$G$37,6,FALSE),1)*POWER(IF(OR(E84=0,F84=0,E84="",F84=""),1,(E84*F84/1000000)/Steuerungsdaten!$B$6),IFERROR(VLOOKUP(C84,Steuerungsdaten!$B$17:$M$37,12,FALSE),1)-1)),0))</f>
        <v>250</v>
      </c>
      <c r="R84" s="79">
        <f>IF(J84="","",ROUND(J84/(Steuerungsdaten!$B$4*Steuerungsdaten!$B$10*IFERROR(VLOOKUP(C84,Steuerungsdaten!$B$17:$I$37,8,FALSE),1)*POWER(IF(OR(E84=0,F84=0,E84="",F84=""),1,(E84*F84/1000000)/Steuerungsdaten!$B$6),IFERROR(VLOOKUP(C84,Steuerungsdaten!$B$17:$N$37,13,FALSE),1)-1)),0))</f>
        <v>256</v>
      </c>
    </row>
    <row r="85" spans="1:18" x14ac:dyDescent="0.25">
      <c r="A85" s="74">
        <v>3312</v>
      </c>
      <c r="B85" s="75" t="s">
        <v>7</v>
      </c>
      <c r="C85" s="75" t="s">
        <v>78</v>
      </c>
      <c r="D85" s="75" t="s">
        <v>91</v>
      </c>
      <c r="E85" s="76">
        <v>580</v>
      </c>
      <c r="F85" s="76">
        <v>720</v>
      </c>
      <c r="G85" s="77">
        <f>IF(VLOOKUP(C85,Steuerungsdaten!$P$17:$T$39,2,0)="","",MAX(ROUND(VLOOKUP(C85,Steuerungsdaten!$P$17:$T$39,2,0)*Steuerungsdaten!$B$4*Steuerungsdaten!$B$7*IFERROR(VLOOKUP(C85,Steuerungsdaten!$B$17:$C$37,2,FALSE),1)*POWER(IF(OR(E85=0,F85=0,E85="",F85=""),1,(E85*F85/1000000)/Steuerungsdaten!$B$6),IFERROR(VLOOKUP(C85,Steuerungsdaten!$B$17:$K$37,10,FALSE),1)-1),0),Steuerungsdaten!$E$4))</f>
        <v>73</v>
      </c>
      <c r="H85" s="77">
        <f>IF(VLOOKUP(C85,Steuerungsdaten!$P$17:$T$39,3,0)="","",MAX(ROUND(VLOOKUP(C85,Steuerungsdaten!$P$17:$T$39,3,0)*Steuerungsdaten!$B$4*Steuerungsdaten!$B$8*IFERROR(VLOOKUP(C85,Steuerungsdaten!$B$17:$E$37,4,FALSE),1)*POWER(IF(OR(E85=0,F85=0,E85="",F85=""),1,(E85*F85/1000000)/Steuerungsdaten!$B$6),IFERROR(VLOOKUP(C85,Steuerungsdaten!$B$17:$L$37,11,FALSE),1)-1),0),Steuerungsdaten!$E$5))</f>
        <v>252</v>
      </c>
      <c r="I85" s="77">
        <f>IF(VLOOKUP(C85,Steuerungsdaten!$P$17:$T$39,4,0)="","",MAX(ROUND(VLOOKUP(C85,Steuerungsdaten!$P$17:$T$39,4,0)*Steuerungsdaten!$B$4*Steuerungsdaten!$B$9*IFERROR(VLOOKUP(C85,Steuerungsdaten!$B$17:$G$37,6,FALSE),1)*POWER(IF(OR(E85=0,F85=0,E85="",F85=""),1,(E85*F85/1000000)/Steuerungsdaten!$B$6),IFERROR(VLOOKUP(C85,Steuerungsdaten!$B$17:$M$37,12,FALSE),1)-1),0),Steuerungsdaten!$E$6))</f>
        <v>262</v>
      </c>
      <c r="J85" s="77">
        <f>IF(VLOOKUP(C85,Steuerungsdaten!$P$17:$T$39,5,0)="","",MAX(ROUND(VLOOKUP(C85,Steuerungsdaten!$P$17:$T$39,5,0)*Steuerungsdaten!$B$4*Steuerungsdaten!$B$10*IFERROR(VLOOKUP(C85,Steuerungsdaten!$B$17:$I$37,8,FALSE),1)*POWER(IF(OR(E85=0,F85=0,E85="",F85=""),1,(E85*F85/1000000)/Steuerungsdaten!$B$6),IFERROR(VLOOKUP(C85,Steuerungsdaten!$B$17:$N$37,13,FALSE),1)-1),0),Steuerungsdaten!$E$7))</f>
        <v>292</v>
      </c>
      <c r="K85" s="77">
        <f>IFERROR(IF(G85="","",ROUND(G85*Steuerungsdaten!$B$5,0)),"-")</f>
        <v>84</v>
      </c>
      <c r="L85" s="77">
        <f>IFERROR(IF(H85="","",ROUND(H85*Steuerungsdaten!$B$5,0)),"-")</f>
        <v>290</v>
      </c>
      <c r="M85" s="77">
        <f>IFERROR(IF(I85="","",ROUND(I85*Steuerungsdaten!$B$5,0)),"-")</f>
        <v>301</v>
      </c>
      <c r="N85" s="78">
        <f>IFERROR(IF(J85="","",ROUND(J85*Steuerungsdaten!$B$5,0)),"-")</f>
        <v>336</v>
      </c>
      <c r="O85" s="79">
        <v>82</v>
      </c>
      <c r="P85" s="79">
        <f>IF(H85="","",ROUND(H85/(Steuerungsdaten!$B$4*Steuerungsdaten!$B$8*IFERROR(VLOOKUP(C85,Steuerungsdaten!$B$17:$E$37,4,FALSE),1)*POWER(IF(OR(E85=0,F85=0,E85="",F85=""),1,(E85*F85/1000000)/Steuerungsdaten!$B$6),IFERROR(VLOOKUP(C85,Steuerungsdaten!$B$17:$L$37,11,FALSE),1)-1)),0))</f>
        <v>240</v>
      </c>
      <c r="Q85" s="79">
        <f>IF(I85="","",ROUND(I85/(Steuerungsdaten!$B$4*Steuerungsdaten!$B$9*IFERROR(VLOOKUP(C85,Steuerungsdaten!$B$17:$G$37,6,FALSE),1)*POWER(IF(OR(E85=0,F85=0,E85="",F85=""),1,(E85*F85/1000000)/Steuerungsdaten!$B$6),IFERROR(VLOOKUP(C85,Steuerungsdaten!$B$17:$M$37,12,FALSE),1)-1)),0))</f>
        <v>250</v>
      </c>
      <c r="R85" s="79">
        <f>IF(J85="","",ROUND(J85/(Steuerungsdaten!$B$4*Steuerungsdaten!$B$10*IFERROR(VLOOKUP(C85,Steuerungsdaten!$B$17:$I$37,8,FALSE),1)*POWER(IF(OR(E85=0,F85=0,E85="",F85=""),1,(E85*F85/1000000)/Steuerungsdaten!$B$6),IFERROR(VLOOKUP(C85,Steuerungsdaten!$B$17:$N$37,13,FALSE),1)-1)),0))</f>
        <v>255</v>
      </c>
    </row>
    <row r="86" spans="1:18" x14ac:dyDescent="0.25">
      <c r="A86" s="69">
        <v>3313</v>
      </c>
      <c r="B86" s="70" t="s">
        <v>7</v>
      </c>
      <c r="C86" s="70" t="s">
        <v>78</v>
      </c>
      <c r="D86" s="70" t="s">
        <v>92</v>
      </c>
      <c r="E86" s="71">
        <v>780</v>
      </c>
      <c r="F86" s="71">
        <v>720</v>
      </c>
      <c r="G86" s="72">
        <f>IF(VLOOKUP(C86,Steuerungsdaten!$P$17:$T$39,2,0)="","",MAX(ROUND(VLOOKUP(C86,Steuerungsdaten!$P$17:$T$39,2,0)*Steuerungsdaten!$B$4*Steuerungsdaten!$B$7*IFERROR(VLOOKUP(C86,Steuerungsdaten!$B$17:$C$37,2,FALSE),1)*POWER(IF(OR(E86=0,F86=0,E86="",F86=""),1,(E86*F86/1000000)/Steuerungsdaten!$B$6),IFERROR(VLOOKUP(C86,Steuerungsdaten!$B$17:$K$37,10,FALSE),1)-1),0),Steuerungsdaten!$E$4))</f>
        <v>99</v>
      </c>
      <c r="H86" s="72">
        <f>IF(VLOOKUP(C86,Steuerungsdaten!$P$17:$T$39,3,0)="","",MAX(ROUND(VLOOKUP(C86,Steuerungsdaten!$P$17:$T$39,3,0)*Steuerungsdaten!$B$4*Steuerungsdaten!$B$8*IFERROR(VLOOKUP(C86,Steuerungsdaten!$B$17:$E$37,4,FALSE),1)*POWER(IF(OR(E86=0,F86=0,E86="",F86=""),1,(E86*F86/1000000)/Steuerungsdaten!$B$6),IFERROR(VLOOKUP(C86,Steuerungsdaten!$B$17:$L$37,11,FALSE),1)-1),0),Steuerungsdaten!$E$5))</f>
        <v>339</v>
      </c>
      <c r="I86" s="72">
        <f>IF(VLOOKUP(C86,Steuerungsdaten!$P$17:$T$39,4,0)="","",MAX(ROUND(VLOOKUP(C86,Steuerungsdaten!$P$17:$T$39,4,0)*Steuerungsdaten!$B$4*Steuerungsdaten!$B$9*IFERROR(VLOOKUP(C86,Steuerungsdaten!$B$17:$G$37,6,FALSE),1)*POWER(IF(OR(E86=0,F86=0,E86="",F86=""),1,(E86*F86/1000000)/Steuerungsdaten!$B$6),IFERROR(VLOOKUP(C86,Steuerungsdaten!$B$17:$M$37,12,FALSE),1)-1),0),Steuerungsdaten!$E$6))</f>
        <v>353</v>
      </c>
      <c r="J86" s="72">
        <f>IF(VLOOKUP(C86,Steuerungsdaten!$P$17:$T$39,5,0)="","",MAX(ROUND(VLOOKUP(C86,Steuerungsdaten!$P$17:$T$39,5,0)*Steuerungsdaten!$B$4*Steuerungsdaten!$B$10*IFERROR(VLOOKUP(C86,Steuerungsdaten!$B$17:$I$37,8,FALSE),1)*POWER(IF(OR(E86=0,F86=0,E86="",F86=""),1,(E86*F86/1000000)/Steuerungsdaten!$B$6),IFERROR(VLOOKUP(C86,Steuerungsdaten!$B$17:$N$37,13,FALSE),1)-1),0),Steuerungsdaten!$E$7))</f>
        <v>393</v>
      </c>
      <c r="K86" s="72">
        <f>IFERROR(IF(G86="","",ROUND(G86*Steuerungsdaten!$B$5,0)),"-")</f>
        <v>114</v>
      </c>
      <c r="L86" s="72">
        <f>IFERROR(IF(H86="","",ROUND(H86*Steuerungsdaten!$B$5,0)),"-")</f>
        <v>390</v>
      </c>
      <c r="M86" s="72">
        <f>IFERROR(IF(I86="","",ROUND(I86*Steuerungsdaten!$B$5,0)),"-")</f>
        <v>406</v>
      </c>
      <c r="N86" s="73">
        <f>IFERROR(IF(J86="","",ROUND(J86*Steuerungsdaten!$B$5,0)),"-")</f>
        <v>452</v>
      </c>
      <c r="O86" s="79">
        <v>107</v>
      </c>
      <c r="P86" s="79">
        <f>IF(H86="","",ROUND(H86/(Steuerungsdaten!$B$4*Steuerungsdaten!$B$8*IFERROR(VLOOKUP(C86,Steuerungsdaten!$B$17:$E$37,4,FALSE),1)*POWER(IF(OR(E86=0,F86=0,E86="",F86=""),1,(E86*F86/1000000)/Steuerungsdaten!$B$6),IFERROR(VLOOKUP(C86,Steuerungsdaten!$B$17:$L$37,11,FALSE),1)-1)),0))</f>
        <v>240</v>
      </c>
      <c r="Q86" s="79">
        <f>IF(I86="","",ROUND(I86/(Steuerungsdaten!$B$4*Steuerungsdaten!$B$9*IFERROR(VLOOKUP(C86,Steuerungsdaten!$B$17:$G$37,6,FALSE),1)*POWER(IF(OR(E86=0,F86=0,E86="",F86=""),1,(E86*F86/1000000)/Steuerungsdaten!$B$6),IFERROR(VLOOKUP(C86,Steuerungsdaten!$B$17:$M$37,12,FALSE),1)-1)),0))</f>
        <v>250</v>
      </c>
      <c r="R86" s="79">
        <f>IF(J86="","",ROUND(J86/(Steuerungsdaten!$B$4*Steuerungsdaten!$B$10*IFERROR(VLOOKUP(C86,Steuerungsdaten!$B$17:$I$37,8,FALSE),1)*POWER(IF(OR(E86=0,F86=0,E86="",F86=""),1,(E86*F86/1000000)/Steuerungsdaten!$B$6),IFERROR(VLOOKUP(C86,Steuerungsdaten!$B$17:$N$37,13,FALSE),1)-1)),0))</f>
        <v>255</v>
      </c>
    </row>
    <row r="87" spans="1:18" x14ac:dyDescent="0.25">
      <c r="A87" s="74">
        <v>3314</v>
      </c>
      <c r="B87" s="75" t="s">
        <v>7</v>
      </c>
      <c r="C87" s="75" t="s">
        <v>78</v>
      </c>
      <c r="D87" s="75" t="s">
        <v>93</v>
      </c>
      <c r="E87" s="76">
        <v>980</v>
      </c>
      <c r="F87" s="76">
        <v>720</v>
      </c>
      <c r="G87" s="77">
        <f>IF(VLOOKUP(C87,Steuerungsdaten!$P$17:$T$39,2,0)="","",MAX(ROUND(VLOOKUP(C87,Steuerungsdaten!$P$17:$T$39,2,0)*Steuerungsdaten!$B$4*Steuerungsdaten!$B$7*IFERROR(VLOOKUP(C87,Steuerungsdaten!$B$17:$C$37,2,FALSE),1)*POWER(IF(OR(E87=0,F87=0,E87="",F87=""),1,(E87*F87/1000000)/Steuerungsdaten!$B$6),IFERROR(VLOOKUP(C87,Steuerungsdaten!$B$17:$K$37,10,FALSE),1)-1),0),Steuerungsdaten!$E$4))</f>
        <v>124</v>
      </c>
      <c r="H87" s="77">
        <f>IF(VLOOKUP(C87,Steuerungsdaten!$P$17:$T$39,3,0)="","",MAX(ROUND(VLOOKUP(C87,Steuerungsdaten!$P$17:$T$39,3,0)*Steuerungsdaten!$B$4*Steuerungsdaten!$B$8*IFERROR(VLOOKUP(C87,Steuerungsdaten!$B$17:$E$37,4,FALSE),1)*POWER(IF(OR(E87=0,F87=0,E87="",F87=""),1,(E87*F87/1000000)/Steuerungsdaten!$B$6),IFERROR(VLOOKUP(C87,Steuerungsdaten!$B$17:$L$37,11,FALSE),1)-1),0),Steuerungsdaten!$E$5))</f>
        <v>426</v>
      </c>
      <c r="I87" s="77">
        <f>IF(VLOOKUP(C87,Steuerungsdaten!$P$17:$T$39,4,0)="","",MAX(ROUND(VLOOKUP(C87,Steuerungsdaten!$P$17:$T$39,4,0)*Steuerungsdaten!$B$4*Steuerungsdaten!$B$9*IFERROR(VLOOKUP(C87,Steuerungsdaten!$B$17:$G$37,6,FALSE),1)*POWER(IF(OR(E87=0,F87=0,E87="",F87=""),1,(E87*F87/1000000)/Steuerungsdaten!$B$6),IFERROR(VLOOKUP(C87,Steuerungsdaten!$B$17:$M$37,12,FALSE),1)-1),0),Steuerungsdaten!$E$6))</f>
        <v>444</v>
      </c>
      <c r="J87" s="77">
        <f>IF(VLOOKUP(C87,Steuerungsdaten!$P$17:$T$39,5,0)="","",MAX(ROUND(VLOOKUP(C87,Steuerungsdaten!$P$17:$T$39,5,0)*Steuerungsdaten!$B$4*Steuerungsdaten!$B$10*IFERROR(VLOOKUP(C87,Steuerungsdaten!$B$17:$I$37,8,FALSE),1)*POWER(IF(OR(E87=0,F87=0,E87="",F87=""),1,(E87*F87/1000000)/Steuerungsdaten!$B$6),IFERROR(VLOOKUP(C87,Steuerungsdaten!$B$17:$N$37,13,FALSE),1)-1),0),Steuerungsdaten!$E$7))</f>
        <v>494</v>
      </c>
      <c r="K87" s="77">
        <f>IFERROR(IF(G87="","",ROUND(G87*Steuerungsdaten!$B$5,0)),"-")</f>
        <v>143</v>
      </c>
      <c r="L87" s="77">
        <f>IFERROR(IF(H87="","",ROUND(H87*Steuerungsdaten!$B$5,0)),"-")</f>
        <v>490</v>
      </c>
      <c r="M87" s="77">
        <f>IFERROR(IF(I87="","",ROUND(I87*Steuerungsdaten!$B$5,0)),"-")</f>
        <v>511</v>
      </c>
      <c r="N87" s="78">
        <f>IFERROR(IF(J87="","",ROUND(J87*Steuerungsdaten!$B$5,0)),"-")</f>
        <v>568</v>
      </c>
      <c r="O87" s="79">
        <v>134</v>
      </c>
      <c r="P87" s="79">
        <f>IF(H87="","",ROUND(H87/(Steuerungsdaten!$B$4*Steuerungsdaten!$B$8*IFERROR(VLOOKUP(C87,Steuerungsdaten!$B$17:$E$37,4,FALSE),1)*POWER(IF(OR(E87=0,F87=0,E87="",F87=""),1,(E87*F87/1000000)/Steuerungsdaten!$B$6),IFERROR(VLOOKUP(C87,Steuerungsdaten!$B$17:$L$37,11,FALSE),1)-1)),0))</f>
        <v>240</v>
      </c>
      <c r="Q87" s="79">
        <f>IF(I87="","",ROUND(I87/(Steuerungsdaten!$B$4*Steuerungsdaten!$B$9*IFERROR(VLOOKUP(C87,Steuerungsdaten!$B$17:$G$37,6,FALSE),1)*POWER(IF(OR(E87=0,F87=0,E87="",F87=""),1,(E87*F87/1000000)/Steuerungsdaten!$B$6),IFERROR(VLOOKUP(C87,Steuerungsdaten!$B$17:$M$37,12,FALSE),1)-1)),0))</f>
        <v>250</v>
      </c>
      <c r="R87" s="79">
        <f>IF(J87="","",ROUND(J87/(Steuerungsdaten!$B$4*Steuerungsdaten!$B$10*IFERROR(VLOOKUP(C87,Steuerungsdaten!$B$17:$I$37,8,FALSE),1)*POWER(IF(OR(E87=0,F87=0,E87="",F87=""),1,(E87*F87/1000000)/Steuerungsdaten!$B$6),IFERROR(VLOOKUP(C87,Steuerungsdaten!$B$17:$N$37,13,FALSE),1)-1)),0))</f>
        <v>255</v>
      </c>
    </row>
    <row r="88" spans="1:18" x14ac:dyDescent="0.25">
      <c r="A88" s="69">
        <v>3315</v>
      </c>
      <c r="B88" s="70" t="s">
        <v>7</v>
      </c>
      <c r="C88" s="70" t="s">
        <v>78</v>
      </c>
      <c r="D88" s="70" t="s">
        <v>94</v>
      </c>
      <c r="E88" s="71">
        <v>360</v>
      </c>
      <c r="F88" s="71">
        <v>1080</v>
      </c>
      <c r="G88" s="72">
        <f>IF(VLOOKUP(C88,Steuerungsdaten!$P$17:$T$39,2,0)="","",MAX(ROUND(VLOOKUP(C88,Steuerungsdaten!$P$17:$T$39,2,0)*Steuerungsdaten!$B$4*Steuerungsdaten!$B$7*IFERROR(VLOOKUP(C88,Steuerungsdaten!$B$17:$C$37,2,FALSE),1)*POWER(IF(OR(E88=0,F88=0,E88="",F88=""),1,(E88*F88/1000000)/Steuerungsdaten!$B$6),IFERROR(VLOOKUP(C88,Steuerungsdaten!$B$17:$K$37,10,FALSE),1)-1),0),Steuerungsdaten!$E$4))</f>
        <v>68</v>
      </c>
      <c r="H88" s="72">
        <f>IF(VLOOKUP(C88,Steuerungsdaten!$P$17:$T$39,3,0)="","",MAX(ROUND(VLOOKUP(C88,Steuerungsdaten!$P$17:$T$39,3,0)*Steuerungsdaten!$B$4*Steuerungsdaten!$B$8*IFERROR(VLOOKUP(C88,Steuerungsdaten!$B$17:$E$37,4,FALSE),1)*POWER(IF(OR(E88=0,F88=0,E88="",F88=""),1,(E88*F88/1000000)/Steuerungsdaten!$B$6),IFERROR(VLOOKUP(C88,Steuerungsdaten!$B$17:$L$37,11,FALSE),1)-1),0),Steuerungsdaten!$E$5))</f>
        <v>235</v>
      </c>
      <c r="I88" s="72">
        <f>IF(VLOOKUP(C88,Steuerungsdaten!$P$17:$T$39,4,0)="","",MAX(ROUND(VLOOKUP(C88,Steuerungsdaten!$P$17:$T$39,4,0)*Steuerungsdaten!$B$4*Steuerungsdaten!$B$9*IFERROR(VLOOKUP(C88,Steuerungsdaten!$B$17:$G$37,6,FALSE),1)*POWER(IF(OR(E88=0,F88=0,E88="",F88=""),1,(E88*F88/1000000)/Steuerungsdaten!$B$6),IFERROR(VLOOKUP(C88,Steuerungsdaten!$B$17:$M$37,12,FALSE),1)-1),0),Steuerungsdaten!$E$6))</f>
        <v>244</v>
      </c>
      <c r="J88" s="72">
        <f>IF(VLOOKUP(C88,Steuerungsdaten!$P$17:$T$39,5,0)="","",MAX(ROUND(VLOOKUP(C88,Steuerungsdaten!$P$17:$T$39,5,0)*Steuerungsdaten!$B$4*Steuerungsdaten!$B$10*IFERROR(VLOOKUP(C88,Steuerungsdaten!$B$17:$I$37,8,FALSE),1)*POWER(IF(OR(E88=0,F88=0,E88="",F88=""),1,(E88*F88/1000000)/Steuerungsdaten!$B$6),IFERROR(VLOOKUP(C88,Steuerungsdaten!$B$17:$N$37,13,FALSE),1)-1),0),Steuerungsdaten!$E$7))</f>
        <v>272</v>
      </c>
      <c r="K88" s="72">
        <f>IFERROR(IF(G88="","",ROUND(G88*Steuerungsdaten!$B$5,0)),"-")</f>
        <v>78</v>
      </c>
      <c r="L88" s="72">
        <f>IFERROR(IF(H88="","",ROUND(H88*Steuerungsdaten!$B$5,0)),"-")</f>
        <v>270</v>
      </c>
      <c r="M88" s="72">
        <f>IFERROR(IF(I88="","",ROUND(I88*Steuerungsdaten!$B$5,0)),"-")</f>
        <v>281</v>
      </c>
      <c r="N88" s="73" t="s">
        <v>988</v>
      </c>
      <c r="O88" s="79">
        <v>88</v>
      </c>
      <c r="P88" s="79">
        <f>IF(H88="","",ROUND(H88/(Steuerungsdaten!$B$4*Steuerungsdaten!$B$8*IFERROR(VLOOKUP(C88,Steuerungsdaten!$B$17:$E$37,4,FALSE),1)*POWER(IF(OR(E88=0,F88=0,E88="",F88=""),1,(E88*F88/1000000)/Steuerungsdaten!$B$6),IFERROR(VLOOKUP(C88,Steuerungsdaten!$B$17:$L$37,11,FALSE),1)-1)),0))</f>
        <v>240</v>
      </c>
      <c r="Q88" s="79">
        <f>IF(I88="","",ROUND(I88/(Steuerungsdaten!$B$4*Steuerungsdaten!$B$9*IFERROR(VLOOKUP(C88,Steuerungsdaten!$B$17:$G$37,6,FALSE),1)*POWER(IF(OR(E88=0,F88=0,E88="",F88=""),1,(E88*F88/1000000)/Steuerungsdaten!$B$6),IFERROR(VLOOKUP(C88,Steuerungsdaten!$B$17:$M$37,12,FALSE),1)-1)),0))</f>
        <v>250</v>
      </c>
      <c r="R88" s="79">
        <f>IF(J88="","",ROUND(J88/(Steuerungsdaten!$B$4*Steuerungsdaten!$B$10*IFERROR(VLOOKUP(C88,Steuerungsdaten!$B$17:$I$37,8,FALSE),1)*POWER(IF(OR(E88=0,F88=0,E88="",F88=""),1,(E88*F88/1000000)/Steuerungsdaten!$B$6),IFERROR(VLOOKUP(C88,Steuerungsdaten!$B$17:$N$37,13,FALSE),1)-1)),0))</f>
        <v>255</v>
      </c>
    </row>
    <row r="89" spans="1:18" x14ac:dyDescent="0.25">
      <c r="A89" s="74">
        <v>3316</v>
      </c>
      <c r="B89" s="75" t="s">
        <v>7</v>
      </c>
      <c r="C89" s="75" t="s">
        <v>78</v>
      </c>
      <c r="D89" s="75" t="s">
        <v>95</v>
      </c>
      <c r="E89" s="76">
        <v>420</v>
      </c>
      <c r="F89" s="76">
        <v>1080</v>
      </c>
      <c r="G89" s="77">
        <f>IF(VLOOKUP(C89,Steuerungsdaten!$P$17:$T$39,2,0)="","",MAX(ROUND(VLOOKUP(C89,Steuerungsdaten!$P$17:$T$39,2,0)*Steuerungsdaten!$B$4*Steuerungsdaten!$B$7*IFERROR(VLOOKUP(C89,Steuerungsdaten!$B$17:$C$37,2,FALSE),1)*POWER(IF(OR(E89=0,F89=0,E89="",F89=""),1,(E89*F89/1000000)/Steuerungsdaten!$B$6),IFERROR(VLOOKUP(C89,Steuerungsdaten!$B$17:$K$37,10,FALSE),1)-1),0),Steuerungsdaten!$E$4))</f>
        <v>80</v>
      </c>
      <c r="H89" s="77">
        <f>IF(VLOOKUP(C89,Steuerungsdaten!$P$17:$T$39,3,0)="","",MAX(ROUND(VLOOKUP(C89,Steuerungsdaten!$P$17:$T$39,3,0)*Steuerungsdaten!$B$4*Steuerungsdaten!$B$8*IFERROR(VLOOKUP(C89,Steuerungsdaten!$B$17:$E$37,4,FALSE),1)*POWER(IF(OR(E89=0,F89=0,E89="",F89=""),1,(E89*F89/1000000)/Steuerungsdaten!$B$6),IFERROR(VLOOKUP(C89,Steuerungsdaten!$B$17:$L$37,11,FALSE),1)-1),0),Steuerungsdaten!$E$5))</f>
        <v>274</v>
      </c>
      <c r="I89" s="77">
        <f>IF(VLOOKUP(C89,Steuerungsdaten!$P$17:$T$39,4,0)="","",MAX(ROUND(VLOOKUP(C89,Steuerungsdaten!$P$17:$T$39,4,0)*Steuerungsdaten!$B$4*Steuerungsdaten!$B$9*IFERROR(VLOOKUP(C89,Steuerungsdaten!$B$17:$G$37,6,FALSE),1)*POWER(IF(OR(E89=0,F89=0,E89="",F89=""),1,(E89*F89/1000000)/Steuerungsdaten!$B$6),IFERROR(VLOOKUP(C89,Steuerungsdaten!$B$17:$M$37,12,FALSE),1)-1),0),Steuerungsdaten!$E$6))</f>
        <v>285</v>
      </c>
      <c r="J89" s="77">
        <f>IF(VLOOKUP(C89,Steuerungsdaten!$P$17:$T$39,5,0)="","",MAX(ROUND(VLOOKUP(C89,Steuerungsdaten!$P$17:$T$39,5,0)*Steuerungsdaten!$B$4*Steuerungsdaten!$B$10*IFERROR(VLOOKUP(C89,Steuerungsdaten!$B$17:$I$37,8,FALSE),1)*POWER(IF(OR(E89=0,F89=0,E89="",F89=""),1,(E89*F89/1000000)/Steuerungsdaten!$B$6),IFERROR(VLOOKUP(C89,Steuerungsdaten!$B$17:$N$37,13,FALSE),1)-1),0),Steuerungsdaten!$E$7))</f>
        <v>317</v>
      </c>
      <c r="K89" s="77">
        <f>IFERROR(IF(G89="","",ROUND(G89*Steuerungsdaten!$B$5,0)),"-")</f>
        <v>92</v>
      </c>
      <c r="L89" s="77">
        <f>IFERROR(IF(H89="","",ROUND(H89*Steuerungsdaten!$B$5,0)),"-")</f>
        <v>315</v>
      </c>
      <c r="M89" s="77">
        <f>IFERROR(IF(I89="","",ROUND(I89*Steuerungsdaten!$B$5,0)),"-")</f>
        <v>328</v>
      </c>
      <c r="N89" s="78" t="s">
        <v>988</v>
      </c>
      <c r="O89" s="79">
        <v>88</v>
      </c>
      <c r="P89" s="79">
        <f>IF(H89="","",ROUND(H89/(Steuerungsdaten!$B$4*Steuerungsdaten!$B$8*IFERROR(VLOOKUP(C89,Steuerungsdaten!$B$17:$E$37,4,FALSE),1)*POWER(IF(OR(E89=0,F89=0,E89="",F89=""),1,(E89*F89/1000000)/Steuerungsdaten!$B$6),IFERROR(VLOOKUP(C89,Steuerungsdaten!$B$17:$L$37,11,FALSE),1)-1)),0))</f>
        <v>240</v>
      </c>
      <c r="Q89" s="79">
        <f>IF(I89="","",ROUND(I89/(Steuerungsdaten!$B$4*Steuerungsdaten!$B$9*IFERROR(VLOOKUP(C89,Steuerungsdaten!$B$17:$G$37,6,FALSE),1)*POWER(IF(OR(E89=0,F89=0,E89="",F89=""),1,(E89*F89/1000000)/Steuerungsdaten!$B$6),IFERROR(VLOOKUP(C89,Steuerungsdaten!$B$17:$M$37,12,FALSE),1)-1)),0))</f>
        <v>250</v>
      </c>
      <c r="R89" s="79">
        <f>IF(J89="","",ROUND(J89/(Steuerungsdaten!$B$4*Steuerungsdaten!$B$10*IFERROR(VLOOKUP(C89,Steuerungsdaten!$B$17:$I$37,8,FALSE),1)*POWER(IF(OR(E89=0,F89=0,E89="",F89=""),1,(E89*F89/1000000)/Steuerungsdaten!$B$6),IFERROR(VLOOKUP(C89,Steuerungsdaten!$B$17:$N$37,13,FALSE),1)-1)),0))</f>
        <v>255</v>
      </c>
    </row>
    <row r="90" spans="1:18" x14ac:dyDescent="0.25">
      <c r="A90" s="69">
        <v>3317</v>
      </c>
      <c r="B90" s="70" t="s">
        <v>7</v>
      </c>
      <c r="C90" s="70" t="s">
        <v>78</v>
      </c>
      <c r="D90" s="70" t="s">
        <v>96</v>
      </c>
      <c r="E90" s="71">
        <v>580</v>
      </c>
      <c r="F90" s="71">
        <v>1080</v>
      </c>
      <c r="G90" s="72">
        <f>IF(VLOOKUP(C90,Steuerungsdaten!$P$17:$T$39,2,0)="","",MAX(ROUND(VLOOKUP(C90,Steuerungsdaten!$P$17:$T$39,2,0)*Steuerungsdaten!$B$4*Steuerungsdaten!$B$7*IFERROR(VLOOKUP(C90,Steuerungsdaten!$B$17:$C$37,2,FALSE),1)*POWER(IF(OR(E90=0,F90=0,E90="",F90=""),1,(E90*F90/1000000)/Steuerungsdaten!$B$6),IFERROR(VLOOKUP(C90,Steuerungsdaten!$B$17:$K$37,10,FALSE),1)-1),0),Steuerungsdaten!$E$4))</f>
        <v>110</v>
      </c>
      <c r="H90" s="72">
        <f>IF(VLOOKUP(C90,Steuerungsdaten!$P$17:$T$39,3,0)="","",MAX(ROUND(VLOOKUP(C90,Steuerungsdaten!$P$17:$T$39,3,0)*Steuerungsdaten!$B$4*Steuerungsdaten!$B$8*IFERROR(VLOOKUP(C90,Steuerungsdaten!$B$17:$E$37,4,FALSE),1)*POWER(IF(OR(E90=0,F90=0,E90="",F90=""),1,(E90*F90/1000000)/Steuerungsdaten!$B$6),IFERROR(VLOOKUP(C90,Steuerungsdaten!$B$17:$L$37,11,FALSE),1)-1),0),Steuerungsdaten!$E$5))</f>
        <v>378</v>
      </c>
      <c r="I90" s="72">
        <f>IF(VLOOKUP(C90,Steuerungsdaten!$P$17:$T$39,4,0)="","",MAX(ROUND(VLOOKUP(C90,Steuerungsdaten!$P$17:$T$39,4,0)*Steuerungsdaten!$B$4*Steuerungsdaten!$B$9*IFERROR(VLOOKUP(C90,Steuerungsdaten!$B$17:$G$37,6,FALSE),1)*POWER(IF(OR(E90=0,F90=0,E90="",F90=""),1,(E90*F90/1000000)/Steuerungsdaten!$B$6),IFERROR(VLOOKUP(C90,Steuerungsdaten!$B$17:$M$37,12,FALSE),1)-1),0),Steuerungsdaten!$E$6))</f>
        <v>394</v>
      </c>
      <c r="J90" s="72">
        <f>IF(VLOOKUP(C90,Steuerungsdaten!$P$17:$T$39,5,0)="","",MAX(ROUND(VLOOKUP(C90,Steuerungsdaten!$P$17:$T$39,5,0)*Steuerungsdaten!$B$4*Steuerungsdaten!$B$10*IFERROR(VLOOKUP(C90,Steuerungsdaten!$B$17:$I$37,8,FALSE),1)*POWER(IF(OR(E90=0,F90=0,E90="",F90=""),1,(E90*F90/1000000)/Steuerungsdaten!$B$6),IFERROR(VLOOKUP(C90,Steuerungsdaten!$B$17:$N$37,13,FALSE),1)-1),0),Steuerungsdaten!$E$7))</f>
        <v>438</v>
      </c>
      <c r="K90" s="72">
        <f>IFERROR(IF(G90="","",ROUND(G90*Steuerungsdaten!$B$5,0)),"-")</f>
        <v>127</v>
      </c>
      <c r="L90" s="72">
        <f>IFERROR(IF(H90="","",ROUND(H90*Steuerungsdaten!$B$5,0)),"-")</f>
        <v>435</v>
      </c>
      <c r="M90" s="72">
        <f>IFERROR(IF(I90="","",ROUND(I90*Steuerungsdaten!$B$5,0)),"-")</f>
        <v>453</v>
      </c>
      <c r="N90" s="73" t="s">
        <v>988</v>
      </c>
      <c r="O90" s="79">
        <v>119</v>
      </c>
      <c r="P90" s="79">
        <f>IF(H90="","",ROUND(H90/(Steuerungsdaten!$B$4*Steuerungsdaten!$B$8*IFERROR(VLOOKUP(C90,Steuerungsdaten!$B$17:$E$37,4,FALSE),1)*POWER(IF(OR(E90=0,F90=0,E90="",F90=""),1,(E90*F90/1000000)/Steuerungsdaten!$B$6),IFERROR(VLOOKUP(C90,Steuerungsdaten!$B$17:$L$37,11,FALSE),1)-1)),0))</f>
        <v>240</v>
      </c>
      <c r="Q90" s="79">
        <f>IF(I90="","",ROUND(I90/(Steuerungsdaten!$B$4*Steuerungsdaten!$B$9*IFERROR(VLOOKUP(C90,Steuerungsdaten!$B$17:$G$37,6,FALSE),1)*POWER(IF(OR(E90=0,F90=0,E90="",F90=""),1,(E90*F90/1000000)/Steuerungsdaten!$B$6),IFERROR(VLOOKUP(C90,Steuerungsdaten!$B$17:$M$37,12,FALSE),1)-1)),0))</f>
        <v>250</v>
      </c>
      <c r="R90" s="79">
        <f>IF(J90="","",ROUND(J90/(Steuerungsdaten!$B$4*Steuerungsdaten!$B$10*IFERROR(VLOOKUP(C90,Steuerungsdaten!$B$17:$I$37,8,FALSE),1)*POWER(IF(OR(E90=0,F90=0,E90="",F90=""),1,(E90*F90/1000000)/Steuerungsdaten!$B$6),IFERROR(VLOOKUP(C90,Steuerungsdaten!$B$17:$N$37,13,FALSE),1)-1)),0))</f>
        <v>255</v>
      </c>
    </row>
    <row r="91" spans="1:18" x14ac:dyDescent="0.25">
      <c r="A91" s="74">
        <v>3318</v>
      </c>
      <c r="B91" s="75" t="s">
        <v>7</v>
      </c>
      <c r="C91" s="75" t="s">
        <v>78</v>
      </c>
      <c r="D91" s="75" t="s">
        <v>97</v>
      </c>
      <c r="E91" s="76">
        <v>780</v>
      </c>
      <c r="F91" s="76">
        <v>1080</v>
      </c>
      <c r="G91" s="77">
        <f>IF(VLOOKUP(C91,Steuerungsdaten!$P$17:$T$39,2,0)="","",MAX(ROUND(VLOOKUP(C91,Steuerungsdaten!$P$17:$T$39,2,0)*Steuerungsdaten!$B$4*Steuerungsdaten!$B$7*IFERROR(VLOOKUP(C91,Steuerungsdaten!$B$17:$C$37,2,FALSE),1)*POWER(IF(OR(E91=0,F91=0,E91="",F91=""),1,(E91*F91/1000000)/Steuerungsdaten!$B$6),IFERROR(VLOOKUP(C91,Steuerungsdaten!$B$17:$K$37,10,FALSE),1)-1),0),Steuerungsdaten!$E$4))</f>
        <v>148</v>
      </c>
      <c r="H91" s="77">
        <f>IF(VLOOKUP(C91,Steuerungsdaten!$P$17:$T$39,3,0)="","",MAX(ROUND(VLOOKUP(C91,Steuerungsdaten!$P$17:$T$39,3,0)*Steuerungsdaten!$B$4*Steuerungsdaten!$B$8*IFERROR(VLOOKUP(C91,Steuerungsdaten!$B$17:$E$37,4,FALSE),1)*POWER(IF(OR(E91=0,F91=0,E91="",F91=""),1,(E91*F91/1000000)/Steuerungsdaten!$B$6),IFERROR(VLOOKUP(C91,Steuerungsdaten!$B$17:$L$37,11,FALSE),1)-1),0),Steuerungsdaten!$E$5))</f>
        <v>508</v>
      </c>
      <c r="I91" s="77">
        <f>IF(VLOOKUP(C91,Steuerungsdaten!$P$17:$T$39,4,0)="","",MAX(ROUND(VLOOKUP(C91,Steuerungsdaten!$P$17:$T$39,4,0)*Steuerungsdaten!$B$4*Steuerungsdaten!$B$9*IFERROR(VLOOKUP(C91,Steuerungsdaten!$B$17:$G$37,6,FALSE),1)*POWER(IF(OR(E91=0,F91=0,E91="",F91=""),1,(E91*F91/1000000)/Steuerungsdaten!$B$6),IFERROR(VLOOKUP(C91,Steuerungsdaten!$B$17:$M$37,12,FALSE),1)-1),0),Steuerungsdaten!$E$6))</f>
        <v>530</v>
      </c>
      <c r="J91" s="77">
        <f>IF(VLOOKUP(C91,Steuerungsdaten!$P$17:$T$39,5,0)="","",MAX(ROUND(VLOOKUP(C91,Steuerungsdaten!$P$17:$T$39,5,0)*Steuerungsdaten!$B$4*Steuerungsdaten!$B$10*IFERROR(VLOOKUP(C91,Steuerungsdaten!$B$17:$I$37,8,FALSE),1)*POWER(IF(OR(E91=0,F91=0,E91="",F91=""),1,(E91*F91/1000000)/Steuerungsdaten!$B$6),IFERROR(VLOOKUP(C91,Steuerungsdaten!$B$17:$N$37,13,FALSE),1)-1),0),Steuerungsdaten!$E$7))</f>
        <v>589</v>
      </c>
      <c r="K91" s="77">
        <f>IFERROR(IF(G91="","",ROUND(G91*Steuerungsdaten!$B$5,0)),"-")</f>
        <v>170</v>
      </c>
      <c r="L91" s="77">
        <f>IFERROR(IF(H91="","",ROUND(H91*Steuerungsdaten!$B$5,0)),"-")</f>
        <v>584</v>
      </c>
      <c r="M91" s="77">
        <f>IFERROR(IF(I91="","",ROUND(I91*Steuerungsdaten!$B$5,0)),"-")</f>
        <v>610</v>
      </c>
      <c r="N91" s="78" t="s">
        <v>988</v>
      </c>
      <c r="O91" s="79">
        <v>161</v>
      </c>
      <c r="P91" s="79">
        <f>IF(H91="","",ROUND(H91/(Steuerungsdaten!$B$4*Steuerungsdaten!$B$8*IFERROR(VLOOKUP(C91,Steuerungsdaten!$B$17:$E$37,4,FALSE),1)*POWER(IF(OR(E91=0,F91=0,E91="",F91=""),1,(E91*F91/1000000)/Steuerungsdaten!$B$6),IFERROR(VLOOKUP(C91,Steuerungsdaten!$B$17:$L$37,11,FALSE),1)-1)),0))</f>
        <v>240</v>
      </c>
      <c r="Q91" s="79">
        <f>IF(I91="","",ROUND(I91/(Steuerungsdaten!$B$4*Steuerungsdaten!$B$9*IFERROR(VLOOKUP(C91,Steuerungsdaten!$B$17:$G$37,6,FALSE),1)*POWER(IF(OR(E91=0,F91=0,E91="",F91=""),1,(E91*F91/1000000)/Steuerungsdaten!$B$6),IFERROR(VLOOKUP(C91,Steuerungsdaten!$B$17:$M$37,12,FALSE),1)-1)),0))</f>
        <v>250</v>
      </c>
      <c r="R91" s="79">
        <f>IF(J91="","",ROUND(J91/(Steuerungsdaten!$B$4*Steuerungsdaten!$B$10*IFERROR(VLOOKUP(C91,Steuerungsdaten!$B$17:$I$37,8,FALSE),1)*POWER(IF(OR(E91=0,F91=0,E91="",F91=""),1,(E91*F91/1000000)/Steuerungsdaten!$B$6),IFERROR(VLOOKUP(C91,Steuerungsdaten!$B$17:$N$37,13,FALSE),1)-1)),0))</f>
        <v>255</v>
      </c>
    </row>
    <row r="92" spans="1:18" x14ac:dyDescent="0.25">
      <c r="A92" s="69">
        <v>3319</v>
      </c>
      <c r="B92" s="70" t="s">
        <v>7</v>
      </c>
      <c r="C92" s="70" t="s">
        <v>78</v>
      </c>
      <c r="D92" s="70" t="s">
        <v>98</v>
      </c>
      <c r="E92" s="71">
        <v>980</v>
      </c>
      <c r="F92" s="71">
        <v>1080</v>
      </c>
      <c r="G92" s="72">
        <f>IF(VLOOKUP(C92,Steuerungsdaten!$P$17:$T$39,2,0)="","",MAX(ROUND(VLOOKUP(C92,Steuerungsdaten!$P$17:$T$39,2,0)*Steuerungsdaten!$B$4*Steuerungsdaten!$B$7*IFERROR(VLOOKUP(C92,Steuerungsdaten!$B$17:$C$37,2,FALSE),1)*POWER(IF(OR(E92=0,F92=0,E92="",F92=""),1,(E92*F92/1000000)/Steuerungsdaten!$B$6),IFERROR(VLOOKUP(C92,Steuerungsdaten!$B$17:$K$37,10,FALSE),1)-1),0),Steuerungsdaten!$E$4))</f>
        <v>186</v>
      </c>
      <c r="H92" s="72">
        <f>IF(VLOOKUP(C92,Steuerungsdaten!$P$17:$T$39,3,0)="","",MAX(ROUND(VLOOKUP(C92,Steuerungsdaten!$P$17:$T$39,3,0)*Steuerungsdaten!$B$4*Steuerungsdaten!$B$8*IFERROR(VLOOKUP(C92,Steuerungsdaten!$B$17:$E$37,4,FALSE),1)*POWER(IF(OR(E92=0,F92=0,E92="",F92=""),1,(E92*F92/1000000)/Steuerungsdaten!$B$6),IFERROR(VLOOKUP(C92,Steuerungsdaten!$B$17:$L$37,11,FALSE),1)-1),0),Steuerungsdaten!$E$5))</f>
        <v>639</v>
      </c>
      <c r="I92" s="72">
        <f>IF(VLOOKUP(C92,Steuerungsdaten!$P$17:$T$39,4,0)="","",MAX(ROUND(VLOOKUP(C92,Steuerungsdaten!$P$17:$T$39,4,0)*Steuerungsdaten!$B$4*Steuerungsdaten!$B$9*IFERROR(VLOOKUP(C92,Steuerungsdaten!$B$17:$G$37,6,FALSE),1)*POWER(IF(OR(E92=0,F92=0,E92="",F92=""),1,(E92*F92/1000000)/Steuerungsdaten!$B$6),IFERROR(VLOOKUP(C92,Steuerungsdaten!$B$17:$M$37,12,FALSE),1)-1),0),Steuerungsdaten!$E$6))</f>
        <v>665</v>
      </c>
      <c r="J92" s="72">
        <f>IF(VLOOKUP(C92,Steuerungsdaten!$P$17:$T$39,5,0)="","",MAX(ROUND(VLOOKUP(C92,Steuerungsdaten!$P$17:$T$39,5,0)*Steuerungsdaten!$B$4*Steuerungsdaten!$B$10*IFERROR(VLOOKUP(C92,Steuerungsdaten!$B$17:$I$37,8,FALSE),1)*POWER(IF(OR(E92=0,F92=0,E92="",F92=""),1,(E92*F92/1000000)/Steuerungsdaten!$B$6),IFERROR(VLOOKUP(C92,Steuerungsdaten!$B$17:$N$37,13,FALSE),1)-1),0),Steuerungsdaten!$E$7))</f>
        <v>740</v>
      </c>
      <c r="K92" s="72">
        <f>IFERROR(IF(G92="","",ROUND(G92*Steuerungsdaten!$B$5,0)),"-")</f>
        <v>214</v>
      </c>
      <c r="L92" s="72">
        <f>IFERROR(IF(H92="","",ROUND(H92*Steuerungsdaten!$B$5,0)),"-")</f>
        <v>735</v>
      </c>
      <c r="M92" s="72">
        <f>IFERROR(IF(I92="","",ROUND(I92*Steuerungsdaten!$B$5,0)),"-")</f>
        <v>765</v>
      </c>
      <c r="N92" s="73" t="s">
        <v>988</v>
      </c>
      <c r="O92" s="79">
        <v>200</v>
      </c>
      <c r="P92" s="79">
        <f>IF(H92="","",ROUND(H92/(Steuerungsdaten!$B$4*Steuerungsdaten!$B$8*IFERROR(VLOOKUP(C92,Steuerungsdaten!$B$17:$E$37,4,FALSE),1)*POWER(IF(OR(E92=0,F92=0,E92="",F92=""),1,(E92*F92/1000000)/Steuerungsdaten!$B$6),IFERROR(VLOOKUP(C92,Steuerungsdaten!$B$17:$L$37,11,FALSE),1)-1)),0))</f>
        <v>240</v>
      </c>
      <c r="Q92" s="79">
        <f>IF(I92="","",ROUND(I92/(Steuerungsdaten!$B$4*Steuerungsdaten!$B$9*IFERROR(VLOOKUP(C92,Steuerungsdaten!$B$17:$G$37,6,FALSE),1)*POWER(IF(OR(E92=0,F92=0,E92="",F92=""),1,(E92*F92/1000000)/Steuerungsdaten!$B$6),IFERROR(VLOOKUP(C92,Steuerungsdaten!$B$17:$M$37,12,FALSE),1)-1)),0))</f>
        <v>250</v>
      </c>
      <c r="R92" s="79">
        <f>IF(J92="","",ROUND(J92/(Steuerungsdaten!$B$4*Steuerungsdaten!$B$10*IFERROR(VLOOKUP(C92,Steuerungsdaten!$B$17:$I$37,8,FALSE),1)*POWER(IF(OR(E92=0,F92=0,E92="",F92=""),1,(E92*F92/1000000)/Steuerungsdaten!$B$6),IFERROR(VLOOKUP(C92,Steuerungsdaten!$B$17:$N$37,13,FALSE),1)-1)),0))</f>
        <v>255</v>
      </c>
    </row>
    <row r="93" spans="1:18" x14ac:dyDescent="0.25">
      <c r="A93" s="74">
        <v>3320</v>
      </c>
      <c r="B93" s="75" t="s">
        <v>7</v>
      </c>
      <c r="C93" s="75" t="s">
        <v>78</v>
      </c>
      <c r="D93" s="75" t="s">
        <v>99</v>
      </c>
      <c r="E93" s="76">
        <v>360</v>
      </c>
      <c r="F93" s="76">
        <v>1440</v>
      </c>
      <c r="G93" s="77">
        <f>IF(VLOOKUP(C93,Steuerungsdaten!$P$17:$T$39,2,0)="","",MAX(ROUND(VLOOKUP(C93,Steuerungsdaten!$P$17:$T$39,2,0)*Steuerungsdaten!$B$4*Steuerungsdaten!$B$7*IFERROR(VLOOKUP(C93,Steuerungsdaten!$B$17:$C$37,2,FALSE),1)*POWER(IF(OR(E93=0,F93=0,E93="",F93=""),1,(E93*F93/1000000)/Steuerungsdaten!$B$6),IFERROR(VLOOKUP(C93,Steuerungsdaten!$B$17:$K$37,10,FALSE),1)-1),0),Steuerungsdaten!$E$4))</f>
        <v>91</v>
      </c>
      <c r="H93" s="77">
        <f>IF(VLOOKUP(C93,Steuerungsdaten!$P$17:$T$39,3,0)="","",MAX(ROUND(VLOOKUP(C93,Steuerungsdaten!$P$17:$T$39,3,0)*Steuerungsdaten!$B$4*Steuerungsdaten!$B$8*IFERROR(VLOOKUP(C93,Steuerungsdaten!$B$17:$E$37,4,FALSE),1)*POWER(IF(OR(E93=0,F93=0,E93="",F93=""),1,(E93*F93/1000000)/Steuerungsdaten!$B$6),IFERROR(VLOOKUP(C93,Steuerungsdaten!$B$17:$L$37,11,FALSE),1)-1),0),Steuerungsdaten!$E$5))</f>
        <v>313</v>
      </c>
      <c r="I93" s="77">
        <f>IF(VLOOKUP(C93,Steuerungsdaten!$P$17:$T$39,4,0)="","",MAX(ROUND(VLOOKUP(C93,Steuerungsdaten!$P$17:$T$39,4,0)*Steuerungsdaten!$B$4*Steuerungsdaten!$B$9*IFERROR(VLOOKUP(C93,Steuerungsdaten!$B$17:$G$37,6,FALSE),1)*POWER(IF(OR(E93=0,F93=0,E93="",F93=""),1,(E93*F93/1000000)/Steuerungsdaten!$B$6),IFERROR(VLOOKUP(C93,Steuerungsdaten!$B$17:$M$37,12,FALSE),1)-1),0),Steuerungsdaten!$E$6))</f>
        <v>326</v>
      </c>
      <c r="J93" s="77">
        <f>IF(VLOOKUP(C93,Steuerungsdaten!$P$17:$T$39,5,0)="","",MAX(ROUND(VLOOKUP(C93,Steuerungsdaten!$P$17:$T$39,5,0)*Steuerungsdaten!$B$4*Steuerungsdaten!$B$10*IFERROR(VLOOKUP(C93,Steuerungsdaten!$B$17:$I$37,8,FALSE),1)*POWER(IF(OR(E93=0,F93=0,E93="",F93=""),1,(E93*F93/1000000)/Steuerungsdaten!$B$6),IFERROR(VLOOKUP(C93,Steuerungsdaten!$B$17:$N$37,13,FALSE),1)-1),0),Steuerungsdaten!$E$7))</f>
        <v>363</v>
      </c>
      <c r="K93" s="77">
        <f>IFERROR(IF(G93="","",ROUND(G93*Steuerungsdaten!$B$5,0)),"-")</f>
        <v>105</v>
      </c>
      <c r="L93" s="77">
        <f>IFERROR(IF(H93="","",ROUND(H93*Steuerungsdaten!$B$5,0)),"-")</f>
        <v>360</v>
      </c>
      <c r="M93" s="77">
        <f>IFERROR(IF(I93="","",ROUND(I93*Steuerungsdaten!$B$5,0)),"-")</f>
        <v>375</v>
      </c>
      <c r="N93" s="78" t="s">
        <v>988</v>
      </c>
      <c r="O93" s="79">
        <v>100</v>
      </c>
      <c r="P93" s="79">
        <f>IF(H93="","",ROUND(H93/(Steuerungsdaten!$B$4*Steuerungsdaten!$B$8*IFERROR(VLOOKUP(C93,Steuerungsdaten!$B$17:$E$37,4,FALSE),1)*POWER(IF(OR(E93=0,F93=0,E93="",F93=""),1,(E93*F93/1000000)/Steuerungsdaten!$B$6),IFERROR(VLOOKUP(C93,Steuerungsdaten!$B$17:$L$37,11,FALSE),1)-1)),0))</f>
        <v>240</v>
      </c>
      <c r="Q93" s="79">
        <f>IF(I93="","",ROUND(I93/(Steuerungsdaten!$B$4*Steuerungsdaten!$B$9*IFERROR(VLOOKUP(C93,Steuerungsdaten!$B$17:$G$37,6,FALSE),1)*POWER(IF(OR(E93=0,F93=0,E93="",F93=""),1,(E93*F93/1000000)/Steuerungsdaten!$B$6),IFERROR(VLOOKUP(C93,Steuerungsdaten!$B$17:$M$37,12,FALSE),1)-1)),0))</f>
        <v>250</v>
      </c>
      <c r="R93" s="79">
        <f>IF(J93="","",ROUND(J93/(Steuerungsdaten!$B$4*Steuerungsdaten!$B$10*IFERROR(VLOOKUP(C93,Steuerungsdaten!$B$17:$I$37,8,FALSE),1)*POWER(IF(OR(E93=0,F93=0,E93="",F93=""),1,(E93*F93/1000000)/Steuerungsdaten!$B$6),IFERROR(VLOOKUP(C93,Steuerungsdaten!$B$17:$N$37,13,FALSE),1)-1)),0))</f>
        <v>255</v>
      </c>
    </row>
    <row r="94" spans="1:18" x14ac:dyDescent="0.25">
      <c r="A94" s="69">
        <v>3321</v>
      </c>
      <c r="B94" s="70" t="s">
        <v>7</v>
      </c>
      <c r="C94" s="70" t="s">
        <v>78</v>
      </c>
      <c r="D94" s="70" t="s">
        <v>100</v>
      </c>
      <c r="E94" s="71">
        <v>420</v>
      </c>
      <c r="F94" s="71">
        <v>1440</v>
      </c>
      <c r="G94" s="72">
        <f>IF(VLOOKUP(C94,Steuerungsdaten!$P$17:$T$39,2,0)="","",MAX(ROUND(VLOOKUP(C94,Steuerungsdaten!$P$17:$T$39,2,0)*Steuerungsdaten!$B$4*Steuerungsdaten!$B$7*IFERROR(VLOOKUP(C94,Steuerungsdaten!$B$17:$C$37,2,FALSE),1)*POWER(IF(OR(E94=0,F94=0,E94="",F94=""),1,(E94*F94/1000000)/Steuerungsdaten!$B$6),IFERROR(VLOOKUP(C94,Steuerungsdaten!$B$17:$K$37,10,FALSE),1)-1),0),Steuerungsdaten!$E$4))</f>
        <v>106</v>
      </c>
      <c r="H94" s="72">
        <f>IF(VLOOKUP(C94,Steuerungsdaten!$P$17:$T$39,3,0)="","",MAX(ROUND(VLOOKUP(C94,Steuerungsdaten!$P$17:$T$39,3,0)*Steuerungsdaten!$B$4*Steuerungsdaten!$B$8*IFERROR(VLOOKUP(C94,Steuerungsdaten!$B$17:$E$37,4,FALSE),1)*POWER(IF(OR(E94=0,F94=0,E94="",F94=""),1,(E94*F94/1000000)/Steuerungsdaten!$B$6),IFERROR(VLOOKUP(C94,Steuerungsdaten!$B$17:$L$37,11,FALSE),1)-1),0),Steuerungsdaten!$E$5))</f>
        <v>365</v>
      </c>
      <c r="I94" s="72">
        <f>IF(VLOOKUP(C94,Steuerungsdaten!$P$17:$T$39,4,0)="","",MAX(ROUND(VLOOKUP(C94,Steuerungsdaten!$P$17:$T$39,4,0)*Steuerungsdaten!$B$4*Steuerungsdaten!$B$9*IFERROR(VLOOKUP(C94,Steuerungsdaten!$B$17:$G$37,6,FALSE),1)*POWER(IF(OR(E94=0,F94=0,E94="",F94=""),1,(E94*F94/1000000)/Steuerungsdaten!$B$6),IFERROR(VLOOKUP(C94,Steuerungsdaten!$B$17:$M$37,12,FALSE),1)-1),0),Steuerungsdaten!$E$6))</f>
        <v>380</v>
      </c>
      <c r="J94" s="72">
        <f>IF(VLOOKUP(C94,Steuerungsdaten!$P$17:$T$39,5,0)="","",MAX(ROUND(VLOOKUP(C94,Steuerungsdaten!$P$17:$T$39,5,0)*Steuerungsdaten!$B$4*Steuerungsdaten!$B$10*IFERROR(VLOOKUP(C94,Steuerungsdaten!$B$17:$I$37,8,FALSE),1)*POWER(IF(OR(E94=0,F94=0,E94="",F94=""),1,(E94*F94/1000000)/Steuerungsdaten!$B$6),IFERROR(VLOOKUP(C94,Steuerungsdaten!$B$17:$N$37,13,FALSE),1)-1),0),Steuerungsdaten!$E$7))</f>
        <v>423</v>
      </c>
      <c r="K94" s="72">
        <f>IFERROR(IF(G94="","",ROUND(G94*Steuerungsdaten!$B$5,0)),"-")</f>
        <v>122</v>
      </c>
      <c r="L94" s="72">
        <f>IFERROR(IF(H94="","",ROUND(H94*Steuerungsdaten!$B$5,0)),"-")</f>
        <v>420</v>
      </c>
      <c r="M94" s="72">
        <f>IFERROR(IF(I94="","",ROUND(I94*Steuerungsdaten!$B$5,0)),"-")</f>
        <v>437</v>
      </c>
      <c r="N94" s="73" t="s">
        <v>988</v>
      </c>
      <c r="O94" s="79">
        <v>115</v>
      </c>
      <c r="P94" s="79">
        <f>IF(H94="","",ROUND(H94/(Steuerungsdaten!$B$4*Steuerungsdaten!$B$8*IFERROR(VLOOKUP(C94,Steuerungsdaten!$B$17:$E$37,4,FALSE),1)*POWER(IF(OR(E94=0,F94=0,E94="",F94=""),1,(E94*F94/1000000)/Steuerungsdaten!$B$6),IFERROR(VLOOKUP(C94,Steuerungsdaten!$B$17:$L$37,11,FALSE),1)-1)),0))</f>
        <v>240</v>
      </c>
      <c r="Q94" s="79">
        <f>IF(I94="","",ROUND(I94/(Steuerungsdaten!$B$4*Steuerungsdaten!$B$9*IFERROR(VLOOKUP(C94,Steuerungsdaten!$B$17:$G$37,6,FALSE),1)*POWER(IF(OR(E94=0,F94=0,E94="",F94=""),1,(E94*F94/1000000)/Steuerungsdaten!$B$6),IFERROR(VLOOKUP(C94,Steuerungsdaten!$B$17:$M$37,12,FALSE),1)-1)),0))</f>
        <v>250</v>
      </c>
      <c r="R94" s="79">
        <f>IF(J94="","",ROUND(J94/(Steuerungsdaten!$B$4*Steuerungsdaten!$B$10*IFERROR(VLOOKUP(C94,Steuerungsdaten!$B$17:$I$37,8,FALSE),1)*POWER(IF(OR(E94=0,F94=0,E94="",F94=""),1,(E94*F94/1000000)/Steuerungsdaten!$B$6),IFERROR(VLOOKUP(C94,Steuerungsdaten!$B$17:$N$37,13,FALSE),1)-1)),0))</f>
        <v>255</v>
      </c>
    </row>
    <row r="95" spans="1:18" x14ac:dyDescent="0.25">
      <c r="A95" s="74">
        <v>3322</v>
      </c>
      <c r="B95" s="75" t="s">
        <v>7</v>
      </c>
      <c r="C95" s="75" t="s">
        <v>78</v>
      </c>
      <c r="D95" s="75" t="s">
        <v>101</v>
      </c>
      <c r="E95" s="76">
        <v>580</v>
      </c>
      <c r="F95" s="76">
        <v>1440</v>
      </c>
      <c r="G95" s="77">
        <f>IF(VLOOKUP(C95,Steuerungsdaten!$P$17:$T$39,2,0)="","",MAX(ROUND(VLOOKUP(C95,Steuerungsdaten!$P$17:$T$39,2,0)*Steuerungsdaten!$B$4*Steuerungsdaten!$B$7*IFERROR(VLOOKUP(C95,Steuerungsdaten!$B$17:$C$37,2,FALSE),1)*POWER(IF(OR(E95=0,F95=0,E95="",F95=""),1,(E95*F95/1000000)/Steuerungsdaten!$B$6),IFERROR(VLOOKUP(C95,Steuerungsdaten!$B$17:$K$37,10,FALSE),1)-1),0),Steuerungsdaten!$E$4))</f>
        <v>147</v>
      </c>
      <c r="H95" s="77">
        <f>IF(VLOOKUP(C95,Steuerungsdaten!$P$17:$T$39,3,0)="","",MAX(ROUND(VLOOKUP(C95,Steuerungsdaten!$P$17:$T$39,3,0)*Steuerungsdaten!$B$4*Steuerungsdaten!$B$8*IFERROR(VLOOKUP(C95,Steuerungsdaten!$B$17:$E$37,4,FALSE),1)*POWER(IF(OR(E95=0,F95=0,E95="",F95=""),1,(E95*F95/1000000)/Steuerungsdaten!$B$6),IFERROR(VLOOKUP(C95,Steuerungsdaten!$B$17:$L$37,11,FALSE),1)-1),0),Steuerungsdaten!$E$5))</f>
        <v>504</v>
      </c>
      <c r="I95" s="77">
        <f>IF(VLOOKUP(C95,Steuerungsdaten!$P$17:$T$39,4,0)="","",MAX(ROUND(VLOOKUP(C95,Steuerungsdaten!$P$17:$T$39,4,0)*Steuerungsdaten!$B$4*Steuerungsdaten!$B$9*IFERROR(VLOOKUP(C95,Steuerungsdaten!$B$17:$G$37,6,FALSE),1)*POWER(IF(OR(E95=0,F95=0,E95="",F95=""),1,(E95*F95/1000000)/Steuerungsdaten!$B$6),IFERROR(VLOOKUP(C95,Steuerungsdaten!$B$17:$M$37,12,FALSE),1)-1),0),Steuerungsdaten!$E$6))</f>
        <v>525</v>
      </c>
      <c r="J95" s="77">
        <f>IF(VLOOKUP(C95,Steuerungsdaten!$P$17:$T$39,5,0)="","",MAX(ROUND(VLOOKUP(C95,Steuerungsdaten!$P$17:$T$39,5,0)*Steuerungsdaten!$B$4*Steuerungsdaten!$B$10*IFERROR(VLOOKUP(C95,Steuerungsdaten!$B$17:$I$37,8,FALSE),1)*POWER(IF(OR(E95=0,F95=0,E95="",F95=""),1,(E95*F95/1000000)/Steuerungsdaten!$B$6),IFERROR(VLOOKUP(C95,Steuerungsdaten!$B$17:$N$37,13,FALSE),1)-1),0),Steuerungsdaten!$E$7))</f>
        <v>584</v>
      </c>
      <c r="K95" s="77">
        <f>IFERROR(IF(G95="","",ROUND(G95*Steuerungsdaten!$B$5,0)),"-")</f>
        <v>169</v>
      </c>
      <c r="L95" s="77">
        <f>IFERROR(IF(H95="","",ROUND(H95*Steuerungsdaten!$B$5,0)),"-")</f>
        <v>580</v>
      </c>
      <c r="M95" s="77">
        <f>IFERROR(IF(I95="","",ROUND(I95*Steuerungsdaten!$B$5,0)),"-")</f>
        <v>604</v>
      </c>
      <c r="N95" s="78" t="s">
        <v>988</v>
      </c>
      <c r="O95" s="79">
        <v>158</v>
      </c>
      <c r="P95" s="79">
        <f>IF(H95="","",ROUND(H95/(Steuerungsdaten!$B$4*Steuerungsdaten!$B$8*IFERROR(VLOOKUP(C95,Steuerungsdaten!$B$17:$E$37,4,FALSE),1)*POWER(IF(OR(E95=0,F95=0,E95="",F95=""),1,(E95*F95/1000000)/Steuerungsdaten!$B$6),IFERROR(VLOOKUP(C95,Steuerungsdaten!$B$17:$L$37,11,FALSE),1)-1)),0))</f>
        <v>240</v>
      </c>
      <c r="Q95" s="79">
        <f>IF(I95="","",ROUND(I95/(Steuerungsdaten!$B$4*Steuerungsdaten!$B$9*IFERROR(VLOOKUP(C95,Steuerungsdaten!$B$17:$G$37,6,FALSE),1)*POWER(IF(OR(E95=0,F95=0,E95="",F95=""),1,(E95*F95/1000000)/Steuerungsdaten!$B$6),IFERROR(VLOOKUP(C95,Steuerungsdaten!$B$17:$M$37,12,FALSE),1)-1)),0))</f>
        <v>250</v>
      </c>
      <c r="R95" s="79">
        <f>IF(J95="","",ROUND(J95/(Steuerungsdaten!$B$4*Steuerungsdaten!$B$10*IFERROR(VLOOKUP(C95,Steuerungsdaten!$B$17:$I$37,8,FALSE),1)*POWER(IF(OR(E95=0,F95=0,E95="",F95=""),1,(E95*F95/1000000)/Steuerungsdaten!$B$6),IFERROR(VLOOKUP(C95,Steuerungsdaten!$B$17:$N$37,13,FALSE),1)-1)),0))</f>
        <v>255</v>
      </c>
    </row>
    <row r="96" spans="1:18" x14ac:dyDescent="0.25">
      <c r="A96" s="69">
        <v>3323</v>
      </c>
      <c r="B96" s="70" t="s">
        <v>7</v>
      </c>
      <c r="C96" s="70" t="s">
        <v>78</v>
      </c>
      <c r="D96" s="70" t="s">
        <v>102</v>
      </c>
      <c r="E96" s="71">
        <v>780</v>
      </c>
      <c r="F96" s="71">
        <v>1440</v>
      </c>
      <c r="G96" s="72">
        <f>IF(VLOOKUP(C96,Steuerungsdaten!$P$17:$T$39,2,0)="","",MAX(ROUND(VLOOKUP(C96,Steuerungsdaten!$P$17:$T$39,2,0)*Steuerungsdaten!$B$4*Steuerungsdaten!$B$7*IFERROR(VLOOKUP(C96,Steuerungsdaten!$B$17:$C$37,2,FALSE),1)*POWER(IF(OR(E96=0,F96=0,E96="",F96=""),1,(E96*F96/1000000)/Steuerungsdaten!$B$6),IFERROR(VLOOKUP(C96,Steuerungsdaten!$B$17:$K$37,10,FALSE),1)-1),0),Steuerungsdaten!$E$4))</f>
        <v>198</v>
      </c>
      <c r="H96" s="72">
        <f>IF(VLOOKUP(C96,Steuerungsdaten!$P$17:$T$39,3,0)="","",MAX(ROUND(VLOOKUP(C96,Steuerungsdaten!$P$17:$T$39,3,0)*Steuerungsdaten!$B$4*Steuerungsdaten!$B$8*IFERROR(VLOOKUP(C96,Steuerungsdaten!$B$17:$E$37,4,FALSE),1)*POWER(IF(OR(E96=0,F96=0,E96="",F96=""),1,(E96*F96/1000000)/Steuerungsdaten!$B$6),IFERROR(VLOOKUP(C96,Steuerungsdaten!$B$17:$L$37,11,FALSE),1)-1),0),Steuerungsdaten!$E$5))</f>
        <v>678</v>
      </c>
      <c r="I96" s="72">
        <f>IF(VLOOKUP(C96,Steuerungsdaten!$P$17:$T$39,4,0)="","",MAX(ROUND(VLOOKUP(C96,Steuerungsdaten!$P$17:$T$39,4,0)*Steuerungsdaten!$B$4*Steuerungsdaten!$B$9*IFERROR(VLOOKUP(C96,Steuerungsdaten!$B$17:$G$37,6,FALSE),1)*POWER(IF(OR(E96=0,F96=0,E96="",F96=""),1,(E96*F96/1000000)/Steuerungsdaten!$B$6),IFERROR(VLOOKUP(C96,Steuerungsdaten!$B$17:$M$37,12,FALSE),1)-1),0),Steuerungsdaten!$E$6))</f>
        <v>706</v>
      </c>
      <c r="J96" s="72">
        <f>IF(VLOOKUP(C96,Steuerungsdaten!$P$17:$T$39,5,0)="","",MAX(ROUND(VLOOKUP(C96,Steuerungsdaten!$P$17:$T$39,5,0)*Steuerungsdaten!$B$4*Steuerungsdaten!$B$10*IFERROR(VLOOKUP(C96,Steuerungsdaten!$B$17:$I$37,8,FALSE),1)*POWER(IF(OR(E96=0,F96=0,E96="",F96=""),1,(E96*F96/1000000)/Steuerungsdaten!$B$6),IFERROR(VLOOKUP(C96,Steuerungsdaten!$B$17:$N$37,13,FALSE),1)-1),0),Steuerungsdaten!$E$7))</f>
        <v>786</v>
      </c>
      <c r="K96" s="72">
        <f>IFERROR(IF(G96="","",ROUND(G96*Steuerungsdaten!$B$5,0)),"-")</f>
        <v>228</v>
      </c>
      <c r="L96" s="72">
        <f>IFERROR(IF(H96="","",ROUND(H96*Steuerungsdaten!$B$5,0)),"-")</f>
        <v>780</v>
      </c>
      <c r="M96" s="72">
        <f>IFERROR(IF(I96="","",ROUND(I96*Steuerungsdaten!$B$5,0)),"-")</f>
        <v>812</v>
      </c>
      <c r="N96" s="73" t="s">
        <v>988</v>
      </c>
      <c r="O96" s="79">
        <v>211</v>
      </c>
      <c r="P96" s="79">
        <f>IF(H96="","",ROUND(H96/(Steuerungsdaten!$B$4*Steuerungsdaten!$B$8*IFERROR(VLOOKUP(C96,Steuerungsdaten!$B$17:$E$37,4,FALSE),1)*POWER(IF(OR(E96=0,F96=0,E96="",F96=""),1,(E96*F96/1000000)/Steuerungsdaten!$B$6),IFERROR(VLOOKUP(C96,Steuerungsdaten!$B$17:$L$37,11,FALSE),1)-1)),0))</f>
        <v>240</v>
      </c>
      <c r="Q96" s="79">
        <f>IF(I96="","",ROUND(I96/(Steuerungsdaten!$B$4*Steuerungsdaten!$B$9*IFERROR(VLOOKUP(C96,Steuerungsdaten!$B$17:$G$37,6,FALSE),1)*POWER(IF(OR(E96=0,F96=0,E96="",F96=""),1,(E96*F96/1000000)/Steuerungsdaten!$B$6),IFERROR(VLOOKUP(C96,Steuerungsdaten!$B$17:$M$37,12,FALSE),1)-1)),0))</f>
        <v>250</v>
      </c>
      <c r="R96" s="79">
        <f>IF(J96="","",ROUND(J96/(Steuerungsdaten!$B$4*Steuerungsdaten!$B$10*IFERROR(VLOOKUP(C96,Steuerungsdaten!$B$17:$I$37,8,FALSE),1)*POWER(IF(OR(E96=0,F96=0,E96="",F96=""),1,(E96*F96/1000000)/Steuerungsdaten!$B$6),IFERROR(VLOOKUP(C96,Steuerungsdaten!$B$17:$N$37,13,FALSE),1)-1)),0))</f>
        <v>255</v>
      </c>
    </row>
    <row r="97" spans="1:18" x14ac:dyDescent="0.25">
      <c r="A97" s="74">
        <v>3324</v>
      </c>
      <c r="B97" s="75" t="s">
        <v>7</v>
      </c>
      <c r="C97" s="75" t="s">
        <v>78</v>
      </c>
      <c r="D97" s="75" t="s">
        <v>103</v>
      </c>
      <c r="E97" s="76">
        <v>980</v>
      </c>
      <c r="F97" s="76">
        <v>1440</v>
      </c>
      <c r="G97" s="77">
        <f>IF(VLOOKUP(C97,Steuerungsdaten!$P$17:$T$39,2,0)="","",MAX(ROUND(VLOOKUP(C97,Steuerungsdaten!$P$17:$T$39,2,0)*Steuerungsdaten!$B$4*Steuerungsdaten!$B$7*IFERROR(VLOOKUP(C97,Steuerungsdaten!$B$17:$C$37,2,FALSE),1)*POWER(IF(OR(E97=0,F97=0,E97="",F97=""),1,(E97*F97/1000000)/Steuerungsdaten!$B$6),IFERROR(VLOOKUP(C97,Steuerungsdaten!$B$17:$K$37,10,FALSE),1)-1),0),Steuerungsdaten!$E$4))</f>
        <v>248</v>
      </c>
      <c r="H97" s="77">
        <f>IF(VLOOKUP(C97,Steuerungsdaten!$P$17:$T$39,3,0)="","",MAX(ROUND(VLOOKUP(C97,Steuerungsdaten!$P$17:$T$39,3,0)*Steuerungsdaten!$B$4*Steuerungsdaten!$B$8*IFERROR(VLOOKUP(C97,Steuerungsdaten!$B$17:$E$37,4,FALSE),1)*POWER(IF(OR(E97=0,F97=0,E97="",F97=""),1,(E97*F97/1000000)/Steuerungsdaten!$B$6),IFERROR(VLOOKUP(C97,Steuerungsdaten!$B$17:$L$37,11,FALSE),1)-1),0),Steuerungsdaten!$E$5))</f>
        <v>852</v>
      </c>
      <c r="I97" s="77">
        <f>IF(VLOOKUP(C97,Steuerungsdaten!$P$17:$T$39,4,0)="","",MAX(ROUND(VLOOKUP(C97,Steuerungsdaten!$P$17:$T$39,4,0)*Steuerungsdaten!$B$4*Steuerungsdaten!$B$9*IFERROR(VLOOKUP(C97,Steuerungsdaten!$B$17:$G$37,6,FALSE),1)*POWER(IF(OR(E97=0,F97=0,E97="",F97=""),1,(E97*F97/1000000)/Steuerungsdaten!$B$6),IFERROR(VLOOKUP(C97,Steuerungsdaten!$B$17:$M$37,12,FALSE),1)-1),0),Steuerungsdaten!$E$6))</f>
        <v>887</v>
      </c>
      <c r="J97" s="77">
        <f>IF(VLOOKUP(C97,Steuerungsdaten!$P$17:$T$39,5,0)="","",MAX(ROUND(VLOOKUP(C97,Steuerungsdaten!$P$17:$T$39,5,0)*Steuerungsdaten!$B$4*Steuerungsdaten!$B$10*IFERROR(VLOOKUP(C97,Steuerungsdaten!$B$17:$I$37,8,FALSE),1)*POWER(IF(OR(E97=0,F97=0,E97="",F97=""),1,(E97*F97/1000000)/Steuerungsdaten!$B$6),IFERROR(VLOOKUP(C97,Steuerungsdaten!$B$17:$N$37,13,FALSE),1)-1),0),Steuerungsdaten!$E$7))</f>
        <v>987</v>
      </c>
      <c r="K97" s="77">
        <f>IFERROR(IF(G97="","",ROUND(G97*Steuerungsdaten!$B$5,0)),"-")</f>
        <v>285</v>
      </c>
      <c r="L97" s="77">
        <f>IFERROR(IF(H97="","",ROUND(H97*Steuerungsdaten!$B$5,0)),"-")</f>
        <v>980</v>
      </c>
      <c r="M97" s="77">
        <f>IFERROR(IF(I97="","",ROUND(I97*Steuerungsdaten!$B$5,0)),"-")</f>
        <v>1020</v>
      </c>
      <c r="N97" s="78" t="s">
        <v>988</v>
      </c>
      <c r="O97" s="79">
        <v>264</v>
      </c>
      <c r="P97" s="79">
        <f>IF(H97="","",ROUND(H97/(Steuerungsdaten!$B$4*Steuerungsdaten!$B$8*IFERROR(VLOOKUP(C97,Steuerungsdaten!$B$17:$E$37,4,FALSE),1)*POWER(IF(OR(E97=0,F97=0,E97="",F97=""),1,(E97*F97/1000000)/Steuerungsdaten!$B$6),IFERROR(VLOOKUP(C97,Steuerungsdaten!$B$17:$L$37,11,FALSE),1)-1)),0))</f>
        <v>240</v>
      </c>
      <c r="Q97" s="79">
        <f>IF(I97="","",ROUND(I97/(Steuerungsdaten!$B$4*Steuerungsdaten!$B$9*IFERROR(VLOOKUP(C97,Steuerungsdaten!$B$17:$G$37,6,FALSE),1)*POWER(IF(OR(E97=0,F97=0,E97="",F97=""),1,(E97*F97/1000000)/Steuerungsdaten!$B$6),IFERROR(VLOOKUP(C97,Steuerungsdaten!$B$17:$M$37,12,FALSE),1)-1)),0))</f>
        <v>250</v>
      </c>
      <c r="R97" s="79">
        <f>IF(J97="","",ROUND(J97/(Steuerungsdaten!$B$4*Steuerungsdaten!$B$10*IFERROR(VLOOKUP(C97,Steuerungsdaten!$B$17:$I$37,8,FALSE),1)*POWER(IF(OR(E97=0,F97=0,E97="",F97=""),1,(E97*F97/1000000)/Steuerungsdaten!$B$6),IFERROR(VLOOKUP(C97,Steuerungsdaten!$B$17:$N$37,13,FALSE),1)-1)),0))</f>
        <v>255</v>
      </c>
    </row>
    <row r="98" spans="1:18" x14ac:dyDescent="0.25">
      <c r="A98" s="69">
        <v>3325</v>
      </c>
      <c r="B98" s="70" t="s">
        <v>7</v>
      </c>
      <c r="C98" s="70" t="s">
        <v>78</v>
      </c>
      <c r="D98" s="70" t="s">
        <v>104</v>
      </c>
      <c r="E98" s="71">
        <v>360</v>
      </c>
      <c r="F98" s="71">
        <v>1800</v>
      </c>
      <c r="G98" s="72">
        <f>IF(VLOOKUP(C98,Steuerungsdaten!$P$17:$T$39,2,0)="","",MAX(ROUND(VLOOKUP(C98,Steuerungsdaten!$P$17:$T$39,2,0)*Steuerungsdaten!$B$4*Steuerungsdaten!$B$7*IFERROR(VLOOKUP(C98,Steuerungsdaten!$B$17:$C$37,2,FALSE),1)*POWER(IF(OR(E98=0,F98=0,E98="",F98=""),1,(E98*F98/1000000)/Steuerungsdaten!$B$6),IFERROR(VLOOKUP(C98,Steuerungsdaten!$B$17:$K$37,10,FALSE),1)-1),0),Steuerungsdaten!$E$4))</f>
        <v>114</v>
      </c>
      <c r="H98" s="72">
        <f>IF(VLOOKUP(C98,Steuerungsdaten!$P$17:$T$39,3,0)="","",MAX(ROUND(VLOOKUP(C98,Steuerungsdaten!$P$17:$T$39,3,0)*Steuerungsdaten!$B$4*Steuerungsdaten!$B$8*IFERROR(VLOOKUP(C98,Steuerungsdaten!$B$17:$E$37,4,FALSE),1)*POWER(IF(OR(E98=0,F98=0,E98="",F98=""),1,(E98*F98/1000000)/Steuerungsdaten!$B$6),IFERROR(VLOOKUP(C98,Steuerungsdaten!$B$17:$L$37,11,FALSE),1)-1),0),Steuerungsdaten!$E$5))</f>
        <v>391</v>
      </c>
      <c r="I98" s="72">
        <f>IF(VLOOKUP(C98,Steuerungsdaten!$P$17:$T$39,4,0)="","",MAX(ROUND(VLOOKUP(C98,Steuerungsdaten!$P$17:$T$39,4,0)*Steuerungsdaten!$B$4*Steuerungsdaten!$B$9*IFERROR(VLOOKUP(C98,Steuerungsdaten!$B$17:$G$37,6,FALSE),1)*POWER(IF(OR(E98=0,F98=0,E98="",F98=""),1,(E98*F98/1000000)/Steuerungsdaten!$B$6),IFERROR(VLOOKUP(C98,Steuerungsdaten!$B$17:$M$37,12,FALSE),1)-1),0),Steuerungsdaten!$E$6))</f>
        <v>407</v>
      </c>
      <c r="J98" s="72">
        <f>IF(VLOOKUP(C98,Steuerungsdaten!$P$17:$T$39,5,0)="","",MAX(ROUND(VLOOKUP(C98,Steuerungsdaten!$P$17:$T$39,5,0)*Steuerungsdaten!$B$4*Steuerungsdaten!$B$10*IFERROR(VLOOKUP(C98,Steuerungsdaten!$B$17:$I$37,8,FALSE),1)*POWER(IF(OR(E98=0,F98=0,E98="",F98=""),1,(E98*F98/1000000)/Steuerungsdaten!$B$6),IFERROR(VLOOKUP(C98,Steuerungsdaten!$B$17:$N$37,13,FALSE),1)-1),0),Steuerungsdaten!$E$7))</f>
        <v>453</v>
      </c>
      <c r="K98" s="72">
        <f>IFERROR(IF(G98="","",ROUND(G98*Steuerungsdaten!$B$5,0)),"-")</f>
        <v>131</v>
      </c>
      <c r="L98" s="72">
        <f>IFERROR(IF(H98="","",ROUND(H98*Steuerungsdaten!$B$5,0)),"-")</f>
        <v>450</v>
      </c>
      <c r="M98" s="72">
        <f>IFERROR(IF(I98="","",ROUND(I98*Steuerungsdaten!$B$5,0)),"-")</f>
        <v>468</v>
      </c>
      <c r="N98" s="73" t="s">
        <v>988</v>
      </c>
      <c r="O98" s="79">
        <v>125</v>
      </c>
      <c r="P98" s="79">
        <f>IF(H98="","",ROUND(H98/(Steuerungsdaten!$B$4*Steuerungsdaten!$B$8*IFERROR(VLOOKUP(C98,Steuerungsdaten!$B$17:$E$37,4,FALSE),1)*POWER(IF(OR(E98=0,F98=0,E98="",F98=""),1,(E98*F98/1000000)/Steuerungsdaten!$B$6),IFERROR(VLOOKUP(C98,Steuerungsdaten!$B$17:$L$37,11,FALSE),1)-1)),0))</f>
        <v>240</v>
      </c>
      <c r="Q98" s="79">
        <f>IF(I98="","",ROUND(I98/(Steuerungsdaten!$B$4*Steuerungsdaten!$B$9*IFERROR(VLOOKUP(C98,Steuerungsdaten!$B$17:$G$37,6,FALSE),1)*POWER(IF(OR(E98=0,F98=0,E98="",F98=""),1,(E98*F98/1000000)/Steuerungsdaten!$B$6),IFERROR(VLOOKUP(C98,Steuerungsdaten!$B$17:$M$37,12,FALSE),1)-1)),0))</f>
        <v>250</v>
      </c>
      <c r="R98" s="79">
        <f>IF(J98="","",ROUND(J98/(Steuerungsdaten!$B$4*Steuerungsdaten!$B$10*IFERROR(VLOOKUP(C98,Steuerungsdaten!$B$17:$I$37,8,FALSE),1)*POWER(IF(OR(E98=0,F98=0,E98="",F98=""),1,(E98*F98/1000000)/Steuerungsdaten!$B$6),IFERROR(VLOOKUP(C98,Steuerungsdaten!$B$17:$N$37,13,FALSE),1)-1)),0))</f>
        <v>255</v>
      </c>
    </row>
    <row r="99" spans="1:18" x14ac:dyDescent="0.25">
      <c r="A99" s="74">
        <v>3326</v>
      </c>
      <c r="B99" s="75" t="s">
        <v>7</v>
      </c>
      <c r="C99" s="75" t="s">
        <v>78</v>
      </c>
      <c r="D99" s="75" t="s">
        <v>105</v>
      </c>
      <c r="E99" s="76">
        <v>420</v>
      </c>
      <c r="F99" s="76">
        <v>1800</v>
      </c>
      <c r="G99" s="77">
        <f>IF(VLOOKUP(C99,Steuerungsdaten!$P$17:$T$39,2,0)="","",MAX(ROUND(VLOOKUP(C99,Steuerungsdaten!$P$17:$T$39,2,0)*Steuerungsdaten!$B$4*Steuerungsdaten!$B$7*IFERROR(VLOOKUP(C99,Steuerungsdaten!$B$17:$C$37,2,FALSE),1)*POWER(IF(OR(E99=0,F99=0,E99="",F99=""),1,(E99*F99/1000000)/Steuerungsdaten!$B$6),IFERROR(VLOOKUP(C99,Steuerungsdaten!$B$17:$K$37,10,FALSE),1)-1),0),Steuerungsdaten!$E$4))</f>
        <v>133</v>
      </c>
      <c r="H99" s="77">
        <f>IF(VLOOKUP(C99,Steuerungsdaten!$P$17:$T$39,3,0)="","",MAX(ROUND(VLOOKUP(C99,Steuerungsdaten!$P$17:$T$39,3,0)*Steuerungsdaten!$B$4*Steuerungsdaten!$B$8*IFERROR(VLOOKUP(C99,Steuerungsdaten!$B$17:$E$37,4,FALSE),1)*POWER(IF(OR(E99=0,F99=0,E99="",F99=""),1,(E99*F99/1000000)/Steuerungsdaten!$B$6),IFERROR(VLOOKUP(C99,Steuerungsdaten!$B$17:$L$37,11,FALSE),1)-1),0),Steuerungsdaten!$E$5))</f>
        <v>456</v>
      </c>
      <c r="I99" s="77">
        <f>IF(VLOOKUP(C99,Steuerungsdaten!$P$17:$T$39,4,0)="","",MAX(ROUND(VLOOKUP(C99,Steuerungsdaten!$P$17:$T$39,4,0)*Steuerungsdaten!$B$4*Steuerungsdaten!$B$9*IFERROR(VLOOKUP(C99,Steuerungsdaten!$B$17:$G$37,6,FALSE),1)*POWER(IF(OR(E99=0,F99=0,E99="",F99=""),1,(E99*F99/1000000)/Steuerungsdaten!$B$6),IFERROR(VLOOKUP(C99,Steuerungsdaten!$B$17:$M$37,12,FALSE),1)-1),0),Steuerungsdaten!$E$6))</f>
        <v>475</v>
      </c>
      <c r="J99" s="77">
        <f>IF(VLOOKUP(C99,Steuerungsdaten!$P$17:$T$39,5,0)="","",MAX(ROUND(VLOOKUP(C99,Steuerungsdaten!$P$17:$T$39,5,0)*Steuerungsdaten!$B$4*Steuerungsdaten!$B$10*IFERROR(VLOOKUP(C99,Steuerungsdaten!$B$17:$I$37,8,FALSE),1)*POWER(IF(OR(E99=0,F99=0,E99="",F99=""),1,(E99*F99/1000000)/Steuerungsdaten!$B$6),IFERROR(VLOOKUP(C99,Steuerungsdaten!$B$17:$N$37,13,FALSE),1)-1),0),Steuerungsdaten!$E$7))</f>
        <v>529</v>
      </c>
      <c r="K99" s="77">
        <f>IFERROR(IF(G99="","",ROUND(G99*Steuerungsdaten!$B$5,0)),"-")</f>
        <v>153</v>
      </c>
      <c r="L99" s="77">
        <f>IFERROR(IF(H99="","",ROUND(H99*Steuerungsdaten!$B$5,0)),"-")</f>
        <v>524</v>
      </c>
      <c r="M99" s="77">
        <f>IFERROR(IF(I99="","",ROUND(I99*Steuerungsdaten!$B$5,0)),"-")</f>
        <v>546</v>
      </c>
      <c r="N99" s="78" t="s">
        <v>988</v>
      </c>
      <c r="O99" s="79">
        <v>143</v>
      </c>
      <c r="P99" s="79">
        <f>IF(H99="","",ROUND(H99/(Steuerungsdaten!$B$4*Steuerungsdaten!$B$8*IFERROR(VLOOKUP(C99,Steuerungsdaten!$B$17:$E$37,4,FALSE),1)*POWER(IF(OR(E99=0,F99=0,E99="",F99=""),1,(E99*F99/1000000)/Steuerungsdaten!$B$6),IFERROR(VLOOKUP(C99,Steuerungsdaten!$B$17:$L$37,11,FALSE),1)-1)),0))</f>
        <v>240</v>
      </c>
      <c r="Q99" s="79">
        <f>IF(I99="","",ROUND(I99/(Steuerungsdaten!$B$4*Steuerungsdaten!$B$9*IFERROR(VLOOKUP(C99,Steuerungsdaten!$B$17:$G$37,6,FALSE),1)*POWER(IF(OR(E99=0,F99=0,E99="",F99=""),1,(E99*F99/1000000)/Steuerungsdaten!$B$6),IFERROR(VLOOKUP(C99,Steuerungsdaten!$B$17:$M$37,12,FALSE),1)-1)),0))</f>
        <v>250</v>
      </c>
      <c r="R99" s="79">
        <f>IF(J99="","",ROUND(J99/(Steuerungsdaten!$B$4*Steuerungsdaten!$B$10*IFERROR(VLOOKUP(C99,Steuerungsdaten!$B$17:$I$37,8,FALSE),1)*POWER(IF(OR(E99=0,F99=0,E99="",F99=""),1,(E99*F99/1000000)/Steuerungsdaten!$B$6),IFERROR(VLOOKUP(C99,Steuerungsdaten!$B$17:$N$37,13,FALSE),1)-1)),0))</f>
        <v>255</v>
      </c>
    </row>
    <row r="100" spans="1:18" x14ac:dyDescent="0.25">
      <c r="A100" s="69">
        <v>3327</v>
      </c>
      <c r="B100" s="70" t="s">
        <v>7</v>
      </c>
      <c r="C100" s="70" t="s">
        <v>78</v>
      </c>
      <c r="D100" s="70" t="s">
        <v>106</v>
      </c>
      <c r="E100" s="71">
        <v>580</v>
      </c>
      <c r="F100" s="71">
        <v>1800</v>
      </c>
      <c r="G100" s="72">
        <f>IF(VLOOKUP(C100,Steuerungsdaten!$P$17:$T$39,2,0)="","",MAX(ROUND(VLOOKUP(C100,Steuerungsdaten!$P$17:$T$39,2,0)*Steuerungsdaten!$B$4*Steuerungsdaten!$B$7*IFERROR(VLOOKUP(C100,Steuerungsdaten!$B$17:$C$37,2,FALSE),1)*POWER(IF(OR(E100=0,F100=0,E100="",F100=""),1,(E100*F100/1000000)/Steuerungsdaten!$B$6),IFERROR(VLOOKUP(C100,Steuerungsdaten!$B$17:$K$37,10,FALSE),1)-1),0),Steuerungsdaten!$E$4))</f>
        <v>184</v>
      </c>
      <c r="H100" s="72">
        <f>IF(VLOOKUP(C100,Steuerungsdaten!$P$17:$T$39,3,0)="","",MAX(ROUND(VLOOKUP(C100,Steuerungsdaten!$P$17:$T$39,3,0)*Steuerungsdaten!$B$4*Steuerungsdaten!$B$8*IFERROR(VLOOKUP(C100,Steuerungsdaten!$B$17:$E$37,4,FALSE),1)*POWER(IF(OR(E100=0,F100=0,E100="",F100=""),1,(E100*F100/1000000)/Steuerungsdaten!$B$6),IFERROR(VLOOKUP(C100,Steuerungsdaten!$B$17:$L$37,11,FALSE),1)-1),0),Steuerungsdaten!$E$5))</f>
        <v>630</v>
      </c>
      <c r="I100" s="72">
        <f>IF(VLOOKUP(C100,Steuerungsdaten!$P$17:$T$39,4,0)="","",MAX(ROUND(VLOOKUP(C100,Steuerungsdaten!$P$17:$T$39,4,0)*Steuerungsdaten!$B$4*Steuerungsdaten!$B$9*IFERROR(VLOOKUP(C100,Steuerungsdaten!$B$17:$G$37,6,FALSE),1)*POWER(IF(OR(E100=0,F100=0,E100="",F100=""),1,(E100*F100/1000000)/Steuerungsdaten!$B$6),IFERROR(VLOOKUP(C100,Steuerungsdaten!$B$17:$M$37,12,FALSE),1)-1),0),Steuerungsdaten!$E$6))</f>
        <v>656</v>
      </c>
      <c r="J100" s="72">
        <f>IF(VLOOKUP(C100,Steuerungsdaten!$P$17:$T$39,5,0)="","",MAX(ROUND(VLOOKUP(C100,Steuerungsdaten!$P$17:$T$39,5,0)*Steuerungsdaten!$B$4*Steuerungsdaten!$B$10*IFERROR(VLOOKUP(C100,Steuerungsdaten!$B$17:$I$37,8,FALSE),1)*POWER(IF(OR(E100=0,F100=0,E100="",F100=""),1,(E100*F100/1000000)/Steuerungsdaten!$B$6),IFERROR(VLOOKUP(C100,Steuerungsdaten!$B$17:$N$37,13,FALSE),1)-1),0),Steuerungsdaten!$E$7))</f>
        <v>730</v>
      </c>
      <c r="K100" s="72">
        <f>IFERROR(IF(G100="","",ROUND(G100*Steuerungsdaten!$B$5,0)),"-")</f>
        <v>212</v>
      </c>
      <c r="L100" s="72">
        <f>IFERROR(IF(H100="","",ROUND(H100*Steuerungsdaten!$B$5,0)),"-")</f>
        <v>725</v>
      </c>
      <c r="M100" s="72">
        <f>IFERROR(IF(I100="","",ROUND(I100*Steuerungsdaten!$B$5,0)),"-")</f>
        <v>754</v>
      </c>
      <c r="N100" s="73" t="s">
        <v>988</v>
      </c>
      <c r="O100" s="79">
        <v>197</v>
      </c>
      <c r="P100" s="79">
        <f>IF(H100="","",ROUND(H100/(Steuerungsdaten!$B$4*Steuerungsdaten!$B$8*IFERROR(VLOOKUP(C100,Steuerungsdaten!$B$17:$E$37,4,FALSE),1)*POWER(IF(OR(E100=0,F100=0,E100="",F100=""),1,(E100*F100/1000000)/Steuerungsdaten!$B$6),IFERROR(VLOOKUP(C100,Steuerungsdaten!$B$17:$L$37,11,FALSE),1)-1)),0))</f>
        <v>240</v>
      </c>
      <c r="Q100" s="79">
        <f>IF(I100="","",ROUND(I100/(Steuerungsdaten!$B$4*Steuerungsdaten!$B$9*IFERROR(VLOOKUP(C100,Steuerungsdaten!$B$17:$G$37,6,FALSE),1)*POWER(IF(OR(E100=0,F100=0,E100="",F100=""),1,(E100*F100/1000000)/Steuerungsdaten!$B$6),IFERROR(VLOOKUP(C100,Steuerungsdaten!$B$17:$M$37,12,FALSE),1)-1)),0))</f>
        <v>250</v>
      </c>
      <c r="R100" s="79">
        <f>IF(J100="","",ROUND(J100/(Steuerungsdaten!$B$4*Steuerungsdaten!$B$10*IFERROR(VLOOKUP(C100,Steuerungsdaten!$B$17:$I$37,8,FALSE),1)*POWER(IF(OR(E100=0,F100=0,E100="",F100=""),1,(E100*F100/1000000)/Steuerungsdaten!$B$6),IFERROR(VLOOKUP(C100,Steuerungsdaten!$B$17:$N$37,13,FALSE),1)-1)),0))</f>
        <v>255</v>
      </c>
    </row>
    <row r="101" spans="1:18" x14ac:dyDescent="0.25">
      <c r="A101" s="74">
        <v>3328</v>
      </c>
      <c r="B101" s="75" t="s">
        <v>7</v>
      </c>
      <c r="C101" s="75" t="s">
        <v>78</v>
      </c>
      <c r="D101" s="75" t="s">
        <v>107</v>
      </c>
      <c r="E101" s="76">
        <v>780</v>
      </c>
      <c r="F101" s="76">
        <v>1800</v>
      </c>
      <c r="G101" s="77" t="s">
        <v>988</v>
      </c>
      <c r="H101" s="77" t="s">
        <v>988</v>
      </c>
      <c r="I101" s="77" t="s">
        <v>988</v>
      </c>
      <c r="J101" s="77" t="s">
        <v>988</v>
      </c>
      <c r="K101" s="77" t="s">
        <v>988</v>
      </c>
      <c r="L101" s="77" t="s">
        <v>988</v>
      </c>
      <c r="M101" s="77" t="s">
        <v>988</v>
      </c>
      <c r="N101" s="78" t="s">
        <v>988</v>
      </c>
      <c r="O101" s="79">
        <v>264</v>
      </c>
      <c r="P101" s="79" t="e">
        <f>IF(H101="","",ROUND(H101/(Steuerungsdaten!$B$4*Steuerungsdaten!$B$8*IFERROR(VLOOKUP(C101,Steuerungsdaten!$B$17:$E$37,4,FALSE),1)*POWER(IF(OR(E101=0,F101=0,E101="",F101=""),1,(E101*F101/1000000)/Steuerungsdaten!$B$6),IFERROR(VLOOKUP(C101,Steuerungsdaten!$B$17:$L$37,11,FALSE),1)-1)),0))</f>
        <v>#VALUE!</v>
      </c>
      <c r="Q101" s="79" t="e">
        <f>IF(I101="","",ROUND(I101/(Steuerungsdaten!$B$4*Steuerungsdaten!$B$9*IFERROR(VLOOKUP(C101,Steuerungsdaten!$B$17:$G$37,6,FALSE),1)*POWER(IF(OR(E101=0,F101=0,E101="",F101=""),1,(E101*F101/1000000)/Steuerungsdaten!$B$6),IFERROR(VLOOKUP(C101,Steuerungsdaten!$B$17:$M$37,12,FALSE),1)-1)),0))</f>
        <v>#VALUE!</v>
      </c>
      <c r="R101" s="79" t="e">
        <f>IF(J101="","",ROUND(J101/(Steuerungsdaten!$B$4*Steuerungsdaten!$B$10*IFERROR(VLOOKUP(C101,Steuerungsdaten!$B$17:$I$37,8,FALSE),1)*POWER(IF(OR(E101=0,F101=0,E101="",F101=""),1,(E101*F101/1000000)/Steuerungsdaten!$B$6),IFERROR(VLOOKUP(C101,Steuerungsdaten!$B$17:$N$37,13,FALSE),1)-1)),0))</f>
        <v>#VALUE!</v>
      </c>
    </row>
    <row r="102" spans="1:18" x14ac:dyDescent="0.25">
      <c r="A102" s="69">
        <v>3329</v>
      </c>
      <c r="B102" s="70" t="s">
        <v>7</v>
      </c>
      <c r="C102" s="70" t="s">
        <v>78</v>
      </c>
      <c r="D102" s="70" t="s">
        <v>108</v>
      </c>
      <c r="E102" s="71">
        <v>980</v>
      </c>
      <c r="F102" s="71">
        <v>1800</v>
      </c>
      <c r="G102" s="72" t="s">
        <v>988</v>
      </c>
      <c r="H102" s="72" t="s">
        <v>988</v>
      </c>
      <c r="I102" s="72" t="s">
        <v>988</v>
      </c>
      <c r="J102" s="72" t="s">
        <v>988</v>
      </c>
      <c r="K102" s="72" t="s">
        <v>988</v>
      </c>
      <c r="L102" s="72" t="s">
        <v>988</v>
      </c>
      <c r="M102" s="72" t="s">
        <v>988</v>
      </c>
      <c r="N102" s="73" t="s">
        <v>988</v>
      </c>
      <c r="O102" s="79">
        <v>329</v>
      </c>
      <c r="P102" s="79" t="e">
        <f>IF(H102="","",ROUND(H102/(Steuerungsdaten!$B$4*Steuerungsdaten!$B$8*IFERROR(VLOOKUP(C102,Steuerungsdaten!$B$17:$E$37,4,FALSE),1)*POWER(IF(OR(E102=0,F102=0,E102="",F102=""),1,(E102*F102/1000000)/Steuerungsdaten!$B$6),IFERROR(VLOOKUP(C102,Steuerungsdaten!$B$17:$L$37,11,FALSE),1)-1)),0))</f>
        <v>#VALUE!</v>
      </c>
      <c r="Q102" s="79" t="e">
        <f>IF(I102="","",ROUND(I102/(Steuerungsdaten!$B$4*Steuerungsdaten!$B$9*IFERROR(VLOOKUP(C102,Steuerungsdaten!$B$17:$G$37,6,FALSE),1)*POWER(IF(OR(E102=0,F102=0,E102="",F102=""),1,(E102*F102/1000000)/Steuerungsdaten!$B$6),IFERROR(VLOOKUP(C102,Steuerungsdaten!$B$17:$M$37,12,FALSE),1)-1)),0))</f>
        <v>#VALUE!</v>
      </c>
      <c r="R102" s="79" t="e">
        <f>IF(J102="","",ROUND(J102/(Steuerungsdaten!$B$4*Steuerungsdaten!$B$10*IFERROR(VLOOKUP(C102,Steuerungsdaten!$B$17:$I$37,8,FALSE),1)*POWER(IF(OR(E102=0,F102=0,E102="",F102=""),1,(E102*F102/1000000)/Steuerungsdaten!$B$6),IFERROR(VLOOKUP(C102,Steuerungsdaten!$B$17:$N$37,13,FALSE),1)-1)),0))</f>
        <v>#VALUE!</v>
      </c>
    </row>
    <row r="103" spans="1:18" ht="21.95" customHeight="1" x14ac:dyDescent="0.25">
      <c r="A103" s="426" t="s">
        <v>109</v>
      </c>
      <c r="B103" s="426"/>
      <c r="C103" s="426"/>
      <c r="D103" s="426"/>
      <c r="E103" s="426"/>
      <c r="F103" s="426"/>
      <c r="G103" s="426"/>
      <c r="H103" s="426"/>
      <c r="I103" s="426"/>
      <c r="J103" s="426"/>
      <c r="K103" s="426" t="str">
        <f>IFERROR(IF(G103="","",ROUND(G103*Steuerungsdaten!$B$5,0)),"-")</f>
        <v/>
      </c>
      <c r="L103" s="426" t="str">
        <f>IFERROR(IF(H103="","",ROUND(H103*Steuerungsdaten!$B$5,0)),"-")</f>
        <v/>
      </c>
      <c r="M103" s="426" t="str">
        <f>IFERROR(IF(I103="","",ROUND(I103*Steuerungsdaten!$B$5,0)),"-")</f>
        <v/>
      </c>
      <c r="N103" s="426" t="str">
        <f>IFERROR(IF(J103="","",ROUND(J103*Steuerungsdaten!$B$5,0)),"-")</f>
        <v/>
      </c>
      <c r="O103" s="79"/>
      <c r="P103" s="79"/>
      <c r="Q103" s="79"/>
      <c r="R103" s="79"/>
    </row>
    <row r="104" spans="1:18" x14ac:dyDescent="0.25">
      <c r="A104" s="64">
        <v>3500</v>
      </c>
      <c r="B104" s="65" t="s">
        <v>7</v>
      </c>
      <c r="C104" s="65" t="s">
        <v>109</v>
      </c>
      <c r="D104" s="65" t="s">
        <v>110</v>
      </c>
      <c r="E104" s="66">
        <v>360</v>
      </c>
      <c r="F104" s="66">
        <v>180</v>
      </c>
      <c r="G104" s="67">
        <f>IF(VLOOKUP(C104,Steuerungsdaten!$P$17:$T$39,2,0)="","",MAX(ROUND(VLOOKUP(C104,Steuerungsdaten!$P$17:$T$39,2,0)*Steuerungsdaten!$B$4*Steuerungsdaten!$B$7*IFERROR(VLOOKUP(C104,Steuerungsdaten!$B$17:$C$37,2,FALSE),1)*POWER(IF(OR(E104=0,F104=0,E104="",F104=""),1,(E104*F104/1000000)/Steuerungsdaten!$B$6),IFERROR(VLOOKUP(C104,Steuerungsdaten!$B$17:$K$37,10,FALSE),1)-1),0),Steuerungsdaten!$E$4))</f>
        <v>25</v>
      </c>
      <c r="H104" s="67">
        <f>IF(VLOOKUP(C104,Steuerungsdaten!$P$17:$T$39,3,0)="","",MAX(ROUND(VLOOKUP(C104,Steuerungsdaten!$P$17:$T$39,3,0)*Steuerungsdaten!$B$4*Steuerungsdaten!$B$8*IFERROR(VLOOKUP(C104,Steuerungsdaten!$B$17:$E$37,4,FALSE),1)*POWER(IF(OR(E104=0,F104=0,E104="",F104=""),1,(E104*F104/1000000)/Steuerungsdaten!$B$6),IFERROR(VLOOKUP(C104,Steuerungsdaten!$B$17:$L$37,11,FALSE),1)-1),0),Steuerungsdaten!$E$5))</f>
        <v>103</v>
      </c>
      <c r="I104" s="67">
        <f>IF(VLOOKUP(C104,Steuerungsdaten!$P$17:$T$39,4,0)="","",MAX(ROUND(VLOOKUP(C104,Steuerungsdaten!$P$17:$T$39,4,0)*Steuerungsdaten!$B$4*Steuerungsdaten!$B$9*IFERROR(VLOOKUP(C104,Steuerungsdaten!$B$17:$G$37,6,FALSE),1)*POWER(IF(OR(E104=0,F104=0,E104="",F104=""),1,(E104*F104/1000000)/Steuerungsdaten!$B$6),IFERROR(VLOOKUP(C104,Steuerungsdaten!$B$17:$M$37,12,FALSE),1)-1),0),Steuerungsdaten!$E$6))</f>
        <v>120</v>
      </c>
      <c r="J104" s="67">
        <f>IF(VLOOKUP(C104,Steuerungsdaten!$P$17:$T$39,5,0)="","",MAX(ROUND(VLOOKUP(C104,Steuerungsdaten!$P$17:$T$39,5,0)*Steuerungsdaten!$B$4*Steuerungsdaten!$B$10*IFERROR(VLOOKUP(C104,Steuerungsdaten!$B$17:$I$37,8,FALSE),1)*POWER(IF(OR(E104=0,F104=0,E104="",F104=""),1,(E104*F104/1000000)/Steuerungsdaten!$B$6),IFERROR(VLOOKUP(C104,Steuerungsdaten!$B$17:$N$37,13,FALSE),1)-1),0),Steuerungsdaten!$E$7))</f>
        <v>145</v>
      </c>
      <c r="K104" s="67">
        <f>IFERROR(IF(G104="","",ROUND(G104*Steuerungsdaten!$B$5,0)),"-")</f>
        <v>29</v>
      </c>
      <c r="L104" s="67">
        <f>IFERROR(IF(H104="","",ROUND(H104*Steuerungsdaten!$B$5,0)),"-")</f>
        <v>118</v>
      </c>
      <c r="M104" s="67">
        <f>IFERROR(IF(I104="","",ROUND(I104*Steuerungsdaten!$B$5,0)),"-")</f>
        <v>138</v>
      </c>
      <c r="N104" s="68">
        <f>IFERROR(IF(J104="","",ROUND(J104*Steuerungsdaten!$B$5,0)),"-")</f>
        <v>167</v>
      </c>
      <c r="O104" s="79">
        <v>34</v>
      </c>
      <c r="P104" s="79">
        <f>IF(H104="","",ROUND(H104/(Steuerungsdaten!$B$4*Steuerungsdaten!$B$8*IFERROR(VLOOKUP(C104,Steuerungsdaten!$B$17:$E$37,4,FALSE),1)*POWER(IF(OR(E104=0,F104=0,E104="",F104=""),1,(E104*F104/1000000)/Steuerungsdaten!$B$6),IFERROR(VLOOKUP(C104,Steuerungsdaten!$B$17:$L$37,11,FALSE),1)-1)),0))</f>
        <v>632</v>
      </c>
      <c r="Q104" s="79">
        <f>IF(I104="","",ROUND(I104/(Steuerungsdaten!$B$4*Steuerungsdaten!$B$9*IFERROR(VLOOKUP(C104,Steuerungsdaten!$B$17:$G$37,6,FALSE),1)*POWER(IF(OR(E104=0,F104=0,E104="",F104=""),1,(E104*F104/1000000)/Steuerungsdaten!$B$6),IFERROR(VLOOKUP(C104,Steuerungsdaten!$B$17:$M$37,12,FALSE),1)-1)),0))</f>
        <v>737</v>
      </c>
      <c r="R104" s="79">
        <f>IF(J104="","",ROUND(J104/(Steuerungsdaten!$B$4*Steuerungsdaten!$B$10*IFERROR(VLOOKUP(C104,Steuerungsdaten!$B$17:$I$37,8,FALSE),1)*POWER(IF(OR(E104=0,F104=0,E104="",F104=""),1,(E104*F104/1000000)/Steuerungsdaten!$B$6),IFERROR(VLOOKUP(C104,Steuerungsdaten!$B$17:$N$37,13,FALSE),1)-1)),0))</f>
        <v>816</v>
      </c>
    </row>
    <row r="105" spans="1:18" x14ac:dyDescent="0.25">
      <c r="A105" s="69">
        <v>3501</v>
      </c>
      <c r="B105" s="70" t="s">
        <v>7</v>
      </c>
      <c r="C105" s="70" t="s">
        <v>109</v>
      </c>
      <c r="D105" s="70" t="s">
        <v>111</v>
      </c>
      <c r="E105" s="71">
        <v>360</v>
      </c>
      <c r="F105" s="71">
        <v>360</v>
      </c>
      <c r="G105" s="72">
        <f>IF(VLOOKUP(C105,Steuerungsdaten!$P$17:$T$39,2,0)="","",MAX(ROUND(VLOOKUP(C105,Steuerungsdaten!$P$17:$T$39,2,0)*Steuerungsdaten!$B$4*Steuerungsdaten!$B$7*IFERROR(VLOOKUP(C105,Steuerungsdaten!$B$17:$C$37,2,FALSE),1)*POWER(IF(OR(E105=0,F105=0,E105="",F105=""),1,(E105*F105/1000000)/Steuerungsdaten!$B$6),IFERROR(VLOOKUP(C105,Steuerungsdaten!$B$17:$K$37,10,FALSE),1)-1),0),Steuerungsdaten!$E$4))</f>
        <v>25</v>
      </c>
      <c r="H105" s="72">
        <f>IF(VLOOKUP(C105,Steuerungsdaten!$P$17:$T$39,3,0)="","",MAX(ROUND(VLOOKUP(C105,Steuerungsdaten!$P$17:$T$39,3,0)*Steuerungsdaten!$B$4*Steuerungsdaten!$B$8*IFERROR(VLOOKUP(C105,Steuerungsdaten!$B$17:$E$37,4,FALSE),1)*POWER(IF(OR(E105=0,F105=0,E105="",F105=""),1,(E105*F105/1000000)/Steuerungsdaten!$B$6),IFERROR(VLOOKUP(C105,Steuerungsdaten!$B$17:$L$37,11,FALSE),1)-1),0),Steuerungsdaten!$E$5))</f>
        <v>103</v>
      </c>
      <c r="I105" s="72">
        <f>IF(VLOOKUP(C105,Steuerungsdaten!$P$17:$T$39,4,0)="","",MAX(ROUND(VLOOKUP(C105,Steuerungsdaten!$P$17:$T$39,4,0)*Steuerungsdaten!$B$4*Steuerungsdaten!$B$9*IFERROR(VLOOKUP(C105,Steuerungsdaten!$B$17:$G$37,6,FALSE),1)*POWER(IF(OR(E105=0,F105=0,E105="",F105=""),1,(E105*F105/1000000)/Steuerungsdaten!$B$6),IFERROR(VLOOKUP(C105,Steuerungsdaten!$B$17:$M$37,12,FALSE),1)-1),0),Steuerungsdaten!$E$6))</f>
        <v>120</v>
      </c>
      <c r="J105" s="72">
        <f>IF(VLOOKUP(C105,Steuerungsdaten!$P$17:$T$39,5,0)="","",MAX(ROUND(VLOOKUP(C105,Steuerungsdaten!$P$17:$T$39,5,0)*Steuerungsdaten!$B$4*Steuerungsdaten!$B$10*IFERROR(VLOOKUP(C105,Steuerungsdaten!$B$17:$I$37,8,FALSE),1)*POWER(IF(OR(E105=0,F105=0,E105="",F105=""),1,(E105*F105/1000000)/Steuerungsdaten!$B$6),IFERROR(VLOOKUP(C105,Steuerungsdaten!$B$17:$N$37,13,FALSE),1)-1),0),Steuerungsdaten!$E$7))</f>
        <v>145</v>
      </c>
      <c r="K105" s="72">
        <f>IFERROR(IF(G105="","",ROUND(G105*Steuerungsdaten!$B$5,0)),"-")</f>
        <v>29</v>
      </c>
      <c r="L105" s="72">
        <f>IFERROR(IF(H105="","",ROUND(H105*Steuerungsdaten!$B$5,0)),"-")</f>
        <v>118</v>
      </c>
      <c r="M105" s="72">
        <f>IFERROR(IF(I105="","",ROUND(I105*Steuerungsdaten!$B$5,0)),"-")</f>
        <v>138</v>
      </c>
      <c r="N105" s="73">
        <f>IFERROR(IF(J105="","",ROUND(J105*Steuerungsdaten!$B$5,0)),"-")</f>
        <v>167</v>
      </c>
      <c r="O105" s="79">
        <v>34</v>
      </c>
      <c r="P105" s="79">
        <f>IF(H105="","",ROUND(H105/(Steuerungsdaten!$B$4*Steuerungsdaten!$B$8*IFERROR(VLOOKUP(C105,Steuerungsdaten!$B$17:$E$37,4,FALSE),1)*POWER(IF(OR(E105=0,F105=0,E105="",F105=""),1,(E105*F105/1000000)/Steuerungsdaten!$B$6),IFERROR(VLOOKUP(C105,Steuerungsdaten!$B$17:$L$37,11,FALSE),1)-1)),0))</f>
        <v>316</v>
      </c>
      <c r="Q105" s="79">
        <f>IF(I105="","",ROUND(I105/(Steuerungsdaten!$B$4*Steuerungsdaten!$B$9*IFERROR(VLOOKUP(C105,Steuerungsdaten!$B$17:$G$37,6,FALSE),1)*POWER(IF(OR(E105=0,F105=0,E105="",F105=""),1,(E105*F105/1000000)/Steuerungsdaten!$B$6),IFERROR(VLOOKUP(C105,Steuerungsdaten!$B$17:$M$37,12,FALSE),1)-1)),0))</f>
        <v>368</v>
      </c>
      <c r="R105" s="79">
        <f>IF(J105="","",ROUND(J105/(Steuerungsdaten!$B$4*Steuerungsdaten!$B$10*IFERROR(VLOOKUP(C105,Steuerungsdaten!$B$17:$I$37,8,FALSE),1)*POWER(IF(OR(E105=0,F105=0,E105="",F105=""),1,(E105*F105/1000000)/Steuerungsdaten!$B$6),IFERROR(VLOOKUP(C105,Steuerungsdaten!$B$17:$N$37,13,FALSE),1)-1)),0))</f>
        <v>408</v>
      </c>
    </row>
    <row r="106" spans="1:18" x14ac:dyDescent="0.25">
      <c r="A106" s="74">
        <v>3502</v>
      </c>
      <c r="B106" s="75" t="s">
        <v>7</v>
      </c>
      <c r="C106" s="75" t="s">
        <v>109</v>
      </c>
      <c r="D106" s="75" t="s">
        <v>112</v>
      </c>
      <c r="E106" s="76">
        <v>360</v>
      </c>
      <c r="F106" s="76">
        <v>720</v>
      </c>
      <c r="G106" s="77">
        <f>IF(VLOOKUP(C106,Steuerungsdaten!$P$17:$T$39,2,0)="","",MAX(ROUND(VLOOKUP(C106,Steuerungsdaten!$P$17:$T$39,2,0)*Steuerungsdaten!$B$4*Steuerungsdaten!$B$7*IFERROR(VLOOKUP(C106,Steuerungsdaten!$B$17:$C$37,2,FALSE),1)*POWER(IF(OR(E106=0,F106=0,E106="",F106=""),1,(E106*F106/1000000)/Steuerungsdaten!$B$6),IFERROR(VLOOKUP(C106,Steuerungsdaten!$B$17:$K$37,10,FALSE),1)-1),0),Steuerungsdaten!$E$4))</f>
        <v>46</v>
      </c>
      <c r="H106" s="77">
        <f>IF(VLOOKUP(C106,Steuerungsdaten!$P$17:$T$39,3,0)="","",MAX(ROUND(VLOOKUP(C106,Steuerungsdaten!$P$17:$T$39,3,0)*Steuerungsdaten!$B$4*Steuerungsdaten!$B$8*IFERROR(VLOOKUP(C106,Steuerungsdaten!$B$17:$E$37,4,FALSE),1)*POWER(IF(OR(E106=0,F106=0,E106="",F106=""),1,(E106*F106/1000000)/Steuerungsdaten!$B$6),IFERROR(VLOOKUP(C106,Steuerungsdaten!$B$17:$L$37,11,FALSE),1)-1),0),Steuerungsdaten!$E$5))</f>
        <v>156</v>
      </c>
      <c r="I106" s="77">
        <f>IF(VLOOKUP(C106,Steuerungsdaten!$P$17:$T$39,4,0)="","",MAX(ROUND(VLOOKUP(C106,Steuerungsdaten!$P$17:$T$39,4,0)*Steuerungsdaten!$B$4*Steuerungsdaten!$B$9*IFERROR(VLOOKUP(C106,Steuerungsdaten!$B$17:$G$37,6,FALSE),1)*POWER(IF(OR(E106=0,F106=0,E106="",F106=""),1,(E106*F106/1000000)/Steuerungsdaten!$B$6),IFERROR(VLOOKUP(C106,Steuerungsdaten!$B$17:$M$37,12,FALSE),1)-1),0),Steuerungsdaten!$E$6))</f>
        <v>163</v>
      </c>
      <c r="J106" s="77">
        <f>IF(VLOOKUP(C106,Steuerungsdaten!$P$17:$T$39,5,0)="","",MAX(ROUND(VLOOKUP(C106,Steuerungsdaten!$P$17:$T$39,5,0)*Steuerungsdaten!$B$4*Steuerungsdaten!$B$10*IFERROR(VLOOKUP(C106,Steuerungsdaten!$B$17:$I$37,8,FALSE),1)*POWER(IF(OR(E106=0,F106=0,E106="",F106=""),1,(E106*F106/1000000)/Steuerungsdaten!$B$6),IFERROR(VLOOKUP(C106,Steuerungsdaten!$B$17:$N$37,13,FALSE),1)-1),0),Steuerungsdaten!$E$7))</f>
        <v>181</v>
      </c>
      <c r="K106" s="77">
        <f>IFERROR(IF(G106="","",ROUND(G106*Steuerungsdaten!$B$5,0)),"-")</f>
        <v>53</v>
      </c>
      <c r="L106" s="77">
        <f>IFERROR(IF(H106="","",ROUND(H106*Steuerungsdaten!$B$5,0)),"-")</f>
        <v>179</v>
      </c>
      <c r="M106" s="77">
        <f>IFERROR(IF(I106="","",ROUND(I106*Steuerungsdaten!$B$5,0)),"-")</f>
        <v>187</v>
      </c>
      <c r="N106" s="78">
        <f>IFERROR(IF(J106="","",ROUND(J106*Steuerungsdaten!$B$5,0)),"-")</f>
        <v>208</v>
      </c>
      <c r="O106" s="79">
        <v>52</v>
      </c>
      <c r="P106" s="79">
        <f>IF(H106="","",ROUND(H106/(Steuerungsdaten!$B$4*Steuerungsdaten!$B$8*IFERROR(VLOOKUP(C106,Steuerungsdaten!$B$17:$E$37,4,FALSE),1)*POWER(IF(OR(E106=0,F106=0,E106="",F106=""),1,(E106*F106/1000000)/Steuerungsdaten!$B$6),IFERROR(VLOOKUP(C106,Steuerungsdaten!$B$17:$L$37,11,FALSE),1)-1)),0))</f>
        <v>239</v>
      </c>
      <c r="Q106" s="79">
        <f>IF(I106="","",ROUND(I106/(Steuerungsdaten!$B$4*Steuerungsdaten!$B$9*IFERROR(VLOOKUP(C106,Steuerungsdaten!$B$17:$G$37,6,FALSE),1)*POWER(IF(OR(E106=0,F106=0,E106="",F106=""),1,(E106*F106/1000000)/Steuerungsdaten!$B$6),IFERROR(VLOOKUP(C106,Steuerungsdaten!$B$17:$M$37,12,FALSE),1)-1)),0))</f>
        <v>250</v>
      </c>
      <c r="R106" s="79">
        <f>IF(J106="","",ROUND(J106/(Steuerungsdaten!$B$4*Steuerungsdaten!$B$10*IFERROR(VLOOKUP(C106,Steuerungsdaten!$B$17:$I$37,8,FALSE),1)*POWER(IF(OR(E106=0,F106=0,E106="",F106=""),1,(E106*F106/1000000)/Steuerungsdaten!$B$6),IFERROR(VLOOKUP(C106,Steuerungsdaten!$B$17:$N$37,13,FALSE),1)-1)),0))</f>
        <v>255</v>
      </c>
    </row>
    <row r="107" spans="1:18" x14ac:dyDescent="0.25">
      <c r="A107" s="69">
        <v>3503</v>
      </c>
      <c r="B107" s="70" t="s">
        <v>7</v>
      </c>
      <c r="C107" s="70" t="s">
        <v>109</v>
      </c>
      <c r="D107" s="70" t="s">
        <v>113</v>
      </c>
      <c r="E107" s="71">
        <v>360</v>
      </c>
      <c r="F107" s="71">
        <v>1080</v>
      </c>
      <c r="G107" s="72">
        <f>IF(VLOOKUP(C107,Steuerungsdaten!$P$17:$T$39,2,0)="","",MAX(ROUND(VLOOKUP(C107,Steuerungsdaten!$P$17:$T$39,2,0)*Steuerungsdaten!$B$4*Steuerungsdaten!$B$7*IFERROR(VLOOKUP(C107,Steuerungsdaten!$B$17:$C$37,2,FALSE),1)*POWER(IF(OR(E107=0,F107=0,E107="",F107=""),1,(E107*F107/1000000)/Steuerungsdaten!$B$6),IFERROR(VLOOKUP(C107,Steuerungsdaten!$B$17:$K$37,10,FALSE),1)-1),0),Steuerungsdaten!$E$4))</f>
        <v>68</v>
      </c>
      <c r="H107" s="72">
        <f>IF(VLOOKUP(C107,Steuerungsdaten!$P$17:$T$39,3,0)="","",MAX(ROUND(VLOOKUP(C107,Steuerungsdaten!$P$17:$T$39,3,0)*Steuerungsdaten!$B$4*Steuerungsdaten!$B$8*IFERROR(VLOOKUP(C107,Steuerungsdaten!$B$17:$E$37,4,FALSE),1)*POWER(IF(OR(E107=0,F107=0,E107="",F107=""),1,(E107*F107/1000000)/Steuerungsdaten!$B$6),IFERROR(VLOOKUP(C107,Steuerungsdaten!$B$17:$L$37,11,FALSE),1)-1),0),Steuerungsdaten!$E$5))</f>
        <v>235</v>
      </c>
      <c r="I107" s="72">
        <f>IF(VLOOKUP(C107,Steuerungsdaten!$P$17:$T$39,4,0)="","",MAX(ROUND(VLOOKUP(C107,Steuerungsdaten!$P$17:$T$39,4,0)*Steuerungsdaten!$B$4*Steuerungsdaten!$B$9*IFERROR(VLOOKUP(C107,Steuerungsdaten!$B$17:$G$37,6,FALSE),1)*POWER(IF(OR(E107=0,F107=0,E107="",F107=""),1,(E107*F107/1000000)/Steuerungsdaten!$B$6),IFERROR(VLOOKUP(C107,Steuerungsdaten!$B$17:$M$37,12,FALSE),1)-1),0),Steuerungsdaten!$E$6))</f>
        <v>244</v>
      </c>
      <c r="J107" s="72">
        <f>IF(VLOOKUP(C107,Steuerungsdaten!$P$17:$T$39,5,0)="","",MAX(ROUND(VLOOKUP(C107,Steuerungsdaten!$P$17:$T$39,5,0)*Steuerungsdaten!$B$4*Steuerungsdaten!$B$10*IFERROR(VLOOKUP(C107,Steuerungsdaten!$B$17:$I$37,8,FALSE),1)*POWER(IF(OR(E107=0,F107=0,E107="",F107=""),1,(E107*F107/1000000)/Steuerungsdaten!$B$6),IFERROR(VLOOKUP(C107,Steuerungsdaten!$B$17:$N$37,13,FALSE),1)-1),0),Steuerungsdaten!$E$7))</f>
        <v>272</v>
      </c>
      <c r="K107" s="72">
        <f>IFERROR(IF(G107="","",ROUND(G107*Steuerungsdaten!$B$5,0)),"-")</f>
        <v>78</v>
      </c>
      <c r="L107" s="72">
        <f>IFERROR(IF(H107="","",ROUND(H107*Steuerungsdaten!$B$5,0)),"-")</f>
        <v>270</v>
      </c>
      <c r="M107" s="72">
        <f>IFERROR(IF(I107="","",ROUND(I107*Steuerungsdaten!$B$5,0)),"-")</f>
        <v>281</v>
      </c>
      <c r="N107" s="73">
        <f>IFERROR(IF(J107="","",ROUND(J107*Steuerungsdaten!$B$5,0)),"-")</f>
        <v>313</v>
      </c>
      <c r="O107" s="79">
        <v>76</v>
      </c>
      <c r="P107" s="79">
        <f>IF(H107="","",ROUND(H107/(Steuerungsdaten!$B$4*Steuerungsdaten!$B$8*IFERROR(VLOOKUP(C107,Steuerungsdaten!$B$17:$E$37,4,FALSE),1)*POWER(IF(OR(E107=0,F107=0,E107="",F107=""),1,(E107*F107/1000000)/Steuerungsdaten!$B$6),IFERROR(VLOOKUP(C107,Steuerungsdaten!$B$17:$L$37,11,FALSE),1)-1)),0))</f>
        <v>240</v>
      </c>
      <c r="Q107" s="79">
        <f>IF(I107="","",ROUND(I107/(Steuerungsdaten!$B$4*Steuerungsdaten!$B$9*IFERROR(VLOOKUP(C107,Steuerungsdaten!$B$17:$G$37,6,FALSE),1)*POWER(IF(OR(E107=0,F107=0,E107="",F107=""),1,(E107*F107/1000000)/Steuerungsdaten!$B$6),IFERROR(VLOOKUP(C107,Steuerungsdaten!$B$17:$M$37,12,FALSE),1)-1)),0))</f>
        <v>250</v>
      </c>
      <c r="R107" s="79">
        <f>IF(J107="","",ROUND(J107/(Steuerungsdaten!$B$4*Steuerungsdaten!$B$10*IFERROR(VLOOKUP(C107,Steuerungsdaten!$B$17:$I$37,8,FALSE),1)*POWER(IF(OR(E107=0,F107=0,E107="",F107=""),1,(E107*F107/1000000)/Steuerungsdaten!$B$6),IFERROR(VLOOKUP(C107,Steuerungsdaten!$B$17:$N$37,13,FALSE),1)-1)),0))</f>
        <v>255</v>
      </c>
    </row>
    <row r="108" spans="1:18" x14ac:dyDescent="0.25">
      <c r="A108" s="74">
        <v>3504</v>
      </c>
      <c r="B108" s="75" t="s">
        <v>7</v>
      </c>
      <c r="C108" s="75" t="s">
        <v>109</v>
      </c>
      <c r="D108" s="75" t="s">
        <v>114</v>
      </c>
      <c r="E108" s="76">
        <v>360</v>
      </c>
      <c r="F108" s="76">
        <v>1440</v>
      </c>
      <c r="G108" s="77">
        <f>IF(VLOOKUP(C108,Steuerungsdaten!$P$17:$T$39,2,0)="","",MAX(ROUND(VLOOKUP(C108,Steuerungsdaten!$P$17:$T$39,2,0)*Steuerungsdaten!$B$4*Steuerungsdaten!$B$7*IFERROR(VLOOKUP(C108,Steuerungsdaten!$B$17:$C$37,2,FALSE),1)*POWER(IF(OR(E108=0,F108=0,E108="",F108=""),1,(E108*F108/1000000)/Steuerungsdaten!$B$6),IFERROR(VLOOKUP(C108,Steuerungsdaten!$B$17:$K$37,10,FALSE),1)-1),0),Steuerungsdaten!$E$4))</f>
        <v>91</v>
      </c>
      <c r="H108" s="77">
        <f>IF(VLOOKUP(C108,Steuerungsdaten!$P$17:$T$39,3,0)="","",MAX(ROUND(VLOOKUP(C108,Steuerungsdaten!$P$17:$T$39,3,0)*Steuerungsdaten!$B$4*Steuerungsdaten!$B$8*IFERROR(VLOOKUP(C108,Steuerungsdaten!$B$17:$E$37,4,FALSE),1)*POWER(IF(OR(E108=0,F108=0,E108="",F108=""),1,(E108*F108/1000000)/Steuerungsdaten!$B$6),IFERROR(VLOOKUP(C108,Steuerungsdaten!$B$17:$L$37,11,FALSE),1)-1),0),Steuerungsdaten!$E$5))</f>
        <v>313</v>
      </c>
      <c r="I108" s="77">
        <f>IF(VLOOKUP(C108,Steuerungsdaten!$P$17:$T$39,4,0)="","",MAX(ROUND(VLOOKUP(C108,Steuerungsdaten!$P$17:$T$39,4,0)*Steuerungsdaten!$B$4*Steuerungsdaten!$B$9*IFERROR(VLOOKUP(C108,Steuerungsdaten!$B$17:$G$37,6,FALSE),1)*POWER(IF(OR(E108=0,F108=0,E108="",F108=""),1,(E108*F108/1000000)/Steuerungsdaten!$B$6),IFERROR(VLOOKUP(C108,Steuerungsdaten!$B$17:$M$37,12,FALSE),1)-1),0),Steuerungsdaten!$E$6))</f>
        <v>326</v>
      </c>
      <c r="J108" s="77">
        <f>IF(VLOOKUP(C108,Steuerungsdaten!$P$17:$T$39,5,0)="","",MAX(ROUND(VLOOKUP(C108,Steuerungsdaten!$P$17:$T$39,5,0)*Steuerungsdaten!$B$4*Steuerungsdaten!$B$10*IFERROR(VLOOKUP(C108,Steuerungsdaten!$B$17:$I$37,8,FALSE),1)*POWER(IF(OR(E108=0,F108=0,E108="",F108=""),1,(E108*F108/1000000)/Steuerungsdaten!$B$6),IFERROR(VLOOKUP(C108,Steuerungsdaten!$B$17:$N$37,13,FALSE),1)-1),0),Steuerungsdaten!$E$7))</f>
        <v>363</v>
      </c>
      <c r="K108" s="77">
        <f>IFERROR(IF(G108="","",ROUND(G108*Steuerungsdaten!$B$5,0)),"-")</f>
        <v>105</v>
      </c>
      <c r="L108" s="77">
        <f>IFERROR(IF(H108="","",ROUND(H108*Steuerungsdaten!$B$5,0)),"-")</f>
        <v>360</v>
      </c>
      <c r="M108" s="77">
        <f>IFERROR(IF(I108="","",ROUND(I108*Steuerungsdaten!$B$5,0)),"-")</f>
        <v>375</v>
      </c>
      <c r="N108" s="78">
        <f>IFERROR(IF(J108="","",ROUND(J108*Steuerungsdaten!$B$5,0)),"-")</f>
        <v>417</v>
      </c>
      <c r="O108" s="79">
        <v>100</v>
      </c>
      <c r="P108" s="79">
        <f>IF(H108="","",ROUND(H108/(Steuerungsdaten!$B$4*Steuerungsdaten!$B$8*IFERROR(VLOOKUP(C108,Steuerungsdaten!$B$17:$E$37,4,FALSE),1)*POWER(IF(OR(E108=0,F108=0,E108="",F108=""),1,(E108*F108/1000000)/Steuerungsdaten!$B$6),IFERROR(VLOOKUP(C108,Steuerungsdaten!$B$17:$L$37,11,FALSE),1)-1)),0))</f>
        <v>240</v>
      </c>
      <c r="Q108" s="79">
        <f>IF(I108="","",ROUND(I108/(Steuerungsdaten!$B$4*Steuerungsdaten!$B$9*IFERROR(VLOOKUP(C108,Steuerungsdaten!$B$17:$G$37,6,FALSE),1)*POWER(IF(OR(E108=0,F108=0,E108="",F108=""),1,(E108*F108/1000000)/Steuerungsdaten!$B$6),IFERROR(VLOOKUP(C108,Steuerungsdaten!$B$17:$M$37,12,FALSE),1)-1)),0))</f>
        <v>250</v>
      </c>
      <c r="R108" s="79">
        <f>IF(J108="","",ROUND(J108/(Steuerungsdaten!$B$4*Steuerungsdaten!$B$10*IFERROR(VLOOKUP(C108,Steuerungsdaten!$B$17:$I$37,8,FALSE),1)*POWER(IF(OR(E108=0,F108=0,E108="",F108=""),1,(E108*F108/1000000)/Steuerungsdaten!$B$6),IFERROR(VLOOKUP(C108,Steuerungsdaten!$B$17:$N$37,13,FALSE),1)-1)),0))</f>
        <v>255</v>
      </c>
    </row>
    <row r="109" spans="1:18" x14ac:dyDescent="0.25">
      <c r="A109" s="69">
        <v>3505</v>
      </c>
      <c r="B109" s="70" t="s">
        <v>7</v>
      </c>
      <c r="C109" s="70" t="s">
        <v>109</v>
      </c>
      <c r="D109" s="70" t="s">
        <v>115</v>
      </c>
      <c r="E109" s="71">
        <v>360</v>
      </c>
      <c r="F109" s="71">
        <v>1800</v>
      </c>
      <c r="G109" s="72">
        <f>IF(VLOOKUP(C109,Steuerungsdaten!$P$17:$T$39,2,0)="","",MAX(ROUND(VLOOKUP(C109,Steuerungsdaten!$P$17:$T$39,2,0)*Steuerungsdaten!$B$4*Steuerungsdaten!$B$7*IFERROR(VLOOKUP(C109,Steuerungsdaten!$B$17:$C$37,2,FALSE),1)*POWER(IF(OR(E109=0,F109=0,E109="",F109=""),1,(E109*F109/1000000)/Steuerungsdaten!$B$6),IFERROR(VLOOKUP(C109,Steuerungsdaten!$B$17:$K$37,10,FALSE),1)-1),0),Steuerungsdaten!$E$4))</f>
        <v>114</v>
      </c>
      <c r="H109" s="72">
        <f>IF(VLOOKUP(C109,Steuerungsdaten!$P$17:$T$39,3,0)="","",MAX(ROUND(VLOOKUP(C109,Steuerungsdaten!$P$17:$T$39,3,0)*Steuerungsdaten!$B$4*Steuerungsdaten!$B$8*IFERROR(VLOOKUP(C109,Steuerungsdaten!$B$17:$E$37,4,FALSE),1)*POWER(IF(OR(E109=0,F109=0,E109="",F109=""),1,(E109*F109/1000000)/Steuerungsdaten!$B$6),IFERROR(VLOOKUP(C109,Steuerungsdaten!$B$17:$L$37,11,FALSE),1)-1),0),Steuerungsdaten!$E$5))</f>
        <v>391</v>
      </c>
      <c r="I109" s="72">
        <f>IF(VLOOKUP(C109,Steuerungsdaten!$P$17:$T$39,4,0)="","",MAX(ROUND(VLOOKUP(C109,Steuerungsdaten!$P$17:$T$39,4,0)*Steuerungsdaten!$B$4*Steuerungsdaten!$B$9*IFERROR(VLOOKUP(C109,Steuerungsdaten!$B$17:$G$37,6,FALSE),1)*POWER(IF(OR(E109=0,F109=0,E109="",F109=""),1,(E109*F109/1000000)/Steuerungsdaten!$B$6),IFERROR(VLOOKUP(C109,Steuerungsdaten!$B$17:$M$37,12,FALSE),1)-1),0),Steuerungsdaten!$E$6))</f>
        <v>407</v>
      </c>
      <c r="J109" s="72">
        <f>IF(VLOOKUP(C109,Steuerungsdaten!$P$17:$T$39,5,0)="","",MAX(ROUND(VLOOKUP(C109,Steuerungsdaten!$P$17:$T$39,5,0)*Steuerungsdaten!$B$4*Steuerungsdaten!$B$10*IFERROR(VLOOKUP(C109,Steuerungsdaten!$B$17:$I$37,8,FALSE),1)*POWER(IF(OR(E109=0,F109=0,E109="",F109=""),1,(E109*F109/1000000)/Steuerungsdaten!$B$6),IFERROR(VLOOKUP(C109,Steuerungsdaten!$B$17:$N$37,13,FALSE),1)-1),0),Steuerungsdaten!$E$7))</f>
        <v>453</v>
      </c>
      <c r="K109" s="72">
        <f>IFERROR(IF(G109="","",ROUND(G109*Steuerungsdaten!$B$5,0)),"-")</f>
        <v>131</v>
      </c>
      <c r="L109" s="72">
        <f>IFERROR(IF(H109="","",ROUND(H109*Steuerungsdaten!$B$5,0)),"-")</f>
        <v>450</v>
      </c>
      <c r="M109" s="72">
        <f>IFERROR(IF(I109="","",ROUND(I109*Steuerungsdaten!$B$5,0)),"-")</f>
        <v>468</v>
      </c>
      <c r="N109" s="73">
        <f>IFERROR(IF(J109="","",ROUND(J109*Steuerungsdaten!$B$5,0)),"-")</f>
        <v>521</v>
      </c>
      <c r="O109" s="79">
        <v>125</v>
      </c>
      <c r="P109" s="79">
        <f>IF(H109="","",ROUND(H109/(Steuerungsdaten!$B$4*Steuerungsdaten!$B$8*IFERROR(VLOOKUP(C109,Steuerungsdaten!$B$17:$E$37,4,FALSE),1)*POWER(IF(OR(E109=0,F109=0,E109="",F109=""),1,(E109*F109/1000000)/Steuerungsdaten!$B$6),IFERROR(VLOOKUP(C109,Steuerungsdaten!$B$17:$L$37,11,FALSE),1)-1)),0))</f>
        <v>240</v>
      </c>
      <c r="Q109" s="79">
        <f>IF(I109="","",ROUND(I109/(Steuerungsdaten!$B$4*Steuerungsdaten!$B$9*IFERROR(VLOOKUP(C109,Steuerungsdaten!$B$17:$G$37,6,FALSE),1)*POWER(IF(OR(E109=0,F109=0,E109="",F109=""),1,(E109*F109/1000000)/Steuerungsdaten!$B$6),IFERROR(VLOOKUP(C109,Steuerungsdaten!$B$17:$M$37,12,FALSE),1)-1)),0))</f>
        <v>250</v>
      </c>
      <c r="R109" s="79">
        <f>IF(J109="","",ROUND(J109/(Steuerungsdaten!$B$4*Steuerungsdaten!$B$10*IFERROR(VLOOKUP(C109,Steuerungsdaten!$B$17:$I$37,8,FALSE),1)*POWER(IF(OR(E109=0,F109=0,E109="",F109=""),1,(E109*F109/1000000)/Steuerungsdaten!$B$6),IFERROR(VLOOKUP(C109,Steuerungsdaten!$B$17:$N$37,13,FALSE),1)-1)),0))</f>
        <v>255</v>
      </c>
    </row>
    <row r="110" spans="1:18" x14ac:dyDescent="0.25">
      <c r="A110" s="74">
        <v>3506</v>
      </c>
      <c r="B110" s="75" t="s">
        <v>7</v>
      </c>
      <c r="C110" s="75" t="s">
        <v>109</v>
      </c>
      <c r="D110" s="75" t="s">
        <v>116</v>
      </c>
      <c r="E110" s="76">
        <v>580</v>
      </c>
      <c r="F110" s="76">
        <v>180</v>
      </c>
      <c r="G110" s="77">
        <f>IF(VLOOKUP(C110,Steuerungsdaten!$P$17:$T$39,2,0)="","",MAX(ROUND(VLOOKUP(C110,Steuerungsdaten!$P$17:$T$39,2,0)*Steuerungsdaten!$B$4*Steuerungsdaten!$B$7*IFERROR(VLOOKUP(C110,Steuerungsdaten!$B$17:$C$37,2,FALSE),1)*POWER(IF(OR(E110=0,F110=0,E110="",F110=""),1,(E110*F110/1000000)/Steuerungsdaten!$B$6),IFERROR(VLOOKUP(C110,Steuerungsdaten!$B$17:$K$37,10,FALSE),1)-1),0),Steuerungsdaten!$E$4))</f>
        <v>25</v>
      </c>
      <c r="H110" s="77">
        <f>IF(VLOOKUP(C110,Steuerungsdaten!$P$17:$T$39,3,0)="","",MAX(ROUND(VLOOKUP(C110,Steuerungsdaten!$P$17:$T$39,3,0)*Steuerungsdaten!$B$4*Steuerungsdaten!$B$8*IFERROR(VLOOKUP(C110,Steuerungsdaten!$B$17:$E$37,4,FALSE),1)*POWER(IF(OR(E110=0,F110=0,E110="",F110=""),1,(E110*F110/1000000)/Steuerungsdaten!$B$6),IFERROR(VLOOKUP(C110,Steuerungsdaten!$B$17:$L$37,11,FALSE),1)-1),0),Steuerungsdaten!$E$5))</f>
        <v>103</v>
      </c>
      <c r="I110" s="77">
        <f>IF(VLOOKUP(C110,Steuerungsdaten!$P$17:$T$39,4,0)="","",MAX(ROUND(VLOOKUP(C110,Steuerungsdaten!$P$17:$T$39,4,0)*Steuerungsdaten!$B$4*Steuerungsdaten!$B$9*IFERROR(VLOOKUP(C110,Steuerungsdaten!$B$17:$G$37,6,FALSE),1)*POWER(IF(OR(E110=0,F110=0,E110="",F110=""),1,(E110*F110/1000000)/Steuerungsdaten!$B$6),IFERROR(VLOOKUP(C110,Steuerungsdaten!$B$17:$M$37,12,FALSE),1)-1),0),Steuerungsdaten!$E$6))</f>
        <v>120</v>
      </c>
      <c r="J110" s="77">
        <f>IF(VLOOKUP(C110,Steuerungsdaten!$P$17:$T$39,5,0)="","",MAX(ROUND(VLOOKUP(C110,Steuerungsdaten!$P$17:$T$39,5,0)*Steuerungsdaten!$B$4*Steuerungsdaten!$B$10*IFERROR(VLOOKUP(C110,Steuerungsdaten!$B$17:$I$37,8,FALSE),1)*POWER(IF(OR(E110=0,F110=0,E110="",F110=""),1,(E110*F110/1000000)/Steuerungsdaten!$B$6),IFERROR(VLOOKUP(C110,Steuerungsdaten!$B$17:$N$37,13,FALSE),1)-1),0),Steuerungsdaten!$E$7))</f>
        <v>145</v>
      </c>
      <c r="K110" s="77">
        <f>IFERROR(IF(G110="","",ROUND(G110*Steuerungsdaten!$B$5,0)),"-")</f>
        <v>29</v>
      </c>
      <c r="L110" s="77">
        <f>IFERROR(IF(H110="","",ROUND(H110*Steuerungsdaten!$B$5,0)),"-")</f>
        <v>118</v>
      </c>
      <c r="M110" s="77">
        <f>IFERROR(IF(I110="","",ROUND(I110*Steuerungsdaten!$B$5,0)),"-")</f>
        <v>138</v>
      </c>
      <c r="N110" s="78">
        <f>IFERROR(IF(J110="","",ROUND(J110*Steuerungsdaten!$B$5,0)),"-")</f>
        <v>167</v>
      </c>
      <c r="O110" s="79">
        <v>43</v>
      </c>
      <c r="P110" s="79">
        <f>IF(H110="","",ROUND(H110/(Steuerungsdaten!$B$4*Steuerungsdaten!$B$8*IFERROR(VLOOKUP(C110,Steuerungsdaten!$B$17:$E$37,4,FALSE),1)*POWER(IF(OR(E110=0,F110=0,E110="",F110=""),1,(E110*F110/1000000)/Steuerungsdaten!$B$6),IFERROR(VLOOKUP(C110,Steuerungsdaten!$B$17:$L$37,11,FALSE),1)-1)),0))</f>
        <v>392</v>
      </c>
      <c r="Q110" s="79">
        <f>IF(I110="","",ROUND(I110/(Steuerungsdaten!$B$4*Steuerungsdaten!$B$9*IFERROR(VLOOKUP(C110,Steuerungsdaten!$B$17:$G$37,6,FALSE),1)*POWER(IF(OR(E110=0,F110=0,E110="",F110=""),1,(E110*F110/1000000)/Steuerungsdaten!$B$6),IFERROR(VLOOKUP(C110,Steuerungsdaten!$B$17:$M$37,12,FALSE),1)-1)),0))</f>
        <v>457</v>
      </c>
      <c r="R110" s="79">
        <f>IF(J110="","",ROUND(J110/(Steuerungsdaten!$B$4*Steuerungsdaten!$B$10*IFERROR(VLOOKUP(C110,Steuerungsdaten!$B$17:$I$37,8,FALSE),1)*POWER(IF(OR(E110=0,F110=0,E110="",F110=""),1,(E110*F110/1000000)/Steuerungsdaten!$B$6),IFERROR(VLOOKUP(C110,Steuerungsdaten!$B$17:$N$37,13,FALSE),1)-1)),0))</f>
        <v>506</v>
      </c>
    </row>
    <row r="111" spans="1:18" x14ac:dyDescent="0.25">
      <c r="A111" s="69">
        <v>3507</v>
      </c>
      <c r="B111" s="70" t="s">
        <v>7</v>
      </c>
      <c r="C111" s="70" t="s">
        <v>109</v>
      </c>
      <c r="D111" s="70" t="s">
        <v>117</v>
      </c>
      <c r="E111" s="71">
        <v>580</v>
      </c>
      <c r="F111" s="71">
        <v>360</v>
      </c>
      <c r="G111" s="72">
        <f>IF(VLOOKUP(C111,Steuerungsdaten!$P$17:$T$39,2,0)="","",MAX(ROUND(VLOOKUP(C111,Steuerungsdaten!$P$17:$T$39,2,0)*Steuerungsdaten!$B$4*Steuerungsdaten!$B$7*IFERROR(VLOOKUP(C111,Steuerungsdaten!$B$17:$C$37,2,FALSE),1)*POWER(IF(OR(E111=0,F111=0,E111="",F111=""),1,(E111*F111/1000000)/Steuerungsdaten!$B$6),IFERROR(VLOOKUP(C111,Steuerungsdaten!$B$17:$K$37,10,FALSE),1)-1),0),Steuerungsdaten!$E$4))</f>
        <v>37</v>
      </c>
      <c r="H111" s="72">
        <f>IF(VLOOKUP(C111,Steuerungsdaten!$P$17:$T$39,3,0)="","",MAX(ROUND(VLOOKUP(C111,Steuerungsdaten!$P$17:$T$39,3,0)*Steuerungsdaten!$B$4*Steuerungsdaten!$B$8*IFERROR(VLOOKUP(C111,Steuerungsdaten!$B$17:$E$37,4,FALSE),1)*POWER(IF(OR(E111=0,F111=0,E111="",F111=""),1,(E111*F111/1000000)/Steuerungsdaten!$B$6),IFERROR(VLOOKUP(C111,Steuerungsdaten!$B$17:$L$37,11,FALSE),1)-1),0),Steuerungsdaten!$E$5))</f>
        <v>126</v>
      </c>
      <c r="I111" s="72">
        <f>IF(VLOOKUP(C111,Steuerungsdaten!$P$17:$T$39,4,0)="","",MAX(ROUND(VLOOKUP(C111,Steuerungsdaten!$P$17:$T$39,4,0)*Steuerungsdaten!$B$4*Steuerungsdaten!$B$9*IFERROR(VLOOKUP(C111,Steuerungsdaten!$B$17:$G$37,6,FALSE),1)*POWER(IF(OR(E111=0,F111=0,E111="",F111=""),1,(E111*F111/1000000)/Steuerungsdaten!$B$6),IFERROR(VLOOKUP(C111,Steuerungsdaten!$B$17:$M$37,12,FALSE),1)-1),0),Steuerungsdaten!$E$6))</f>
        <v>131</v>
      </c>
      <c r="J111" s="72">
        <f>IF(VLOOKUP(C111,Steuerungsdaten!$P$17:$T$39,5,0)="","",MAX(ROUND(VLOOKUP(C111,Steuerungsdaten!$P$17:$T$39,5,0)*Steuerungsdaten!$B$4*Steuerungsdaten!$B$10*IFERROR(VLOOKUP(C111,Steuerungsdaten!$B$17:$I$37,8,FALSE),1)*POWER(IF(OR(E111=0,F111=0,E111="",F111=""),1,(E111*F111/1000000)/Steuerungsdaten!$B$6),IFERROR(VLOOKUP(C111,Steuerungsdaten!$B$17:$N$37,13,FALSE),1)-1),0),Steuerungsdaten!$E$7))</f>
        <v>146</v>
      </c>
      <c r="K111" s="72">
        <f>IFERROR(IF(G111="","",ROUND(G111*Steuerungsdaten!$B$5,0)),"-")</f>
        <v>43</v>
      </c>
      <c r="L111" s="72">
        <f>IFERROR(IF(H111="","",ROUND(H111*Steuerungsdaten!$B$5,0)),"-")</f>
        <v>145</v>
      </c>
      <c r="M111" s="72">
        <f>IFERROR(IF(I111="","",ROUND(I111*Steuerungsdaten!$B$5,0)),"-")</f>
        <v>151</v>
      </c>
      <c r="N111" s="73">
        <f>IFERROR(IF(J111="","",ROUND(J111*Steuerungsdaten!$B$5,0)),"-")</f>
        <v>168</v>
      </c>
      <c r="O111" s="79">
        <v>43</v>
      </c>
      <c r="P111" s="79">
        <f>IF(H111="","",ROUND(H111/(Steuerungsdaten!$B$4*Steuerungsdaten!$B$8*IFERROR(VLOOKUP(C111,Steuerungsdaten!$B$17:$E$37,4,FALSE),1)*POWER(IF(OR(E111=0,F111=0,E111="",F111=""),1,(E111*F111/1000000)/Steuerungsdaten!$B$6),IFERROR(VLOOKUP(C111,Steuerungsdaten!$B$17:$L$37,11,FALSE),1)-1)),0))</f>
        <v>240</v>
      </c>
      <c r="Q111" s="79">
        <f>IF(I111="","",ROUND(I111/(Steuerungsdaten!$B$4*Steuerungsdaten!$B$9*IFERROR(VLOOKUP(C111,Steuerungsdaten!$B$17:$G$37,6,FALSE),1)*POWER(IF(OR(E111=0,F111=0,E111="",F111=""),1,(E111*F111/1000000)/Steuerungsdaten!$B$6),IFERROR(VLOOKUP(C111,Steuerungsdaten!$B$17:$M$37,12,FALSE),1)-1)),0))</f>
        <v>250</v>
      </c>
      <c r="R111" s="79">
        <f>IF(J111="","",ROUND(J111/(Steuerungsdaten!$B$4*Steuerungsdaten!$B$10*IFERROR(VLOOKUP(C111,Steuerungsdaten!$B$17:$I$37,8,FALSE),1)*POWER(IF(OR(E111=0,F111=0,E111="",F111=""),1,(E111*F111/1000000)/Steuerungsdaten!$B$6),IFERROR(VLOOKUP(C111,Steuerungsdaten!$B$17:$N$37,13,FALSE),1)-1)),0))</f>
        <v>255</v>
      </c>
    </row>
    <row r="112" spans="1:18" x14ac:dyDescent="0.25">
      <c r="A112" s="74">
        <v>3508</v>
      </c>
      <c r="B112" s="75" t="s">
        <v>7</v>
      </c>
      <c r="C112" s="75" t="s">
        <v>109</v>
      </c>
      <c r="D112" s="75" t="s">
        <v>118</v>
      </c>
      <c r="E112" s="76">
        <v>580</v>
      </c>
      <c r="F112" s="76">
        <v>720</v>
      </c>
      <c r="G112" s="77">
        <f>IF(VLOOKUP(C112,Steuerungsdaten!$P$17:$T$39,2,0)="","",MAX(ROUND(VLOOKUP(C112,Steuerungsdaten!$P$17:$T$39,2,0)*Steuerungsdaten!$B$4*Steuerungsdaten!$B$7*IFERROR(VLOOKUP(C112,Steuerungsdaten!$B$17:$C$37,2,FALSE),1)*POWER(IF(OR(E112=0,F112=0,E112="",F112=""),1,(E112*F112/1000000)/Steuerungsdaten!$B$6),IFERROR(VLOOKUP(C112,Steuerungsdaten!$B$17:$K$37,10,FALSE),1)-1),0),Steuerungsdaten!$E$4))</f>
        <v>73</v>
      </c>
      <c r="H112" s="77">
        <f>IF(VLOOKUP(C112,Steuerungsdaten!$P$17:$T$39,3,0)="","",MAX(ROUND(VLOOKUP(C112,Steuerungsdaten!$P$17:$T$39,3,0)*Steuerungsdaten!$B$4*Steuerungsdaten!$B$8*IFERROR(VLOOKUP(C112,Steuerungsdaten!$B$17:$E$37,4,FALSE),1)*POWER(IF(OR(E112=0,F112=0,E112="",F112=""),1,(E112*F112/1000000)/Steuerungsdaten!$B$6),IFERROR(VLOOKUP(C112,Steuerungsdaten!$B$17:$L$37,11,FALSE),1)-1),0),Steuerungsdaten!$E$5))</f>
        <v>252</v>
      </c>
      <c r="I112" s="77">
        <f>IF(VLOOKUP(C112,Steuerungsdaten!$P$17:$T$39,4,0)="","",MAX(ROUND(VLOOKUP(C112,Steuerungsdaten!$P$17:$T$39,4,0)*Steuerungsdaten!$B$4*Steuerungsdaten!$B$9*IFERROR(VLOOKUP(C112,Steuerungsdaten!$B$17:$G$37,6,FALSE),1)*POWER(IF(OR(E112=0,F112=0,E112="",F112=""),1,(E112*F112/1000000)/Steuerungsdaten!$B$6),IFERROR(VLOOKUP(C112,Steuerungsdaten!$B$17:$M$37,12,FALSE),1)-1),0),Steuerungsdaten!$E$6))</f>
        <v>262</v>
      </c>
      <c r="J112" s="77">
        <f>IF(VLOOKUP(C112,Steuerungsdaten!$P$17:$T$39,5,0)="","",MAX(ROUND(VLOOKUP(C112,Steuerungsdaten!$P$17:$T$39,5,0)*Steuerungsdaten!$B$4*Steuerungsdaten!$B$10*IFERROR(VLOOKUP(C112,Steuerungsdaten!$B$17:$I$37,8,FALSE),1)*POWER(IF(OR(E112=0,F112=0,E112="",F112=""),1,(E112*F112/1000000)/Steuerungsdaten!$B$6),IFERROR(VLOOKUP(C112,Steuerungsdaten!$B$17:$N$37,13,FALSE),1)-1),0),Steuerungsdaten!$E$7))</f>
        <v>292</v>
      </c>
      <c r="K112" s="77">
        <f>IFERROR(IF(G112="","",ROUND(G112*Steuerungsdaten!$B$5,0)),"-")</f>
        <v>84</v>
      </c>
      <c r="L112" s="77">
        <f>IFERROR(IF(H112="","",ROUND(H112*Steuerungsdaten!$B$5,0)),"-")</f>
        <v>290</v>
      </c>
      <c r="M112" s="77">
        <f>IFERROR(IF(I112="","",ROUND(I112*Steuerungsdaten!$B$5,0)),"-")</f>
        <v>301</v>
      </c>
      <c r="N112" s="78">
        <f>IFERROR(IF(J112="","",ROUND(J112*Steuerungsdaten!$B$5,0)),"-")</f>
        <v>336</v>
      </c>
      <c r="O112" s="79">
        <v>82</v>
      </c>
      <c r="P112" s="79">
        <f>IF(H112="","",ROUND(H112/(Steuerungsdaten!$B$4*Steuerungsdaten!$B$8*IFERROR(VLOOKUP(C112,Steuerungsdaten!$B$17:$E$37,4,FALSE),1)*POWER(IF(OR(E112=0,F112=0,E112="",F112=""),1,(E112*F112/1000000)/Steuerungsdaten!$B$6),IFERROR(VLOOKUP(C112,Steuerungsdaten!$B$17:$L$37,11,FALSE),1)-1)),0))</f>
        <v>240</v>
      </c>
      <c r="Q112" s="79">
        <f>IF(I112="","",ROUND(I112/(Steuerungsdaten!$B$4*Steuerungsdaten!$B$9*IFERROR(VLOOKUP(C112,Steuerungsdaten!$B$17:$G$37,6,FALSE),1)*POWER(IF(OR(E112=0,F112=0,E112="",F112=""),1,(E112*F112/1000000)/Steuerungsdaten!$B$6),IFERROR(VLOOKUP(C112,Steuerungsdaten!$B$17:$M$37,12,FALSE),1)-1)),0))</f>
        <v>250</v>
      </c>
      <c r="R112" s="79">
        <f>IF(J112="","",ROUND(J112/(Steuerungsdaten!$B$4*Steuerungsdaten!$B$10*IFERROR(VLOOKUP(C112,Steuerungsdaten!$B$17:$I$37,8,FALSE),1)*POWER(IF(OR(E112=0,F112=0,E112="",F112=""),1,(E112*F112/1000000)/Steuerungsdaten!$B$6),IFERROR(VLOOKUP(C112,Steuerungsdaten!$B$17:$N$37,13,FALSE),1)-1)),0))</f>
        <v>255</v>
      </c>
    </row>
    <row r="113" spans="1:18" x14ac:dyDescent="0.25">
      <c r="A113" s="69">
        <v>3509</v>
      </c>
      <c r="B113" s="70" t="s">
        <v>7</v>
      </c>
      <c r="C113" s="70" t="s">
        <v>109</v>
      </c>
      <c r="D113" s="70" t="s">
        <v>119</v>
      </c>
      <c r="E113" s="71">
        <v>580</v>
      </c>
      <c r="F113" s="71">
        <v>1080</v>
      </c>
      <c r="G113" s="72">
        <f>IF(VLOOKUP(C113,Steuerungsdaten!$P$17:$T$39,2,0)="","",MAX(ROUND(VLOOKUP(C113,Steuerungsdaten!$P$17:$T$39,2,0)*Steuerungsdaten!$B$4*Steuerungsdaten!$B$7*IFERROR(VLOOKUP(C113,Steuerungsdaten!$B$17:$C$37,2,FALSE),1)*POWER(IF(OR(E113=0,F113=0,E113="",F113=""),1,(E113*F113/1000000)/Steuerungsdaten!$B$6),IFERROR(VLOOKUP(C113,Steuerungsdaten!$B$17:$K$37,10,FALSE),1)-1),0),Steuerungsdaten!$E$4))</f>
        <v>110</v>
      </c>
      <c r="H113" s="72">
        <f>IF(VLOOKUP(C113,Steuerungsdaten!$P$17:$T$39,3,0)="","",MAX(ROUND(VLOOKUP(C113,Steuerungsdaten!$P$17:$T$39,3,0)*Steuerungsdaten!$B$4*Steuerungsdaten!$B$8*IFERROR(VLOOKUP(C113,Steuerungsdaten!$B$17:$E$37,4,FALSE),1)*POWER(IF(OR(E113=0,F113=0,E113="",F113=""),1,(E113*F113/1000000)/Steuerungsdaten!$B$6),IFERROR(VLOOKUP(C113,Steuerungsdaten!$B$17:$L$37,11,FALSE),1)-1),0),Steuerungsdaten!$E$5))</f>
        <v>378</v>
      </c>
      <c r="I113" s="72">
        <f>IF(VLOOKUP(C113,Steuerungsdaten!$P$17:$T$39,4,0)="","",MAX(ROUND(VLOOKUP(C113,Steuerungsdaten!$P$17:$T$39,4,0)*Steuerungsdaten!$B$4*Steuerungsdaten!$B$9*IFERROR(VLOOKUP(C113,Steuerungsdaten!$B$17:$G$37,6,FALSE),1)*POWER(IF(OR(E113=0,F113=0,E113="",F113=""),1,(E113*F113/1000000)/Steuerungsdaten!$B$6),IFERROR(VLOOKUP(C113,Steuerungsdaten!$B$17:$M$37,12,FALSE),1)-1),0),Steuerungsdaten!$E$6))</f>
        <v>394</v>
      </c>
      <c r="J113" s="72">
        <f>IF(VLOOKUP(C113,Steuerungsdaten!$P$17:$T$39,5,0)="","",MAX(ROUND(VLOOKUP(C113,Steuerungsdaten!$P$17:$T$39,5,0)*Steuerungsdaten!$B$4*Steuerungsdaten!$B$10*IFERROR(VLOOKUP(C113,Steuerungsdaten!$B$17:$I$37,8,FALSE),1)*POWER(IF(OR(E113=0,F113=0,E113="",F113=""),1,(E113*F113/1000000)/Steuerungsdaten!$B$6),IFERROR(VLOOKUP(C113,Steuerungsdaten!$B$17:$N$37,13,FALSE),1)-1),0),Steuerungsdaten!$E$7))</f>
        <v>438</v>
      </c>
      <c r="K113" s="72">
        <f>IFERROR(IF(G113="","",ROUND(G113*Steuerungsdaten!$B$5,0)),"-")</f>
        <v>127</v>
      </c>
      <c r="L113" s="72">
        <f>IFERROR(IF(H113="","",ROUND(H113*Steuerungsdaten!$B$5,0)),"-")</f>
        <v>435</v>
      </c>
      <c r="M113" s="72">
        <f>IFERROR(IF(I113="","",ROUND(I113*Steuerungsdaten!$B$5,0)),"-")</f>
        <v>453</v>
      </c>
      <c r="N113" s="73">
        <f>IFERROR(IF(J113="","",ROUND(J113*Steuerungsdaten!$B$5,0)),"-")</f>
        <v>504</v>
      </c>
      <c r="O113" s="79">
        <v>119</v>
      </c>
      <c r="P113" s="79">
        <f>IF(H113="","",ROUND(H113/(Steuerungsdaten!$B$4*Steuerungsdaten!$B$8*IFERROR(VLOOKUP(C113,Steuerungsdaten!$B$17:$E$37,4,FALSE),1)*POWER(IF(OR(E113=0,F113=0,E113="",F113=""),1,(E113*F113/1000000)/Steuerungsdaten!$B$6),IFERROR(VLOOKUP(C113,Steuerungsdaten!$B$17:$L$37,11,FALSE),1)-1)),0))</f>
        <v>240</v>
      </c>
      <c r="Q113" s="79">
        <f>IF(I113="","",ROUND(I113/(Steuerungsdaten!$B$4*Steuerungsdaten!$B$9*IFERROR(VLOOKUP(C113,Steuerungsdaten!$B$17:$G$37,6,FALSE),1)*POWER(IF(OR(E113=0,F113=0,E113="",F113=""),1,(E113*F113/1000000)/Steuerungsdaten!$B$6),IFERROR(VLOOKUP(C113,Steuerungsdaten!$B$17:$M$37,12,FALSE),1)-1)),0))</f>
        <v>250</v>
      </c>
      <c r="R113" s="79">
        <f>IF(J113="","",ROUND(J113/(Steuerungsdaten!$B$4*Steuerungsdaten!$B$10*IFERROR(VLOOKUP(C113,Steuerungsdaten!$B$17:$I$37,8,FALSE),1)*POWER(IF(OR(E113=0,F113=0,E113="",F113=""),1,(E113*F113/1000000)/Steuerungsdaten!$B$6),IFERROR(VLOOKUP(C113,Steuerungsdaten!$B$17:$N$37,13,FALSE),1)-1)),0))</f>
        <v>255</v>
      </c>
    </row>
    <row r="114" spans="1:18" x14ac:dyDescent="0.25">
      <c r="A114" s="74">
        <v>3510</v>
      </c>
      <c r="B114" s="75" t="s">
        <v>7</v>
      </c>
      <c r="C114" s="75" t="s">
        <v>109</v>
      </c>
      <c r="D114" s="75" t="s">
        <v>120</v>
      </c>
      <c r="E114" s="76">
        <v>580</v>
      </c>
      <c r="F114" s="76">
        <v>1440</v>
      </c>
      <c r="G114" s="77">
        <f>IF(VLOOKUP(C114,Steuerungsdaten!$P$17:$T$39,2,0)="","",MAX(ROUND(VLOOKUP(C114,Steuerungsdaten!$P$17:$T$39,2,0)*Steuerungsdaten!$B$4*Steuerungsdaten!$B$7*IFERROR(VLOOKUP(C114,Steuerungsdaten!$B$17:$C$37,2,FALSE),1)*POWER(IF(OR(E114=0,F114=0,E114="",F114=""),1,(E114*F114/1000000)/Steuerungsdaten!$B$6),IFERROR(VLOOKUP(C114,Steuerungsdaten!$B$17:$K$37,10,FALSE),1)-1),0),Steuerungsdaten!$E$4))</f>
        <v>147</v>
      </c>
      <c r="H114" s="77">
        <f>IF(VLOOKUP(C114,Steuerungsdaten!$P$17:$T$39,3,0)="","",MAX(ROUND(VLOOKUP(C114,Steuerungsdaten!$P$17:$T$39,3,0)*Steuerungsdaten!$B$4*Steuerungsdaten!$B$8*IFERROR(VLOOKUP(C114,Steuerungsdaten!$B$17:$E$37,4,FALSE),1)*POWER(IF(OR(E114=0,F114=0,E114="",F114=""),1,(E114*F114/1000000)/Steuerungsdaten!$B$6),IFERROR(VLOOKUP(C114,Steuerungsdaten!$B$17:$L$37,11,FALSE),1)-1),0),Steuerungsdaten!$E$5))</f>
        <v>504</v>
      </c>
      <c r="I114" s="77">
        <f>IF(VLOOKUP(C114,Steuerungsdaten!$P$17:$T$39,4,0)="","",MAX(ROUND(VLOOKUP(C114,Steuerungsdaten!$P$17:$T$39,4,0)*Steuerungsdaten!$B$4*Steuerungsdaten!$B$9*IFERROR(VLOOKUP(C114,Steuerungsdaten!$B$17:$G$37,6,FALSE),1)*POWER(IF(OR(E114=0,F114=0,E114="",F114=""),1,(E114*F114/1000000)/Steuerungsdaten!$B$6),IFERROR(VLOOKUP(C114,Steuerungsdaten!$B$17:$M$37,12,FALSE),1)-1),0),Steuerungsdaten!$E$6))</f>
        <v>525</v>
      </c>
      <c r="J114" s="77">
        <f>IF(VLOOKUP(C114,Steuerungsdaten!$P$17:$T$39,5,0)="","",MAX(ROUND(VLOOKUP(C114,Steuerungsdaten!$P$17:$T$39,5,0)*Steuerungsdaten!$B$4*Steuerungsdaten!$B$10*IFERROR(VLOOKUP(C114,Steuerungsdaten!$B$17:$I$37,8,FALSE),1)*POWER(IF(OR(E114=0,F114=0,E114="",F114=""),1,(E114*F114/1000000)/Steuerungsdaten!$B$6),IFERROR(VLOOKUP(C114,Steuerungsdaten!$B$17:$N$37,13,FALSE),1)-1),0),Steuerungsdaten!$E$7))</f>
        <v>584</v>
      </c>
      <c r="K114" s="77">
        <f>IFERROR(IF(G114="","",ROUND(G114*Steuerungsdaten!$B$5,0)),"-")</f>
        <v>169</v>
      </c>
      <c r="L114" s="77">
        <f>IFERROR(IF(H114="","",ROUND(H114*Steuerungsdaten!$B$5,0)),"-")</f>
        <v>580</v>
      </c>
      <c r="M114" s="77">
        <f>IFERROR(IF(I114="","",ROUND(I114*Steuerungsdaten!$B$5,0)),"-")</f>
        <v>604</v>
      </c>
      <c r="N114" s="78">
        <f>IFERROR(IF(J114="","",ROUND(J114*Steuerungsdaten!$B$5,0)),"-")</f>
        <v>672</v>
      </c>
      <c r="O114" s="79">
        <v>158</v>
      </c>
      <c r="P114" s="79">
        <f>IF(H114="","",ROUND(H114/(Steuerungsdaten!$B$4*Steuerungsdaten!$B$8*IFERROR(VLOOKUP(C114,Steuerungsdaten!$B$17:$E$37,4,FALSE),1)*POWER(IF(OR(E114=0,F114=0,E114="",F114=""),1,(E114*F114/1000000)/Steuerungsdaten!$B$6),IFERROR(VLOOKUP(C114,Steuerungsdaten!$B$17:$L$37,11,FALSE),1)-1)),0))</f>
        <v>240</v>
      </c>
      <c r="Q114" s="79">
        <f>IF(I114="","",ROUND(I114/(Steuerungsdaten!$B$4*Steuerungsdaten!$B$9*IFERROR(VLOOKUP(C114,Steuerungsdaten!$B$17:$G$37,6,FALSE),1)*POWER(IF(OR(E114=0,F114=0,E114="",F114=""),1,(E114*F114/1000000)/Steuerungsdaten!$B$6),IFERROR(VLOOKUP(C114,Steuerungsdaten!$B$17:$M$37,12,FALSE),1)-1)),0))</f>
        <v>250</v>
      </c>
      <c r="R114" s="79">
        <f>IF(J114="","",ROUND(J114/(Steuerungsdaten!$B$4*Steuerungsdaten!$B$10*IFERROR(VLOOKUP(C114,Steuerungsdaten!$B$17:$I$37,8,FALSE),1)*POWER(IF(OR(E114=0,F114=0,E114="",F114=""),1,(E114*F114/1000000)/Steuerungsdaten!$B$6),IFERROR(VLOOKUP(C114,Steuerungsdaten!$B$17:$N$37,13,FALSE),1)-1)),0))</f>
        <v>255</v>
      </c>
    </row>
    <row r="115" spans="1:18" x14ac:dyDescent="0.25">
      <c r="A115" s="69">
        <v>3511</v>
      </c>
      <c r="B115" s="70" t="s">
        <v>7</v>
      </c>
      <c r="C115" s="70" t="s">
        <v>109</v>
      </c>
      <c r="D115" s="70" t="s">
        <v>121</v>
      </c>
      <c r="E115" s="71">
        <v>580</v>
      </c>
      <c r="F115" s="71">
        <v>1800</v>
      </c>
      <c r="G115" s="72">
        <f>IF(VLOOKUP(C115,Steuerungsdaten!$P$17:$T$39,2,0)="","",MAX(ROUND(VLOOKUP(C115,Steuerungsdaten!$P$17:$T$39,2,0)*Steuerungsdaten!$B$4*Steuerungsdaten!$B$7*IFERROR(VLOOKUP(C115,Steuerungsdaten!$B$17:$C$37,2,FALSE),1)*POWER(IF(OR(E115=0,F115=0,E115="",F115=""),1,(E115*F115/1000000)/Steuerungsdaten!$B$6),IFERROR(VLOOKUP(C115,Steuerungsdaten!$B$17:$K$37,10,FALSE),1)-1),0),Steuerungsdaten!$E$4))</f>
        <v>184</v>
      </c>
      <c r="H115" s="72">
        <f>IF(VLOOKUP(C115,Steuerungsdaten!$P$17:$T$39,3,0)="","",MAX(ROUND(VLOOKUP(C115,Steuerungsdaten!$P$17:$T$39,3,0)*Steuerungsdaten!$B$4*Steuerungsdaten!$B$8*IFERROR(VLOOKUP(C115,Steuerungsdaten!$B$17:$E$37,4,FALSE),1)*POWER(IF(OR(E115=0,F115=0,E115="",F115=""),1,(E115*F115/1000000)/Steuerungsdaten!$B$6),IFERROR(VLOOKUP(C115,Steuerungsdaten!$B$17:$L$37,11,FALSE),1)-1),0),Steuerungsdaten!$E$5))</f>
        <v>630</v>
      </c>
      <c r="I115" s="72">
        <f>IF(VLOOKUP(C115,Steuerungsdaten!$P$17:$T$39,4,0)="","",MAX(ROUND(VLOOKUP(C115,Steuerungsdaten!$P$17:$T$39,4,0)*Steuerungsdaten!$B$4*Steuerungsdaten!$B$9*IFERROR(VLOOKUP(C115,Steuerungsdaten!$B$17:$G$37,6,FALSE),1)*POWER(IF(OR(E115=0,F115=0,E115="",F115=""),1,(E115*F115/1000000)/Steuerungsdaten!$B$6),IFERROR(VLOOKUP(C115,Steuerungsdaten!$B$17:$M$37,12,FALSE),1)-1),0),Steuerungsdaten!$E$6))</f>
        <v>656</v>
      </c>
      <c r="J115" s="72">
        <f>IF(VLOOKUP(C115,Steuerungsdaten!$P$17:$T$39,5,0)="","",MAX(ROUND(VLOOKUP(C115,Steuerungsdaten!$P$17:$T$39,5,0)*Steuerungsdaten!$B$4*Steuerungsdaten!$B$10*IFERROR(VLOOKUP(C115,Steuerungsdaten!$B$17:$I$37,8,FALSE),1)*POWER(IF(OR(E115=0,F115=0,E115="",F115=""),1,(E115*F115/1000000)/Steuerungsdaten!$B$6),IFERROR(VLOOKUP(C115,Steuerungsdaten!$B$17:$N$37,13,FALSE),1)-1),0),Steuerungsdaten!$E$7))</f>
        <v>730</v>
      </c>
      <c r="K115" s="72">
        <f>IFERROR(IF(G115="","",ROUND(G115*Steuerungsdaten!$B$5,0)),"-")</f>
        <v>212</v>
      </c>
      <c r="L115" s="72">
        <f>IFERROR(IF(H115="","",ROUND(H115*Steuerungsdaten!$B$5,0)),"-")</f>
        <v>725</v>
      </c>
      <c r="M115" s="72">
        <f>IFERROR(IF(I115="","",ROUND(I115*Steuerungsdaten!$B$5,0)),"-")</f>
        <v>754</v>
      </c>
      <c r="N115" s="73">
        <f>IFERROR(IF(J115="","",ROUND(J115*Steuerungsdaten!$B$5,0)),"-")</f>
        <v>840</v>
      </c>
      <c r="O115" s="79">
        <v>197</v>
      </c>
      <c r="P115" s="79">
        <f>IF(H115="","",ROUND(H115/(Steuerungsdaten!$B$4*Steuerungsdaten!$B$8*IFERROR(VLOOKUP(C115,Steuerungsdaten!$B$17:$E$37,4,FALSE),1)*POWER(IF(OR(E115=0,F115=0,E115="",F115=""),1,(E115*F115/1000000)/Steuerungsdaten!$B$6),IFERROR(VLOOKUP(C115,Steuerungsdaten!$B$17:$L$37,11,FALSE),1)-1)),0))</f>
        <v>240</v>
      </c>
      <c r="Q115" s="79">
        <f>IF(I115="","",ROUND(I115/(Steuerungsdaten!$B$4*Steuerungsdaten!$B$9*IFERROR(VLOOKUP(C115,Steuerungsdaten!$B$17:$G$37,6,FALSE),1)*POWER(IF(OR(E115=0,F115=0,E115="",F115=""),1,(E115*F115/1000000)/Steuerungsdaten!$B$6),IFERROR(VLOOKUP(C115,Steuerungsdaten!$B$17:$M$37,12,FALSE),1)-1)),0))</f>
        <v>250</v>
      </c>
      <c r="R115" s="79">
        <f>IF(J115="","",ROUND(J115/(Steuerungsdaten!$B$4*Steuerungsdaten!$B$10*IFERROR(VLOOKUP(C115,Steuerungsdaten!$B$17:$I$37,8,FALSE),1)*POWER(IF(OR(E115=0,F115=0,E115="",F115=""),1,(E115*F115/1000000)/Steuerungsdaten!$B$6),IFERROR(VLOOKUP(C115,Steuerungsdaten!$B$17:$N$37,13,FALSE),1)-1)),0))</f>
        <v>255</v>
      </c>
    </row>
    <row r="116" spans="1:18" x14ac:dyDescent="0.25">
      <c r="A116" s="74">
        <v>3512</v>
      </c>
      <c r="B116" s="75" t="s">
        <v>7</v>
      </c>
      <c r="C116" s="75" t="s">
        <v>109</v>
      </c>
      <c r="D116" s="75" t="s">
        <v>122</v>
      </c>
      <c r="E116" s="76">
        <v>180</v>
      </c>
      <c r="F116" s="76">
        <v>780</v>
      </c>
      <c r="G116" s="77" t="s">
        <v>988</v>
      </c>
      <c r="H116" s="77" t="s">
        <v>988</v>
      </c>
      <c r="I116" s="77" t="s">
        <v>988</v>
      </c>
      <c r="J116" s="77" t="s">
        <v>988</v>
      </c>
      <c r="K116" s="77" t="s">
        <v>988</v>
      </c>
      <c r="L116" s="77" t="s">
        <v>988</v>
      </c>
      <c r="M116" s="77" t="s">
        <v>988</v>
      </c>
      <c r="N116" s="78" t="s">
        <v>988</v>
      </c>
      <c r="O116" s="79">
        <v>56</v>
      </c>
      <c r="P116" s="79" t="e">
        <f>IF(H116="","",ROUND(H116/(Steuerungsdaten!$B$4*Steuerungsdaten!$B$8*IFERROR(VLOOKUP(C116,Steuerungsdaten!$B$17:$E$37,4,FALSE),1)*POWER(IF(OR(E116=0,F116=0,E116="",F116=""),1,(E116*F116/1000000)/Steuerungsdaten!$B$6),IFERROR(VLOOKUP(C116,Steuerungsdaten!$B$17:$L$37,11,FALSE),1)-1)),0))</f>
        <v>#VALUE!</v>
      </c>
      <c r="Q116" s="79" t="e">
        <f>IF(I116="","",ROUND(I116/(Steuerungsdaten!$B$4*Steuerungsdaten!$B$9*IFERROR(VLOOKUP(C116,Steuerungsdaten!$B$17:$G$37,6,FALSE),1)*POWER(IF(OR(E116=0,F116=0,E116="",F116=""),1,(E116*F116/1000000)/Steuerungsdaten!$B$6),IFERROR(VLOOKUP(C116,Steuerungsdaten!$B$17:$M$37,12,FALSE),1)-1)),0))</f>
        <v>#VALUE!</v>
      </c>
      <c r="R116" s="79" t="e">
        <f>IF(J116="","",ROUND(J116/(Steuerungsdaten!$B$4*Steuerungsdaten!$B$10*IFERROR(VLOOKUP(C116,Steuerungsdaten!$B$17:$I$37,8,FALSE),1)*POWER(IF(OR(E116=0,F116=0,E116="",F116=""),1,(E116*F116/1000000)/Steuerungsdaten!$B$6),IFERROR(VLOOKUP(C116,Steuerungsdaten!$B$17:$N$37,13,FALSE),1)-1)),0))</f>
        <v>#VALUE!</v>
      </c>
    </row>
    <row r="117" spans="1:18" x14ac:dyDescent="0.25">
      <c r="A117" s="69">
        <v>3513</v>
      </c>
      <c r="B117" s="70" t="s">
        <v>7</v>
      </c>
      <c r="C117" s="70" t="s">
        <v>109</v>
      </c>
      <c r="D117" s="70" t="s">
        <v>123</v>
      </c>
      <c r="E117" s="71">
        <v>180</v>
      </c>
      <c r="F117" s="71">
        <v>980</v>
      </c>
      <c r="G117" s="72" t="s">
        <v>988</v>
      </c>
      <c r="H117" s="72" t="s">
        <v>988</v>
      </c>
      <c r="I117" s="72" t="s">
        <v>988</v>
      </c>
      <c r="J117" s="72" t="s">
        <v>988</v>
      </c>
      <c r="K117" s="72" t="s">
        <v>988</v>
      </c>
      <c r="L117" s="72" t="s">
        <v>988</v>
      </c>
      <c r="M117" s="72" t="s">
        <v>988</v>
      </c>
      <c r="N117" s="73" t="s">
        <v>988</v>
      </c>
      <c r="O117" s="79">
        <v>70</v>
      </c>
      <c r="P117" s="79" t="e">
        <f>IF(H117="","",ROUND(H117/(Steuerungsdaten!$B$4*Steuerungsdaten!$B$8*IFERROR(VLOOKUP(C117,Steuerungsdaten!$B$17:$E$37,4,FALSE),1)*POWER(IF(OR(E117=0,F117=0,E117="",F117=""),1,(E117*F117/1000000)/Steuerungsdaten!$B$6),IFERROR(VLOOKUP(C117,Steuerungsdaten!$B$17:$L$37,11,FALSE),1)-1)),0))</f>
        <v>#VALUE!</v>
      </c>
      <c r="Q117" s="79" t="e">
        <f>IF(I117="","",ROUND(I117/(Steuerungsdaten!$B$4*Steuerungsdaten!$B$9*IFERROR(VLOOKUP(C117,Steuerungsdaten!$B$17:$G$37,6,FALSE),1)*POWER(IF(OR(E117=0,F117=0,E117="",F117=""),1,(E117*F117/1000000)/Steuerungsdaten!$B$6),IFERROR(VLOOKUP(C117,Steuerungsdaten!$B$17:$M$37,12,FALSE),1)-1)),0))</f>
        <v>#VALUE!</v>
      </c>
      <c r="R117" s="79" t="e">
        <f>IF(J117="","",ROUND(J117/(Steuerungsdaten!$B$4*Steuerungsdaten!$B$10*IFERROR(VLOOKUP(C117,Steuerungsdaten!$B$17:$I$37,8,FALSE),1)*POWER(IF(OR(E117=0,F117=0,E117="",F117=""),1,(E117*F117/1000000)/Steuerungsdaten!$B$6),IFERROR(VLOOKUP(C117,Steuerungsdaten!$B$17:$N$37,13,FALSE),1)-1)),0))</f>
        <v>#VALUE!</v>
      </c>
    </row>
    <row r="118" spans="1:18" x14ac:dyDescent="0.25">
      <c r="A118" s="74">
        <v>3514</v>
      </c>
      <c r="B118" s="75" t="s">
        <v>7</v>
      </c>
      <c r="C118" s="75" t="s">
        <v>109</v>
      </c>
      <c r="D118" s="75" t="s">
        <v>124</v>
      </c>
      <c r="E118" s="76">
        <v>360</v>
      </c>
      <c r="F118" s="76">
        <v>780</v>
      </c>
      <c r="G118" s="77" t="s">
        <v>988</v>
      </c>
      <c r="H118" s="77" t="s">
        <v>988</v>
      </c>
      <c r="I118" s="77" t="s">
        <v>988</v>
      </c>
      <c r="J118" s="77" t="s">
        <v>988</v>
      </c>
      <c r="K118" s="77" t="s">
        <v>988</v>
      </c>
      <c r="L118" s="77" t="s">
        <v>988</v>
      </c>
      <c r="M118" s="77" t="s">
        <v>988</v>
      </c>
      <c r="N118" s="78" t="s">
        <v>988</v>
      </c>
      <c r="O118" s="79">
        <v>56</v>
      </c>
      <c r="P118" s="79" t="e">
        <f>IF(H118="","",ROUND(H118/(Steuerungsdaten!$B$4*Steuerungsdaten!$B$8*IFERROR(VLOOKUP(C118,Steuerungsdaten!$B$17:$E$37,4,FALSE),1)*POWER(IF(OR(E118=0,F118=0,E118="",F118=""),1,(E118*F118/1000000)/Steuerungsdaten!$B$6),IFERROR(VLOOKUP(C118,Steuerungsdaten!$B$17:$L$37,11,FALSE),1)-1)),0))</f>
        <v>#VALUE!</v>
      </c>
      <c r="Q118" s="79" t="e">
        <f>IF(I118="","",ROUND(I118/(Steuerungsdaten!$B$4*Steuerungsdaten!$B$9*IFERROR(VLOOKUP(C118,Steuerungsdaten!$B$17:$G$37,6,FALSE),1)*POWER(IF(OR(E118=0,F118=0,E118="",F118=""),1,(E118*F118/1000000)/Steuerungsdaten!$B$6),IFERROR(VLOOKUP(C118,Steuerungsdaten!$B$17:$M$37,12,FALSE),1)-1)),0))</f>
        <v>#VALUE!</v>
      </c>
      <c r="R118" s="79" t="e">
        <f>IF(J118="","",ROUND(J118/(Steuerungsdaten!$B$4*Steuerungsdaten!$B$10*IFERROR(VLOOKUP(C118,Steuerungsdaten!$B$17:$I$37,8,FALSE),1)*POWER(IF(OR(E118=0,F118=0,E118="",F118=""),1,(E118*F118/1000000)/Steuerungsdaten!$B$6),IFERROR(VLOOKUP(C118,Steuerungsdaten!$B$17:$N$37,13,FALSE),1)-1)),0))</f>
        <v>#VALUE!</v>
      </c>
    </row>
    <row r="119" spans="1:18" x14ac:dyDescent="0.25">
      <c r="A119" s="69">
        <v>3515</v>
      </c>
      <c r="B119" s="70" t="s">
        <v>7</v>
      </c>
      <c r="C119" s="70" t="s">
        <v>109</v>
      </c>
      <c r="D119" s="70" t="s">
        <v>125</v>
      </c>
      <c r="E119" s="71">
        <v>360</v>
      </c>
      <c r="F119" s="71">
        <v>980</v>
      </c>
      <c r="G119" s="72" t="s">
        <v>988</v>
      </c>
      <c r="H119" s="72" t="s">
        <v>988</v>
      </c>
      <c r="I119" s="72" t="s">
        <v>988</v>
      </c>
      <c r="J119" s="72" t="s">
        <v>988</v>
      </c>
      <c r="K119" s="72" t="s">
        <v>988</v>
      </c>
      <c r="L119" s="72" t="s">
        <v>988</v>
      </c>
      <c r="M119" s="72" t="s">
        <v>988</v>
      </c>
      <c r="N119" s="73" t="s">
        <v>988</v>
      </c>
      <c r="O119" s="79">
        <v>70</v>
      </c>
      <c r="P119" s="79" t="e">
        <f>IF(H119="","",ROUND(H119/(Steuerungsdaten!$B$4*Steuerungsdaten!$B$8*IFERROR(VLOOKUP(C119,Steuerungsdaten!$B$17:$E$37,4,FALSE),1)*POWER(IF(OR(E119=0,F119=0,E119="",F119=""),1,(E119*F119/1000000)/Steuerungsdaten!$B$6),IFERROR(VLOOKUP(C119,Steuerungsdaten!$B$17:$L$37,11,FALSE),1)-1)),0))</f>
        <v>#VALUE!</v>
      </c>
      <c r="Q119" s="79" t="e">
        <f>IF(I119="","",ROUND(I119/(Steuerungsdaten!$B$4*Steuerungsdaten!$B$9*IFERROR(VLOOKUP(C119,Steuerungsdaten!$B$17:$G$37,6,FALSE),1)*POWER(IF(OR(E119=0,F119=0,E119="",F119=""),1,(E119*F119/1000000)/Steuerungsdaten!$B$6),IFERROR(VLOOKUP(C119,Steuerungsdaten!$B$17:$M$37,12,FALSE),1)-1)),0))</f>
        <v>#VALUE!</v>
      </c>
      <c r="R119" s="79" t="e">
        <f>IF(J119="","",ROUND(J119/(Steuerungsdaten!$B$4*Steuerungsdaten!$B$10*IFERROR(VLOOKUP(C119,Steuerungsdaten!$B$17:$I$37,8,FALSE),1)*POWER(IF(OR(E119=0,F119=0,E119="",F119=""),1,(E119*F119/1000000)/Steuerungsdaten!$B$6),IFERROR(VLOOKUP(C119,Steuerungsdaten!$B$17:$N$37,13,FALSE),1)-1)),0))</f>
        <v>#VALUE!</v>
      </c>
    </row>
    <row r="120" spans="1:18" x14ac:dyDescent="0.25">
      <c r="A120" s="74">
        <v>3516</v>
      </c>
      <c r="B120" s="75" t="s">
        <v>7</v>
      </c>
      <c r="C120" s="75" t="s">
        <v>109</v>
      </c>
      <c r="D120" s="75" t="s">
        <v>126</v>
      </c>
      <c r="E120" s="76">
        <v>720</v>
      </c>
      <c r="F120" s="76">
        <v>780</v>
      </c>
      <c r="G120" s="77" t="s">
        <v>988</v>
      </c>
      <c r="H120" s="77" t="s">
        <v>988</v>
      </c>
      <c r="I120" s="77" t="s">
        <v>988</v>
      </c>
      <c r="J120" s="77" t="s">
        <v>988</v>
      </c>
      <c r="K120" s="77" t="s">
        <v>988</v>
      </c>
      <c r="L120" s="77" t="s">
        <v>988</v>
      </c>
      <c r="M120" s="77" t="s">
        <v>988</v>
      </c>
      <c r="N120" s="78" t="s">
        <v>988</v>
      </c>
      <c r="O120" s="79">
        <v>107</v>
      </c>
      <c r="P120" s="79" t="e">
        <f>IF(H120="","",ROUND(H120/(Steuerungsdaten!$B$4*Steuerungsdaten!$B$8*IFERROR(VLOOKUP(C120,Steuerungsdaten!$B$17:$E$37,4,FALSE),1)*POWER(IF(OR(E120=0,F120=0,E120="",F120=""),1,(E120*F120/1000000)/Steuerungsdaten!$B$6),IFERROR(VLOOKUP(C120,Steuerungsdaten!$B$17:$L$37,11,FALSE),1)-1)),0))</f>
        <v>#VALUE!</v>
      </c>
      <c r="Q120" s="79" t="e">
        <f>IF(I120="","",ROUND(I120/(Steuerungsdaten!$B$4*Steuerungsdaten!$B$9*IFERROR(VLOOKUP(C120,Steuerungsdaten!$B$17:$G$37,6,FALSE),1)*POWER(IF(OR(E120=0,F120=0,E120="",F120=""),1,(E120*F120/1000000)/Steuerungsdaten!$B$6),IFERROR(VLOOKUP(C120,Steuerungsdaten!$B$17:$M$37,12,FALSE),1)-1)),0))</f>
        <v>#VALUE!</v>
      </c>
      <c r="R120" s="79" t="e">
        <f>IF(J120="","",ROUND(J120/(Steuerungsdaten!$B$4*Steuerungsdaten!$B$10*IFERROR(VLOOKUP(C120,Steuerungsdaten!$B$17:$I$37,8,FALSE),1)*POWER(IF(OR(E120=0,F120=0,E120="",F120=""),1,(E120*F120/1000000)/Steuerungsdaten!$B$6),IFERROR(VLOOKUP(C120,Steuerungsdaten!$B$17:$N$37,13,FALSE),1)-1)),0))</f>
        <v>#VALUE!</v>
      </c>
    </row>
    <row r="121" spans="1:18" x14ac:dyDescent="0.25">
      <c r="A121" s="69">
        <v>3517</v>
      </c>
      <c r="B121" s="70" t="s">
        <v>7</v>
      </c>
      <c r="C121" s="70" t="s">
        <v>109</v>
      </c>
      <c r="D121" s="70" t="s">
        <v>127</v>
      </c>
      <c r="E121" s="71">
        <v>720</v>
      </c>
      <c r="F121" s="71">
        <v>980</v>
      </c>
      <c r="G121" s="72" t="s">
        <v>988</v>
      </c>
      <c r="H121" s="72" t="s">
        <v>988</v>
      </c>
      <c r="I121" s="72" t="s">
        <v>988</v>
      </c>
      <c r="J121" s="72" t="s">
        <v>988</v>
      </c>
      <c r="K121" s="72" t="s">
        <v>988</v>
      </c>
      <c r="L121" s="72" t="s">
        <v>988</v>
      </c>
      <c r="M121" s="72" t="s">
        <v>988</v>
      </c>
      <c r="N121" s="73" t="s">
        <v>988</v>
      </c>
      <c r="O121" s="79">
        <v>134</v>
      </c>
      <c r="P121" s="79" t="e">
        <f>IF(H121="","",ROUND(H121/(Steuerungsdaten!$B$4*Steuerungsdaten!$B$8*IFERROR(VLOOKUP(C121,Steuerungsdaten!$B$17:$E$37,4,FALSE),1)*POWER(IF(OR(E121=0,F121=0,E121="",F121=""),1,(E121*F121/1000000)/Steuerungsdaten!$B$6),IFERROR(VLOOKUP(C121,Steuerungsdaten!$B$17:$L$37,11,FALSE),1)-1)),0))</f>
        <v>#VALUE!</v>
      </c>
      <c r="Q121" s="79" t="e">
        <f>IF(I121="","",ROUND(I121/(Steuerungsdaten!$B$4*Steuerungsdaten!$B$9*IFERROR(VLOOKUP(C121,Steuerungsdaten!$B$17:$G$37,6,FALSE),1)*POWER(IF(OR(E121=0,F121=0,E121="",F121=""),1,(E121*F121/1000000)/Steuerungsdaten!$B$6),IFERROR(VLOOKUP(C121,Steuerungsdaten!$B$17:$M$37,12,FALSE),1)-1)),0))</f>
        <v>#VALUE!</v>
      </c>
      <c r="R121" s="79" t="e">
        <f>IF(J121="","",ROUND(J121/(Steuerungsdaten!$B$4*Steuerungsdaten!$B$10*IFERROR(VLOOKUP(C121,Steuerungsdaten!$B$17:$I$37,8,FALSE),1)*POWER(IF(OR(E121=0,F121=0,E121="",F121=""),1,(E121*F121/1000000)/Steuerungsdaten!$B$6),IFERROR(VLOOKUP(C121,Steuerungsdaten!$B$17:$N$37,13,FALSE),1)-1)),0))</f>
        <v>#VALUE!</v>
      </c>
    </row>
    <row r="122" spans="1:18" x14ac:dyDescent="0.25">
      <c r="A122" s="74">
        <v>3518</v>
      </c>
      <c r="B122" s="75" t="s">
        <v>7</v>
      </c>
      <c r="C122" s="75" t="s">
        <v>109</v>
      </c>
      <c r="D122" s="75" t="s">
        <v>128</v>
      </c>
      <c r="E122" s="76">
        <v>1080</v>
      </c>
      <c r="F122" s="76">
        <v>780</v>
      </c>
      <c r="G122" s="77" t="s">
        <v>988</v>
      </c>
      <c r="H122" s="77" t="s">
        <v>988</v>
      </c>
      <c r="I122" s="77" t="s">
        <v>988</v>
      </c>
      <c r="J122" s="77" t="s">
        <v>988</v>
      </c>
      <c r="K122" s="77" t="s">
        <v>988</v>
      </c>
      <c r="L122" s="77" t="s">
        <v>988</v>
      </c>
      <c r="M122" s="77" t="s">
        <v>988</v>
      </c>
      <c r="N122" s="78" t="s">
        <v>988</v>
      </c>
      <c r="O122" s="79">
        <v>161</v>
      </c>
      <c r="P122" s="79" t="e">
        <f>IF(H122="","",ROUND(H122/(Steuerungsdaten!$B$4*Steuerungsdaten!$B$8*IFERROR(VLOOKUP(C122,Steuerungsdaten!$B$17:$E$37,4,FALSE),1)*POWER(IF(OR(E122=0,F122=0,E122="",F122=""),1,(E122*F122/1000000)/Steuerungsdaten!$B$6),IFERROR(VLOOKUP(C122,Steuerungsdaten!$B$17:$L$37,11,FALSE),1)-1)),0))</f>
        <v>#VALUE!</v>
      </c>
      <c r="Q122" s="79" t="e">
        <f>IF(I122="","",ROUND(I122/(Steuerungsdaten!$B$4*Steuerungsdaten!$B$9*IFERROR(VLOOKUP(C122,Steuerungsdaten!$B$17:$G$37,6,FALSE),1)*POWER(IF(OR(E122=0,F122=0,E122="",F122=""),1,(E122*F122/1000000)/Steuerungsdaten!$B$6),IFERROR(VLOOKUP(C122,Steuerungsdaten!$B$17:$M$37,12,FALSE),1)-1)),0))</f>
        <v>#VALUE!</v>
      </c>
      <c r="R122" s="79" t="e">
        <f>IF(J122="","",ROUND(J122/(Steuerungsdaten!$B$4*Steuerungsdaten!$B$10*IFERROR(VLOOKUP(C122,Steuerungsdaten!$B$17:$I$37,8,FALSE),1)*POWER(IF(OR(E122=0,F122=0,E122="",F122=""),1,(E122*F122/1000000)/Steuerungsdaten!$B$6),IFERROR(VLOOKUP(C122,Steuerungsdaten!$B$17:$N$37,13,FALSE),1)-1)),0))</f>
        <v>#VALUE!</v>
      </c>
    </row>
    <row r="123" spans="1:18" x14ac:dyDescent="0.25">
      <c r="A123" s="69">
        <v>3519</v>
      </c>
      <c r="B123" s="70" t="s">
        <v>7</v>
      </c>
      <c r="C123" s="70" t="s">
        <v>109</v>
      </c>
      <c r="D123" s="70" t="s">
        <v>129</v>
      </c>
      <c r="E123" s="71">
        <v>1080</v>
      </c>
      <c r="F123" s="71">
        <v>980</v>
      </c>
      <c r="G123" s="72" t="s">
        <v>988</v>
      </c>
      <c r="H123" s="72" t="s">
        <v>988</v>
      </c>
      <c r="I123" s="72" t="s">
        <v>988</v>
      </c>
      <c r="J123" s="72" t="s">
        <v>988</v>
      </c>
      <c r="K123" s="72" t="s">
        <v>988</v>
      </c>
      <c r="L123" s="72" t="s">
        <v>988</v>
      </c>
      <c r="M123" s="72" t="s">
        <v>988</v>
      </c>
      <c r="N123" s="73" t="s">
        <v>988</v>
      </c>
      <c r="O123" s="79">
        <v>200</v>
      </c>
      <c r="P123" s="79" t="e">
        <f>IF(H123="","",ROUND(H123/(Steuerungsdaten!$B$4*Steuerungsdaten!$B$8*IFERROR(VLOOKUP(C123,Steuerungsdaten!$B$17:$E$37,4,FALSE),1)*POWER(IF(OR(E123=0,F123=0,E123="",F123=""),1,(E123*F123/1000000)/Steuerungsdaten!$B$6),IFERROR(VLOOKUP(C123,Steuerungsdaten!$B$17:$L$37,11,FALSE),1)-1)),0))</f>
        <v>#VALUE!</v>
      </c>
      <c r="Q123" s="79" t="e">
        <f>IF(I123="","",ROUND(I123/(Steuerungsdaten!$B$4*Steuerungsdaten!$B$9*IFERROR(VLOOKUP(C123,Steuerungsdaten!$B$17:$G$37,6,FALSE),1)*POWER(IF(OR(E123=0,F123=0,E123="",F123=""),1,(E123*F123/1000000)/Steuerungsdaten!$B$6),IFERROR(VLOOKUP(C123,Steuerungsdaten!$B$17:$M$37,12,FALSE),1)-1)),0))</f>
        <v>#VALUE!</v>
      </c>
      <c r="R123" s="79" t="e">
        <f>IF(J123="","",ROUND(J123/(Steuerungsdaten!$B$4*Steuerungsdaten!$B$10*IFERROR(VLOOKUP(C123,Steuerungsdaten!$B$17:$I$37,8,FALSE),1)*POWER(IF(OR(E123=0,F123=0,E123="",F123=""),1,(E123*F123/1000000)/Steuerungsdaten!$B$6),IFERROR(VLOOKUP(C123,Steuerungsdaten!$B$17:$N$37,13,FALSE),1)-1)),0))</f>
        <v>#VALUE!</v>
      </c>
    </row>
    <row r="124" spans="1:18" x14ac:dyDescent="0.25">
      <c r="A124" s="74">
        <v>3520</v>
      </c>
      <c r="B124" s="75" t="s">
        <v>7</v>
      </c>
      <c r="C124" s="75" t="s">
        <v>109</v>
      </c>
      <c r="D124" s="75" t="s">
        <v>130</v>
      </c>
      <c r="E124" s="76">
        <v>1440</v>
      </c>
      <c r="F124" s="76">
        <v>780</v>
      </c>
      <c r="G124" s="77" t="s">
        <v>988</v>
      </c>
      <c r="H124" s="77" t="s">
        <v>988</v>
      </c>
      <c r="I124" s="77" t="s">
        <v>988</v>
      </c>
      <c r="J124" s="77" t="s">
        <v>988</v>
      </c>
      <c r="K124" s="77" t="s">
        <v>988</v>
      </c>
      <c r="L124" s="77" t="s">
        <v>988</v>
      </c>
      <c r="M124" s="77" t="s">
        <v>988</v>
      </c>
      <c r="N124" s="78" t="s">
        <v>988</v>
      </c>
      <c r="O124" s="79">
        <v>211</v>
      </c>
      <c r="P124" s="79" t="e">
        <f>IF(H124="","",ROUND(H124/(Steuerungsdaten!$B$4*Steuerungsdaten!$B$8*IFERROR(VLOOKUP(C124,Steuerungsdaten!$B$17:$E$37,4,FALSE),1)*POWER(IF(OR(E124=0,F124=0,E124="",F124=""),1,(E124*F124/1000000)/Steuerungsdaten!$B$6),IFERROR(VLOOKUP(C124,Steuerungsdaten!$B$17:$L$37,11,FALSE),1)-1)),0))</f>
        <v>#VALUE!</v>
      </c>
      <c r="Q124" s="79" t="e">
        <f>IF(I124="","",ROUND(I124/(Steuerungsdaten!$B$4*Steuerungsdaten!$B$9*IFERROR(VLOOKUP(C124,Steuerungsdaten!$B$17:$G$37,6,FALSE),1)*POWER(IF(OR(E124=0,F124=0,E124="",F124=""),1,(E124*F124/1000000)/Steuerungsdaten!$B$6),IFERROR(VLOOKUP(C124,Steuerungsdaten!$B$17:$M$37,12,FALSE),1)-1)),0))</f>
        <v>#VALUE!</v>
      </c>
      <c r="R124" s="79" t="e">
        <f>IF(J124="","",ROUND(J124/(Steuerungsdaten!$B$4*Steuerungsdaten!$B$10*IFERROR(VLOOKUP(C124,Steuerungsdaten!$B$17:$I$37,8,FALSE),1)*POWER(IF(OR(E124=0,F124=0,E124="",F124=""),1,(E124*F124/1000000)/Steuerungsdaten!$B$6),IFERROR(VLOOKUP(C124,Steuerungsdaten!$B$17:$N$37,13,FALSE),1)-1)),0))</f>
        <v>#VALUE!</v>
      </c>
    </row>
    <row r="125" spans="1:18" x14ac:dyDescent="0.25">
      <c r="A125" s="69">
        <v>3521</v>
      </c>
      <c r="B125" s="70" t="s">
        <v>7</v>
      </c>
      <c r="C125" s="70" t="s">
        <v>109</v>
      </c>
      <c r="D125" s="70" t="s">
        <v>131</v>
      </c>
      <c r="E125" s="71">
        <v>1440</v>
      </c>
      <c r="F125" s="71">
        <v>980</v>
      </c>
      <c r="G125" s="72" t="s">
        <v>988</v>
      </c>
      <c r="H125" s="72" t="s">
        <v>988</v>
      </c>
      <c r="I125" s="72" t="s">
        <v>988</v>
      </c>
      <c r="J125" s="72" t="s">
        <v>988</v>
      </c>
      <c r="K125" s="72" t="s">
        <v>988</v>
      </c>
      <c r="L125" s="72" t="s">
        <v>988</v>
      </c>
      <c r="M125" s="72" t="s">
        <v>988</v>
      </c>
      <c r="N125" s="73" t="s">
        <v>988</v>
      </c>
      <c r="O125" s="79">
        <v>264</v>
      </c>
      <c r="P125" s="79" t="e">
        <f>IF(H125="","",ROUND(H125/(Steuerungsdaten!$B$4*Steuerungsdaten!$B$8*IFERROR(VLOOKUP(C125,Steuerungsdaten!$B$17:$E$37,4,FALSE),1)*POWER(IF(OR(E125=0,F125=0,E125="",F125=""),1,(E125*F125/1000000)/Steuerungsdaten!$B$6),IFERROR(VLOOKUP(C125,Steuerungsdaten!$B$17:$L$37,11,FALSE),1)-1)),0))</f>
        <v>#VALUE!</v>
      </c>
      <c r="Q125" s="79" t="e">
        <f>IF(I125="","",ROUND(I125/(Steuerungsdaten!$B$4*Steuerungsdaten!$B$9*IFERROR(VLOOKUP(C125,Steuerungsdaten!$B$17:$G$37,6,FALSE),1)*POWER(IF(OR(E125=0,F125=0,E125="",F125=""),1,(E125*F125/1000000)/Steuerungsdaten!$B$6),IFERROR(VLOOKUP(C125,Steuerungsdaten!$B$17:$M$37,12,FALSE),1)-1)),0))</f>
        <v>#VALUE!</v>
      </c>
      <c r="R125" s="79" t="e">
        <f>IF(J125="","",ROUND(J125/(Steuerungsdaten!$B$4*Steuerungsdaten!$B$10*IFERROR(VLOOKUP(C125,Steuerungsdaten!$B$17:$I$37,8,FALSE),1)*POWER(IF(OR(E125=0,F125=0,E125="",F125=""),1,(E125*F125/1000000)/Steuerungsdaten!$B$6),IFERROR(VLOOKUP(C125,Steuerungsdaten!$B$17:$N$37,13,FALSE),1)-1)),0))</f>
        <v>#VALUE!</v>
      </c>
    </row>
    <row r="126" spans="1:18" x14ac:dyDescent="0.25">
      <c r="A126" s="74">
        <v>3522</v>
      </c>
      <c r="B126" s="75" t="s">
        <v>7</v>
      </c>
      <c r="C126" s="75" t="s">
        <v>109</v>
      </c>
      <c r="D126" s="75" t="s">
        <v>132</v>
      </c>
      <c r="E126" s="76">
        <v>1800</v>
      </c>
      <c r="F126" s="76">
        <v>780</v>
      </c>
      <c r="G126" s="77" t="s">
        <v>988</v>
      </c>
      <c r="H126" s="77" t="s">
        <v>988</v>
      </c>
      <c r="I126" s="77" t="s">
        <v>988</v>
      </c>
      <c r="J126" s="77" t="s">
        <v>988</v>
      </c>
      <c r="K126" s="77" t="s">
        <v>988</v>
      </c>
      <c r="L126" s="77" t="s">
        <v>988</v>
      </c>
      <c r="M126" s="77" t="s">
        <v>988</v>
      </c>
      <c r="N126" s="78" t="s">
        <v>988</v>
      </c>
      <c r="O126" s="79">
        <v>264</v>
      </c>
      <c r="P126" s="79" t="e">
        <f>IF(H126="","",ROUND(H126/(Steuerungsdaten!$B$4*Steuerungsdaten!$B$8*IFERROR(VLOOKUP(C126,Steuerungsdaten!$B$17:$E$37,4,FALSE),1)*POWER(IF(OR(E126=0,F126=0,E126="",F126=""),1,(E126*F126/1000000)/Steuerungsdaten!$B$6),IFERROR(VLOOKUP(C126,Steuerungsdaten!$B$17:$L$37,11,FALSE),1)-1)),0))</f>
        <v>#VALUE!</v>
      </c>
      <c r="Q126" s="79" t="e">
        <f>IF(I126="","",ROUND(I126/(Steuerungsdaten!$B$4*Steuerungsdaten!$B$9*IFERROR(VLOOKUP(C126,Steuerungsdaten!$B$17:$G$37,6,FALSE),1)*POWER(IF(OR(E126=0,F126=0,E126="",F126=""),1,(E126*F126/1000000)/Steuerungsdaten!$B$6),IFERROR(VLOOKUP(C126,Steuerungsdaten!$B$17:$M$37,12,FALSE),1)-1)),0))</f>
        <v>#VALUE!</v>
      </c>
      <c r="R126" s="79" t="e">
        <f>IF(J126="","",ROUND(J126/(Steuerungsdaten!$B$4*Steuerungsdaten!$B$10*IFERROR(VLOOKUP(C126,Steuerungsdaten!$B$17:$I$37,8,FALSE),1)*POWER(IF(OR(E126=0,F126=0,E126="",F126=""),1,(E126*F126/1000000)/Steuerungsdaten!$B$6),IFERROR(VLOOKUP(C126,Steuerungsdaten!$B$17:$N$37,13,FALSE),1)-1)),0))</f>
        <v>#VALUE!</v>
      </c>
    </row>
    <row r="127" spans="1:18" x14ac:dyDescent="0.25">
      <c r="A127" s="69">
        <v>3523</v>
      </c>
      <c r="B127" s="70" t="s">
        <v>7</v>
      </c>
      <c r="C127" s="70" t="s">
        <v>109</v>
      </c>
      <c r="D127" s="70" t="s">
        <v>133</v>
      </c>
      <c r="E127" s="71">
        <v>1800</v>
      </c>
      <c r="F127" s="71">
        <v>980</v>
      </c>
      <c r="G127" s="72" t="s">
        <v>988</v>
      </c>
      <c r="H127" s="72" t="s">
        <v>988</v>
      </c>
      <c r="I127" s="72" t="s">
        <v>988</v>
      </c>
      <c r="J127" s="72" t="s">
        <v>988</v>
      </c>
      <c r="K127" s="72" t="s">
        <v>988</v>
      </c>
      <c r="L127" s="72" t="s">
        <v>988</v>
      </c>
      <c r="M127" s="72" t="s">
        <v>988</v>
      </c>
      <c r="N127" s="73" t="s">
        <v>988</v>
      </c>
      <c r="O127" s="79">
        <v>329</v>
      </c>
      <c r="P127" s="79" t="e">
        <f>IF(H127="","",ROUND(H127/(Steuerungsdaten!$B$4*Steuerungsdaten!$B$8*IFERROR(VLOOKUP(C127,Steuerungsdaten!$B$17:$E$37,4,FALSE),1)*POWER(IF(OR(E127=0,F127=0,E127="",F127=""),1,(E127*F127/1000000)/Steuerungsdaten!$B$6),IFERROR(VLOOKUP(C127,Steuerungsdaten!$B$17:$L$37,11,FALSE),1)-1)),0))</f>
        <v>#VALUE!</v>
      </c>
      <c r="Q127" s="79" t="e">
        <f>IF(I127="","",ROUND(I127/(Steuerungsdaten!$B$4*Steuerungsdaten!$B$9*IFERROR(VLOOKUP(C127,Steuerungsdaten!$B$17:$G$37,6,FALSE),1)*POWER(IF(OR(E127=0,F127=0,E127="",F127=""),1,(E127*F127/1000000)/Steuerungsdaten!$B$6),IFERROR(VLOOKUP(C127,Steuerungsdaten!$B$17:$M$37,12,FALSE),1)-1)),0))</f>
        <v>#VALUE!</v>
      </c>
      <c r="R127" s="79" t="e">
        <f>IF(J127="","",ROUND(J127/(Steuerungsdaten!$B$4*Steuerungsdaten!$B$10*IFERROR(VLOOKUP(C127,Steuerungsdaten!$B$17:$I$37,8,FALSE),1)*POWER(IF(OR(E127=0,F127=0,E127="",F127=""),1,(E127*F127/1000000)/Steuerungsdaten!$B$6),IFERROR(VLOOKUP(C127,Steuerungsdaten!$B$17:$N$37,13,FALSE),1)-1)),0))</f>
        <v>#VALUE!</v>
      </c>
    </row>
    <row r="128" spans="1:18" x14ac:dyDescent="0.25">
      <c r="A128" s="74">
        <v>3524</v>
      </c>
      <c r="B128" s="75" t="s">
        <v>7</v>
      </c>
      <c r="C128" s="75" t="s">
        <v>109</v>
      </c>
      <c r="D128" s="75" t="s">
        <v>134</v>
      </c>
      <c r="E128" s="76">
        <v>580</v>
      </c>
      <c r="F128" s="76">
        <v>580</v>
      </c>
      <c r="G128" s="77" t="s">
        <v>988</v>
      </c>
      <c r="H128" s="77" t="s">
        <v>988</v>
      </c>
      <c r="I128" s="77" t="s">
        <v>988</v>
      </c>
      <c r="J128" s="77" t="s">
        <v>988</v>
      </c>
      <c r="K128" s="77" t="s">
        <v>988</v>
      </c>
      <c r="L128" s="77" t="s">
        <v>988</v>
      </c>
      <c r="M128" s="77" t="s">
        <v>988</v>
      </c>
      <c r="N128" s="78" t="s">
        <v>988</v>
      </c>
      <c r="O128" s="79">
        <v>67</v>
      </c>
      <c r="P128" s="79" t="e">
        <f>IF(H128="","",ROUND(H128/(Steuerungsdaten!$B$4*Steuerungsdaten!$B$8*IFERROR(VLOOKUP(C128,Steuerungsdaten!$B$17:$E$37,4,FALSE),1)*POWER(IF(OR(E128=0,F128=0,E128="",F128=""),1,(E128*F128/1000000)/Steuerungsdaten!$B$6),IFERROR(VLOOKUP(C128,Steuerungsdaten!$B$17:$L$37,11,FALSE),1)-1)),0))</f>
        <v>#VALUE!</v>
      </c>
      <c r="Q128" s="79" t="e">
        <f>IF(I128="","",ROUND(I128/(Steuerungsdaten!$B$4*Steuerungsdaten!$B$9*IFERROR(VLOOKUP(C128,Steuerungsdaten!$B$17:$G$37,6,FALSE),1)*POWER(IF(OR(E128=0,F128=0,E128="",F128=""),1,(E128*F128/1000000)/Steuerungsdaten!$B$6),IFERROR(VLOOKUP(C128,Steuerungsdaten!$B$17:$M$37,12,FALSE),1)-1)),0))</f>
        <v>#VALUE!</v>
      </c>
      <c r="R128" s="79" t="e">
        <f>IF(J128="","",ROUND(J128/(Steuerungsdaten!$B$4*Steuerungsdaten!$B$10*IFERROR(VLOOKUP(C128,Steuerungsdaten!$B$17:$I$37,8,FALSE),1)*POWER(IF(OR(E128=0,F128=0,E128="",F128=""),1,(E128*F128/1000000)/Steuerungsdaten!$B$6),IFERROR(VLOOKUP(C128,Steuerungsdaten!$B$17:$N$37,13,FALSE),1)-1)),0))</f>
        <v>#VALUE!</v>
      </c>
    </row>
    <row r="129" spans="1:18" ht="21.95" customHeight="1" x14ac:dyDescent="0.25">
      <c r="A129" s="426" t="s">
        <v>135</v>
      </c>
      <c r="B129" s="426"/>
      <c r="C129" s="426"/>
      <c r="D129" s="426"/>
      <c r="E129" s="426"/>
      <c r="F129" s="426"/>
      <c r="G129" s="426"/>
      <c r="H129" s="426"/>
      <c r="I129" s="426"/>
      <c r="J129" s="426"/>
      <c r="K129" s="426" t="str">
        <f>IFERROR(IF(G129="","",ROUND(G129*Steuerungsdaten!$B$5,0)),"-")</f>
        <v/>
      </c>
      <c r="L129" s="426" t="str">
        <f>IFERROR(IF(H129="","",ROUND(H129*Steuerungsdaten!$B$5,0)),"-")</f>
        <v/>
      </c>
      <c r="M129" s="426" t="str">
        <f>IFERROR(IF(I129="","",ROUND(I129*Steuerungsdaten!$B$5,0)),"-")</f>
        <v/>
      </c>
      <c r="N129" s="426" t="str">
        <f>IFERROR(IF(J129="","",ROUND(J129*Steuerungsdaten!$B$5,0)),"-")</f>
        <v/>
      </c>
      <c r="O129" s="79"/>
      <c r="P129" s="79"/>
      <c r="Q129" s="79"/>
      <c r="R129" s="79"/>
    </row>
    <row r="130" spans="1:18" x14ac:dyDescent="0.25">
      <c r="A130" s="64">
        <v>3600</v>
      </c>
      <c r="B130" s="65" t="s">
        <v>7</v>
      </c>
      <c r="C130" s="65" t="s">
        <v>135</v>
      </c>
      <c r="D130" s="65" t="s">
        <v>136</v>
      </c>
      <c r="E130" s="66">
        <v>360</v>
      </c>
      <c r="F130" s="66">
        <v>360</v>
      </c>
      <c r="G130" s="67">
        <f>IF(VLOOKUP(C130,Steuerungsdaten!$P$17:$T$39,2,0)="","",MAX(ROUND(VLOOKUP(C130,Steuerungsdaten!$P$17:$T$39,2,0)*Steuerungsdaten!$B$4*Steuerungsdaten!$B$7*IFERROR(VLOOKUP(C130,Steuerungsdaten!$B$17:$C$37,2,FALSE),1)*POWER(IF(OR(E130=0,F130=0,E130="",F130=""),1,(E130*F130/1000000)/Steuerungsdaten!$B$6),IFERROR(VLOOKUP(C130,Steuerungsdaten!$B$17:$K$37,10,FALSE),1)-1),0),Steuerungsdaten!$E$4))</f>
        <v>25</v>
      </c>
      <c r="H130" s="67">
        <f>IF(VLOOKUP(C130,Steuerungsdaten!$P$17:$T$39,3,0)="","",MAX(ROUND(VLOOKUP(C130,Steuerungsdaten!$P$17:$T$39,3,0)*Steuerungsdaten!$B$4*Steuerungsdaten!$B$8*IFERROR(VLOOKUP(C130,Steuerungsdaten!$B$17:$E$37,4,FALSE),1)*POWER(IF(OR(E130=0,F130=0,E130="",F130=""),1,(E130*F130/1000000)/Steuerungsdaten!$B$6),IFERROR(VLOOKUP(C130,Steuerungsdaten!$B$17:$L$37,11,FALSE),1)-1),0),Steuerungsdaten!$E$5))</f>
        <v>103</v>
      </c>
      <c r="I130" s="67">
        <f>IF(VLOOKUP(C130,Steuerungsdaten!$P$17:$T$39,4,0)="","",MAX(ROUND(VLOOKUP(C130,Steuerungsdaten!$P$17:$T$39,4,0)*Steuerungsdaten!$B$4*Steuerungsdaten!$B$9*IFERROR(VLOOKUP(C130,Steuerungsdaten!$B$17:$G$37,6,FALSE),1)*POWER(IF(OR(E130=0,F130=0,E130="",F130=""),1,(E130*F130/1000000)/Steuerungsdaten!$B$6),IFERROR(VLOOKUP(C130,Steuerungsdaten!$B$17:$M$37,12,FALSE),1)-1),0),Steuerungsdaten!$E$6))</f>
        <v>120</v>
      </c>
      <c r="J130" s="67">
        <f>IF(VLOOKUP(C130,Steuerungsdaten!$P$17:$T$39,5,0)="","",MAX(ROUND(VLOOKUP(C130,Steuerungsdaten!$P$17:$T$39,5,0)*Steuerungsdaten!$B$4*Steuerungsdaten!$B$10*IFERROR(VLOOKUP(C130,Steuerungsdaten!$B$17:$I$37,8,FALSE),1)*POWER(IF(OR(E130=0,F130=0,E130="",F130=""),1,(E130*F130/1000000)/Steuerungsdaten!$B$6),IFERROR(VLOOKUP(C130,Steuerungsdaten!$B$17:$N$37,13,FALSE),1)-1),0),Steuerungsdaten!$E$7))</f>
        <v>145</v>
      </c>
      <c r="K130" s="67">
        <f>IFERROR(IF(G130="","",ROUND(G130*Steuerungsdaten!$B$5,0)),"-")</f>
        <v>29</v>
      </c>
      <c r="L130" s="67">
        <f>IFERROR(IF(H130="","",ROUND(H130*Steuerungsdaten!$B$5,0)),"-")</f>
        <v>118</v>
      </c>
      <c r="M130" s="67">
        <f>IFERROR(IF(I130="","",ROUND(I130*Steuerungsdaten!$B$5,0)),"-")</f>
        <v>138</v>
      </c>
      <c r="N130" s="68" t="s">
        <v>988</v>
      </c>
      <c r="O130" s="79">
        <v>34</v>
      </c>
      <c r="P130" s="79">
        <f>IF(H130="","",ROUND(H130/(Steuerungsdaten!$B$4*Steuerungsdaten!$B$8*IFERROR(VLOOKUP(C130,Steuerungsdaten!$B$17:$E$37,4,FALSE),1)*POWER(IF(OR(E130=0,F130=0,E130="",F130=""),1,(E130*F130/1000000)/Steuerungsdaten!$B$6),IFERROR(VLOOKUP(C130,Steuerungsdaten!$B$17:$L$37,11,FALSE),1)-1)),0))</f>
        <v>316</v>
      </c>
      <c r="Q130" s="79">
        <f>IF(I130="","",ROUND(I130/(Steuerungsdaten!$B$4*Steuerungsdaten!$B$9*IFERROR(VLOOKUP(C130,Steuerungsdaten!$B$17:$G$37,6,FALSE),1)*POWER(IF(OR(E130=0,F130=0,E130="",F130=""),1,(E130*F130/1000000)/Steuerungsdaten!$B$6),IFERROR(VLOOKUP(C130,Steuerungsdaten!$B$17:$M$37,12,FALSE),1)-1)),0))</f>
        <v>368</v>
      </c>
      <c r="R130" s="79">
        <f>IF(J130="","",ROUND(J130/(Steuerungsdaten!$B$4*Steuerungsdaten!$B$10*IFERROR(VLOOKUP(C130,Steuerungsdaten!$B$17:$I$37,8,FALSE),1)*POWER(IF(OR(E130=0,F130=0,E130="",F130=""),1,(E130*F130/1000000)/Steuerungsdaten!$B$6),IFERROR(VLOOKUP(C130,Steuerungsdaten!$B$17:$N$37,13,FALSE),1)-1)),0))</f>
        <v>408</v>
      </c>
    </row>
    <row r="131" spans="1:18" x14ac:dyDescent="0.25">
      <c r="A131" s="69">
        <v>3601</v>
      </c>
      <c r="B131" s="70" t="s">
        <v>7</v>
      </c>
      <c r="C131" s="70" t="s">
        <v>135</v>
      </c>
      <c r="D131" s="70" t="s">
        <v>137</v>
      </c>
      <c r="E131" s="71">
        <v>360</v>
      </c>
      <c r="F131" s="71">
        <v>720</v>
      </c>
      <c r="G131" s="72">
        <f>IF(VLOOKUP(C131,Steuerungsdaten!$P$17:$T$39,2,0)="","",MAX(ROUND(VLOOKUP(C131,Steuerungsdaten!$P$17:$T$39,2,0)*Steuerungsdaten!$B$4*Steuerungsdaten!$B$7*IFERROR(VLOOKUP(C131,Steuerungsdaten!$B$17:$C$37,2,FALSE),1)*POWER(IF(OR(E131=0,F131=0,E131="",F131=""),1,(E131*F131/1000000)/Steuerungsdaten!$B$6),IFERROR(VLOOKUP(C131,Steuerungsdaten!$B$17:$K$37,10,FALSE),1)-1),0),Steuerungsdaten!$E$4))</f>
        <v>46</v>
      </c>
      <c r="H131" s="72">
        <f>IF(VLOOKUP(C131,Steuerungsdaten!$P$17:$T$39,3,0)="","",MAX(ROUND(VLOOKUP(C131,Steuerungsdaten!$P$17:$T$39,3,0)*Steuerungsdaten!$B$4*Steuerungsdaten!$B$8*IFERROR(VLOOKUP(C131,Steuerungsdaten!$B$17:$E$37,4,FALSE),1)*POWER(IF(OR(E131=0,F131=0,E131="",F131=""),1,(E131*F131/1000000)/Steuerungsdaten!$B$6),IFERROR(VLOOKUP(C131,Steuerungsdaten!$B$17:$L$37,11,FALSE),1)-1),0),Steuerungsdaten!$E$5))</f>
        <v>156</v>
      </c>
      <c r="I131" s="72">
        <f>IF(VLOOKUP(C131,Steuerungsdaten!$P$17:$T$39,4,0)="","",MAX(ROUND(VLOOKUP(C131,Steuerungsdaten!$P$17:$T$39,4,0)*Steuerungsdaten!$B$4*Steuerungsdaten!$B$9*IFERROR(VLOOKUP(C131,Steuerungsdaten!$B$17:$G$37,6,FALSE),1)*POWER(IF(OR(E131=0,F131=0,E131="",F131=""),1,(E131*F131/1000000)/Steuerungsdaten!$B$6),IFERROR(VLOOKUP(C131,Steuerungsdaten!$B$17:$M$37,12,FALSE),1)-1),0),Steuerungsdaten!$E$6))</f>
        <v>163</v>
      </c>
      <c r="J131" s="72">
        <f>IF(VLOOKUP(C131,Steuerungsdaten!$P$17:$T$39,5,0)="","",MAX(ROUND(VLOOKUP(C131,Steuerungsdaten!$P$17:$T$39,5,0)*Steuerungsdaten!$B$4*Steuerungsdaten!$B$10*IFERROR(VLOOKUP(C131,Steuerungsdaten!$B$17:$I$37,8,FALSE),1)*POWER(IF(OR(E131=0,F131=0,E131="",F131=""),1,(E131*F131/1000000)/Steuerungsdaten!$B$6),IFERROR(VLOOKUP(C131,Steuerungsdaten!$B$17:$N$37,13,FALSE),1)-1),0),Steuerungsdaten!$E$7))</f>
        <v>181</v>
      </c>
      <c r="K131" s="72">
        <f>IFERROR(IF(G131="","",ROUND(G131*Steuerungsdaten!$B$5,0)),"-")</f>
        <v>53</v>
      </c>
      <c r="L131" s="72">
        <f>IFERROR(IF(H131="","",ROUND(H131*Steuerungsdaten!$B$5,0)),"-")</f>
        <v>179</v>
      </c>
      <c r="M131" s="72">
        <f>IFERROR(IF(I131="","",ROUND(I131*Steuerungsdaten!$B$5,0)),"-")</f>
        <v>187</v>
      </c>
      <c r="N131" s="73" t="s">
        <v>988</v>
      </c>
      <c r="O131" s="79">
        <v>52</v>
      </c>
      <c r="P131" s="79">
        <f>IF(H131="","",ROUND(H131/(Steuerungsdaten!$B$4*Steuerungsdaten!$B$8*IFERROR(VLOOKUP(C131,Steuerungsdaten!$B$17:$E$37,4,FALSE),1)*POWER(IF(OR(E131=0,F131=0,E131="",F131=""),1,(E131*F131/1000000)/Steuerungsdaten!$B$6),IFERROR(VLOOKUP(C131,Steuerungsdaten!$B$17:$L$37,11,FALSE),1)-1)),0))</f>
        <v>239</v>
      </c>
      <c r="Q131" s="79">
        <f>IF(I131="","",ROUND(I131/(Steuerungsdaten!$B$4*Steuerungsdaten!$B$9*IFERROR(VLOOKUP(C131,Steuerungsdaten!$B$17:$G$37,6,FALSE),1)*POWER(IF(OR(E131=0,F131=0,E131="",F131=""),1,(E131*F131/1000000)/Steuerungsdaten!$B$6),IFERROR(VLOOKUP(C131,Steuerungsdaten!$B$17:$M$37,12,FALSE),1)-1)),0))</f>
        <v>250</v>
      </c>
      <c r="R131" s="79">
        <f>IF(J131="","",ROUND(J131/(Steuerungsdaten!$B$4*Steuerungsdaten!$B$10*IFERROR(VLOOKUP(C131,Steuerungsdaten!$B$17:$I$37,8,FALSE),1)*POWER(IF(OR(E131=0,F131=0,E131="",F131=""),1,(E131*F131/1000000)/Steuerungsdaten!$B$6),IFERROR(VLOOKUP(C131,Steuerungsdaten!$B$17:$N$37,13,FALSE),1)-1)),0))</f>
        <v>255</v>
      </c>
    </row>
    <row r="132" spans="1:18" x14ac:dyDescent="0.25">
      <c r="A132" s="74">
        <v>3602</v>
      </c>
      <c r="B132" s="75" t="s">
        <v>7</v>
      </c>
      <c r="C132" s="75" t="s">
        <v>135</v>
      </c>
      <c r="D132" s="75" t="s">
        <v>138</v>
      </c>
      <c r="E132" s="76">
        <v>360</v>
      </c>
      <c r="F132" s="76">
        <v>1080</v>
      </c>
      <c r="G132" s="77">
        <f>IF(VLOOKUP(C132,Steuerungsdaten!$P$17:$T$39,2,0)="","",MAX(ROUND(VLOOKUP(C132,Steuerungsdaten!$P$17:$T$39,2,0)*Steuerungsdaten!$B$4*Steuerungsdaten!$B$7*IFERROR(VLOOKUP(C132,Steuerungsdaten!$B$17:$C$37,2,FALSE),1)*POWER(IF(OR(E132=0,F132=0,E132="",F132=""),1,(E132*F132/1000000)/Steuerungsdaten!$B$6),IFERROR(VLOOKUP(C132,Steuerungsdaten!$B$17:$K$37,10,FALSE),1)-1),0),Steuerungsdaten!$E$4))</f>
        <v>68</v>
      </c>
      <c r="H132" s="77">
        <f>IF(VLOOKUP(C132,Steuerungsdaten!$P$17:$T$39,3,0)="","",MAX(ROUND(VLOOKUP(C132,Steuerungsdaten!$P$17:$T$39,3,0)*Steuerungsdaten!$B$4*Steuerungsdaten!$B$8*IFERROR(VLOOKUP(C132,Steuerungsdaten!$B$17:$E$37,4,FALSE),1)*POWER(IF(OR(E132=0,F132=0,E132="",F132=""),1,(E132*F132/1000000)/Steuerungsdaten!$B$6),IFERROR(VLOOKUP(C132,Steuerungsdaten!$B$17:$L$37,11,FALSE),1)-1),0),Steuerungsdaten!$E$5))</f>
        <v>235</v>
      </c>
      <c r="I132" s="77">
        <f>IF(VLOOKUP(C132,Steuerungsdaten!$P$17:$T$39,4,0)="","",MAX(ROUND(VLOOKUP(C132,Steuerungsdaten!$P$17:$T$39,4,0)*Steuerungsdaten!$B$4*Steuerungsdaten!$B$9*IFERROR(VLOOKUP(C132,Steuerungsdaten!$B$17:$G$37,6,FALSE),1)*POWER(IF(OR(E132=0,F132=0,E132="",F132=""),1,(E132*F132/1000000)/Steuerungsdaten!$B$6),IFERROR(VLOOKUP(C132,Steuerungsdaten!$B$17:$M$37,12,FALSE),1)-1),0),Steuerungsdaten!$E$6))</f>
        <v>244</v>
      </c>
      <c r="J132" s="77">
        <f>IF(VLOOKUP(C132,Steuerungsdaten!$P$17:$T$39,5,0)="","",MAX(ROUND(VLOOKUP(C132,Steuerungsdaten!$P$17:$T$39,5,0)*Steuerungsdaten!$B$4*Steuerungsdaten!$B$10*IFERROR(VLOOKUP(C132,Steuerungsdaten!$B$17:$I$37,8,FALSE),1)*POWER(IF(OR(E132=0,F132=0,E132="",F132=""),1,(E132*F132/1000000)/Steuerungsdaten!$B$6),IFERROR(VLOOKUP(C132,Steuerungsdaten!$B$17:$N$37,13,FALSE),1)-1),0),Steuerungsdaten!$E$7))</f>
        <v>272</v>
      </c>
      <c r="K132" s="77">
        <f>IFERROR(IF(G132="","",ROUND(G132*Steuerungsdaten!$B$5,0)),"-")</f>
        <v>78</v>
      </c>
      <c r="L132" s="77">
        <f>IFERROR(IF(H132="","",ROUND(H132*Steuerungsdaten!$B$5,0)),"-")</f>
        <v>270</v>
      </c>
      <c r="M132" s="77">
        <f>IFERROR(IF(I132="","",ROUND(I132*Steuerungsdaten!$B$5,0)),"-")</f>
        <v>281</v>
      </c>
      <c r="N132" s="78" t="s">
        <v>988</v>
      </c>
      <c r="O132" s="79">
        <v>76</v>
      </c>
      <c r="P132" s="79">
        <f>IF(H132="","",ROUND(H132/(Steuerungsdaten!$B$4*Steuerungsdaten!$B$8*IFERROR(VLOOKUP(C132,Steuerungsdaten!$B$17:$E$37,4,FALSE),1)*POWER(IF(OR(E132=0,F132=0,E132="",F132=""),1,(E132*F132/1000000)/Steuerungsdaten!$B$6),IFERROR(VLOOKUP(C132,Steuerungsdaten!$B$17:$L$37,11,FALSE),1)-1)),0))</f>
        <v>240</v>
      </c>
      <c r="Q132" s="79">
        <f>IF(I132="","",ROUND(I132/(Steuerungsdaten!$B$4*Steuerungsdaten!$B$9*IFERROR(VLOOKUP(C132,Steuerungsdaten!$B$17:$G$37,6,FALSE),1)*POWER(IF(OR(E132=0,F132=0,E132="",F132=""),1,(E132*F132/1000000)/Steuerungsdaten!$B$6),IFERROR(VLOOKUP(C132,Steuerungsdaten!$B$17:$M$37,12,FALSE),1)-1)),0))</f>
        <v>250</v>
      </c>
      <c r="R132" s="79">
        <f>IF(J132="","",ROUND(J132/(Steuerungsdaten!$B$4*Steuerungsdaten!$B$10*IFERROR(VLOOKUP(C132,Steuerungsdaten!$B$17:$I$37,8,FALSE),1)*POWER(IF(OR(E132=0,F132=0,E132="",F132=""),1,(E132*F132/1000000)/Steuerungsdaten!$B$6),IFERROR(VLOOKUP(C132,Steuerungsdaten!$B$17:$N$37,13,FALSE),1)-1)),0))</f>
        <v>255</v>
      </c>
    </row>
    <row r="133" spans="1:18" x14ac:dyDescent="0.25">
      <c r="A133" s="69">
        <v>3603</v>
      </c>
      <c r="B133" s="70" t="s">
        <v>7</v>
      </c>
      <c r="C133" s="70" t="s">
        <v>135</v>
      </c>
      <c r="D133" s="70" t="s">
        <v>139</v>
      </c>
      <c r="E133" s="71">
        <v>360</v>
      </c>
      <c r="F133" s="71">
        <v>1440</v>
      </c>
      <c r="G133" s="72">
        <f>IF(VLOOKUP(C133,Steuerungsdaten!$P$17:$T$39,2,0)="","",MAX(ROUND(VLOOKUP(C133,Steuerungsdaten!$P$17:$T$39,2,0)*Steuerungsdaten!$B$4*Steuerungsdaten!$B$7*IFERROR(VLOOKUP(C133,Steuerungsdaten!$B$17:$C$37,2,FALSE),1)*POWER(IF(OR(E133=0,F133=0,E133="",F133=""),1,(E133*F133/1000000)/Steuerungsdaten!$B$6),IFERROR(VLOOKUP(C133,Steuerungsdaten!$B$17:$K$37,10,FALSE),1)-1),0),Steuerungsdaten!$E$4))</f>
        <v>91</v>
      </c>
      <c r="H133" s="72">
        <f>IF(VLOOKUP(C133,Steuerungsdaten!$P$17:$T$39,3,0)="","",MAX(ROUND(VLOOKUP(C133,Steuerungsdaten!$P$17:$T$39,3,0)*Steuerungsdaten!$B$4*Steuerungsdaten!$B$8*IFERROR(VLOOKUP(C133,Steuerungsdaten!$B$17:$E$37,4,FALSE),1)*POWER(IF(OR(E133=0,F133=0,E133="",F133=""),1,(E133*F133/1000000)/Steuerungsdaten!$B$6),IFERROR(VLOOKUP(C133,Steuerungsdaten!$B$17:$L$37,11,FALSE),1)-1),0),Steuerungsdaten!$E$5))</f>
        <v>313</v>
      </c>
      <c r="I133" s="72">
        <f>IF(VLOOKUP(C133,Steuerungsdaten!$P$17:$T$39,4,0)="","",MAX(ROUND(VLOOKUP(C133,Steuerungsdaten!$P$17:$T$39,4,0)*Steuerungsdaten!$B$4*Steuerungsdaten!$B$9*IFERROR(VLOOKUP(C133,Steuerungsdaten!$B$17:$G$37,6,FALSE),1)*POWER(IF(OR(E133=0,F133=0,E133="",F133=""),1,(E133*F133/1000000)/Steuerungsdaten!$B$6),IFERROR(VLOOKUP(C133,Steuerungsdaten!$B$17:$M$37,12,FALSE),1)-1),0),Steuerungsdaten!$E$6))</f>
        <v>326</v>
      </c>
      <c r="J133" s="72">
        <f>IF(VLOOKUP(C133,Steuerungsdaten!$P$17:$T$39,5,0)="","",MAX(ROUND(VLOOKUP(C133,Steuerungsdaten!$P$17:$T$39,5,0)*Steuerungsdaten!$B$4*Steuerungsdaten!$B$10*IFERROR(VLOOKUP(C133,Steuerungsdaten!$B$17:$I$37,8,FALSE),1)*POWER(IF(OR(E133=0,F133=0,E133="",F133=""),1,(E133*F133/1000000)/Steuerungsdaten!$B$6),IFERROR(VLOOKUP(C133,Steuerungsdaten!$B$17:$N$37,13,FALSE),1)-1),0),Steuerungsdaten!$E$7))</f>
        <v>363</v>
      </c>
      <c r="K133" s="72">
        <f>IFERROR(IF(G133="","",ROUND(G133*Steuerungsdaten!$B$5,0)),"-")</f>
        <v>105</v>
      </c>
      <c r="L133" s="72">
        <f>IFERROR(IF(H133="","",ROUND(H133*Steuerungsdaten!$B$5,0)),"-")</f>
        <v>360</v>
      </c>
      <c r="M133" s="72">
        <f>IFERROR(IF(I133="","",ROUND(I133*Steuerungsdaten!$B$5,0)),"-")</f>
        <v>375</v>
      </c>
      <c r="N133" s="73" t="s">
        <v>988</v>
      </c>
      <c r="O133" s="79">
        <v>100</v>
      </c>
      <c r="P133" s="79">
        <f>IF(H133="","",ROUND(H133/(Steuerungsdaten!$B$4*Steuerungsdaten!$B$8*IFERROR(VLOOKUP(C133,Steuerungsdaten!$B$17:$E$37,4,FALSE),1)*POWER(IF(OR(E133=0,F133=0,E133="",F133=""),1,(E133*F133/1000000)/Steuerungsdaten!$B$6),IFERROR(VLOOKUP(C133,Steuerungsdaten!$B$17:$L$37,11,FALSE),1)-1)),0))</f>
        <v>240</v>
      </c>
      <c r="Q133" s="79">
        <f>IF(I133="","",ROUND(I133/(Steuerungsdaten!$B$4*Steuerungsdaten!$B$9*IFERROR(VLOOKUP(C133,Steuerungsdaten!$B$17:$G$37,6,FALSE),1)*POWER(IF(OR(E133=0,F133=0,E133="",F133=""),1,(E133*F133/1000000)/Steuerungsdaten!$B$6),IFERROR(VLOOKUP(C133,Steuerungsdaten!$B$17:$M$37,12,FALSE),1)-1)),0))</f>
        <v>250</v>
      </c>
      <c r="R133" s="79">
        <f>IF(J133="","",ROUND(J133/(Steuerungsdaten!$B$4*Steuerungsdaten!$B$10*IFERROR(VLOOKUP(C133,Steuerungsdaten!$B$17:$I$37,8,FALSE),1)*POWER(IF(OR(E133=0,F133=0,E133="",F133=""),1,(E133*F133/1000000)/Steuerungsdaten!$B$6),IFERROR(VLOOKUP(C133,Steuerungsdaten!$B$17:$N$37,13,FALSE),1)-1)),0))</f>
        <v>255</v>
      </c>
    </row>
    <row r="134" spans="1:18" x14ac:dyDescent="0.25">
      <c r="A134" s="74">
        <v>3604</v>
      </c>
      <c r="B134" s="75" t="s">
        <v>7</v>
      </c>
      <c r="C134" s="75" t="s">
        <v>135</v>
      </c>
      <c r="D134" s="75" t="s">
        <v>140</v>
      </c>
      <c r="E134" s="76">
        <v>360</v>
      </c>
      <c r="F134" s="76">
        <v>1800</v>
      </c>
      <c r="G134" s="77">
        <f>IF(VLOOKUP(C134,Steuerungsdaten!$P$17:$T$39,2,0)="","",MAX(ROUND(VLOOKUP(C134,Steuerungsdaten!$P$17:$T$39,2,0)*Steuerungsdaten!$B$4*Steuerungsdaten!$B$7*IFERROR(VLOOKUP(C134,Steuerungsdaten!$B$17:$C$37,2,FALSE),1)*POWER(IF(OR(E134=0,F134=0,E134="",F134=""),1,(E134*F134/1000000)/Steuerungsdaten!$B$6),IFERROR(VLOOKUP(C134,Steuerungsdaten!$B$17:$K$37,10,FALSE),1)-1),0),Steuerungsdaten!$E$4))</f>
        <v>114</v>
      </c>
      <c r="H134" s="77">
        <f>IF(VLOOKUP(C134,Steuerungsdaten!$P$17:$T$39,3,0)="","",MAX(ROUND(VLOOKUP(C134,Steuerungsdaten!$P$17:$T$39,3,0)*Steuerungsdaten!$B$4*Steuerungsdaten!$B$8*IFERROR(VLOOKUP(C134,Steuerungsdaten!$B$17:$E$37,4,FALSE),1)*POWER(IF(OR(E134=0,F134=0,E134="",F134=""),1,(E134*F134/1000000)/Steuerungsdaten!$B$6),IFERROR(VLOOKUP(C134,Steuerungsdaten!$B$17:$L$37,11,FALSE),1)-1),0),Steuerungsdaten!$E$5))</f>
        <v>391</v>
      </c>
      <c r="I134" s="77">
        <f>IF(VLOOKUP(C134,Steuerungsdaten!$P$17:$T$39,4,0)="","",MAX(ROUND(VLOOKUP(C134,Steuerungsdaten!$P$17:$T$39,4,0)*Steuerungsdaten!$B$4*Steuerungsdaten!$B$9*IFERROR(VLOOKUP(C134,Steuerungsdaten!$B$17:$G$37,6,FALSE),1)*POWER(IF(OR(E134=0,F134=0,E134="",F134=""),1,(E134*F134/1000000)/Steuerungsdaten!$B$6),IFERROR(VLOOKUP(C134,Steuerungsdaten!$B$17:$M$37,12,FALSE),1)-1),0),Steuerungsdaten!$E$6))</f>
        <v>407</v>
      </c>
      <c r="J134" s="77">
        <f>IF(VLOOKUP(C134,Steuerungsdaten!$P$17:$T$39,5,0)="","",MAX(ROUND(VLOOKUP(C134,Steuerungsdaten!$P$17:$T$39,5,0)*Steuerungsdaten!$B$4*Steuerungsdaten!$B$10*IFERROR(VLOOKUP(C134,Steuerungsdaten!$B$17:$I$37,8,FALSE),1)*POWER(IF(OR(E134=0,F134=0,E134="",F134=""),1,(E134*F134/1000000)/Steuerungsdaten!$B$6),IFERROR(VLOOKUP(C134,Steuerungsdaten!$B$17:$N$37,13,FALSE),1)-1),0),Steuerungsdaten!$E$7))</f>
        <v>453</v>
      </c>
      <c r="K134" s="77">
        <f>IFERROR(IF(G134="","",ROUND(G134*Steuerungsdaten!$B$5,0)),"-")</f>
        <v>131</v>
      </c>
      <c r="L134" s="77">
        <f>IFERROR(IF(H134="","",ROUND(H134*Steuerungsdaten!$B$5,0)),"-")</f>
        <v>450</v>
      </c>
      <c r="M134" s="77">
        <f>IFERROR(IF(I134="","",ROUND(I134*Steuerungsdaten!$B$5,0)),"-")</f>
        <v>468</v>
      </c>
      <c r="N134" s="78" t="s">
        <v>988</v>
      </c>
      <c r="O134" s="79">
        <v>125</v>
      </c>
      <c r="P134" s="79">
        <f>IF(H134="","",ROUND(H134/(Steuerungsdaten!$B$4*Steuerungsdaten!$B$8*IFERROR(VLOOKUP(C134,Steuerungsdaten!$B$17:$E$37,4,FALSE),1)*POWER(IF(OR(E134=0,F134=0,E134="",F134=""),1,(E134*F134/1000000)/Steuerungsdaten!$B$6),IFERROR(VLOOKUP(C134,Steuerungsdaten!$B$17:$L$37,11,FALSE),1)-1)),0))</f>
        <v>240</v>
      </c>
      <c r="Q134" s="79">
        <f>IF(I134="","",ROUND(I134/(Steuerungsdaten!$B$4*Steuerungsdaten!$B$9*IFERROR(VLOOKUP(C134,Steuerungsdaten!$B$17:$G$37,6,FALSE),1)*POWER(IF(OR(E134=0,F134=0,E134="",F134=""),1,(E134*F134/1000000)/Steuerungsdaten!$B$6),IFERROR(VLOOKUP(C134,Steuerungsdaten!$B$17:$M$37,12,FALSE),1)-1)),0))</f>
        <v>250</v>
      </c>
      <c r="R134" s="79">
        <f>IF(J134="","",ROUND(J134/(Steuerungsdaten!$B$4*Steuerungsdaten!$B$10*IFERROR(VLOOKUP(C134,Steuerungsdaten!$B$17:$I$37,8,FALSE),1)*POWER(IF(OR(E134=0,F134=0,E134="",F134=""),1,(E134*F134/1000000)/Steuerungsdaten!$B$6),IFERROR(VLOOKUP(C134,Steuerungsdaten!$B$17:$N$37,13,FALSE),1)-1)),0))</f>
        <v>255</v>
      </c>
    </row>
    <row r="135" spans="1:18" x14ac:dyDescent="0.25">
      <c r="A135" s="69">
        <v>3605</v>
      </c>
      <c r="B135" s="70" t="s">
        <v>7</v>
      </c>
      <c r="C135" s="70" t="s">
        <v>135</v>
      </c>
      <c r="D135" s="70" t="s">
        <v>141</v>
      </c>
      <c r="E135" s="71">
        <v>580</v>
      </c>
      <c r="F135" s="71">
        <v>360</v>
      </c>
      <c r="G135" s="72">
        <f>IF(VLOOKUP(C135,Steuerungsdaten!$P$17:$T$39,2,0)="","",MAX(ROUND(VLOOKUP(C135,Steuerungsdaten!$P$17:$T$39,2,0)*Steuerungsdaten!$B$4*Steuerungsdaten!$B$7*IFERROR(VLOOKUP(C135,Steuerungsdaten!$B$17:$C$37,2,FALSE),1)*POWER(IF(OR(E135=0,F135=0,E135="",F135=""),1,(E135*F135/1000000)/Steuerungsdaten!$B$6),IFERROR(VLOOKUP(C135,Steuerungsdaten!$B$17:$K$37,10,FALSE),1)-1),0),Steuerungsdaten!$E$4))</f>
        <v>37</v>
      </c>
      <c r="H135" s="72">
        <f>IF(VLOOKUP(C135,Steuerungsdaten!$P$17:$T$39,3,0)="","",MAX(ROUND(VLOOKUP(C135,Steuerungsdaten!$P$17:$T$39,3,0)*Steuerungsdaten!$B$4*Steuerungsdaten!$B$8*IFERROR(VLOOKUP(C135,Steuerungsdaten!$B$17:$E$37,4,FALSE),1)*POWER(IF(OR(E135=0,F135=0,E135="",F135=""),1,(E135*F135/1000000)/Steuerungsdaten!$B$6),IFERROR(VLOOKUP(C135,Steuerungsdaten!$B$17:$L$37,11,FALSE),1)-1),0),Steuerungsdaten!$E$5))</f>
        <v>126</v>
      </c>
      <c r="I135" s="72">
        <f>IF(VLOOKUP(C135,Steuerungsdaten!$P$17:$T$39,4,0)="","",MAX(ROUND(VLOOKUP(C135,Steuerungsdaten!$P$17:$T$39,4,0)*Steuerungsdaten!$B$4*Steuerungsdaten!$B$9*IFERROR(VLOOKUP(C135,Steuerungsdaten!$B$17:$G$37,6,FALSE),1)*POWER(IF(OR(E135=0,F135=0,E135="",F135=""),1,(E135*F135/1000000)/Steuerungsdaten!$B$6),IFERROR(VLOOKUP(C135,Steuerungsdaten!$B$17:$M$37,12,FALSE),1)-1),0),Steuerungsdaten!$E$6))</f>
        <v>131</v>
      </c>
      <c r="J135" s="72">
        <f>IF(VLOOKUP(C135,Steuerungsdaten!$P$17:$T$39,5,0)="","",MAX(ROUND(VLOOKUP(C135,Steuerungsdaten!$P$17:$T$39,5,0)*Steuerungsdaten!$B$4*Steuerungsdaten!$B$10*IFERROR(VLOOKUP(C135,Steuerungsdaten!$B$17:$I$37,8,FALSE),1)*POWER(IF(OR(E135=0,F135=0,E135="",F135=""),1,(E135*F135/1000000)/Steuerungsdaten!$B$6),IFERROR(VLOOKUP(C135,Steuerungsdaten!$B$17:$N$37,13,FALSE),1)-1),0),Steuerungsdaten!$E$7))</f>
        <v>146</v>
      </c>
      <c r="K135" s="72">
        <f>IFERROR(IF(G135="","",ROUND(G135*Steuerungsdaten!$B$5,0)),"-")</f>
        <v>43</v>
      </c>
      <c r="L135" s="72">
        <f>IFERROR(IF(H135="","",ROUND(H135*Steuerungsdaten!$B$5,0)),"-")</f>
        <v>145</v>
      </c>
      <c r="M135" s="72">
        <f>IFERROR(IF(I135="","",ROUND(I135*Steuerungsdaten!$B$5,0)),"-")</f>
        <v>151</v>
      </c>
      <c r="N135" s="73" t="s">
        <v>988</v>
      </c>
      <c r="O135" s="79">
        <v>43</v>
      </c>
      <c r="P135" s="79">
        <f>IF(H135="","",ROUND(H135/(Steuerungsdaten!$B$4*Steuerungsdaten!$B$8*IFERROR(VLOOKUP(C135,Steuerungsdaten!$B$17:$E$37,4,FALSE),1)*POWER(IF(OR(E135=0,F135=0,E135="",F135=""),1,(E135*F135/1000000)/Steuerungsdaten!$B$6),IFERROR(VLOOKUP(C135,Steuerungsdaten!$B$17:$L$37,11,FALSE),1)-1)),0))</f>
        <v>240</v>
      </c>
      <c r="Q135" s="79">
        <f>IF(I135="","",ROUND(I135/(Steuerungsdaten!$B$4*Steuerungsdaten!$B$9*IFERROR(VLOOKUP(C135,Steuerungsdaten!$B$17:$G$37,6,FALSE),1)*POWER(IF(OR(E135=0,F135=0,E135="",F135=""),1,(E135*F135/1000000)/Steuerungsdaten!$B$6),IFERROR(VLOOKUP(C135,Steuerungsdaten!$B$17:$M$37,12,FALSE),1)-1)),0))</f>
        <v>250</v>
      </c>
      <c r="R135" s="79">
        <f>IF(J135="","",ROUND(J135/(Steuerungsdaten!$B$4*Steuerungsdaten!$B$10*IFERROR(VLOOKUP(C135,Steuerungsdaten!$B$17:$I$37,8,FALSE),1)*POWER(IF(OR(E135=0,F135=0,E135="",F135=""),1,(E135*F135/1000000)/Steuerungsdaten!$B$6),IFERROR(VLOOKUP(C135,Steuerungsdaten!$B$17:$N$37,13,FALSE),1)-1)),0))</f>
        <v>255</v>
      </c>
    </row>
    <row r="136" spans="1:18" x14ac:dyDescent="0.25">
      <c r="A136" s="74">
        <v>3606</v>
      </c>
      <c r="B136" s="75" t="s">
        <v>7</v>
      </c>
      <c r="C136" s="75" t="s">
        <v>135</v>
      </c>
      <c r="D136" s="75" t="s">
        <v>142</v>
      </c>
      <c r="E136" s="76">
        <v>580</v>
      </c>
      <c r="F136" s="76">
        <v>720</v>
      </c>
      <c r="G136" s="77">
        <f>IF(VLOOKUP(C136,Steuerungsdaten!$P$17:$T$39,2,0)="","",MAX(ROUND(VLOOKUP(C136,Steuerungsdaten!$P$17:$T$39,2,0)*Steuerungsdaten!$B$4*Steuerungsdaten!$B$7*IFERROR(VLOOKUP(C136,Steuerungsdaten!$B$17:$C$37,2,FALSE),1)*POWER(IF(OR(E136=0,F136=0,E136="",F136=""),1,(E136*F136/1000000)/Steuerungsdaten!$B$6),IFERROR(VLOOKUP(C136,Steuerungsdaten!$B$17:$K$37,10,FALSE),1)-1),0),Steuerungsdaten!$E$4))</f>
        <v>73</v>
      </c>
      <c r="H136" s="77">
        <f>IF(VLOOKUP(C136,Steuerungsdaten!$P$17:$T$39,3,0)="","",MAX(ROUND(VLOOKUP(C136,Steuerungsdaten!$P$17:$T$39,3,0)*Steuerungsdaten!$B$4*Steuerungsdaten!$B$8*IFERROR(VLOOKUP(C136,Steuerungsdaten!$B$17:$E$37,4,FALSE),1)*POWER(IF(OR(E136=0,F136=0,E136="",F136=""),1,(E136*F136/1000000)/Steuerungsdaten!$B$6),IFERROR(VLOOKUP(C136,Steuerungsdaten!$B$17:$L$37,11,FALSE),1)-1),0),Steuerungsdaten!$E$5))</f>
        <v>252</v>
      </c>
      <c r="I136" s="77">
        <f>IF(VLOOKUP(C136,Steuerungsdaten!$P$17:$T$39,4,0)="","",MAX(ROUND(VLOOKUP(C136,Steuerungsdaten!$P$17:$T$39,4,0)*Steuerungsdaten!$B$4*Steuerungsdaten!$B$9*IFERROR(VLOOKUP(C136,Steuerungsdaten!$B$17:$G$37,6,FALSE),1)*POWER(IF(OR(E136=0,F136=0,E136="",F136=""),1,(E136*F136/1000000)/Steuerungsdaten!$B$6),IFERROR(VLOOKUP(C136,Steuerungsdaten!$B$17:$M$37,12,FALSE),1)-1),0),Steuerungsdaten!$E$6))</f>
        <v>262</v>
      </c>
      <c r="J136" s="77">
        <f>IF(VLOOKUP(C136,Steuerungsdaten!$P$17:$T$39,5,0)="","",MAX(ROUND(VLOOKUP(C136,Steuerungsdaten!$P$17:$T$39,5,0)*Steuerungsdaten!$B$4*Steuerungsdaten!$B$10*IFERROR(VLOOKUP(C136,Steuerungsdaten!$B$17:$I$37,8,FALSE),1)*POWER(IF(OR(E136=0,F136=0,E136="",F136=""),1,(E136*F136/1000000)/Steuerungsdaten!$B$6),IFERROR(VLOOKUP(C136,Steuerungsdaten!$B$17:$N$37,13,FALSE),1)-1),0),Steuerungsdaten!$E$7))</f>
        <v>292</v>
      </c>
      <c r="K136" s="77">
        <f>IFERROR(IF(G136="","",ROUND(G136*Steuerungsdaten!$B$5,0)),"-")</f>
        <v>84</v>
      </c>
      <c r="L136" s="77">
        <f>IFERROR(IF(H136="","",ROUND(H136*Steuerungsdaten!$B$5,0)),"-")</f>
        <v>290</v>
      </c>
      <c r="M136" s="77">
        <f>IFERROR(IF(I136="","",ROUND(I136*Steuerungsdaten!$B$5,0)),"-")</f>
        <v>301</v>
      </c>
      <c r="N136" s="78" t="s">
        <v>988</v>
      </c>
      <c r="O136" s="79">
        <v>82</v>
      </c>
      <c r="P136" s="79">
        <f>IF(H136="","",ROUND(H136/(Steuerungsdaten!$B$4*Steuerungsdaten!$B$8*IFERROR(VLOOKUP(C136,Steuerungsdaten!$B$17:$E$37,4,FALSE),1)*POWER(IF(OR(E136=0,F136=0,E136="",F136=""),1,(E136*F136/1000000)/Steuerungsdaten!$B$6),IFERROR(VLOOKUP(C136,Steuerungsdaten!$B$17:$L$37,11,FALSE),1)-1)),0))</f>
        <v>240</v>
      </c>
      <c r="Q136" s="79">
        <f>IF(I136="","",ROUND(I136/(Steuerungsdaten!$B$4*Steuerungsdaten!$B$9*IFERROR(VLOOKUP(C136,Steuerungsdaten!$B$17:$G$37,6,FALSE),1)*POWER(IF(OR(E136=0,F136=0,E136="",F136=""),1,(E136*F136/1000000)/Steuerungsdaten!$B$6),IFERROR(VLOOKUP(C136,Steuerungsdaten!$B$17:$M$37,12,FALSE),1)-1)),0))</f>
        <v>250</v>
      </c>
      <c r="R136" s="79">
        <f>IF(J136="","",ROUND(J136/(Steuerungsdaten!$B$4*Steuerungsdaten!$B$10*IFERROR(VLOOKUP(C136,Steuerungsdaten!$B$17:$I$37,8,FALSE),1)*POWER(IF(OR(E136=0,F136=0,E136="",F136=""),1,(E136*F136/1000000)/Steuerungsdaten!$B$6),IFERROR(VLOOKUP(C136,Steuerungsdaten!$B$17:$N$37,13,FALSE),1)-1)),0))</f>
        <v>255</v>
      </c>
    </row>
    <row r="137" spans="1:18" x14ac:dyDescent="0.25">
      <c r="A137" s="69">
        <v>3607</v>
      </c>
      <c r="B137" s="70" t="s">
        <v>7</v>
      </c>
      <c r="C137" s="70" t="s">
        <v>135</v>
      </c>
      <c r="D137" s="70" t="s">
        <v>143</v>
      </c>
      <c r="E137" s="71">
        <v>580</v>
      </c>
      <c r="F137" s="71">
        <v>1080</v>
      </c>
      <c r="G137" s="72">
        <f>IF(VLOOKUP(C137,Steuerungsdaten!$P$17:$T$39,2,0)="","",MAX(ROUND(VLOOKUP(C137,Steuerungsdaten!$P$17:$T$39,2,0)*Steuerungsdaten!$B$4*Steuerungsdaten!$B$7*IFERROR(VLOOKUP(C137,Steuerungsdaten!$B$17:$C$37,2,FALSE),1)*POWER(IF(OR(E137=0,F137=0,E137="",F137=""),1,(E137*F137/1000000)/Steuerungsdaten!$B$6),IFERROR(VLOOKUP(C137,Steuerungsdaten!$B$17:$K$37,10,FALSE),1)-1),0),Steuerungsdaten!$E$4))</f>
        <v>110</v>
      </c>
      <c r="H137" s="72">
        <f>IF(VLOOKUP(C137,Steuerungsdaten!$P$17:$T$39,3,0)="","",MAX(ROUND(VLOOKUP(C137,Steuerungsdaten!$P$17:$T$39,3,0)*Steuerungsdaten!$B$4*Steuerungsdaten!$B$8*IFERROR(VLOOKUP(C137,Steuerungsdaten!$B$17:$E$37,4,FALSE),1)*POWER(IF(OR(E137=0,F137=0,E137="",F137=""),1,(E137*F137/1000000)/Steuerungsdaten!$B$6),IFERROR(VLOOKUP(C137,Steuerungsdaten!$B$17:$L$37,11,FALSE),1)-1),0),Steuerungsdaten!$E$5))</f>
        <v>378</v>
      </c>
      <c r="I137" s="72">
        <f>IF(VLOOKUP(C137,Steuerungsdaten!$P$17:$T$39,4,0)="","",MAX(ROUND(VLOOKUP(C137,Steuerungsdaten!$P$17:$T$39,4,0)*Steuerungsdaten!$B$4*Steuerungsdaten!$B$9*IFERROR(VLOOKUP(C137,Steuerungsdaten!$B$17:$G$37,6,FALSE),1)*POWER(IF(OR(E137=0,F137=0,E137="",F137=""),1,(E137*F137/1000000)/Steuerungsdaten!$B$6),IFERROR(VLOOKUP(C137,Steuerungsdaten!$B$17:$M$37,12,FALSE),1)-1),0),Steuerungsdaten!$E$6))</f>
        <v>394</v>
      </c>
      <c r="J137" s="72">
        <f>IF(VLOOKUP(C137,Steuerungsdaten!$P$17:$T$39,5,0)="","",MAX(ROUND(VLOOKUP(C137,Steuerungsdaten!$P$17:$T$39,5,0)*Steuerungsdaten!$B$4*Steuerungsdaten!$B$10*IFERROR(VLOOKUP(C137,Steuerungsdaten!$B$17:$I$37,8,FALSE),1)*POWER(IF(OR(E137=0,F137=0,E137="",F137=""),1,(E137*F137/1000000)/Steuerungsdaten!$B$6),IFERROR(VLOOKUP(C137,Steuerungsdaten!$B$17:$N$37,13,FALSE),1)-1),0),Steuerungsdaten!$E$7))</f>
        <v>438</v>
      </c>
      <c r="K137" s="72">
        <f>IFERROR(IF(G137="","",ROUND(G137*Steuerungsdaten!$B$5,0)),"-")</f>
        <v>127</v>
      </c>
      <c r="L137" s="72">
        <f>IFERROR(IF(H137="","",ROUND(H137*Steuerungsdaten!$B$5,0)),"-")</f>
        <v>435</v>
      </c>
      <c r="M137" s="72">
        <f>IFERROR(IF(I137="","",ROUND(I137*Steuerungsdaten!$B$5,0)),"-")</f>
        <v>453</v>
      </c>
      <c r="N137" s="73" t="s">
        <v>988</v>
      </c>
      <c r="O137" s="79">
        <v>119</v>
      </c>
      <c r="P137" s="79">
        <f>IF(H137="","",ROUND(H137/(Steuerungsdaten!$B$4*Steuerungsdaten!$B$8*IFERROR(VLOOKUP(C137,Steuerungsdaten!$B$17:$E$37,4,FALSE),1)*POWER(IF(OR(E137=0,F137=0,E137="",F137=""),1,(E137*F137/1000000)/Steuerungsdaten!$B$6),IFERROR(VLOOKUP(C137,Steuerungsdaten!$B$17:$L$37,11,FALSE),1)-1)),0))</f>
        <v>240</v>
      </c>
      <c r="Q137" s="79">
        <f>IF(I137="","",ROUND(I137/(Steuerungsdaten!$B$4*Steuerungsdaten!$B$9*IFERROR(VLOOKUP(C137,Steuerungsdaten!$B$17:$G$37,6,FALSE),1)*POWER(IF(OR(E137=0,F137=0,E137="",F137=""),1,(E137*F137/1000000)/Steuerungsdaten!$B$6),IFERROR(VLOOKUP(C137,Steuerungsdaten!$B$17:$M$37,12,FALSE),1)-1)),0))</f>
        <v>250</v>
      </c>
      <c r="R137" s="79">
        <f>IF(J137="","",ROUND(J137/(Steuerungsdaten!$B$4*Steuerungsdaten!$B$10*IFERROR(VLOOKUP(C137,Steuerungsdaten!$B$17:$I$37,8,FALSE),1)*POWER(IF(OR(E137=0,F137=0,E137="",F137=""),1,(E137*F137/1000000)/Steuerungsdaten!$B$6),IFERROR(VLOOKUP(C137,Steuerungsdaten!$B$17:$N$37,13,FALSE),1)-1)),0))</f>
        <v>255</v>
      </c>
    </row>
    <row r="138" spans="1:18" x14ac:dyDescent="0.25">
      <c r="A138" s="74">
        <v>3608</v>
      </c>
      <c r="B138" s="75" t="s">
        <v>7</v>
      </c>
      <c r="C138" s="75" t="s">
        <v>135</v>
      </c>
      <c r="D138" s="75" t="s">
        <v>144</v>
      </c>
      <c r="E138" s="76">
        <v>580</v>
      </c>
      <c r="F138" s="76">
        <v>1440</v>
      </c>
      <c r="G138" s="77">
        <f>IF(VLOOKUP(C138,Steuerungsdaten!$P$17:$T$39,2,0)="","",MAX(ROUND(VLOOKUP(C138,Steuerungsdaten!$P$17:$T$39,2,0)*Steuerungsdaten!$B$4*Steuerungsdaten!$B$7*IFERROR(VLOOKUP(C138,Steuerungsdaten!$B$17:$C$37,2,FALSE),1)*POWER(IF(OR(E138=0,F138=0,E138="",F138=""),1,(E138*F138/1000000)/Steuerungsdaten!$B$6),IFERROR(VLOOKUP(C138,Steuerungsdaten!$B$17:$K$37,10,FALSE),1)-1),0),Steuerungsdaten!$E$4))</f>
        <v>147</v>
      </c>
      <c r="H138" s="77">
        <f>IF(VLOOKUP(C138,Steuerungsdaten!$P$17:$T$39,3,0)="","",MAX(ROUND(VLOOKUP(C138,Steuerungsdaten!$P$17:$T$39,3,0)*Steuerungsdaten!$B$4*Steuerungsdaten!$B$8*IFERROR(VLOOKUP(C138,Steuerungsdaten!$B$17:$E$37,4,FALSE),1)*POWER(IF(OR(E138=0,F138=0,E138="",F138=""),1,(E138*F138/1000000)/Steuerungsdaten!$B$6),IFERROR(VLOOKUP(C138,Steuerungsdaten!$B$17:$L$37,11,FALSE),1)-1),0),Steuerungsdaten!$E$5))</f>
        <v>504</v>
      </c>
      <c r="I138" s="77">
        <f>IF(VLOOKUP(C138,Steuerungsdaten!$P$17:$T$39,4,0)="","",MAX(ROUND(VLOOKUP(C138,Steuerungsdaten!$P$17:$T$39,4,0)*Steuerungsdaten!$B$4*Steuerungsdaten!$B$9*IFERROR(VLOOKUP(C138,Steuerungsdaten!$B$17:$G$37,6,FALSE),1)*POWER(IF(OR(E138=0,F138=0,E138="",F138=""),1,(E138*F138/1000000)/Steuerungsdaten!$B$6),IFERROR(VLOOKUP(C138,Steuerungsdaten!$B$17:$M$37,12,FALSE),1)-1),0),Steuerungsdaten!$E$6))</f>
        <v>525</v>
      </c>
      <c r="J138" s="77">
        <f>IF(VLOOKUP(C138,Steuerungsdaten!$P$17:$T$39,5,0)="","",MAX(ROUND(VLOOKUP(C138,Steuerungsdaten!$P$17:$T$39,5,0)*Steuerungsdaten!$B$4*Steuerungsdaten!$B$10*IFERROR(VLOOKUP(C138,Steuerungsdaten!$B$17:$I$37,8,FALSE),1)*POWER(IF(OR(E138=0,F138=0,E138="",F138=""),1,(E138*F138/1000000)/Steuerungsdaten!$B$6),IFERROR(VLOOKUP(C138,Steuerungsdaten!$B$17:$N$37,13,FALSE),1)-1),0),Steuerungsdaten!$E$7))</f>
        <v>584</v>
      </c>
      <c r="K138" s="77">
        <f>IFERROR(IF(G138="","",ROUND(G138*Steuerungsdaten!$B$5,0)),"-")</f>
        <v>169</v>
      </c>
      <c r="L138" s="77">
        <f>IFERROR(IF(H138="","",ROUND(H138*Steuerungsdaten!$B$5,0)),"-")</f>
        <v>580</v>
      </c>
      <c r="M138" s="77">
        <f>IFERROR(IF(I138="","",ROUND(I138*Steuerungsdaten!$B$5,0)),"-")</f>
        <v>604</v>
      </c>
      <c r="N138" s="78" t="s">
        <v>988</v>
      </c>
      <c r="O138" s="79">
        <v>158</v>
      </c>
      <c r="P138" s="79">
        <f>IF(H138="","",ROUND(H138/(Steuerungsdaten!$B$4*Steuerungsdaten!$B$8*IFERROR(VLOOKUP(C138,Steuerungsdaten!$B$17:$E$37,4,FALSE),1)*POWER(IF(OR(E138=0,F138=0,E138="",F138=""),1,(E138*F138/1000000)/Steuerungsdaten!$B$6),IFERROR(VLOOKUP(C138,Steuerungsdaten!$B$17:$L$37,11,FALSE),1)-1)),0))</f>
        <v>240</v>
      </c>
      <c r="Q138" s="79">
        <f>IF(I138="","",ROUND(I138/(Steuerungsdaten!$B$4*Steuerungsdaten!$B$9*IFERROR(VLOOKUP(C138,Steuerungsdaten!$B$17:$G$37,6,FALSE),1)*POWER(IF(OR(E138=0,F138=0,E138="",F138=""),1,(E138*F138/1000000)/Steuerungsdaten!$B$6),IFERROR(VLOOKUP(C138,Steuerungsdaten!$B$17:$M$37,12,FALSE),1)-1)),0))</f>
        <v>250</v>
      </c>
      <c r="R138" s="79">
        <f>IF(J138="","",ROUND(J138/(Steuerungsdaten!$B$4*Steuerungsdaten!$B$10*IFERROR(VLOOKUP(C138,Steuerungsdaten!$B$17:$I$37,8,FALSE),1)*POWER(IF(OR(E138=0,F138=0,E138="",F138=""),1,(E138*F138/1000000)/Steuerungsdaten!$B$6),IFERROR(VLOOKUP(C138,Steuerungsdaten!$B$17:$N$37,13,FALSE),1)-1)),0))</f>
        <v>255</v>
      </c>
    </row>
    <row r="139" spans="1:18" x14ac:dyDescent="0.25">
      <c r="A139" s="69">
        <v>3609</v>
      </c>
      <c r="B139" s="70" t="s">
        <v>7</v>
      </c>
      <c r="C139" s="70" t="s">
        <v>135</v>
      </c>
      <c r="D139" s="70" t="s">
        <v>145</v>
      </c>
      <c r="E139" s="71">
        <v>580</v>
      </c>
      <c r="F139" s="71">
        <v>1800</v>
      </c>
      <c r="G139" s="72">
        <f>IF(VLOOKUP(C139,Steuerungsdaten!$P$17:$T$39,2,0)="","",MAX(ROUND(VLOOKUP(C139,Steuerungsdaten!$P$17:$T$39,2,0)*Steuerungsdaten!$B$4*Steuerungsdaten!$B$7*IFERROR(VLOOKUP(C139,Steuerungsdaten!$B$17:$C$37,2,FALSE),1)*POWER(IF(OR(E139=0,F139=0,E139="",F139=""),1,(E139*F139/1000000)/Steuerungsdaten!$B$6),IFERROR(VLOOKUP(C139,Steuerungsdaten!$B$17:$K$37,10,FALSE),1)-1),0),Steuerungsdaten!$E$4))</f>
        <v>184</v>
      </c>
      <c r="H139" s="72">
        <f>IF(VLOOKUP(C139,Steuerungsdaten!$P$17:$T$39,3,0)="","",MAX(ROUND(VLOOKUP(C139,Steuerungsdaten!$P$17:$T$39,3,0)*Steuerungsdaten!$B$4*Steuerungsdaten!$B$8*IFERROR(VLOOKUP(C139,Steuerungsdaten!$B$17:$E$37,4,FALSE),1)*POWER(IF(OR(E139=0,F139=0,E139="",F139=""),1,(E139*F139/1000000)/Steuerungsdaten!$B$6),IFERROR(VLOOKUP(C139,Steuerungsdaten!$B$17:$L$37,11,FALSE),1)-1),0),Steuerungsdaten!$E$5))</f>
        <v>630</v>
      </c>
      <c r="I139" s="72">
        <f>IF(VLOOKUP(C139,Steuerungsdaten!$P$17:$T$39,4,0)="","",MAX(ROUND(VLOOKUP(C139,Steuerungsdaten!$P$17:$T$39,4,0)*Steuerungsdaten!$B$4*Steuerungsdaten!$B$9*IFERROR(VLOOKUP(C139,Steuerungsdaten!$B$17:$G$37,6,FALSE),1)*POWER(IF(OR(E139=0,F139=0,E139="",F139=""),1,(E139*F139/1000000)/Steuerungsdaten!$B$6),IFERROR(VLOOKUP(C139,Steuerungsdaten!$B$17:$M$37,12,FALSE),1)-1),0),Steuerungsdaten!$E$6))</f>
        <v>656</v>
      </c>
      <c r="J139" s="72">
        <f>IF(VLOOKUP(C139,Steuerungsdaten!$P$17:$T$39,5,0)="","",MAX(ROUND(VLOOKUP(C139,Steuerungsdaten!$P$17:$T$39,5,0)*Steuerungsdaten!$B$4*Steuerungsdaten!$B$10*IFERROR(VLOOKUP(C139,Steuerungsdaten!$B$17:$I$37,8,FALSE),1)*POWER(IF(OR(E139=0,F139=0,E139="",F139=""),1,(E139*F139/1000000)/Steuerungsdaten!$B$6),IFERROR(VLOOKUP(C139,Steuerungsdaten!$B$17:$N$37,13,FALSE),1)-1),0),Steuerungsdaten!$E$7))</f>
        <v>730</v>
      </c>
      <c r="K139" s="72">
        <f>IFERROR(IF(G139="","",ROUND(G139*Steuerungsdaten!$B$5,0)),"-")</f>
        <v>212</v>
      </c>
      <c r="L139" s="72">
        <f>IFERROR(IF(H139="","",ROUND(H139*Steuerungsdaten!$B$5,0)),"-")</f>
        <v>725</v>
      </c>
      <c r="M139" s="72">
        <f>IFERROR(IF(I139="","",ROUND(I139*Steuerungsdaten!$B$5,0)),"-")</f>
        <v>754</v>
      </c>
      <c r="N139" s="73" t="s">
        <v>988</v>
      </c>
      <c r="O139" s="79">
        <v>197</v>
      </c>
      <c r="P139" s="79">
        <f>IF(H139="","",ROUND(H139/(Steuerungsdaten!$B$4*Steuerungsdaten!$B$8*IFERROR(VLOOKUP(C139,Steuerungsdaten!$B$17:$E$37,4,FALSE),1)*POWER(IF(OR(E139=0,F139=0,E139="",F139=""),1,(E139*F139/1000000)/Steuerungsdaten!$B$6),IFERROR(VLOOKUP(C139,Steuerungsdaten!$B$17:$L$37,11,FALSE),1)-1)),0))</f>
        <v>240</v>
      </c>
      <c r="Q139" s="79">
        <f>IF(I139="","",ROUND(I139/(Steuerungsdaten!$B$4*Steuerungsdaten!$B$9*IFERROR(VLOOKUP(C139,Steuerungsdaten!$B$17:$G$37,6,FALSE),1)*POWER(IF(OR(E139=0,F139=0,E139="",F139=""),1,(E139*F139/1000000)/Steuerungsdaten!$B$6),IFERROR(VLOOKUP(C139,Steuerungsdaten!$B$17:$M$37,12,FALSE),1)-1)),0))</f>
        <v>250</v>
      </c>
      <c r="R139" s="79">
        <f>IF(J139="","",ROUND(J139/(Steuerungsdaten!$B$4*Steuerungsdaten!$B$10*IFERROR(VLOOKUP(C139,Steuerungsdaten!$B$17:$I$37,8,FALSE),1)*POWER(IF(OR(E139=0,F139=0,E139="",F139=""),1,(E139*F139/1000000)/Steuerungsdaten!$B$6),IFERROR(VLOOKUP(C139,Steuerungsdaten!$B$17:$N$37,13,FALSE),1)-1)),0))</f>
        <v>255</v>
      </c>
    </row>
    <row r="140" spans="1:18" x14ac:dyDescent="0.25">
      <c r="A140" s="74">
        <v>3610</v>
      </c>
      <c r="B140" s="75" t="s">
        <v>7</v>
      </c>
      <c r="C140" s="75" t="s">
        <v>135</v>
      </c>
      <c r="D140" s="75" t="s">
        <v>146</v>
      </c>
      <c r="E140" s="76">
        <v>720</v>
      </c>
      <c r="F140" s="76">
        <v>780</v>
      </c>
      <c r="G140" s="77" t="s">
        <v>988</v>
      </c>
      <c r="H140" s="77" t="s">
        <v>988</v>
      </c>
      <c r="I140" s="77" t="s">
        <v>988</v>
      </c>
      <c r="J140" s="77" t="s">
        <v>988</v>
      </c>
      <c r="K140" s="77" t="s">
        <v>988</v>
      </c>
      <c r="L140" s="77" t="s">
        <v>988</v>
      </c>
      <c r="M140" s="77" t="s">
        <v>988</v>
      </c>
      <c r="N140" s="78" t="s">
        <v>988</v>
      </c>
      <c r="O140" s="79">
        <v>107</v>
      </c>
      <c r="P140" s="79" t="e">
        <f>IF(H140="","",ROUND(H140/(Steuerungsdaten!$B$4*Steuerungsdaten!$B$8*IFERROR(VLOOKUP(C140,Steuerungsdaten!$B$17:$E$37,4,FALSE),1)*POWER(IF(OR(E140=0,F140=0,E140="",F140=""),1,(E140*F140/1000000)/Steuerungsdaten!$B$6),IFERROR(VLOOKUP(C140,Steuerungsdaten!$B$17:$L$37,11,FALSE),1)-1)),0))</f>
        <v>#VALUE!</v>
      </c>
      <c r="Q140" s="79" t="e">
        <f>IF(I140="","",ROUND(I140/(Steuerungsdaten!$B$4*Steuerungsdaten!$B$9*IFERROR(VLOOKUP(C140,Steuerungsdaten!$B$17:$G$37,6,FALSE),1)*POWER(IF(OR(E140=0,F140=0,E140="",F140=""),1,(E140*F140/1000000)/Steuerungsdaten!$B$6),IFERROR(VLOOKUP(C140,Steuerungsdaten!$B$17:$M$37,12,FALSE),1)-1)),0))</f>
        <v>#VALUE!</v>
      </c>
      <c r="R140" s="79" t="e">
        <f>IF(J140="","",ROUND(J140/(Steuerungsdaten!$B$4*Steuerungsdaten!$B$10*IFERROR(VLOOKUP(C140,Steuerungsdaten!$B$17:$I$37,8,FALSE),1)*POWER(IF(OR(E140=0,F140=0,E140="",F140=""),1,(E140*F140/1000000)/Steuerungsdaten!$B$6),IFERROR(VLOOKUP(C140,Steuerungsdaten!$B$17:$N$37,13,FALSE),1)-1)),0))</f>
        <v>#VALUE!</v>
      </c>
    </row>
    <row r="141" spans="1:18" x14ac:dyDescent="0.25">
      <c r="A141" s="69">
        <v>3611</v>
      </c>
      <c r="B141" s="70" t="s">
        <v>7</v>
      </c>
      <c r="C141" s="70" t="s">
        <v>135</v>
      </c>
      <c r="D141" s="70" t="s">
        <v>147</v>
      </c>
      <c r="E141" s="71">
        <v>720</v>
      </c>
      <c r="F141" s="71">
        <v>980</v>
      </c>
      <c r="G141" s="72" t="s">
        <v>988</v>
      </c>
      <c r="H141" s="72" t="s">
        <v>988</v>
      </c>
      <c r="I141" s="72" t="s">
        <v>988</v>
      </c>
      <c r="J141" s="72" t="s">
        <v>988</v>
      </c>
      <c r="K141" s="72" t="s">
        <v>988</v>
      </c>
      <c r="L141" s="72" t="s">
        <v>988</v>
      </c>
      <c r="M141" s="72" t="s">
        <v>988</v>
      </c>
      <c r="N141" s="73" t="s">
        <v>988</v>
      </c>
      <c r="O141" s="79">
        <v>134</v>
      </c>
      <c r="P141" s="79" t="e">
        <f>IF(H141="","",ROUND(H141/(Steuerungsdaten!$B$4*Steuerungsdaten!$B$8*IFERROR(VLOOKUP(C141,Steuerungsdaten!$B$17:$E$37,4,FALSE),1)*POWER(IF(OR(E141=0,F141=0,E141="",F141=""),1,(E141*F141/1000000)/Steuerungsdaten!$B$6),IFERROR(VLOOKUP(C141,Steuerungsdaten!$B$17:$L$37,11,FALSE),1)-1)),0))</f>
        <v>#VALUE!</v>
      </c>
      <c r="Q141" s="79" t="e">
        <f>IF(I141="","",ROUND(I141/(Steuerungsdaten!$B$4*Steuerungsdaten!$B$9*IFERROR(VLOOKUP(C141,Steuerungsdaten!$B$17:$G$37,6,FALSE),1)*POWER(IF(OR(E141=0,F141=0,E141="",F141=""),1,(E141*F141/1000000)/Steuerungsdaten!$B$6),IFERROR(VLOOKUP(C141,Steuerungsdaten!$B$17:$M$37,12,FALSE),1)-1)),0))</f>
        <v>#VALUE!</v>
      </c>
      <c r="R141" s="79" t="e">
        <f>IF(J141="","",ROUND(J141/(Steuerungsdaten!$B$4*Steuerungsdaten!$B$10*IFERROR(VLOOKUP(C141,Steuerungsdaten!$B$17:$I$37,8,FALSE),1)*POWER(IF(OR(E141=0,F141=0,E141="",F141=""),1,(E141*F141/1000000)/Steuerungsdaten!$B$6),IFERROR(VLOOKUP(C141,Steuerungsdaten!$B$17:$N$37,13,FALSE),1)-1)),0))</f>
        <v>#VALUE!</v>
      </c>
    </row>
    <row r="142" spans="1:18" x14ac:dyDescent="0.25">
      <c r="A142" s="74">
        <v>3612</v>
      </c>
      <c r="B142" s="75" t="s">
        <v>7</v>
      </c>
      <c r="C142" s="75" t="s">
        <v>135</v>
      </c>
      <c r="D142" s="75" t="s">
        <v>148</v>
      </c>
      <c r="E142" s="76">
        <v>1080</v>
      </c>
      <c r="F142" s="76">
        <v>780</v>
      </c>
      <c r="G142" s="77" t="s">
        <v>988</v>
      </c>
      <c r="H142" s="77" t="s">
        <v>988</v>
      </c>
      <c r="I142" s="77" t="s">
        <v>988</v>
      </c>
      <c r="J142" s="77" t="s">
        <v>988</v>
      </c>
      <c r="K142" s="77" t="s">
        <v>988</v>
      </c>
      <c r="L142" s="77" t="s">
        <v>988</v>
      </c>
      <c r="M142" s="77" t="s">
        <v>988</v>
      </c>
      <c r="N142" s="78" t="s">
        <v>988</v>
      </c>
      <c r="O142" s="79">
        <v>161</v>
      </c>
      <c r="P142" s="79" t="e">
        <f>IF(H142="","",ROUND(H142/(Steuerungsdaten!$B$4*Steuerungsdaten!$B$8*IFERROR(VLOOKUP(C142,Steuerungsdaten!$B$17:$E$37,4,FALSE),1)*POWER(IF(OR(E142=0,F142=0,E142="",F142=""),1,(E142*F142/1000000)/Steuerungsdaten!$B$6),IFERROR(VLOOKUP(C142,Steuerungsdaten!$B$17:$L$37,11,FALSE),1)-1)),0))</f>
        <v>#VALUE!</v>
      </c>
      <c r="Q142" s="79" t="e">
        <f>IF(I142="","",ROUND(I142/(Steuerungsdaten!$B$4*Steuerungsdaten!$B$9*IFERROR(VLOOKUP(C142,Steuerungsdaten!$B$17:$G$37,6,FALSE),1)*POWER(IF(OR(E142=0,F142=0,E142="",F142=""),1,(E142*F142/1000000)/Steuerungsdaten!$B$6),IFERROR(VLOOKUP(C142,Steuerungsdaten!$B$17:$M$37,12,FALSE),1)-1)),0))</f>
        <v>#VALUE!</v>
      </c>
      <c r="R142" s="79" t="e">
        <f>IF(J142="","",ROUND(J142/(Steuerungsdaten!$B$4*Steuerungsdaten!$B$10*IFERROR(VLOOKUP(C142,Steuerungsdaten!$B$17:$I$37,8,FALSE),1)*POWER(IF(OR(E142=0,F142=0,E142="",F142=""),1,(E142*F142/1000000)/Steuerungsdaten!$B$6),IFERROR(VLOOKUP(C142,Steuerungsdaten!$B$17:$N$37,13,FALSE),1)-1)),0))</f>
        <v>#VALUE!</v>
      </c>
    </row>
    <row r="143" spans="1:18" x14ac:dyDescent="0.25">
      <c r="A143" s="69">
        <v>3613</v>
      </c>
      <c r="B143" s="70" t="s">
        <v>7</v>
      </c>
      <c r="C143" s="70" t="s">
        <v>135</v>
      </c>
      <c r="D143" s="70" t="s">
        <v>149</v>
      </c>
      <c r="E143" s="71">
        <v>1080</v>
      </c>
      <c r="F143" s="71">
        <v>980</v>
      </c>
      <c r="G143" s="72" t="s">
        <v>988</v>
      </c>
      <c r="H143" s="72" t="s">
        <v>988</v>
      </c>
      <c r="I143" s="72" t="s">
        <v>988</v>
      </c>
      <c r="J143" s="72" t="s">
        <v>988</v>
      </c>
      <c r="K143" s="72" t="s">
        <v>988</v>
      </c>
      <c r="L143" s="72" t="s">
        <v>988</v>
      </c>
      <c r="M143" s="72" t="s">
        <v>988</v>
      </c>
      <c r="N143" s="73" t="s">
        <v>988</v>
      </c>
      <c r="O143" s="79">
        <v>200</v>
      </c>
      <c r="P143" s="79" t="e">
        <f>IF(H143="","",ROUND(H143/(Steuerungsdaten!$B$4*Steuerungsdaten!$B$8*IFERROR(VLOOKUP(C143,Steuerungsdaten!$B$17:$E$37,4,FALSE),1)*POWER(IF(OR(E143=0,F143=0,E143="",F143=""),1,(E143*F143/1000000)/Steuerungsdaten!$B$6),IFERROR(VLOOKUP(C143,Steuerungsdaten!$B$17:$L$37,11,FALSE),1)-1)),0))</f>
        <v>#VALUE!</v>
      </c>
      <c r="Q143" s="79" t="e">
        <f>IF(I143="","",ROUND(I143/(Steuerungsdaten!$B$4*Steuerungsdaten!$B$9*IFERROR(VLOOKUP(C143,Steuerungsdaten!$B$17:$G$37,6,FALSE),1)*POWER(IF(OR(E143=0,F143=0,E143="",F143=""),1,(E143*F143/1000000)/Steuerungsdaten!$B$6),IFERROR(VLOOKUP(C143,Steuerungsdaten!$B$17:$M$37,12,FALSE),1)-1)),0))</f>
        <v>#VALUE!</v>
      </c>
      <c r="R143" s="79" t="e">
        <f>IF(J143="","",ROUND(J143/(Steuerungsdaten!$B$4*Steuerungsdaten!$B$10*IFERROR(VLOOKUP(C143,Steuerungsdaten!$B$17:$I$37,8,FALSE),1)*POWER(IF(OR(E143=0,F143=0,E143="",F143=""),1,(E143*F143/1000000)/Steuerungsdaten!$B$6),IFERROR(VLOOKUP(C143,Steuerungsdaten!$B$17:$N$37,13,FALSE),1)-1)),0))</f>
        <v>#VALUE!</v>
      </c>
    </row>
    <row r="144" spans="1:18" x14ac:dyDescent="0.25">
      <c r="A144" s="74">
        <v>3614</v>
      </c>
      <c r="B144" s="75" t="s">
        <v>7</v>
      </c>
      <c r="C144" s="75" t="s">
        <v>135</v>
      </c>
      <c r="D144" s="75" t="s">
        <v>150</v>
      </c>
      <c r="E144" s="76">
        <v>1440</v>
      </c>
      <c r="F144" s="76">
        <v>780</v>
      </c>
      <c r="G144" s="77" t="s">
        <v>988</v>
      </c>
      <c r="H144" s="77" t="s">
        <v>988</v>
      </c>
      <c r="I144" s="77" t="s">
        <v>988</v>
      </c>
      <c r="J144" s="77" t="s">
        <v>988</v>
      </c>
      <c r="K144" s="77" t="s">
        <v>988</v>
      </c>
      <c r="L144" s="77" t="s">
        <v>988</v>
      </c>
      <c r="M144" s="77" t="s">
        <v>988</v>
      </c>
      <c r="N144" s="78" t="s">
        <v>988</v>
      </c>
      <c r="O144" s="79">
        <v>211</v>
      </c>
      <c r="P144" s="79" t="e">
        <f>IF(H144="","",ROUND(H144/(Steuerungsdaten!$B$4*Steuerungsdaten!$B$8*IFERROR(VLOOKUP(C144,Steuerungsdaten!$B$17:$E$37,4,FALSE),1)*POWER(IF(OR(E144=0,F144=0,E144="",F144=""),1,(E144*F144/1000000)/Steuerungsdaten!$B$6),IFERROR(VLOOKUP(C144,Steuerungsdaten!$B$17:$L$37,11,FALSE),1)-1)),0))</f>
        <v>#VALUE!</v>
      </c>
      <c r="Q144" s="79" t="e">
        <f>IF(I144="","",ROUND(I144/(Steuerungsdaten!$B$4*Steuerungsdaten!$B$9*IFERROR(VLOOKUP(C144,Steuerungsdaten!$B$17:$G$37,6,FALSE),1)*POWER(IF(OR(E144=0,F144=0,E144="",F144=""),1,(E144*F144/1000000)/Steuerungsdaten!$B$6),IFERROR(VLOOKUP(C144,Steuerungsdaten!$B$17:$M$37,12,FALSE),1)-1)),0))</f>
        <v>#VALUE!</v>
      </c>
      <c r="R144" s="79" t="e">
        <f>IF(J144="","",ROUND(J144/(Steuerungsdaten!$B$4*Steuerungsdaten!$B$10*IFERROR(VLOOKUP(C144,Steuerungsdaten!$B$17:$I$37,8,FALSE),1)*POWER(IF(OR(E144=0,F144=0,E144="",F144=""),1,(E144*F144/1000000)/Steuerungsdaten!$B$6),IFERROR(VLOOKUP(C144,Steuerungsdaten!$B$17:$N$37,13,FALSE),1)-1)),0))</f>
        <v>#VALUE!</v>
      </c>
    </row>
    <row r="145" spans="1:18" x14ac:dyDescent="0.25">
      <c r="A145" s="69">
        <v>3615</v>
      </c>
      <c r="B145" s="70" t="s">
        <v>7</v>
      </c>
      <c r="C145" s="70" t="s">
        <v>135</v>
      </c>
      <c r="D145" s="70" t="s">
        <v>151</v>
      </c>
      <c r="E145" s="71">
        <v>1440</v>
      </c>
      <c r="F145" s="71">
        <v>980</v>
      </c>
      <c r="G145" s="72" t="s">
        <v>988</v>
      </c>
      <c r="H145" s="72" t="s">
        <v>988</v>
      </c>
      <c r="I145" s="72" t="s">
        <v>988</v>
      </c>
      <c r="J145" s="72" t="s">
        <v>988</v>
      </c>
      <c r="K145" s="72" t="s">
        <v>988</v>
      </c>
      <c r="L145" s="72" t="s">
        <v>988</v>
      </c>
      <c r="M145" s="72" t="s">
        <v>988</v>
      </c>
      <c r="N145" s="73" t="s">
        <v>988</v>
      </c>
      <c r="O145" s="79">
        <v>264</v>
      </c>
      <c r="P145" s="79" t="e">
        <f>IF(H145="","",ROUND(H145/(Steuerungsdaten!$B$4*Steuerungsdaten!$B$8*IFERROR(VLOOKUP(C145,Steuerungsdaten!$B$17:$E$37,4,FALSE),1)*POWER(IF(OR(E145=0,F145=0,E145="",F145=""),1,(E145*F145/1000000)/Steuerungsdaten!$B$6),IFERROR(VLOOKUP(C145,Steuerungsdaten!$B$17:$L$37,11,FALSE),1)-1)),0))</f>
        <v>#VALUE!</v>
      </c>
      <c r="Q145" s="79" t="e">
        <f>IF(I145="","",ROUND(I145/(Steuerungsdaten!$B$4*Steuerungsdaten!$B$9*IFERROR(VLOOKUP(C145,Steuerungsdaten!$B$17:$G$37,6,FALSE),1)*POWER(IF(OR(E145=0,F145=0,E145="",F145=""),1,(E145*F145/1000000)/Steuerungsdaten!$B$6),IFERROR(VLOOKUP(C145,Steuerungsdaten!$B$17:$M$37,12,FALSE),1)-1)),0))</f>
        <v>#VALUE!</v>
      </c>
      <c r="R145" s="79" t="e">
        <f>IF(J145="","",ROUND(J145/(Steuerungsdaten!$B$4*Steuerungsdaten!$B$10*IFERROR(VLOOKUP(C145,Steuerungsdaten!$B$17:$I$37,8,FALSE),1)*POWER(IF(OR(E145=0,F145=0,E145="",F145=""),1,(E145*F145/1000000)/Steuerungsdaten!$B$6),IFERROR(VLOOKUP(C145,Steuerungsdaten!$B$17:$N$37,13,FALSE),1)-1)),0))</f>
        <v>#VALUE!</v>
      </c>
    </row>
    <row r="146" spans="1:18" x14ac:dyDescent="0.25">
      <c r="A146" s="74">
        <v>3616</v>
      </c>
      <c r="B146" s="75" t="s">
        <v>7</v>
      </c>
      <c r="C146" s="75" t="s">
        <v>135</v>
      </c>
      <c r="D146" s="75" t="s">
        <v>152</v>
      </c>
      <c r="E146" s="76">
        <v>1800</v>
      </c>
      <c r="F146" s="76">
        <v>780</v>
      </c>
      <c r="G146" s="77" t="s">
        <v>988</v>
      </c>
      <c r="H146" s="77" t="s">
        <v>988</v>
      </c>
      <c r="I146" s="77" t="s">
        <v>988</v>
      </c>
      <c r="J146" s="77" t="s">
        <v>988</v>
      </c>
      <c r="K146" s="77" t="s">
        <v>988</v>
      </c>
      <c r="L146" s="77" t="s">
        <v>988</v>
      </c>
      <c r="M146" s="77" t="s">
        <v>988</v>
      </c>
      <c r="N146" s="78" t="s">
        <v>988</v>
      </c>
      <c r="O146" s="79">
        <v>264</v>
      </c>
      <c r="P146" s="79" t="e">
        <f>IF(H146="","",ROUND(H146/(Steuerungsdaten!$B$4*Steuerungsdaten!$B$8*IFERROR(VLOOKUP(C146,Steuerungsdaten!$B$17:$E$37,4,FALSE),1)*POWER(IF(OR(E146=0,F146=0,E146="",F146=""),1,(E146*F146/1000000)/Steuerungsdaten!$B$6),IFERROR(VLOOKUP(C146,Steuerungsdaten!$B$17:$L$37,11,FALSE),1)-1)),0))</f>
        <v>#VALUE!</v>
      </c>
      <c r="Q146" s="79" t="e">
        <f>IF(I146="","",ROUND(I146/(Steuerungsdaten!$B$4*Steuerungsdaten!$B$9*IFERROR(VLOOKUP(C146,Steuerungsdaten!$B$17:$G$37,6,FALSE),1)*POWER(IF(OR(E146=0,F146=0,E146="",F146=""),1,(E146*F146/1000000)/Steuerungsdaten!$B$6),IFERROR(VLOOKUP(C146,Steuerungsdaten!$B$17:$M$37,12,FALSE),1)-1)),0))</f>
        <v>#VALUE!</v>
      </c>
      <c r="R146" s="79" t="e">
        <f>IF(J146="","",ROUND(J146/(Steuerungsdaten!$B$4*Steuerungsdaten!$B$10*IFERROR(VLOOKUP(C146,Steuerungsdaten!$B$17:$I$37,8,FALSE),1)*POWER(IF(OR(E146=0,F146=0,E146="",F146=""),1,(E146*F146/1000000)/Steuerungsdaten!$B$6),IFERROR(VLOOKUP(C146,Steuerungsdaten!$B$17:$N$37,13,FALSE),1)-1)),0))</f>
        <v>#VALUE!</v>
      </c>
    </row>
    <row r="147" spans="1:18" x14ac:dyDescent="0.25">
      <c r="A147" s="69">
        <v>3617</v>
      </c>
      <c r="B147" s="70" t="s">
        <v>7</v>
      </c>
      <c r="C147" s="70" t="s">
        <v>135</v>
      </c>
      <c r="D147" s="70" t="s">
        <v>153</v>
      </c>
      <c r="E147" s="71">
        <v>1800</v>
      </c>
      <c r="F147" s="71">
        <v>980</v>
      </c>
      <c r="G147" s="72" t="s">
        <v>988</v>
      </c>
      <c r="H147" s="72" t="s">
        <v>988</v>
      </c>
      <c r="I147" s="72" t="s">
        <v>988</v>
      </c>
      <c r="J147" s="72" t="s">
        <v>988</v>
      </c>
      <c r="K147" s="72" t="s">
        <v>988</v>
      </c>
      <c r="L147" s="72" t="s">
        <v>988</v>
      </c>
      <c r="M147" s="72" t="s">
        <v>988</v>
      </c>
      <c r="N147" s="73" t="s">
        <v>988</v>
      </c>
      <c r="O147" s="79">
        <v>329</v>
      </c>
      <c r="P147" s="79" t="e">
        <f>IF(H147="","",ROUND(H147/(Steuerungsdaten!$B$4*Steuerungsdaten!$B$8*IFERROR(VLOOKUP(C147,Steuerungsdaten!$B$17:$E$37,4,FALSE),1)*POWER(IF(OR(E147=0,F147=0,E147="",F147=""),1,(E147*F147/1000000)/Steuerungsdaten!$B$6),IFERROR(VLOOKUP(C147,Steuerungsdaten!$B$17:$L$37,11,FALSE),1)-1)),0))</f>
        <v>#VALUE!</v>
      </c>
      <c r="Q147" s="79" t="e">
        <f>IF(I147="","",ROUND(I147/(Steuerungsdaten!$B$4*Steuerungsdaten!$B$9*IFERROR(VLOOKUP(C147,Steuerungsdaten!$B$17:$G$37,6,FALSE),1)*POWER(IF(OR(E147=0,F147=0,E147="",F147=""),1,(E147*F147/1000000)/Steuerungsdaten!$B$6),IFERROR(VLOOKUP(C147,Steuerungsdaten!$B$17:$M$37,12,FALSE),1)-1)),0))</f>
        <v>#VALUE!</v>
      </c>
      <c r="R147" s="79" t="e">
        <f>IF(J147="","",ROUND(J147/(Steuerungsdaten!$B$4*Steuerungsdaten!$B$10*IFERROR(VLOOKUP(C147,Steuerungsdaten!$B$17:$I$37,8,FALSE),1)*POWER(IF(OR(E147=0,F147=0,E147="",F147=""),1,(E147*F147/1000000)/Steuerungsdaten!$B$6),IFERROR(VLOOKUP(C147,Steuerungsdaten!$B$17:$N$37,13,FALSE),1)-1)),0))</f>
        <v>#VALUE!</v>
      </c>
    </row>
    <row r="148" spans="1:18" ht="21.95" customHeight="1" x14ac:dyDescent="0.25">
      <c r="A148" s="426" t="s">
        <v>154</v>
      </c>
      <c r="B148" s="426"/>
      <c r="C148" s="426"/>
      <c r="D148" s="426"/>
      <c r="E148" s="426"/>
      <c r="F148" s="426"/>
      <c r="G148" s="426"/>
      <c r="H148" s="426"/>
      <c r="I148" s="426"/>
      <c r="J148" s="426"/>
      <c r="K148" s="426" t="str">
        <f>IFERROR(IF(G148="","",ROUND(G148*Steuerungsdaten!$B$5,0)),"-")</f>
        <v/>
      </c>
      <c r="L148" s="426" t="str">
        <f>IFERROR(IF(H148="","",ROUND(H148*Steuerungsdaten!$B$5,0)),"-")</f>
        <v/>
      </c>
      <c r="M148" s="426" t="str">
        <f>IFERROR(IF(I148="","",ROUND(I148*Steuerungsdaten!$B$5,0)),"-")</f>
        <v/>
      </c>
      <c r="N148" s="426" t="str">
        <f>IFERROR(IF(J148="","",ROUND(J148*Steuerungsdaten!$B$5,0)),"-")</f>
        <v/>
      </c>
      <c r="O148" s="79"/>
      <c r="P148" s="79"/>
      <c r="Q148" s="79"/>
      <c r="R148" s="79"/>
    </row>
    <row r="149" spans="1:18" x14ac:dyDescent="0.25">
      <c r="A149" s="64">
        <v>3620</v>
      </c>
      <c r="B149" s="65" t="s">
        <v>7</v>
      </c>
      <c r="C149" s="65" t="s">
        <v>154</v>
      </c>
      <c r="D149" s="65" t="s">
        <v>155</v>
      </c>
      <c r="E149" s="66">
        <v>360</v>
      </c>
      <c r="F149" s="66">
        <v>360</v>
      </c>
      <c r="G149" s="67">
        <f>IF(VLOOKUP(C149,Steuerungsdaten!$P$17:$T$39,2,0)="","",MAX(ROUND(VLOOKUP(C149,Steuerungsdaten!$P$17:$T$39,2,0)*Steuerungsdaten!$B$4*Steuerungsdaten!$B$7*IFERROR(VLOOKUP(C149,Steuerungsdaten!$B$17:$C$37,2,FALSE),1)*POWER(IF(OR(E149=0,F149=0,E149="",F149=""),1,(E149*F149/1000000)/Steuerungsdaten!$B$6),IFERROR(VLOOKUP(C149,Steuerungsdaten!$B$17:$K$37,10,FALSE),1)-1),0),Steuerungsdaten!$E$4))</f>
        <v>25</v>
      </c>
      <c r="H149" s="67">
        <f>IF(VLOOKUP(C149,Steuerungsdaten!$P$17:$T$39,3,0)="","",MAX(ROUND(VLOOKUP(C149,Steuerungsdaten!$P$17:$T$39,3,0)*Steuerungsdaten!$B$4*Steuerungsdaten!$B$8*IFERROR(VLOOKUP(C149,Steuerungsdaten!$B$17:$E$37,4,FALSE),1)*POWER(IF(OR(E149=0,F149=0,E149="",F149=""),1,(E149*F149/1000000)/Steuerungsdaten!$B$6),IFERROR(VLOOKUP(C149,Steuerungsdaten!$B$17:$L$37,11,FALSE),1)-1),0),Steuerungsdaten!$E$5))</f>
        <v>103</v>
      </c>
      <c r="I149" s="67">
        <f>IF(VLOOKUP(C149,Steuerungsdaten!$P$17:$T$39,4,0)="","",MAX(ROUND(VLOOKUP(C149,Steuerungsdaten!$P$17:$T$39,4,0)*Steuerungsdaten!$B$4*Steuerungsdaten!$B$9*IFERROR(VLOOKUP(C149,Steuerungsdaten!$B$17:$G$37,6,FALSE),1)*POWER(IF(OR(E149=0,F149=0,E149="",F149=""),1,(E149*F149/1000000)/Steuerungsdaten!$B$6),IFERROR(VLOOKUP(C149,Steuerungsdaten!$B$17:$M$37,12,FALSE),1)-1),0),Steuerungsdaten!$E$6))</f>
        <v>120</v>
      </c>
      <c r="J149" s="67">
        <f>IF(VLOOKUP(C149,Steuerungsdaten!$P$17:$T$39,5,0)="","",MAX(ROUND(VLOOKUP(C149,Steuerungsdaten!$P$17:$T$39,5,0)*Steuerungsdaten!$B$4*Steuerungsdaten!$B$10*IFERROR(VLOOKUP(C149,Steuerungsdaten!$B$17:$I$37,8,FALSE),1)*POWER(IF(OR(E149=0,F149=0,E149="",F149=""),1,(E149*F149/1000000)/Steuerungsdaten!$B$6),IFERROR(VLOOKUP(C149,Steuerungsdaten!$B$17:$N$37,13,FALSE),1)-1),0),Steuerungsdaten!$E$7))</f>
        <v>145</v>
      </c>
      <c r="K149" s="67">
        <f>IFERROR(IF(G149="","",ROUND(G149*Steuerungsdaten!$B$5,0)),"-")</f>
        <v>29</v>
      </c>
      <c r="L149" s="67">
        <f>IFERROR(IF(H149="","",ROUND(H149*Steuerungsdaten!$B$5,0)),"-")</f>
        <v>118</v>
      </c>
      <c r="M149" s="67">
        <f>IFERROR(IF(I149="","",ROUND(I149*Steuerungsdaten!$B$5,0)),"-")</f>
        <v>138</v>
      </c>
      <c r="N149" s="68" t="s">
        <v>988</v>
      </c>
      <c r="O149" s="79">
        <v>34</v>
      </c>
      <c r="P149" s="79">
        <f>IF(H149="","",ROUND(H149/(Steuerungsdaten!$B$4*Steuerungsdaten!$B$8*IFERROR(VLOOKUP(C149,Steuerungsdaten!$B$17:$E$37,4,FALSE),1)*POWER(IF(OR(E149=0,F149=0,E149="",F149=""),1,(E149*F149/1000000)/Steuerungsdaten!$B$6),IFERROR(VLOOKUP(C149,Steuerungsdaten!$B$17:$L$37,11,FALSE),1)-1)),0))</f>
        <v>316</v>
      </c>
      <c r="Q149" s="79">
        <f>IF(I149="","",ROUND(I149/(Steuerungsdaten!$B$4*Steuerungsdaten!$B$9*IFERROR(VLOOKUP(C149,Steuerungsdaten!$B$17:$G$37,6,FALSE),1)*POWER(IF(OR(E149=0,F149=0,E149="",F149=""),1,(E149*F149/1000000)/Steuerungsdaten!$B$6),IFERROR(VLOOKUP(C149,Steuerungsdaten!$B$17:$M$37,12,FALSE),1)-1)),0))</f>
        <v>368</v>
      </c>
      <c r="R149" s="79">
        <f>IF(J149="","",ROUND(J149/(Steuerungsdaten!$B$4*Steuerungsdaten!$B$10*IFERROR(VLOOKUP(C149,Steuerungsdaten!$B$17:$I$37,8,FALSE),1)*POWER(IF(OR(E149=0,F149=0,E149="",F149=""),1,(E149*F149/1000000)/Steuerungsdaten!$B$6),IFERROR(VLOOKUP(C149,Steuerungsdaten!$B$17:$N$37,13,FALSE),1)-1)),0))</f>
        <v>408</v>
      </c>
    </row>
    <row r="150" spans="1:18" x14ac:dyDescent="0.25">
      <c r="A150" s="69">
        <v>3621</v>
      </c>
      <c r="B150" s="70" t="s">
        <v>7</v>
      </c>
      <c r="C150" s="70" t="s">
        <v>154</v>
      </c>
      <c r="D150" s="70" t="s">
        <v>156</v>
      </c>
      <c r="E150" s="71">
        <v>360</v>
      </c>
      <c r="F150" s="71">
        <v>720</v>
      </c>
      <c r="G150" s="72">
        <f>IF(VLOOKUP(C150,Steuerungsdaten!$P$17:$T$39,2,0)="","",MAX(ROUND(VLOOKUP(C150,Steuerungsdaten!$P$17:$T$39,2,0)*Steuerungsdaten!$B$4*Steuerungsdaten!$B$7*IFERROR(VLOOKUP(C150,Steuerungsdaten!$B$17:$C$37,2,FALSE),1)*POWER(IF(OR(E150=0,F150=0,E150="",F150=""),1,(E150*F150/1000000)/Steuerungsdaten!$B$6),IFERROR(VLOOKUP(C150,Steuerungsdaten!$B$17:$K$37,10,FALSE),1)-1),0),Steuerungsdaten!$E$4))</f>
        <v>46</v>
      </c>
      <c r="H150" s="72">
        <f>IF(VLOOKUP(C150,Steuerungsdaten!$P$17:$T$39,3,0)="","",MAX(ROUND(VLOOKUP(C150,Steuerungsdaten!$P$17:$T$39,3,0)*Steuerungsdaten!$B$4*Steuerungsdaten!$B$8*IFERROR(VLOOKUP(C150,Steuerungsdaten!$B$17:$E$37,4,FALSE),1)*POWER(IF(OR(E150=0,F150=0,E150="",F150=""),1,(E150*F150/1000000)/Steuerungsdaten!$B$6),IFERROR(VLOOKUP(C150,Steuerungsdaten!$B$17:$L$37,11,FALSE),1)-1),0),Steuerungsdaten!$E$5))</f>
        <v>156</v>
      </c>
      <c r="I150" s="72">
        <f>IF(VLOOKUP(C150,Steuerungsdaten!$P$17:$T$39,4,0)="","",MAX(ROUND(VLOOKUP(C150,Steuerungsdaten!$P$17:$T$39,4,0)*Steuerungsdaten!$B$4*Steuerungsdaten!$B$9*IFERROR(VLOOKUP(C150,Steuerungsdaten!$B$17:$G$37,6,FALSE),1)*POWER(IF(OR(E150=0,F150=0,E150="",F150=""),1,(E150*F150/1000000)/Steuerungsdaten!$B$6),IFERROR(VLOOKUP(C150,Steuerungsdaten!$B$17:$M$37,12,FALSE),1)-1),0),Steuerungsdaten!$E$6))</f>
        <v>163</v>
      </c>
      <c r="J150" s="72">
        <f>IF(VLOOKUP(C150,Steuerungsdaten!$P$17:$T$39,5,0)="","",MAX(ROUND(VLOOKUP(C150,Steuerungsdaten!$P$17:$T$39,5,0)*Steuerungsdaten!$B$4*Steuerungsdaten!$B$10*IFERROR(VLOOKUP(C150,Steuerungsdaten!$B$17:$I$37,8,FALSE),1)*POWER(IF(OR(E150=0,F150=0,E150="",F150=""),1,(E150*F150/1000000)/Steuerungsdaten!$B$6),IFERROR(VLOOKUP(C150,Steuerungsdaten!$B$17:$N$37,13,FALSE),1)-1),0),Steuerungsdaten!$E$7))</f>
        <v>181</v>
      </c>
      <c r="K150" s="72">
        <f>IFERROR(IF(G150="","",ROUND(G150*Steuerungsdaten!$B$5,0)),"-")</f>
        <v>53</v>
      </c>
      <c r="L150" s="72">
        <f>IFERROR(IF(H150="","",ROUND(H150*Steuerungsdaten!$B$5,0)),"-")</f>
        <v>179</v>
      </c>
      <c r="M150" s="72">
        <f>IFERROR(IF(I150="","",ROUND(I150*Steuerungsdaten!$B$5,0)),"-")</f>
        <v>187</v>
      </c>
      <c r="N150" s="73" t="s">
        <v>988</v>
      </c>
      <c r="O150" s="79">
        <v>52</v>
      </c>
      <c r="P150" s="79">
        <f>IF(H150="","",ROUND(H150/(Steuerungsdaten!$B$4*Steuerungsdaten!$B$8*IFERROR(VLOOKUP(C150,Steuerungsdaten!$B$17:$E$37,4,FALSE),1)*POWER(IF(OR(E150=0,F150=0,E150="",F150=""),1,(E150*F150/1000000)/Steuerungsdaten!$B$6),IFERROR(VLOOKUP(C150,Steuerungsdaten!$B$17:$L$37,11,FALSE),1)-1)),0))</f>
        <v>239</v>
      </c>
      <c r="Q150" s="79">
        <f>IF(I150="","",ROUND(I150/(Steuerungsdaten!$B$4*Steuerungsdaten!$B$9*IFERROR(VLOOKUP(C150,Steuerungsdaten!$B$17:$G$37,6,FALSE),1)*POWER(IF(OR(E150=0,F150=0,E150="",F150=""),1,(E150*F150/1000000)/Steuerungsdaten!$B$6),IFERROR(VLOOKUP(C150,Steuerungsdaten!$B$17:$M$37,12,FALSE),1)-1)),0))</f>
        <v>250</v>
      </c>
      <c r="R150" s="79">
        <f>IF(J150="","",ROUND(J150/(Steuerungsdaten!$B$4*Steuerungsdaten!$B$10*IFERROR(VLOOKUP(C150,Steuerungsdaten!$B$17:$I$37,8,FALSE),1)*POWER(IF(OR(E150=0,F150=0,E150="",F150=""),1,(E150*F150/1000000)/Steuerungsdaten!$B$6),IFERROR(VLOOKUP(C150,Steuerungsdaten!$B$17:$N$37,13,FALSE),1)-1)),0))</f>
        <v>255</v>
      </c>
    </row>
    <row r="151" spans="1:18" x14ac:dyDescent="0.25">
      <c r="A151" s="74">
        <v>3622</v>
      </c>
      <c r="B151" s="75" t="s">
        <v>7</v>
      </c>
      <c r="C151" s="75" t="s">
        <v>154</v>
      </c>
      <c r="D151" s="75" t="s">
        <v>157</v>
      </c>
      <c r="E151" s="76">
        <v>360</v>
      </c>
      <c r="F151" s="76">
        <v>1080</v>
      </c>
      <c r="G151" s="77">
        <f>IF(VLOOKUP(C151,Steuerungsdaten!$P$17:$T$39,2,0)="","",MAX(ROUND(VLOOKUP(C151,Steuerungsdaten!$P$17:$T$39,2,0)*Steuerungsdaten!$B$4*Steuerungsdaten!$B$7*IFERROR(VLOOKUP(C151,Steuerungsdaten!$B$17:$C$37,2,FALSE),1)*POWER(IF(OR(E151=0,F151=0,E151="",F151=""),1,(E151*F151/1000000)/Steuerungsdaten!$B$6),IFERROR(VLOOKUP(C151,Steuerungsdaten!$B$17:$K$37,10,FALSE),1)-1),0),Steuerungsdaten!$E$4))</f>
        <v>68</v>
      </c>
      <c r="H151" s="77">
        <f>IF(VLOOKUP(C151,Steuerungsdaten!$P$17:$T$39,3,0)="","",MAX(ROUND(VLOOKUP(C151,Steuerungsdaten!$P$17:$T$39,3,0)*Steuerungsdaten!$B$4*Steuerungsdaten!$B$8*IFERROR(VLOOKUP(C151,Steuerungsdaten!$B$17:$E$37,4,FALSE),1)*POWER(IF(OR(E151=0,F151=0,E151="",F151=""),1,(E151*F151/1000000)/Steuerungsdaten!$B$6),IFERROR(VLOOKUP(C151,Steuerungsdaten!$B$17:$L$37,11,FALSE),1)-1),0),Steuerungsdaten!$E$5))</f>
        <v>235</v>
      </c>
      <c r="I151" s="77">
        <f>IF(VLOOKUP(C151,Steuerungsdaten!$P$17:$T$39,4,0)="","",MAX(ROUND(VLOOKUP(C151,Steuerungsdaten!$P$17:$T$39,4,0)*Steuerungsdaten!$B$4*Steuerungsdaten!$B$9*IFERROR(VLOOKUP(C151,Steuerungsdaten!$B$17:$G$37,6,FALSE),1)*POWER(IF(OR(E151=0,F151=0,E151="",F151=""),1,(E151*F151/1000000)/Steuerungsdaten!$B$6),IFERROR(VLOOKUP(C151,Steuerungsdaten!$B$17:$M$37,12,FALSE),1)-1),0),Steuerungsdaten!$E$6))</f>
        <v>244</v>
      </c>
      <c r="J151" s="77">
        <f>IF(VLOOKUP(C151,Steuerungsdaten!$P$17:$T$39,5,0)="","",MAX(ROUND(VLOOKUP(C151,Steuerungsdaten!$P$17:$T$39,5,0)*Steuerungsdaten!$B$4*Steuerungsdaten!$B$10*IFERROR(VLOOKUP(C151,Steuerungsdaten!$B$17:$I$37,8,FALSE),1)*POWER(IF(OR(E151=0,F151=0,E151="",F151=""),1,(E151*F151/1000000)/Steuerungsdaten!$B$6),IFERROR(VLOOKUP(C151,Steuerungsdaten!$B$17:$N$37,13,FALSE),1)-1),0),Steuerungsdaten!$E$7))</f>
        <v>272</v>
      </c>
      <c r="K151" s="77">
        <f>IFERROR(IF(G151="","",ROUND(G151*Steuerungsdaten!$B$5,0)),"-")</f>
        <v>78</v>
      </c>
      <c r="L151" s="77">
        <f>IFERROR(IF(H151="","",ROUND(H151*Steuerungsdaten!$B$5,0)),"-")</f>
        <v>270</v>
      </c>
      <c r="M151" s="77">
        <f>IFERROR(IF(I151="","",ROUND(I151*Steuerungsdaten!$B$5,0)),"-")</f>
        <v>281</v>
      </c>
      <c r="N151" s="78" t="s">
        <v>988</v>
      </c>
      <c r="O151" s="79">
        <v>76</v>
      </c>
      <c r="P151" s="79">
        <f>IF(H151="","",ROUND(H151/(Steuerungsdaten!$B$4*Steuerungsdaten!$B$8*IFERROR(VLOOKUP(C151,Steuerungsdaten!$B$17:$E$37,4,FALSE),1)*POWER(IF(OR(E151=0,F151=0,E151="",F151=""),1,(E151*F151/1000000)/Steuerungsdaten!$B$6),IFERROR(VLOOKUP(C151,Steuerungsdaten!$B$17:$L$37,11,FALSE),1)-1)),0))</f>
        <v>240</v>
      </c>
      <c r="Q151" s="79">
        <f>IF(I151="","",ROUND(I151/(Steuerungsdaten!$B$4*Steuerungsdaten!$B$9*IFERROR(VLOOKUP(C151,Steuerungsdaten!$B$17:$G$37,6,FALSE),1)*POWER(IF(OR(E151=0,F151=0,E151="",F151=""),1,(E151*F151/1000000)/Steuerungsdaten!$B$6),IFERROR(VLOOKUP(C151,Steuerungsdaten!$B$17:$M$37,12,FALSE),1)-1)),0))</f>
        <v>250</v>
      </c>
      <c r="R151" s="79">
        <f>IF(J151="","",ROUND(J151/(Steuerungsdaten!$B$4*Steuerungsdaten!$B$10*IFERROR(VLOOKUP(C151,Steuerungsdaten!$B$17:$I$37,8,FALSE),1)*POWER(IF(OR(E151=0,F151=0,E151="",F151=""),1,(E151*F151/1000000)/Steuerungsdaten!$B$6),IFERROR(VLOOKUP(C151,Steuerungsdaten!$B$17:$N$37,13,FALSE),1)-1)),0))</f>
        <v>255</v>
      </c>
    </row>
    <row r="152" spans="1:18" x14ac:dyDescent="0.25">
      <c r="A152" s="69">
        <v>3623</v>
      </c>
      <c r="B152" s="70" t="s">
        <v>7</v>
      </c>
      <c r="C152" s="70" t="s">
        <v>154</v>
      </c>
      <c r="D152" s="70" t="s">
        <v>158</v>
      </c>
      <c r="E152" s="71">
        <v>360</v>
      </c>
      <c r="F152" s="71">
        <v>1440</v>
      </c>
      <c r="G152" s="72">
        <f>IF(VLOOKUP(C152,Steuerungsdaten!$P$17:$T$39,2,0)="","",MAX(ROUND(VLOOKUP(C152,Steuerungsdaten!$P$17:$T$39,2,0)*Steuerungsdaten!$B$4*Steuerungsdaten!$B$7*IFERROR(VLOOKUP(C152,Steuerungsdaten!$B$17:$C$37,2,FALSE),1)*POWER(IF(OR(E152=0,F152=0,E152="",F152=""),1,(E152*F152/1000000)/Steuerungsdaten!$B$6),IFERROR(VLOOKUP(C152,Steuerungsdaten!$B$17:$K$37,10,FALSE),1)-1),0),Steuerungsdaten!$E$4))</f>
        <v>91</v>
      </c>
      <c r="H152" s="72">
        <f>IF(VLOOKUP(C152,Steuerungsdaten!$P$17:$T$39,3,0)="","",MAX(ROUND(VLOOKUP(C152,Steuerungsdaten!$P$17:$T$39,3,0)*Steuerungsdaten!$B$4*Steuerungsdaten!$B$8*IFERROR(VLOOKUP(C152,Steuerungsdaten!$B$17:$E$37,4,FALSE),1)*POWER(IF(OR(E152=0,F152=0,E152="",F152=""),1,(E152*F152/1000000)/Steuerungsdaten!$B$6),IFERROR(VLOOKUP(C152,Steuerungsdaten!$B$17:$L$37,11,FALSE),1)-1),0),Steuerungsdaten!$E$5))</f>
        <v>313</v>
      </c>
      <c r="I152" s="72">
        <f>IF(VLOOKUP(C152,Steuerungsdaten!$P$17:$T$39,4,0)="","",MAX(ROUND(VLOOKUP(C152,Steuerungsdaten!$P$17:$T$39,4,0)*Steuerungsdaten!$B$4*Steuerungsdaten!$B$9*IFERROR(VLOOKUP(C152,Steuerungsdaten!$B$17:$G$37,6,FALSE),1)*POWER(IF(OR(E152=0,F152=0,E152="",F152=""),1,(E152*F152/1000000)/Steuerungsdaten!$B$6),IFERROR(VLOOKUP(C152,Steuerungsdaten!$B$17:$M$37,12,FALSE),1)-1),0),Steuerungsdaten!$E$6))</f>
        <v>326</v>
      </c>
      <c r="J152" s="72">
        <f>IF(VLOOKUP(C152,Steuerungsdaten!$P$17:$T$39,5,0)="","",MAX(ROUND(VLOOKUP(C152,Steuerungsdaten!$P$17:$T$39,5,0)*Steuerungsdaten!$B$4*Steuerungsdaten!$B$10*IFERROR(VLOOKUP(C152,Steuerungsdaten!$B$17:$I$37,8,FALSE),1)*POWER(IF(OR(E152=0,F152=0,E152="",F152=""),1,(E152*F152/1000000)/Steuerungsdaten!$B$6),IFERROR(VLOOKUP(C152,Steuerungsdaten!$B$17:$N$37,13,FALSE),1)-1),0),Steuerungsdaten!$E$7))</f>
        <v>363</v>
      </c>
      <c r="K152" s="72">
        <f>IFERROR(IF(G152="","",ROUND(G152*Steuerungsdaten!$B$5,0)),"-")</f>
        <v>105</v>
      </c>
      <c r="L152" s="72">
        <f>IFERROR(IF(H152="","",ROUND(H152*Steuerungsdaten!$B$5,0)),"-")</f>
        <v>360</v>
      </c>
      <c r="M152" s="72">
        <f>IFERROR(IF(I152="","",ROUND(I152*Steuerungsdaten!$B$5,0)),"-")</f>
        <v>375</v>
      </c>
      <c r="N152" s="73" t="s">
        <v>988</v>
      </c>
      <c r="O152" s="79">
        <v>100</v>
      </c>
      <c r="P152" s="79">
        <f>IF(H152="","",ROUND(H152/(Steuerungsdaten!$B$4*Steuerungsdaten!$B$8*IFERROR(VLOOKUP(C152,Steuerungsdaten!$B$17:$E$37,4,FALSE),1)*POWER(IF(OR(E152=0,F152=0,E152="",F152=""),1,(E152*F152/1000000)/Steuerungsdaten!$B$6),IFERROR(VLOOKUP(C152,Steuerungsdaten!$B$17:$L$37,11,FALSE),1)-1)),0))</f>
        <v>240</v>
      </c>
      <c r="Q152" s="79">
        <f>IF(I152="","",ROUND(I152/(Steuerungsdaten!$B$4*Steuerungsdaten!$B$9*IFERROR(VLOOKUP(C152,Steuerungsdaten!$B$17:$G$37,6,FALSE),1)*POWER(IF(OR(E152=0,F152=0,E152="",F152=""),1,(E152*F152/1000000)/Steuerungsdaten!$B$6),IFERROR(VLOOKUP(C152,Steuerungsdaten!$B$17:$M$37,12,FALSE),1)-1)),0))</f>
        <v>250</v>
      </c>
      <c r="R152" s="79">
        <f>IF(J152="","",ROUND(J152/(Steuerungsdaten!$B$4*Steuerungsdaten!$B$10*IFERROR(VLOOKUP(C152,Steuerungsdaten!$B$17:$I$37,8,FALSE),1)*POWER(IF(OR(E152=0,F152=0,E152="",F152=""),1,(E152*F152/1000000)/Steuerungsdaten!$B$6),IFERROR(VLOOKUP(C152,Steuerungsdaten!$B$17:$N$37,13,FALSE),1)-1)),0))</f>
        <v>255</v>
      </c>
    </row>
    <row r="153" spans="1:18" x14ac:dyDescent="0.25">
      <c r="A153" s="74">
        <v>3624</v>
      </c>
      <c r="B153" s="75" t="s">
        <v>7</v>
      </c>
      <c r="C153" s="75" t="s">
        <v>154</v>
      </c>
      <c r="D153" s="75" t="s">
        <v>159</v>
      </c>
      <c r="E153" s="76">
        <v>360</v>
      </c>
      <c r="F153" s="76">
        <v>1800</v>
      </c>
      <c r="G153" s="77">
        <f>IF(VLOOKUP(C153,Steuerungsdaten!$P$17:$T$39,2,0)="","",MAX(ROUND(VLOOKUP(C153,Steuerungsdaten!$P$17:$T$39,2,0)*Steuerungsdaten!$B$4*Steuerungsdaten!$B$7*IFERROR(VLOOKUP(C153,Steuerungsdaten!$B$17:$C$37,2,FALSE),1)*POWER(IF(OR(E153=0,F153=0,E153="",F153=""),1,(E153*F153/1000000)/Steuerungsdaten!$B$6),IFERROR(VLOOKUP(C153,Steuerungsdaten!$B$17:$K$37,10,FALSE),1)-1),0),Steuerungsdaten!$E$4))</f>
        <v>114</v>
      </c>
      <c r="H153" s="77">
        <f>IF(VLOOKUP(C153,Steuerungsdaten!$P$17:$T$39,3,0)="","",MAX(ROUND(VLOOKUP(C153,Steuerungsdaten!$P$17:$T$39,3,0)*Steuerungsdaten!$B$4*Steuerungsdaten!$B$8*IFERROR(VLOOKUP(C153,Steuerungsdaten!$B$17:$E$37,4,FALSE),1)*POWER(IF(OR(E153=0,F153=0,E153="",F153=""),1,(E153*F153/1000000)/Steuerungsdaten!$B$6),IFERROR(VLOOKUP(C153,Steuerungsdaten!$B$17:$L$37,11,FALSE),1)-1),0),Steuerungsdaten!$E$5))</f>
        <v>391</v>
      </c>
      <c r="I153" s="77">
        <f>IF(VLOOKUP(C153,Steuerungsdaten!$P$17:$T$39,4,0)="","",MAX(ROUND(VLOOKUP(C153,Steuerungsdaten!$P$17:$T$39,4,0)*Steuerungsdaten!$B$4*Steuerungsdaten!$B$9*IFERROR(VLOOKUP(C153,Steuerungsdaten!$B$17:$G$37,6,FALSE),1)*POWER(IF(OR(E153=0,F153=0,E153="",F153=""),1,(E153*F153/1000000)/Steuerungsdaten!$B$6),IFERROR(VLOOKUP(C153,Steuerungsdaten!$B$17:$M$37,12,FALSE),1)-1),0),Steuerungsdaten!$E$6))</f>
        <v>407</v>
      </c>
      <c r="J153" s="77">
        <f>IF(VLOOKUP(C153,Steuerungsdaten!$P$17:$T$39,5,0)="","",MAX(ROUND(VLOOKUP(C153,Steuerungsdaten!$P$17:$T$39,5,0)*Steuerungsdaten!$B$4*Steuerungsdaten!$B$10*IFERROR(VLOOKUP(C153,Steuerungsdaten!$B$17:$I$37,8,FALSE),1)*POWER(IF(OR(E153=0,F153=0,E153="",F153=""),1,(E153*F153/1000000)/Steuerungsdaten!$B$6),IFERROR(VLOOKUP(C153,Steuerungsdaten!$B$17:$N$37,13,FALSE),1)-1),0),Steuerungsdaten!$E$7))</f>
        <v>453</v>
      </c>
      <c r="K153" s="77">
        <f>IFERROR(IF(G153="","",ROUND(G153*Steuerungsdaten!$B$5,0)),"-")</f>
        <v>131</v>
      </c>
      <c r="L153" s="77">
        <f>IFERROR(IF(H153="","",ROUND(H153*Steuerungsdaten!$B$5,0)),"-")</f>
        <v>450</v>
      </c>
      <c r="M153" s="77">
        <f>IFERROR(IF(I153="","",ROUND(I153*Steuerungsdaten!$B$5,0)),"-")</f>
        <v>468</v>
      </c>
      <c r="N153" s="78" t="s">
        <v>988</v>
      </c>
      <c r="O153" s="79">
        <v>125</v>
      </c>
      <c r="P153" s="79">
        <f>IF(H153="","",ROUND(H153/(Steuerungsdaten!$B$4*Steuerungsdaten!$B$8*IFERROR(VLOOKUP(C153,Steuerungsdaten!$B$17:$E$37,4,FALSE),1)*POWER(IF(OR(E153=0,F153=0,E153="",F153=""),1,(E153*F153/1000000)/Steuerungsdaten!$B$6),IFERROR(VLOOKUP(C153,Steuerungsdaten!$B$17:$L$37,11,FALSE),1)-1)),0))</f>
        <v>240</v>
      </c>
      <c r="Q153" s="79">
        <f>IF(I153="","",ROUND(I153/(Steuerungsdaten!$B$4*Steuerungsdaten!$B$9*IFERROR(VLOOKUP(C153,Steuerungsdaten!$B$17:$G$37,6,FALSE),1)*POWER(IF(OR(E153=0,F153=0,E153="",F153=""),1,(E153*F153/1000000)/Steuerungsdaten!$B$6),IFERROR(VLOOKUP(C153,Steuerungsdaten!$B$17:$M$37,12,FALSE),1)-1)),0))</f>
        <v>250</v>
      </c>
      <c r="R153" s="79">
        <f>IF(J153="","",ROUND(J153/(Steuerungsdaten!$B$4*Steuerungsdaten!$B$10*IFERROR(VLOOKUP(C153,Steuerungsdaten!$B$17:$I$37,8,FALSE),1)*POWER(IF(OR(E153=0,F153=0,E153="",F153=""),1,(E153*F153/1000000)/Steuerungsdaten!$B$6),IFERROR(VLOOKUP(C153,Steuerungsdaten!$B$17:$N$37,13,FALSE),1)-1)),0))</f>
        <v>255</v>
      </c>
    </row>
    <row r="154" spans="1:18" x14ac:dyDescent="0.25">
      <c r="A154" s="69">
        <v>3625</v>
      </c>
      <c r="B154" s="70" t="s">
        <v>7</v>
      </c>
      <c r="C154" s="70" t="s">
        <v>154</v>
      </c>
      <c r="D154" s="70" t="s">
        <v>160</v>
      </c>
      <c r="E154" s="71">
        <v>580</v>
      </c>
      <c r="F154" s="71">
        <v>360</v>
      </c>
      <c r="G154" s="72">
        <f>IF(VLOOKUP(C154,Steuerungsdaten!$P$17:$T$39,2,0)="","",MAX(ROUND(VLOOKUP(C154,Steuerungsdaten!$P$17:$T$39,2,0)*Steuerungsdaten!$B$4*Steuerungsdaten!$B$7*IFERROR(VLOOKUP(C154,Steuerungsdaten!$B$17:$C$37,2,FALSE),1)*POWER(IF(OR(E154=0,F154=0,E154="",F154=""),1,(E154*F154/1000000)/Steuerungsdaten!$B$6),IFERROR(VLOOKUP(C154,Steuerungsdaten!$B$17:$K$37,10,FALSE),1)-1),0),Steuerungsdaten!$E$4))</f>
        <v>37</v>
      </c>
      <c r="H154" s="72">
        <f>IF(VLOOKUP(C154,Steuerungsdaten!$P$17:$T$39,3,0)="","",MAX(ROUND(VLOOKUP(C154,Steuerungsdaten!$P$17:$T$39,3,0)*Steuerungsdaten!$B$4*Steuerungsdaten!$B$8*IFERROR(VLOOKUP(C154,Steuerungsdaten!$B$17:$E$37,4,FALSE),1)*POWER(IF(OR(E154=0,F154=0,E154="",F154=""),1,(E154*F154/1000000)/Steuerungsdaten!$B$6),IFERROR(VLOOKUP(C154,Steuerungsdaten!$B$17:$L$37,11,FALSE),1)-1),0),Steuerungsdaten!$E$5))</f>
        <v>126</v>
      </c>
      <c r="I154" s="72">
        <f>IF(VLOOKUP(C154,Steuerungsdaten!$P$17:$T$39,4,0)="","",MAX(ROUND(VLOOKUP(C154,Steuerungsdaten!$P$17:$T$39,4,0)*Steuerungsdaten!$B$4*Steuerungsdaten!$B$9*IFERROR(VLOOKUP(C154,Steuerungsdaten!$B$17:$G$37,6,FALSE),1)*POWER(IF(OR(E154=0,F154=0,E154="",F154=""),1,(E154*F154/1000000)/Steuerungsdaten!$B$6),IFERROR(VLOOKUP(C154,Steuerungsdaten!$B$17:$M$37,12,FALSE),1)-1),0),Steuerungsdaten!$E$6))</f>
        <v>131</v>
      </c>
      <c r="J154" s="72">
        <f>IF(VLOOKUP(C154,Steuerungsdaten!$P$17:$T$39,5,0)="","",MAX(ROUND(VLOOKUP(C154,Steuerungsdaten!$P$17:$T$39,5,0)*Steuerungsdaten!$B$4*Steuerungsdaten!$B$10*IFERROR(VLOOKUP(C154,Steuerungsdaten!$B$17:$I$37,8,FALSE),1)*POWER(IF(OR(E154=0,F154=0,E154="",F154=""),1,(E154*F154/1000000)/Steuerungsdaten!$B$6),IFERROR(VLOOKUP(C154,Steuerungsdaten!$B$17:$N$37,13,FALSE),1)-1),0),Steuerungsdaten!$E$7))</f>
        <v>146</v>
      </c>
      <c r="K154" s="72">
        <f>IFERROR(IF(G154="","",ROUND(G154*Steuerungsdaten!$B$5,0)),"-")</f>
        <v>43</v>
      </c>
      <c r="L154" s="72">
        <f>IFERROR(IF(H154="","",ROUND(H154*Steuerungsdaten!$B$5,0)),"-")</f>
        <v>145</v>
      </c>
      <c r="M154" s="72">
        <f>IFERROR(IF(I154="","",ROUND(I154*Steuerungsdaten!$B$5,0)),"-")</f>
        <v>151</v>
      </c>
      <c r="N154" s="73" t="s">
        <v>988</v>
      </c>
      <c r="O154" s="79">
        <v>43</v>
      </c>
      <c r="P154" s="79">
        <f>IF(H154="","",ROUND(H154/(Steuerungsdaten!$B$4*Steuerungsdaten!$B$8*IFERROR(VLOOKUP(C154,Steuerungsdaten!$B$17:$E$37,4,FALSE),1)*POWER(IF(OR(E154=0,F154=0,E154="",F154=""),1,(E154*F154/1000000)/Steuerungsdaten!$B$6),IFERROR(VLOOKUP(C154,Steuerungsdaten!$B$17:$L$37,11,FALSE),1)-1)),0))</f>
        <v>240</v>
      </c>
      <c r="Q154" s="79">
        <f>IF(I154="","",ROUND(I154/(Steuerungsdaten!$B$4*Steuerungsdaten!$B$9*IFERROR(VLOOKUP(C154,Steuerungsdaten!$B$17:$G$37,6,FALSE),1)*POWER(IF(OR(E154=0,F154=0,E154="",F154=""),1,(E154*F154/1000000)/Steuerungsdaten!$B$6),IFERROR(VLOOKUP(C154,Steuerungsdaten!$B$17:$M$37,12,FALSE),1)-1)),0))</f>
        <v>250</v>
      </c>
      <c r="R154" s="79">
        <f>IF(J154="","",ROUND(J154/(Steuerungsdaten!$B$4*Steuerungsdaten!$B$10*IFERROR(VLOOKUP(C154,Steuerungsdaten!$B$17:$I$37,8,FALSE),1)*POWER(IF(OR(E154=0,F154=0,E154="",F154=""),1,(E154*F154/1000000)/Steuerungsdaten!$B$6),IFERROR(VLOOKUP(C154,Steuerungsdaten!$B$17:$N$37,13,FALSE),1)-1)),0))</f>
        <v>255</v>
      </c>
    </row>
    <row r="155" spans="1:18" x14ac:dyDescent="0.25">
      <c r="A155" s="74">
        <v>3626</v>
      </c>
      <c r="B155" s="75" t="s">
        <v>7</v>
      </c>
      <c r="C155" s="75" t="s">
        <v>154</v>
      </c>
      <c r="D155" s="75" t="s">
        <v>161</v>
      </c>
      <c r="E155" s="76">
        <v>580</v>
      </c>
      <c r="F155" s="76">
        <v>720</v>
      </c>
      <c r="G155" s="77">
        <f>IF(VLOOKUP(C155,Steuerungsdaten!$P$17:$T$39,2,0)="","",MAX(ROUND(VLOOKUP(C155,Steuerungsdaten!$P$17:$T$39,2,0)*Steuerungsdaten!$B$4*Steuerungsdaten!$B$7*IFERROR(VLOOKUP(C155,Steuerungsdaten!$B$17:$C$37,2,FALSE),1)*POWER(IF(OR(E155=0,F155=0,E155="",F155=""),1,(E155*F155/1000000)/Steuerungsdaten!$B$6),IFERROR(VLOOKUP(C155,Steuerungsdaten!$B$17:$K$37,10,FALSE),1)-1),0),Steuerungsdaten!$E$4))</f>
        <v>73</v>
      </c>
      <c r="H155" s="77">
        <f>IF(VLOOKUP(C155,Steuerungsdaten!$P$17:$T$39,3,0)="","",MAX(ROUND(VLOOKUP(C155,Steuerungsdaten!$P$17:$T$39,3,0)*Steuerungsdaten!$B$4*Steuerungsdaten!$B$8*IFERROR(VLOOKUP(C155,Steuerungsdaten!$B$17:$E$37,4,FALSE),1)*POWER(IF(OR(E155=0,F155=0,E155="",F155=""),1,(E155*F155/1000000)/Steuerungsdaten!$B$6),IFERROR(VLOOKUP(C155,Steuerungsdaten!$B$17:$L$37,11,FALSE),1)-1),0),Steuerungsdaten!$E$5))</f>
        <v>252</v>
      </c>
      <c r="I155" s="77">
        <f>IF(VLOOKUP(C155,Steuerungsdaten!$P$17:$T$39,4,0)="","",MAX(ROUND(VLOOKUP(C155,Steuerungsdaten!$P$17:$T$39,4,0)*Steuerungsdaten!$B$4*Steuerungsdaten!$B$9*IFERROR(VLOOKUP(C155,Steuerungsdaten!$B$17:$G$37,6,FALSE),1)*POWER(IF(OR(E155=0,F155=0,E155="",F155=""),1,(E155*F155/1000000)/Steuerungsdaten!$B$6),IFERROR(VLOOKUP(C155,Steuerungsdaten!$B$17:$M$37,12,FALSE),1)-1),0),Steuerungsdaten!$E$6))</f>
        <v>262</v>
      </c>
      <c r="J155" s="77">
        <f>IF(VLOOKUP(C155,Steuerungsdaten!$P$17:$T$39,5,0)="","",MAX(ROUND(VLOOKUP(C155,Steuerungsdaten!$P$17:$T$39,5,0)*Steuerungsdaten!$B$4*Steuerungsdaten!$B$10*IFERROR(VLOOKUP(C155,Steuerungsdaten!$B$17:$I$37,8,FALSE),1)*POWER(IF(OR(E155=0,F155=0,E155="",F155=""),1,(E155*F155/1000000)/Steuerungsdaten!$B$6),IFERROR(VLOOKUP(C155,Steuerungsdaten!$B$17:$N$37,13,FALSE),1)-1),0),Steuerungsdaten!$E$7))</f>
        <v>292</v>
      </c>
      <c r="K155" s="77">
        <f>IFERROR(IF(G155="","",ROUND(G155*Steuerungsdaten!$B$5,0)),"-")</f>
        <v>84</v>
      </c>
      <c r="L155" s="77">
        <f>IFERROR(IF(H155="","",ROUND(H155*Steuerungsdaten!$B$5,0)),"-")</f>
        <v>290</v>
      </c>
      <c r="M155" s="77">
        <f>IFERROR(IF(I155="","",ROUND(I155*Steuerungsdaten!$B$5,0)),"-")</f>
        <v>301</v>
      </c>
      <c r="N155" s="78" t="s">
        <v>988</v>
      </c>
      <c r="O155" s="79">
        <v>82</v>
      </c>
      <c r="P155" s="79">
        <f>IF(H155="","",ROUND(H155/(Steuerungsdaten!$B$4*Steuerungsdaten!$B$8*IFERROR(VLOOKUP(C155,Steuerungsdaten!$B$17:$E$37,4,FALSE),1)*POWER(IF(OR(E155=0,F155=0,E155="",F155=""),1,(E155*F155/1000000)/Steuerungsdaten!$B$6),IFERROR(VLOOKUP(C155,Steuerungsdaten!$B$17:$L$37,11,FALSE),1)-1)),0))</f>
        <v>240</v>
      </c>
      <c r="Q155" s="79">
        <f>IF(I155="","",ROUND(I155/(Steuerungsdaten!$B$4*Steuerungsdaten!$B$9*IFERROR(VLOOKUP(C155,Steuerungsdaten!$B$17:$G$37,6,FALSE),1)*POWER(IF(OR(E155=0,F155=0,E155="",F155=""),1,(E155*F155/1000000)/Steuerungsdaten!$B$6),IFERROR(VLOOKUP(C155,Steuerungsdaten!$B$17:$M$37,12,FALSE),1)-1)),0))</f>
        <v>250</v>
      </c>
      <c r="R155" s="79">
        <f>IF(J155="","",ROUND(J155/(Steuerungsdaten!$B$4*Steuerungsdaten!$B$10*IFERROR(VLOOKUP(C155,Steuerungsdaten!$B$17:$I$37,8,FALSE),1)*POWER(IF(OR(E155=0,F155=0,E155="",F155=""),1,(E155*F155/1000000)/Steuerungsdaten!$B$6),IFERROR(VLOOKUP(C155,Steuerungsdaten!$B$17:$N$37,13,FALSE),1)-1)),0))</f>
        <v>255</v>
      </c>
    </row>
    <row r="156" spans="1:18" x14ac:dyDescent="0.25">
      <c r="A156" s="69">
        <v>3627</v>
      </c>
      <c r="B156" s="70" t="s">
        <v>7</v>
      </c>
      <c r="C156" s="70" t="s">
        <v>154</v>
      </c>
      <c r="D156" s="70" t="s">
        <v>162</v>
      </c>
      <c r="E156" s="71">
        <v>580</v>
      </c>
      <c r="F156" s="71">
        <v>1080</v>
      </c>
      <c r="G156" s="72">
        <f>IF(VLOOKUP(C156,Steuerungsdaten!$P$17:$T$39,2,0)="","",MAX(ROUND(VLOOKUP(C156,Steuerungsdaten!$P$17:$T$39,2,0)*Steuerungsdaten!$B$4*Steuerungsdaten!$B$7*IFERROR(VLOOKUP(C156,Steuerungsdaten!$B$17:$C$37,2,FALSE),1)*POWER(IF(OR(E156=0,F156=0,E156="",F156=""),1,(E156*F156/1000000)/Steuerungsdaten!$B$6),IFERROR(VLOOKUP(C156,Steuerungsdaten!$B$17:$K$37,10,FALSE),1)-1),0),Steuerungsdaten!$E$4))</f>
        <v>110</v>
      </c>
      <c r="H156" s="72">
        <f>IF(VLOOKUP(C156,Steuerungsdaten!$P$17:$T$39,3,0)="","",MAX(ROUND(VLOOKUP(C156,Steuerungsdaten!$P$17:$T$39,3,0)*Steuerungsdaten!$B$4*Steuerungsdaten!$B$8*IFERROR(VLOOKUP(C156,Steuerungsdaten!$B$17:$E$37,4,FALSE),1)*POWER(IF(OR(E156=0,F156=0,E156="",F156=""),1,(E156*F156/1000000)/Steuerungsdaten!$B$6),IFERROR(VLOOKUP(C156,Steuerungsdaten!$B$17:$L$37,11,FALSE),1)-1),0),Steuerungsdaten!$E$5))</f>
        <v>378</v>
      </c>
      <c r="I156" s="72">
        <f>IF(VLOOKUP(C156,Steuerungsdaten!$P$17:$T$39,4,0)="","",MAX(ROUND(VLOOKUP(C156,Steuerungsdaten!$P$17:$T$39,4,0)*Steuerungsdaten!$B$4*Steuerungsdaten!$B$9*IFERROR(VLOOKUP(C156,Steuerungsdaten!$B$17:$G$37,6,FALSE),1)*POWER(IF(OR(E156=0,F156=0,E156="",F156=""),1,(E156*F156/1000000)/Steuerungsdaten!$B$6),IFERROR(VLOOKUP(C156,Steuerungsdaten!$B$17:$M$37,12,FALSE),1)-1),0),Steuerungsdaten!$E$6))</f>
        <v>394</v>
      </c>
      <c r="J156" s="72">
        <f>IF(VLOOKUP(C156,Steuerungsdaten!$P$17:$T$39,5,0)="","",MAX(ROUND(VLOOKUP(C156,Steuerungsdaten!$P$17:$T$39,5,0)*Steuerungsdaten!$B$4*Steuerungsdaten!$B$10*IFERROR(VLOOKUP(C156,Steuerungsdaten!$B$17:$I$37,8,FALSE),1)*POWER(IF(OR(E156=0,F156=0,E156="",F156=""),1,(E156*F156/1000000)/Steuerungsdaten!$B$6),IFERROR(VLOOKUP(C156,Steuerungsdaten!$B$17:$N$37,13,FALSE),1)-1),0),Steuerungsdaten!$E$7))</f>
        <v>438</v>
      </c>
      <c r="K156" s="72">
        <f>IFERROR(IF(G156="","",ROUND(G156*Steuerungsdaten!$B$5,0)),"-")</f>
        <v>127</v>
      </c>
      <c r="L156" s="72">
        <f>IFERROR(IF(H156="","",ROUND(H156*Steuerungsdaten!$B$5,0)),"-")</f>
        <v>435</v>
      </c>
      <c r="M156" s="72">
        <f>IFERROR(IF(I156="","",ROUND(I156*Steuerungsdaten!$B$5,0)),"-")</f>
        <v>453</v>
      </c>
      <c r="N156" s="73" t="s">
        <v>988</v>
      </c>
      <c r="O156" s="79">
        <v>119</v>
      </c>
      <c r="P156" s="79">
        <f>IF(H156="","",ROUND(H156/(Steuerungsdaten!$B$4*Steuerungsdaten!$B$8*IFERROR(VLOOKUP(C156,Steuerungsdaten!$B$17:$E$37,4,FALSE),1)*POWER(IF(OR(E156=0,F156=0,E156="",F156=""),1,(E156*F156/1000000)/Steuerungsdaten!$B$6),IFERROR(VLOOKUP(C156,Steuerungsdaten!$B$17:$L$37,11,FALSE),1)-1)),0))</f>
        <v>240</v>
      </c>
      <c r="Q156" s="79">
        <f>IF(I156="","",ROUND(I156/(Steuerungsdaten!$B$4*Steuerungsdaten!$B$9*IFERROR(VLOOKUP(C156,Steuerungsdaten!$B$17:$G$37,6,FALSE),1)*POWER(IF(OR(E156=0,F156=0,E156="",F156=""),1,(E156*F156/1000000)/Steuerungsdaten!$B$6),IFERROR(VLOOKUP(C156,Steuerungsdaten!$B$17:$M$37,12,FALSE),1)-1)),0))</f>
        <v>250</v>
      </c>
      <c r="R156" s="79">
        <f>IF(J156="","",ROUND(J156/(Steuerungsdaten!$B$4*Steuerungsdaten!$B$10*IFERROR(VLOOKUP(C156,Steuerungsdaten!$B$17:$I$37,8,FALSE),1)*POWER(IF(OR(E156=0,F156=0,E156="",F156=""),1,(E156*F156/1000000)/Steuerungsdaten!$B$6),IFERROR(VLOOKUP(C156,Steuerungsdaten!$B$17:$N$37,13,FALSE),1)-1)),0))</f>
        <v>255</v>
      </c>
    </row>
    <row r="157" spans="1:18" x14ac:dyDescent="0.25">
      <c r="A157" s="74">
        <v>3628</v>
      </c>
      <c r="B157" s="75" t="s">
        <v>7</v>
      </c>
      <c r="C157" s="75" t="s">
        <v>154</v>
      </c>
      <c r="D157" s="75" t="s">
        <v>163</v>
      </c>
      <c r="E157" s="76">
        <v>580</v>
      </c>
      <c r="F157" s="76">
        <v>1440</v>
      </c>
      <c r="G157" s="77">
        <f>IF(VLOOKUP(C157,Steuerungsdaten!$P$17:$T$39,2,0)="","",MAX(ROUND(VLOOKUP(C157,Steuerungsdaten!$P$17:$T$39,2,0)*Steuerungsdaten!$B$4*Steuerungsdaten!$B$7*IFERROR(VLOOKUP(C157,Steuerungsdaten!$B$17:$C$37,2,FALSE),1)*POWER(IF(OR(E157=0,F157=0,E157="",F157=""),1,(E157*F157/1000000)/Steuerungsdaten!$B$6),IFERROR(VLOOKUP(C157,Steuerungsdaten!$B$17:$K$37,10,FALSE),1)-1),0),Steuerungsdaten!$E$4))</f>
        <v>147</v>
      </c>
      <c r="H157" s="77">
        <f>IF(VLOOKUP(C157,Steuerungsdaten!$P$17:$T$39,3,0)="","",MAX(ROUND(VLOOKUP(C157,Steuerungsdaten!$P$17:$T$39,3,0)*Steuerungsdaten!$B$4*Steuerungsdaten!$B$8*IFERROR(VLOOKUP(C157,Steuerungsdaten!$B$17:$E$37,4,FALSE),1)*POWER(IF(OR(E157=0,F157=0,E157="",F157=""),1,(E157*F157/1000000)/Steuerungsdaten!$B$6),IFERROR(VLOOKUP(C157,Steuerungsdaten!$B$17:$L$37,11,FALSE),1)-1),0),Steuerungsdaten!$E$5))</f>
        <v>504</v>
      </c>
      <c r="I157" s="77">
        <f>IF(VLOOKUP(C157,Steuerungsdaten!$P$17:$T$39,4,0)="","",MAX(ROUND(VLOOKUP(C157,Steuerungsdaten!$P$17:$T$39,4,0)*Steuerungsdaten!$B$4*Steuerungsdaten!$B$9*IFERROR(VLOOKUP(C157,Steuerungsdaten!$B$17:$G$37,6,FALSE),1)*POWER(IF(OR(E157=0,F157=0,E157="",F157=""),1,(E157*F157/1000000)/Steuerungsdaten!$B$6),IFERROR(VLOOKUP(C157,Steuerungsdaten!$B$17:$M$37,12,FALSE),1)-1),0),Steuerungsdaten!$E$6))</f>
        <v>525</v>
      </c>
      <c r="J157" s="77">
        <f>IF(VLOOKUP(C157,Steuerungsdaten!$P$17:$T$39,5,0)="","",MAX(ROUND(VLOOKUP(C157,Steuerungsdaten!$P$17:$T$39,5,0)*Steuerungsdaten!$B$4*Steuerungsdaten!$B$10*IFERROR(VLOOKUP(C157,Steuerungsdaten!$B$17:$I$37,8,FALSE),1)*POWER(IF(OR(E157=0,F157=0,E157="",F157=""),1,(E157*F157/1000000)/Steuerungsdaten!$B$6),IFERROR(VLOOKUP(C157,Steuerungsdaten!$B$17:$N$37,13,FALSE),1)-1),0),Steuerungsdaten!$E$7))</f>
        <v>584</v>
      </c>
      <c r="K157" s="77">
        <f>IFERROR(IF(G157="","",ROUND(G157*Steuerungsdaten!$B$5,0)),"-")</f>
        <v>169</v>
      </c>
      <c r="L157" s="77">
        <f>IFERROR(IF(H157="","",ROUND(H157*Steuerungsdaten!$B$5,0)),"-")</f>
        <v>580</v>
      </c>
      <c r="M157" s="77">
        <f>IFERROR(IF(I157="","",ROUND(I157*Steuerungsdaten!$B$5,0)),"-")</f>
        <v>604</v>
      </c>
      <c r="N157" s="78" t="s">
        <v>988</v>
      </c>
      <c r="O157" s="79">
        <v>158</v>
      </c>
      <c r="P157" s="79">
        <f>IF(H157="","",ROUND(H157/(Steuerungsdaten!$B$4*Steuerungsdaten!$B$8*IFERROR(VLOOKUP(C157,Steuerungsdaten!$B$17:$E$37,4,FALSE),1)*POWER(IF(OR(E157=0,F157=0,E157="",F157=""),1,(E157*F157/1000000)/Steuerungsdaten!$B$6),IFERROR(VLOOKUP(C157,Steuerungsdaten!$B$17:$L$37,11,FALSE),1)-1)),0))</f>
        <v>240</v>
      </c>
      <c r="Q157" s="79">
        <f>IF(I157="","",ROUND(I157/(Steuerungsdaten!$B$4*Steuerungsdaten!$B$9*IFERROR(VLOOKUP(C157,Steuerungsdaten!$B$17:$G$37,6,FALSE),1)*POWER(IF(OR(E157=0,F157=0,E157="",F157=""),1,(E157*F157/1000000)/Steuerungsdaten!$B$6),IFERROR(VLOOKUP(C157,Steuerungsdaten!$B$17:$M$37,12,FALSE),1)-1)),0))</f>
        <v>250</v>
      </c>
      <c r="R157" s="79">
        <f>IF(J157="","",ROUND(J157/(Steuerungsdaten!$B$4*Steuerungsdaten!$B$10*IFERROR(VLOOKUP(C157,Steuerungsdaten!$B$17:$I$37,8,FALSE),1)*POWER(IF(OR(E157=0,F157=0,E157="",F157=""),1,(E157*F157/1000000)/Steuerungsdaten!$B$6),IFERROR(VLOOKUP(C157,Steuerungsdaten!$B$17:$N$37,13,FALSE),1)-1)),0))</f>
        <v>255</v>
      </c>
    </row>
    <row r="158" spans="1:18" x14ac:dyDescent="0.25">
      <c r="A158" s="69">
        <v>3629</v>
      </c>
      <c r="B158" s="70" t="s">
        <v>7</v>
      </c>
      <c r="C158" s="70" t="s">
        <v>154</v>
      </c>
      <c r="D158" s="70" t="s">
        <v>164</v>
      </c>
      <c r="E158" s="71">
        <v>580</v>
      </c>
      <c r="F158" s="71">
        <v>1800</v>
      </c>
      <c r="G158" s="72">
        <f>IF(VLOOKUP(C158,Steuerungsdaten!$P$17:$T$39,2,0)="","",MAX(ROUND(VLOOKUP(C158,Steuerungsdaten!$P$17:$T$39,2,0)*Steuerungsdaten!$B$4*Steuerungsdaten!$B$7*IFERROR(VLOOKUP(C158,Steuerungsdaten!$B$17:$C$37,2,FALSE),1)*POWER(IF(OR(E158=0,F158=0,E158="",F158=""),1,(E158*F158/1000000)/Steuerungsdaten!$B$6),IFERROR(VLOOKUP(C158,Steuerungsdaten!$B$17:$K$37,10,FALSE),1)-1),0),Steuerungsdaten!$E$4))</f>
        <v>184</v>
      </c>
      <c r="H158" s="72">
        <f>IF(VLOOKUP(C158,Steuerungsdaten!$P$17:$T$39,3,0)="","",MAX(ROUND(VLOOKUP(C158,Steuerungsdaten!$P$17:$T$39,3,0)*Steuerungsdaten!$B$4*Steuerungsdaten!$B$8*IFERROR(VLOOKUP(C158,Steuerungsdaten!$B$17:$E$37,4,FALSE),1)*POWER(IF(OR(E158=0,F158=0,E158="",F158=""),1,(E158*F158/1000000)/Steuerungsdaten!$B$6),IFERROR(VLOOKUP(C158,Steuerungsdaten!$B$17:$L$37,11,FALSE),1)-1),0),Steuerungsdaten!$E$5))</f>
        <v>630</v>
      </c>
      <c r="I158" s="72">
        <f>IF(VLOOKUP(C158,Steuerungsdaten!$P$17:$T$39,4,0)="","",MAX(ROUND(VLOOKUP(C158,Steuerungsdaten!$P$17:$T$39,4,0)*Steuerungsdaten!$B$4*Steuerungsdaten!$B$9*IFERROR(VLOOKUP(C158,Steuerungsdaten!$B$17:$G$37,6,FALSE),1)*POWER(IF(OR(E158=0,F158=0,E158="",F158=""),1,(E158*F158/1000000)/Steuerungsdaten!$B$6),IFERROR(VLOOKUP(C158,Steuerungsdaten!$B$17:$M$37,12,FALSE),1)-1),0),Steuerungsdaten!$E$6))</f>
        <v>656</v>
      </c>
      <c r="J158" s="72">
        <f>IF(VLOOKUP(C158,Steuerungsdaten!$P$17:$T$39,5,0)="","",MAX(ROUND(VLOOKUP(C158,Steuerungsdaten!$P$17:$T$39,5,0)*Steuerungsdaten!$B$4*Steuerungsdaten!$B$10*IFERROR(VLOOKUP(C158,Steuerungsdaten!$B$17:$I$37,8,FALSE),1)*POWER(IF(OR(E158=0,F158=0,E158="",F158=""),1,(E158*F158/1000000)/Steuerungsdaten!$B$6),IFERROR(VLOOKUP(C158,Steuerungsdaten!$B$17:$N$37,13,FALSE),1)-1),0),Steuerungsdaten!$E$7))</f>
        <v>730</v>
      </c>
      <c r="K158" s="72">
        <f>IFERROR(IF(G158="","",ROUND(G158*Steuerungsdaten!$B$5,0)),"-")</f>
        <v>212</v>
      </c>
      <c r="L158" s="72">
        <f>IFERROR(IF(H158="","",ROUND(H158*Steuerungsdaten!$B$5,0)),"-")</f>
        <v>725</v>
      </c>
      <c r="M158" s="72">
        <f>IFERROR(IF(I158="","",ROUND(I158*Steuerungsdaten!$B$5,0)),"-")</f>
        <v>754</v>
      </c>
      <c r="N158" s="73" t="s">
        <v>988</v>
      </c>
      <c r="O158" s="79">
        <v>197</v>
      </c>
      <c r="P158" s="79">
        <f>IF(H158="","",ROUND(H158/(Steuerungsdaten!$B$4*Steuerungsdaten!$B$8*IFERROR(VLOOKUP(C158,Steuerungsdaten!$B$17:$E$37,4,FALSE),1)*POWER(IF(OR(E158=0,F158=0,E158="",F158=""),1,(E158*F158/1000000)/Steuerungsdaten!$B$6),IFERROR(VLOOKUP(C158,Steuerungsdaten!$B$17:$L$37,11,FALSE),1)-1)),0))</f>
        <v>240</v>
      </c>
      <c r="Q158" s="79">
        <f>IF(I158="","",ROUND(I158/(Steuerungsdaten!$B$4*Steuerungsdaten!$B$9*IFERROR(VLOOKUP(C158,Steuerungsdaten!$B$17:$G$37,6,FALSE),1)*POWER(IF(OR(E158=0,F158=0,E158="",F158=""),1,(E158*F158/1000000)/Steuerungsdaten!$B$6),IFERROR(VLOOKUP(C158,Steuerungsdaten!$B$17:$M$37,12,FALSE),1)-1)),0))</f>
        <v>250</v>
      </c>
      <c r="R158" s="79">
        <f>IF(J158="","",ROUND(J158/(Steuerungsdaten!$B$4*Steuerungsdaten!$B$10*IFERROR(VLOOKUP(C158,Steuerungsdaten!$B$17:$I$37,8,FALSE),1)*POWER(IF(OR(E158=0,F158=0,E158="",F158=""),1,(E158*F158/1000000)/Steuerungsdaten!$B$6),IFERROR(VLOOKUP(C158,Steuerungsdaten!$B$17:$N$37,13,FALSE),1)-1)),0))</f>
        <v>255</v>
      </c>
    </row>
    <row r="159" spans="1:18" ht="21.95" customHeight="1" x14ac:dyDescent="0.25">
      <c r="A159" s="426" t="s">
        <v>165</v>
      </c>
      <c r="B159" s="426"/>
      <c r="C159" s="426"/>
      <c r="D159" s="426"/>
      <c r="E159" s="426"/>
      <c r="F159" s="426"/>
      <c r="G159" s="426"/>
      <c r="H159" s="426"/>
      <c r="I159" s="426"/>
      <c r="J159" s="426"/>
      <c r="K159" s="426" t="str">
        <f>IFERROR(IF(G159="","",ROUND(G159*Steuerungsdaten!$B$5,0)),"-")</f>
        <v/>
      </c>
      <c r="L159" s="426" t="str">
        <f>IFERROR(IF(H159="","",ROUND(H159*Steuerungsdaten!$B$5,0)),"-")</f>
        <v/>
      </c>
      <c r="M159" s="426" t="str">
        <f>IFERROR(IF(I159="","",ROUND(I159*Steuerungsdaten!$B$5,0)),"-")</f>
        <v/>
      </c>
      <c r="N159" s="426" t="str">
        <f>IFERROR(IF(J159="","",ROUND(J159*Steuerungsdaten!$B$5,0)),"-")</f>
        <v/>
      </c>
      <c r="O159" s="79"/>
      <c r="P159" s="79"/>
      <c r="Q159" s="79"/>
      <c r="R159" s="79"/>
    </row>
    <row r="160" spans="1:18" x14ac:dyDescent="0.25">
      <c r="A160" s="64">
        <v>3700</v>
      </c>
      <c r="B160" s="65" t="s">
        <v>7</v>
      </c>
      <c r="C160" s="65" t="s">
        <v>165</v>
      </c>
      <c r="D160" s="65" t="s">
        <v>166</v>
      </c>
      <c r="E160" s="66">
        <v>360</v>
      </c>
      <c r="F160" s="66">
        <v>360</v>
      </c>
      <c r="G160" s="67">
        <f>IF(VLOOKUP(C160,Steuerungsdaten!$P$17:$T$39,2,0)="","",MAX(ROUND(VLOOKUP(C160,Steuerungsdaten!$P$17:$T$39,2,0)*Steuerungsdaten!$B$4*Steuerungsdaten!$B$7*IFERROR(VLOOKUP(C160,Steuerungsdaten!$B$17:$C$37,2,FALSE),1)*POWER(IF(OR(E160=0,F160=0,E160="",F160=""),1,(E160*F160/1000000)/Steuerungsdaten!$B$6),IFERROR(VLOOKUP(C160,Steuerungsdaten!$B$17:$K$37,10,FALSE),1)-1),0),Steuerungsdaten!$E$4))</f>
        <v>25</v>
      </c>
      <c r="H160" s="67">
        <f>IF(VLOOKUP(C160,Steuerungsdaten!$P$17:$T$39,3,0)="","",MAX(ROUND(VLOOKUP(C160,Steuerungsdaten!$P$17:$T$39,3,0)*Steuerungsdaten!$B$4*Steuerungsdaten!$B$8*IFERROR(VLOOKUP(C160,Steuerungsdaten!$B$17:$E$37,4,FALSE),1)*POWER(IF(OR(E160=0,F160=0,E160="",F160=""),1,(E160*F160/1000000)/Steuerungsdaten!$B$6),IFERROR(VLOOKUP(C160,Steuerungsdaten!$B$17:$L$37,11,FALSE),1)-1),0),Steuerungsdaten!$E$5))</f>
        <v>103</v>
      </c>
      <c r="I160" s="67">
        <f>IF(VLOOKUP(C160,Steuerungsdaten!$P$17:$T$39,4,0)="","",MAX(ROUND(VLOOKUP(C160,Steuerungsdaten!$P$17:$T$39,4,0)*Steuerungsdaten!$B$4*Steuerungsdaten!$B$9*IFERROR(VLOOKUP(C160,Steuerungsdaten!$B$17:$G$37,6,FALSE),1)*POWER(IF(OR(E160=0,F160=0,E160="",F160=""),1,(E160*F160/1000000)/Steuerungsdaten!$B$6),IFERROR(VLOOKUP(C160,Steuerungsdaten!$B$17:$M$37,12,FALSE),1)-1),0),Steuerungsdaten!$E$6))</f>
        <v>120</v>
      </c>
      <c r="J160" s="67">
        <f>IF(VLOOKUP(C160,Steuerungsdaten!$P$17:$T$39,5,0)="","",MAX(ROUND(VLOOKUP(C160,Steuerungsdaten!$P$17:$T$39,5,0)*Steuerungsdaten!$B$4*Steuerungsdaten!$B$10*IFERROR(VLOOKUP(C160,Steuerungsdaten!$B$17:$I$37,8,FALSE),1)*POWER(IF(OR(E160=0,F160=0,E160="",F160=""),1,(E160*F160/1000000)/Steuerungsdaten!$B$6),IFERROR(VLOOKUP(C160,Steuerungsdaten!$B$17:$N$37,13,FALSE),1)-1),0),Steuerungsdaten!$E$7))</f>
        <v>145</v>
      </c>
      <c r="K160" s="67">
        <f>IFERROR(IF(G160="","",ROUND(G160*Steuerungsdaten!$B$5,0)),"-")</f>
        <v>29</v>
      </c>
      <c r="L160" s="67">
        <f>IFERROR(IF(H160="","",ROUND(H160*Steuerungsdaten!$B$5,0)),"-")</f>
        <v>118</v>
      </c>
      <c r="M160" s="67">
        <f>IFERROR(IF(I160="","",ROUND(I160*Steuerungsdaten!$B$5,0)),"-")</f>
        <v>138</v>
      </c>
      <c r="N160" s="68">
        <f>IFERROR(IF(J160="","",ROUND(J160*Steuerungsdaten!$B$5,0)),"-")</f>
        <v>167</v>
      </c>
      <c r="O160" s="79">
        <v>34</v>
      </c>
      <c r="P160" s="79">
        <f>IF(H160="","",ROUND(H160/(Steuerungsdaten!$B$4*Steuerungsdaten!$B$8*IFERROR(VLOOKUP(C160,Steuerungsdaten!$B$17:$E$37,4,FALSE),1)*POWER(IF(OR(E160=0,F160=0,E160="",F160=""),1,(E160*F160/1000000)/Steuerungsdaten!$B$6),IFERROR(VLOOKUP(C160,Steuerungsdaten!$B$17:$L$37,11,FALSE),1)-1)),0))</f>
        <v>316</v>
      </c>
      <c r="Q160" s="79">
        <f>IF(I160="","",ROUND(I160/(Steuerungsdaten!$B$4*Steuerungsdaten!$B$9*IFERROR(VLOOKUP(C160,Steuerungsdaten!$B$17:$G$37,6,FALSE),1)*POWER(IF(OR(E160=0,F160=0,E160="",F160=""),1,(E160*F160/1000000)/Steuerungsdaten!$B$6),IFERROR(VLOOKUP(C160,Steuerungsdaten!$B$17:$M$37,12,FALSE),1)-1)),0))</f>
        <v>368</v>
      </c>
      <c r="R160" s="79">
        <f>IF(J160="","",ROUND(J160/(Steuerungsdaten!$B$4*Steuerungsdaten!$B$10*IFERROR(VLOOKUP(C160,Steuerungsdaten!$B$17:$I$37,8,FALSE),1)*POWER(IF(OR(E160=0,F160=0,E160="",F160=""),1,(E160*F160/1000000)/Steuerungsdaten!$B$6),IFERROR(VLOOKUP(C160,Steuerungsdaten!$B$17:$N$37,13,FALSE),1)-1)),0))</f>
        <v>408</v>
      </c>
    </row>
    <row r="161" spans="1:18" x14ac:dyDescent="0.25">
      <c r="A161" s="69">
        <v>3701</v>
      </c>
      <c r="B161" s="70" t="s">
        <v>7</v>
      </c>
      <c r="C161" s="70" t="s">
        <v>165</v>
      </c>
      <c r="D161" s="70" t="s">
        <v>167</v>
      </c>
      <c r="E161" s="71">
        <v>420</v>
      </c>
      <c r="F161" s="71">
        <v>360</v>
      </c>
      <c r="G161" s="72">
        <f>IF(VLOOKUP(C161,Steuerungsdaten!$P$17:$T$39,2,0)="","",MAX(ROUND(VLOOKUP(C161,Steuerungsdaten!$P$17:$T$39,2,0)*Steuerungsdaten!$B$4*Steuerungsdaten!$B$7*IFERROR(VLOOKUP(C161,Steuerungsdaten!$B$17:$C$37,2,FALSE),1)*POWER(IF(OR(E161=0,F161=0,E161="",F161=""),1,(E161*F161/1000000)/Steuerungsdaten!$B$6),IFERROR(VLOOKUP(C161,Steuerungsdaten!$B$17:$K$37,10,FALSE),1)-1),0),Steuerungsdaten!$E$4))</f>
        <v>27</v>
      </c>
      <c r="H161" s="72">
        <f>IF(VLOOKUP(C161,Steuerungsdaten!$P$17:$T$39,3,0)="","",MAX(ROUND(VLOOKUP(C161,Steuerungsdaten!$P$17:$T$39,3,0)*Steuerungsdaten!$B$4*Steuerungsdaten!$B$8*IFERROR(VLOOKUP(C161,Steuerungsdaten!$B$17:$E$37,4,FALSE),1)*POWER(IF(OR(E161=0,F161=0,E161="",F161=""),1,(E161*F161/1000000)/Steuerungsdaten!$B$6),IFERROR(VLOOKUP(C161,Steuerungsdaten!$B$17:$L$37,11,FALSE),1)-1),0),Steuerungsdaten!$E$5))</f>
        <v>103</v>
      </c>
      <c r="I161" s="72">
        <f>IF(VLOOKUP(C161,Steuerungsdaten!$P$17:$T$39,4,0)="","",MAX(ROUND(VLOOKUP(C161,Steuerungsdaten!$P$17:$T$39,4,0)*Steuerungsdaten!$B$4*Steuerungsdaten!$B$9*IFERROR(VLOOKUP(C161,Steuerungsdaten!$B$17:$G$37,6,FALSE),1)*POWER(IF(OR(E161=0,F161=0,E161="",F161=""),1,(E161*F161/1000000)/Steuerungsdaten!$B$6),IFERROR(VLOOKUP(C161,Steuerungsdaten!$B$17:$M$37,12,FALSE),1)-1),0),Steuerungsdaten!$E$6))</f>
        <v>120</v>
      </c>
      <c r="J161" s="72">
        <f>IF(VLOOKUP(C161,Steuerungsdaten!$P$17:$T$39,5,0)="","",MAX(ROUND(VLOOKUP(C161,Steuerungsdaten!$P$17:$T$39,5,0)*Steuerungsdaten!$B$4*Steuerungsdaten!$B$10*IFERROR(VLOOKUP(C161,Steuerungsdaten!$B$17:$I$37,8,FALSE),1)*POWER(IF(OR(E161=0,F161=0,E161="",F161=""),1,(E161*F161/1000000)/Steuerungsdaten!$B$6),IFERROR(VLOOKUP(C161,Steuerungsdaten!$B$17:$N$37,13,FALSE),1)-1),0),Steuerungsdaten!$E$7))</f>
        <v>145</v>
      </c>
      <c r="K161" s="72">
        <f>IFERROR(IF(G161="","",ROUND(G161*Steuerungsdaten!$B$5,0)),"-")</f>
        <v>31</v>
      </c>
      <c r="L161" s="72">
        <f>IFERROR(IF(H161="","",ROUND(H161*Steuerungsdaten!$B$5,0)),"-")</f>
        <v>118</v>
      </c>
      <c r="M161" s="72">
        <f>IFERROR(IF(I161="","",ROUND(I161*Steuerungsdaten!$B$5,0)),"-")</f>
        <v>138</v>
      </c>
      <c r="N161" s="73">
        <f>IFERROR(IF(J161="","",ROUND(J161*Steuerungsdaten!$B$5,0)),"-")</f>
        <v>167</v>
      </c>
      <c r="O161" s="79">
        <v>34</v>
      </c>
      <c r="P161" s="79">
        <f>IF(H161="","",ROUND(H161/(Steuerungsdaten!$B$4*Steuerungsdaten!$B$8*IFERROR(VLOOKUP(C161,Steuerungsdaten!$B$17:$E$37,4,FALSE),1)*POWER(IF(OR(E161=0,F161=0,E161="",F161=""),1,(E161*F161/1000000)/Steuerungsdaten!$B$6),IFERROR(VLOOKUP(C161,Steuerungsdaten!$B$17:$L$37,11,FALSE),1)-1)),0))</f>
        <v>271</v>
      </c>
      <c r="Q161" s="79">
        <f>IF(I161="","",ROUND(I161/(Steuerungsdaten!$B$4*Steuerungsdaten!$B$9*IFERROR(VLOOKUP(C161,Steuerungsdaten!$B$17:$G$37,6,FALSE),1)*POWER(IF(OR(E161=0,F161=0,E161="",F161=""),1,(E161*F161/1000000)/Steuerungsdaten!$B$6),IFERROR(VLOOKUP(C161,Steuerungsdaten!$B$17:$M$37,12,FALSE),1)-1)),0))</f>
        <v>316</v>
      </c>
      <c r="R161" s="79">
        <f>IF(J161="","",ROUND(J161/(Steuerungsdaten!$B$4*Steuerungsdaten!$B$10*IFERROR(VLOOKUP(C161,Steuerungsdaten!$B$17:$I$37,8,FALSE),1)*POWER(IF(OR(E161=0,F161=0,E161="",F161=""),1,(E161*F161/1000000)/Steuerungsdaten!$B$6),IFERROR(VLOOKUP(C161,Steuerungsdaten!$B$17:$N$37,13,FALSE),1)-1)),0))</f>
        <v>350</v>
      </c>
    </row>
    <row r="162" spans="1:18" x14ac:dyDescent="0.25">
      <c r="A162" s="74">
        <v>3702</v>
      </c>
      <c r="B162" s="75" t="s">
        <v>7</v>
      </c>
      <c r="C162" s="75" t="s">
        <v>165</v>
      </c>
      <c r="D162" s="75" t="s">
        <v>168</v>
      </c>
      <c r="E162" s="76">
        <v>580</v>
      </c>
      <c r="F162" s="76">
        <v>360</v>
      </c>
      <c r="G162" s="77">
        <f>IF(VLOOKUP(C162,Steuerungsdaten!$P$17:$T$39,2,0)="","",MAX(ROUND(VLOOKUP(C162,Steuerungsdaten!$P$17:$T$39,2,0)*Steuerungsdaten!$B$4*Steuerungsdaten!$B$7*IFERROR(VLOOKUP(C162,Steuerungsdaten!$B$17:$C$37,2,FALSE),1)*POWER(IF(OR(E162=0,F162=0,E162="",F162=""),1,(E162*F162/1000000)/Steuerungsdaten!$B$6),IFERROR(VLOOKUP(C162,Steuerungsdaten!$B$17:$K$37,10,FALSE),1)-1),0),Steuerungsdaten!$E$4))</f>
        <v>37</v>
      </c>
      <c r="H162" s="77">
        <f>IF(VLOOKUP(C162,Steuerungsdaten!$P$17:$T$39,3,0)="","",MAX(ROUND(VLOOKUP(C162,Steuerungsdaten!$P$17:$T$39,3,0)*Steuerungsdaten!$B$4*Steuerungsdaten!$B$8*IFERROR(VLOOKUP(C162,Steuerungsdaten!$B$17:$E$37,4,FALSE),1)*POWER(IF(OR(E162=0,F162=0,E162="",F162=""),1,(E162*F162/1000000)/Steuerungsdaten!$B$6),IFERROR(VLOOKUP(C162,Steuerungsdaten!$B$17:$L$37,11,FALSE),1)-1),0),Steuerungsdaten!$E$5))</f>
        <v>126</v>
      </c>
      <c r="I162" s="77">
        <f>IF(VLOOKUP(C162,Steuerungsdaten!$P$17:$T$39,4,0)="","",MAX(ROUND(VLOOKUP(C162,Steuerungsdaten!$P$17:$T$39,4,0)*Steuerungsdaten!$B$4*Steuerungsdaten!$B$9*IFERROR(VLOOKUP(C162,Steuerungsdaten!$B$17:$G$37,6,FALSE),1)*POWER(IF(OR(E162=0,F162=0,E162="",F162=""),1,(E162*F162/1000000)/Steuerungsdaten!$B$6),IFERROR(VLOOKUP(C162,Steuerungsdaten!$B$17:$M$37,12,FALSE),1)-1),0),Steuerungsdaten!$E$6))</f>
        <v>131</v>
      </c>
      <c r="J162" s="77">
        <f>IF(VLOOKUP(C162,Steuerungsdaten!$P$17:$T$39,5,0)="","",MAX(ROUND(VLOOKUP(C162,Steuerungsdaten!$P$17:$T$39,5,0)*Steuerungsdaten!$B$4*Steuerungsdaten!$B$10*IFERROR(VLOOKUP(C162,Steuerungsdaten!$B$17:$I$37,8,FALSE),1)*POWER(IF(OR(E162=0,F162=0,E162="",F162=""),1,(E162*F162/1000000)/Steuerungsdaten!$B$6),IFERROR(VLOOKUP(C162,Steuerungsdaten!$B$17:$N$37,13,FALSE),1)-1),0),Steuerungsdaten!$E$7))</f>
        <v>146</v>
      </c>
      <c r="K162" s="77">
        <f>IFERROR(IF(G162="","",ROUND(G162*Steuerungsdaten!$B$5,0)),"-")</f>
        <v>43</v>
      </c>
      <c r="L162" s="77">
        <f>IFERROR(IF(H162="","",ROUND(H162*Steuerungsdaten!$B$5,0)),"-")</f>
        <v>145</v>
      </c>
      <c r="M162" s="77">
        <f>IFERROR(IF(I162="","",ROUND(I162*Steuerungsdaten!$B$5,0)),"-")</f>
        <v>151</v>
      </c>
      <c r="N162" s="78">
        <f>IFERROR(IF(J162="","",ROUND(J162*Steuerungsdaten!$B$5,0)),"-")</f>
        <v>168</v>
      </c>
      <c r="O162" s="79">
        <v>43</v>
      </c>
      <c r="P162" s="79">
        <f>IF(H162="","",ROUND(H162/(Steuerungsdaten!$B$4*Steuerungsdaten!$B$8*IFERROR(VLOOKUP(C162,Steuerungsdaten!$B$17:$E$37,4,FALSE),1)*POWER(IF(OR(E162=0,F162=0,E162="",F162=""),1,(E162*F162/1000000)/Steuerungsdaten!$B$6),IFERROR(VLOOKUP(C162,Steuerungsdaten!$B$17:$L$37,11,FALSE),1)-1)),0))</f>
        <v>240</v>
      </c>
      <c r="Q162" s="79">
        <f>IF(I162="","",ROUND(I162/(Steuerungsdaten!$B$4*Steuerungsdaten!$B$9*IFERROR(VLOOKUP(C162,Steuerungsdaten!$B$17:$G$37,6,FALSE),1)*POWER(IF(OR(E162=0,F162=0,E162="",F162=""),1,(E162*F162/1000000)/Steuerungsdaten!$B$6),IFERROR(VLOOKUP(C162,Steuerungsdaten!$B$17:$M$37,12,FALSE),1)-1)),0))</f>
        <v>250</v>
      </c>
      <c r="R162" s="79">
        <f>IF(J162="","",ROUND(J162/(Steuerungsdaten!$B$4*Steuerungsdaten!$B$10*IFERROR(VLOOKUP(C162,Steuerungsdaten!$B$17:$I$37,8,FALSE),1)*POWER(IF(OR(E162=0,F162=0,E162="",F162=""),1,(E162*F162/1000000)/Steuerungsdaten!$B$6),IFERROR(VLOOKUP(C162,Steuerungsdaten!$B$17:$N$37,13,FALSE),1)-1)),0))</f>
        <v>255</v>
      </c>
    </row>
    <row r="163" spans="1:18" x14ac:dyDescent="0.25">
      <c r="A163" s="69">
        <v>3703</v>
      </c>
      <c r="B163" s="70" t="s">
        <v>7</v>
      </c>
      <c r="C163" s="70" t="s">
        <v>165</v>
      </c>
      <c r="D163" s="70" t="s">
        <v>169</v>
      </c>
      <c r="E163" s="71">
        <v>780</v>
      </c>
      <c r="F163" s="71">
        <v>360</v>
      </c>
      <c r="G163" s="72">
        <f>IF(VLOOKUP(C163,Steuerungsdaten!$P$17:$T$39,2,0)="","",MAX(ROUND(VLOOKUP(C163,Steuerungsdaten!$P$17:$T$39,2,0)*Steuerungsdaten!$B$4*Steuerungsdaten!$B$7*IFERROR(VLOOKUP(C163,Steuerungsdaten!$B$17:$C$37,2,FALSE),1)*POWER(IF(OR(E163=0,F163=0,E163="",F163=""),1,(E163*F163/1000000)/Steuerungsdaten!$B$6),IFERROR(VLOOKUP(C163,Steuerungsdaten!$B$17:$K$37,10,FALSE),1)-1),0),Steuerungsdaten!$E$4))</f>
        <v>49</v>
      </c>
      <c r="H163" s="72">
        <f>IF(VLOOKUP(C163,Steuerungsdaten!$P$17:$T$39,3,0)="","",MAX(ROUND(VLOOKUP(C163,Steuerungsdaten!$P$17:$T$39,3,0)*Steuerungsdaten!$B$4*Steuerungsdaten!$B$8*IFERROR(VLOOKUP(C163,Steuerungsdaten!$B$17:$E$37,4,FALSE),1)*POWER(IF(OR(E163=0,F163=0,E163="",F163=""),1,(E163*F163/1000000)/Steuerungsdaten!$B$6),IFERROR(VLOOKUP(C163,Steuerungsdaten!$B$17:$L$37,11,FALSE),1)-1),0),Steuerungsdaten!$E$5))</f>
        <v>169</v>
      </c>
      <c r="I163" s="72">
        <f>IF(VLOOKUP(C163,Steuerungsdaten!$P$17:$T$39,4,0)="","",MAX(ROUND(VLOOKUP(C163,Steuerungsdaten!$P$17:$T$39,4,0)*Steuerungsdaten!$B$4*Steuerungsdaten!$B$9*IFERROR(VLOOKUP(C163,Steuerungsdaten!$B$17:$G$37,6,FALSE),1)*POWER(IF(OR(E163=0,F163=0,E163="",F163=""),1,(E163*F163/1000000)/Steuerungsdaten!$B$6),IFERROR(VLOOKUP(C163,Steuerungsdaten!$B$17:$M$37,12,FALSE),1)-1),0),Steuerungsdaten!$E$6))</f>
        <v>177</v>
      </c>
      <c r="J163" s="72">
        <f>IF(VLOOKUP(C163,Steuerungsdaten!$P$17:$T$39,5,0)="","",MAX(ROUND(VLOOKUP(C163,Steuerungsdaten!$P$17:$T$39,5,0)*Steuerungsdaten!$B$4*Steuerungsdaten!$B$10*IFERROR(VLOOKUP(C163,Steuerungsdaten!$B$17:$I$37,8,FALSE),1)*POWER(IF(OR(E163=0,F163=0,E163="",F163=""),1,(E163*F163/1000000)/Steuerungsdaten!$B$6),IFERROR(VLOOKUP(C163,Steuerungsdaten!$B$17:$N$37,13,FALSE),1)-1),0),Steuerungsdaten!$E$7))</f>
        <v>196</v>
      </c>
      <c r="K163" s="72">
        <f>IFERROR(IF(G163="","",ROUND(G163*Steuerungsdaten!$B$5,0)),"-")</f>
        <v>56</v>
      </c>
      <c r="L163" s="72">
        <f>IFERROR(IF(H163="","",ROUND(H163*Steuerungsdaten!$B$5,0)),"-")</f>
        <v>194</v>
      </c>
      <c r="M163" s="72">
        <f>IFERROR(IF(I163="","",ROUND(I163*Steuerungsdaten!$B$5,0)),"-")</f>
        <v>204</v>
      </c>
      <c r="N163" s="73">
        <f>IFERROR(IF(J163="","",ROUND(J163*Steuerungsdaten!$B$5,0)),"-")</f>
        <v>225</v>
      </c>
      <c r="O163" s="79">
        <v>56</v>
      </c>
      <c r="P163" s="79">
        <f>IF(H163="","",ROUND(H163/(Steuerungsdaten!$B$4*Steuerungsdaten!$B$8*IFERROR(VLOOKUP(C163,Steuerungsdaten!$B$17:$E$37,4,FALSE),1)*POWER(IF(OR(E163=0,F163=0,E163="",F163=""),1,(E163*F163/1000000)/Steuerungsdaten!$B$6),IFERROR(VLOOKUP(C163,Steuerungsdaten!$B$17:$L$37,11,FALSE),1)-1)),0))</f>
        <v>239</v>
      </c>
      <c r="Q163" s="79">
        <f>IF(I163="","",ROUND(I163/(Steuerungsdaten!$B$4*Steuerungsdaten!$B$9*IFERROR(VLOOKUP(C163,Steuerungsdaten!$B$17:$G$37,6,FALSE),1)*POWER(IF(OR(E163=0,F163=0,E163="",F163=""),1,(E163*F163/1000000)/Steuerungsdaten!$B$6),IFERROR(VLOOKUP(C163,Steuerungsdaten!$B$17:$M$37,12,FALSE),1)-1)),0))</f>
        <v>251</v>
      </c>
      <c r="R163" s="79">
        <f>IF(J163="","",ROUND(J163/(Steuerungsdaten!$B$4*Steuerungsdaten!$B$10*IFERROR(VLOOKUP(C163,Steuerungsdaten!$B$17:$I$37,8,FALSE),1)*POWER(IF(OR(E163=0,F163=0,E163="",F163=""),1,(E163*F163/1000000)/Steuerungsdaten!$B$6),IFERROR(VLOOKUP(C163,Steuerungsdaten!$B$17:$N$37,13,FALSE),1)-1)),0))</f>
        <v>254</v>
      </c>
    </row>
    <row r="164" spans="1:18" x14ac:dyDescent="0.25">
      <c r="A164" s="74">
        <v>3704</v>
      </c>
      <c r="B164" s="75" t="s">
        <v>7</v>
      </c>
      <c r="C164" s="75" t="s">
        <v>165</v>
      </c>
      <c r="D164" s="75" t="s">
        <v>170</v>
      </c>
      <c r="E164" s="76">
        <v>980</v>
      </c>
      <c r="F164" s="76">
        <v>360</v>
      </c>
      <c r="G164" s="77">
        <f>IF(VLOOKUP(C164,Steuerungsdaten!$P$17:$T$39,2,0)="","",MAX(ROUND(VLOOKUP(C164,Steuerungsdaten!$P$17:$T$39,2,0)*Steuerungsdaten!$B$4*Steuerungsdaten!$B$7*IFERROR(VLOOKUP(C164,Steuerungsdaten!$B$17:$C$37,2,FALSE),1)*POWER(IF(OR(E164=0,F164=0,E164="",F164=""),1,(E164*F164/1000000)/Steuerungsdaten!$B$6),IFERROR(VLOOKUP(C164,Steuerungsdaten!$B$17:$K$37,10,FALSE),1)-1),0),Steuerungsdaten!$E$4))</f>
        <v>62</v>
      </c>
      <c r="H164" s="77">
        <f>IF(VLOOKUP(C164,Steuerungsdaten!$P$17:$T$39,3,0)="","",MAX(ROUND(VLOOKUP(C164,Steuerungsdaten!$P$17:$T$39,3,0)*Steuerungsdaten!$B$4*Steuerungsdaten!$B$8*IFERROR(VLOOKUP(C164,Steuerungsdaten!$B$17:$E$37,4,FALSE),1)*POWER(IF(OR(E164=0,F164=0,E164="",F164=""),1,(E164*F164/1000000)/Steuerungsdaten!$B$6),IFERROR(VLOOKUP(C164,Steuerungsdaten!$B$17:$L$37,11,FALSE),1)-1),0),Steuerungsdaten!$E$5))</f>
        <v>213</v>
      </c>
      <c r="I164" s="77">
        <f>IF(VLOOKUP(C164,Steuerungsdaten!$P$17:$T$39,4,0)="","",MAX(ROUND(VLOOKUP(C164,Steuerungsdaten!$P$17:$T$39,4,0)*Steuerungsdaten!$B$4*Steuerungsdaten!$B$9*IFERROR(VLOOKUP(C164,Steuerungsdaten!$B$17:$G$37,6,FALSE),1)*POWER(IF(OR(E164=0,F164=0,E164="",F164=""),1,(E164*F164/1000000)/Steuerungsdaten!$B$6),IFERROR(VLOOKUP(C164,Steuerungsdaten!$B$17:$M$37,12,FALSE),1)-1),0),Steuerungsdaten!$E$6))</f>
        <v>222</v>
      </c>
      <c r="J164" s="77">
        <f>IF(VLOOKUP(C164,Steuerungsdaten!$P$17:$T$39,5,0)="","",MAX(ROUND(VLOOKUP(C164,Steuerungsdaten!$P$17:$T$39,5,0)*Steuerungsdaten!$B$4*Steuerungsdaten!$B$10*IFERROR(VLOOKUP(C164,Steuerungsdaten!$B$17:$I$37,8,FALSE),1)*POWER(IF(OR(E164=0,F164=0,E164="",F164=""),1,(E164*F164/1000000)/Steuerungsdaten!$B$6),IFERROR(VLOOKUP(C164,Steuerungsdaten!$B$17:$N$37,13,FALSE),1)-1),0),Steuerungsdaten!$E$7))</f>
        <v>247</v>
      </c>
      <c r="K164" s="77">
        <f>IFERROR(IF(G164="","",ROUND(G164*Steuerungsdaten!$B$5,0)),"-")</f>
        <v>71</v>
      </c>
      <c r="L164" s="77">
        <f>IFERROR(IF(H164="","",ROUND(H164*Steuerungsdaten!$B$5,0)),"-")</f>
        <v>245</v>
      </c>
      <c r="M164" s="77">
        <f>IFERROR(IF(I164="","",ROUND(I164*Steuerungsdaten!$B$5,0)),"-")</f>
        <v>255</v>
      </c>
      <c r="N164" s="78">
        <f>IFERROR(IF(J164="","",ROUND(J164*Steuerungsdaten!$B$5,0)),"-")</f>
        <v>284</v>
      </c>
      <c r="O164" s="79">
        <v>70</v>
      </c>
      <c r="P164" s="79">
        <f>IF(H164="","",ROUND(H164/(Steuerungsdaten!$B$4*Steuerungsdaten!$B$8*IFERROR(VLOOKUP(C164,Steuerungsdaten!$B$17:$E$37,4,FALSE),1)*POWER(IF(OR(E164=0,F164=0,E164="",F164=""),1,(E164*F164/1000000)/Steuerungsdaten!$B$6),IFERROR(VLOOKUP(C164,Steuerungsdaten!$B$17:$L$37,11,FALSE),1)-1)),0))</f>
        <v>240</v>
      </c>
      <c r="Q164" s="79">
        <f>IF(I164="","",ROUND(I164/(Steuerungsdaten!$B$4*Steuerungsdaten!$B$9*IFERROR(VLOOKUP(C164,Steuerungsdaten!$B$17:$G$37,6,FALSE),1)*POWER(IF(OR(E164=0,F164=0,E164="",F164=""),1,(E164*F164/1000000)/Steuerungsdaten!$B$6),IFERROR(VLOOKUP(C164,Steuerungsdaten!$B$17:$M$37,12,FALSE),1)-1)),0))</f>
        <v>250</v>
      </c>
      <c r="R164" s="79">
        <f>IF(J164="","",ROUND(J164/(Steuerungsdaten!$B$4*Steuerungsdaten!$B$10*IFERROR(VLOOKUP(C164,Steuerungsdaten!$B$17:$I$37,8,FALSE),1)*POWER(IF(OR(E164=0,F164=0,E164="",F164=""),1,(E164*F164/1000000)/Steuerungsdaten!$B$6),IFERROR(VLOOKUP(C164,Steuerungsdaten!$B$17:$N$37,13,FALSE),1)-1)),0))</f>
        <v>255</v>
      </c>
    </row>
    <row r="165" spans="1:18" x14ac:dyDescent="0.25">
      <c r="A165" s="69">
        <v>3705</v>
      </c>
      <c r="B165" s="70" t="s">
        <v>7</v>
      </c>
      <c r="C165" s="70" t="s">
        <v>165</v>
      </c>
      <c r="D165" s="70" t="s">
        <v>171</v>
      </c>
      <c r="E165" s="71">
        <v>360</v>
      </c>
      <c r="F165" s="71">
        <v>580</v>
      </c>
      <c r="G165" s="72">
        <f>IF(VLOOKUP(C165,Steuerungsdaten!$P$17:$T$39,2,0)="","",MAX(ROUND(VLOOKUP(C165,Steuerungsdaten!$P$17:$T$39,2,0)*Steuerungsdaten!$B$4*Steuerungsdaten!$B$7*IFERROR(VLOOKUP(C165,Steuerungsdaten!$B$17:$C$37,2,FALSE),1)*POWER(IF(OR(E165=0,F165=0,E165="",F165=""),1,(E165*F165/1000000)/Steuerungsdaten!$B$6),IFERROR(VLOOKUP(C165,Steuerungsdaten!$B$17:$K$37,10,FALSE),1)-1),0),Steuerungsdaten!$E$4))</f>
        <v>37</v>
      </c>
      <c r="H165" s="72">
        <f>IF(VLOOKUP(C165,Steuerungsdaten!$P$17:$T$39,3,0)="","",MAX(ROUND(VLOOKUP(C165,Steuerungsdaten!$P$17:$T$39,3,0)*Steuerungsdaten!$B$4*Steuerungsdaten!$B$8*IFERROR(VLOOKUP(C165,Steuerungsdaten!$B$17:$E$37,4,FALSE),1)*POWER(IF(OR(E165=0,F165=0,E165="",F165=""),1,(E165*F165/1000000)/Steuerungsdaten!$B$6),IFERROR(VLOOKUP(C165,Steuerungsdaten!$B$17:$L$37,11,FALSE),1)-1),0),Steuerungsdaten!$E$5))</f>
        <v>126</v>
      </c>
      <c r="I165" s="72">
        <f>IF(VLOOKUP(C165,Steuerungsdaten!$P$17:$T$39,4,0)="","",MAX(ROUND(VLOOKUP(C165,Steuerungsdaten!$P$17:$T$39,4,0)*Steuerungsdaten!$B$4*Steuerungsdaten!$B$9*IFERROR(VLOOKUP(C165,Steuerungsdaten!$B$17:$G$37,6,FALSE),1)*POWER(IF(OR(E165=0,F165=0,E165="",F165=""),1,(E165*F165/1000000)/Steuerungsdaten!$B$6),IFERROR(VLOOKUP(C165,Steuerungsdaten!$B$17:$M$37,12,FALSE),1)-1),0),Steuerungsdaten!$E$6))</f>
        <v>131</v>
      </c>
      <c r="J165" s="72">
        <f>IF(VLOOKUP(C165,Steuerungsdaten!$P$17:$T$39,5,0)="","",MAX(ROUND(VLOOKUP(C165,Steuerungsdaten!$P$17:$T$39,5,0)*Steuerungsdaten!$B$4*Steuerungsdaten!$B$10*IFERROR(VLOOKUP(C165,Steuerungsdaten!$B$17:$I$37,8,FALSE),1)*POWER(IF(OR(E165=0,F165=0,E165="",F165=""),1,(E165*F165/1000000)/Steuerungsdaten!$B$6),IFERROR(VLOOKUP(C165,Steuerungsdaten!$B$17:$N$37,13,FALSE),1)-1),0),Steuerungsdaten!$E$7))</f>
        <v>146</v>
      </c>
      <c r="K165" s="72">
        <f>IFERROR(IF(G165="","",ROUND(G165*Steuerungsdaten!$B$5,0)),"-")</f>
        <v>43</v>
      </c>
      <c r="L165" s="72">
        <f>IFERROR(IF(H165="","",ROUND(H165*Steuerungsdaten!$B$5,0)),"-")</f>
        <v>145</v>
      </c>
      <c r="M165" s="72">
        <f>IFERROR(IF(I165="","",ROUND(I165*Steuerungsdaten!$B$5,0)),"-")</f>
        <v>151</v>
      </c>
      <c r="N165" s="73">
        <f>IFERROR(IF(J165="","",ROUND(J165*Steuerungsdaten!$B$5,0)),"-")</f>
        <v>168</v>
      </c>
      <c r="O165" s="79">
        <v>43</v>
      </c>
      <c r="P165" s="79">
        <f>IF(H165="","",ROUND(H165/(Steuerungsdaten!$B$4*Steuerungsdaten!$B$8*IFERROR(VLOOKUP(C165,Steuerungsdaten!$B$17:$E$37,4,FALSE),1)*POWER(IF(OR(E165=0,F165=0,E165="",F165=""),1,(E165*F165/1000000)/Steuerungsdaten!$B$6),IFERROR(VLOOKUP(C165,Steuerungsdaten!$B$17:$L$37,11,FALSE),1)-1)),0))</f>
        <v>240</v>
      </c>
      <c r="Q165" s="79">
        <f>IF(I165="","",ROUND(I165/(Steuerungsdaten!$B$4*Steuerungsdaten!$B$9*IFERROR(VLOOKUP(C165,Steuerungsdaten!$B$17:$G$37,6,FALSE),1)*POWER(IF(OR(E165=0,F165=0,E165="",F165=""),1,(E165*F165/1000000)/Steuerungsdaten!$B$6),IFERROR(VLOOKUP(C165,Steuerungsdaten!$B$17:$M$37,12,FALSE),1)-1)),0))</f>
        <v>250</v>
      </c>
      <c r="R165" s="79">
        <f>IF(J165="","",ROUND(J165/(Steuerungsdaten!$B$4*Steuerungsdaten!$B$10*IFERROR(VLOOKUP(C165,Steuerungsdaten!$B$17:$I$37,8,FALSE),1)*POWER(IF(OR(E165=0,F165=0,E165="",F165=""),1,(E165*F165/1000000)/Steuerungsdaten!$B$6),IFERROR(VLOOKUP(C165,Steuerungsdaten!$B$17:$N$37,13,FALSE),1)-1)),0))</f>
        <v>255</v>
      </c>
    </row>
    <row r="166" spans="1:18" x14ac:dyDescent="0.25">
      <c r="A166" s="74">
        <v>3706</v>
      </c>
      <c r="B166" s="75" t="s">
        <v>7</v>
      </c>
      <c r="C166" s="75" t="s">
        <v>165</v>
      </c>
      <c r="D166" s="75" t="s">
        <v>172</v>
      </c>
      <c r="E166" s="76">
        <v>420</v>
      </c>
      <c r="F166" s="76">
        <v>580</v>
      </c>
      <c r="G166" s="77">
        <f>IF(VLOOKUP(C166,Steuerungsdaten!$P$17:$T$39,2,0)="","",MAX(ROUND(VLOOKUP(C166,Steuerungsdaten!$P$17:$T$39,2,0)*Steuerungsdaten!$B$4*Steuerungsdaten!$B$7*IFERROR(VLOOKUP(C166,Steuerungsdaten!$B$17:$C$37,2,FALSE),1)*POWER(IF(OR(E166=0,F166=0,E166="",F166=""),1,(E166*F166/1000000)/Steuerungsdaten!$B$6),IFERROR(VLOOKUP(C166,Steuerungsdaten!$B$17:$K$37,10,FALSE),1)-1),0),Steuerungsdaten!$E$4))</f>
        <v>43</v>
      </c>
      <c r="H166" s="77">
        <f>IF(VLOOKUP(C166,Steuerungsdaten!$P$17:$T$39,3,0)="","",MAX(ROUND(VLOOKUP(C166,Steuerungsdaten!$P$17:$T$39,3,0)*Steuerungsdaten!$B$4*Steuerungsdaten!$B$8*IFERROR(VLOOKUP(C166,Steuerungsdaten!$B$17:$E$37,4,FALSE),1)*POWER(IF(OR(E166=0,F166=0,E166="",F166=""),1,(E166*F166/1000000)/Steuerungsdaten!$B$6),IFERROR(VLOOKUP(C166,Steuerungsdaten!$B$17:$L$37,11,FALSE),1)-1),0),Steuerungsdaten!$E$5))</f>
        <v>147</v>
      </c>
      <c r="I166" s="77">
        <f>IF(VLOOKUP(C166,Steuerungsdaten!$P$17:$T$39,4,0)="","",MAX(ROUND(VLOOKUP(C166,Steuerungsdaten!$P$17:$T$39,4,0)*Steuerungsdaten!$B$4*Steuerungsdaten!$B$9*IFERROR(VLOOKUP(C166,Steuerungsdaten!$B$17:$G$37,6,FALSE),1)*POWER(IF(OR(E166=0,F166=0,E166="",F166=""),1,(E166*F166/1000000)/Steuerungsdaten!$B$6),IFERROR(VLOOKUP(C166,Steuerungsdaten!$B$17:$M$37,12,FALSE),1)-1),0),Steuerungsdaten!$E$6))</f>
        <v>153</v>
      </c>
      <c r="J166" s="77">
        <f>IF(VLOOKUP(C166,Steuerungsdaten!$P$17:$T$39,5,0)="","",MAX(ROUND(VLOOKUP(C166,Steuerungsdaten!$P$17:$T$39,5,0)*Steuerungsdaten!$B$4*Steuerungsdaten!$B$10*IFERROR(VLOOKUP(C166,Steuerungsdaten!$B$17:$I$37,8,FALSE),1)*POWER(IF(OR(E166=0,F166=0,E166="",F166=""),1,(E166*F166/1000000)/Steuerungsdaten!$B$6),IFERROR(VLOOKUP(C166,Steuerungsdaten!$B$17:$N$37,13,FALSE),1)-1),0),Steuerungsdaten!$E$7))</f>
        <v>170</v>
      </c>
      <c r="K166" s="77">
        <f>IFERROR(IF(G166="","",ROUND(G166*Steuerungsdaten!$B$5,0)),"-")</f>
        <v>49</v>
      </c>
      <c r="L166" s="77">
        <f>IFERROR(IF(H166="","",ROUND(H166*Steuerungsdaten!$B$5,0)),"-")</f>
        <v>169</v>
      </c>
      <c r="M166" s="77">
        <f>IFERROR(IF(I166="","",ROUND(I166*Steuerungsdaten!$B$5,0)),"-")</f>
        <v>176</v>
      </c>
      <c r="N166" s="78">
        <f>IFERROR(IF(J166="","",ROUND(J166*Steuerungsdaten!$B$5,0)),"-")</f>
        <v>196</v>
      </c>
      <c r="O166" s="79">
        <v>49</v>
      </c>
      <c r="P166" s="79">
        <f>IF(H166="","",ROUND(H166/(Steuerungsdaten!$B$4*Steuerungsdaten!$B$8*IFERROR(VLOOKUP(C166,Steuerungsdaten!$B$17:$E$37,4,FALSE),1)*POWER(IF(OR(E166=0,F166=0,E166="",F166=""),1,(E166*F166/1000000)/Steuerungsdaten!$B$6),IFERROR(VLOOKUP(C166,Steuerungsdaten!$B$17:$L$37,11,FALSE),1)-1)),0))</f>
        <v>240</v>
      </c>
      <c r="Q166" s="79">
        <f>IF(I166="","",ROUND(I166/(Steuerungsdaten!$B$4*Steuerungsdaten!$B$9*IFERROR(VLOOKUP(C166,Steuerungsdaten!$B$17:$G$37,6,FALSE),1)*POWER(IF(OR(E166=0,F166=0,E166="",F166=""),1,(E166*F166/1000000)/Steuerungsdaten!$B$6),IFERROR(VLOOKUP(C166,Steuerungsdaten!$B$17:$M$37,12,FALSE),1)-1)),0))</f>
        <v>250</v>
      </c>
      <c r="R166" s="79">
        <f>IF(J166="","",ROUND(J166/(Steuerungsdaten!$B$4*Steuerungsdaten!$B$10*IFERROR(VLOOKUP(C166,Steuerungsdaten!$B$17:$I$37,8,FALSE),1)*POWER(IF(OR(E166=0,F166=0,E166="",F166=""),1,(E166*F166/1000000)/Steuerungsdaten!$B$6),IFERROR(VLOOKUP(C166,Steuerungsdaten!$B$17:$N$37,13,FALSE),1)-1)),0))</f>
        <v>254</v>
      </c>
    </row>
    <row r="167" spans="1:18" x14ac:dyDescent="0.25">
      <c r="A167" s="69">
        <v>3707</v>
      </c>
      <c r="B167" s="70" t="s">
        <v>7</v>
      </c>
      <c r="C167" s="70" t="s">
        <v>165</v>
      </c>
      <c r="D167" s="70" t="s">
        <v>173</v>
      </c>
      <c r="E167" s="71">
        <v>580</v>
      </c>
      <c r="F167" s="71">
        <v>580</v>
      </c>
      <c r="G167" s="72">
        <f>IF(VLOOKUP(C167,Steuerungsdaten!$P$17:$T$39,2,0)="","",MAX(ROUND(VLOOKUP(C167,Steuerungsdaten!$P$17:$T$39,2,0)*Steuerungsdaten!$B$4*Steuerungsdaten!$B$7*IFERROR(VLOOKUP(C167,Steuerungsdaten!$B$17:$C$37,2,FALSE),1)*POWER(IF(OR(E167=0,F167=0,E167="",F167=""),1,(E167*F167/1000000)/Steuerungsdaten!$B$6),IFERROR(VLOOKUP(C167,Steuerungsdaten!$B$17:$K$37,10,FALSE),1)-1),0),Steuerungsdaten!$E$4))</f>
        <v>59</v>
      </c>
      <c r="H167" s="72">
        <f>IF(VLOOKUP(C167,Steuerungsdaten!$P$17:$T$39,3,0)="","",MAX(ROUND(VLOOKUP(C167,Steuerungsdaten!$P$17:$T$39,3,0)*Steuerungsdaten!$B$4*Steuerungsdaten!$B$8*IFERROR(VLOOKUP(C167,Steuerungsdaten!$B$17:$E$37,4,FALSE),1)*POWER(IF(OR(E167=0,F167=0,E167="",F167=""),1,(E167*F167/1000000)/Steuerungsdaten!$B$6),IFERROR(VLOOKUP(C167,Steuerungsdaten!$B$17:$L$37,11,FALSE),1)-1),0),Steuerungsdaten!$E$5))</f>
        <v>203</v>
      </c>
      <c r="I167" s="72">
        <f>IF(VLOOKUP(C167,Steuerungsdaten!$P$17:$T$39,4,0)="","",MAX(ROUND(VLOOKUP(C167,Steuerungsdaten!$P$17:$T$39,4,0)*Steuerungsdaten!$B$4*Steuerungsdaten!$B$9*IFERROR(VLOOKUP(C167,Steuerungsdaten!$B$17:$G$37,6,FALSE),1)*POWER(IF(OR(E167=0,F167=0,E167="",F167=""),1,(E167*F167/1000000)/Steuerungsdaten!$B$6),IFERROR(VLOOKUP(C167,Steuerungsdaten!$B$17:$M$37,12,FALSE),1)-1),0),Steuerungsdaten!$E$6))</f>
        <v>211</v>
      </c>
      <c r="J167" s="72">
        <f>IF(VLOOKUP(C167,Steuerungsdaten!$P$17:$T$39,5,0)="","",MAX(ROUND(VLOOKUP(C167,Steuerungsdaten!$P$17:$T$39,5,0)*Steuerungsdaten!$B$4*Steuerungsdaten!$B$10*IFERROR(VLOOKUP(C167,Steuerungsdaten!$B$17:$I$37,8,FALSE),1)*POWER(IF(OR(E167=0,F167=0,E167="",F167=""),1,(E167*F167/1000000)/Steuerungsdaten!$B$6),IFERROR(VLOOKUP(C167,Steuerungsdaten!$B$17:$N$37,13,FALSE),1)-1),0),Steuerungsdaten!$E$7))</f>
        <v>235</v>
      </c>
      <c r="K167" s="72">
        <f>IFERROR(IF(G167="","",ROUND(G167*Steuerungsdaten!$B$5,0)),"-")</f>
        <v>68</v>
      </c>
      <c r="L167" s="72">
        <f>IFERROR(IF(H167="","",ROUND(H167*Steuerungsdaten!$B$5,0)),"-")</f>
        <v>233</v>
      </c>
      <c r="M167" s="72">
        <f>IFERROR(IF(I167="","",ROUND(I167*Steuerungsdaten!$B$5,0)),"-")</f>
        <v>243</v>
      </c>
      <c r="N167" s="73">
        <f>IFERROR(IF(J167="","",ROUND(J167*Steuerungsdaten!$B$5,0)),"-")</f>
        <v>270</v>
      </c>
      <c r="O167" s="79">
        <v>67</v>
      </c>
      <c r="P167" s="79">
        <f>IF(H167="","",ROUND(H167/(Steuerungsdaten!$B$4*Steuerungsdaten!$B$8*IFERROR(VLOOKUP(C167,Steuerungsdaten!$B$17:$E$37,4,FALSE),1)*POWER(IF(OR(E167=0,F167=0,E167="",F167=""),1,(E167*F167/1000000)/Steuerungsdaten!$B$6),IFERROR(VLOOKUP(C167,Steuerungsdaten!$B$17:$L$37,11,FALSE),1)-1)),0))</f>
        <v>240</v>
      </c>
      <c r="Q167" s="79">
        <f>IF(I167="","",ROUND(I167/(Steuerungsdaten!$B$4*Steuerungsdaten!$B$9*IFERROR(VLOOKUP(C167,Steuerungsdaten!$B$17:$G$37,6,FALSE),1)*POWER(IF(OR(E167=0,F167=0,E167="",F167=""),1,(E167*F167/1000000)/Steuerungsdaten!$B$6),IFERROR(VLOOKUP(C167,Steuerungsdaten!$B$17:$M$37,12,FALSE),1)-1)),0))</f>
        <v>249</v>
      </c>
      <c r="R167" s="79">
        <f>IF(J167="","",ROUND(J167/(Steuerungsdaten!$B$4*Steuerungsdaten!$B$10*IFERROR(VLOOKUP(C167,Steuerungsdaten!$B$17:$I$37,8,FALSE),1)*POWER(IF(OR(E167=0,F167=0,E167="",F167=""),1,(E167*F167/1000000)/Steuerungsdaten!$B$6),IFERROR(VLOOKUP(C167,Steuerungsdaten!$B$17:$N$37,13,FALSE),1)-1)),0))</f>
        <v>255</v>
      </c>
    </row>
    <row r="168" spans="1:18" x14ac:dyDescent="0.25">
      <c r="A168" s="74">
        <v>3708</v>
      </c>
      <c r="B168" s="75" t="s">
        <v>7</v>
      </c>
      <c r="C168" s="75" t="s">
        <v>165</v>
      </c>
      <c r="D168" s="75" t="s">
        <v>174</v>
      </c>
      <c r="E168" s="76">
        <v>780</v>
      </c>
      <c r="F168" s="76">
        <v>580</v>
      </c>
      <c r="G168" s="77">
        <f>IF(VLOOKUP(C168,Steuerungsdaten!$P$17:$T$39,2,0)="","",MAX(ROUND(VLOOKUP(C168,Steuerungsdaten!$P$17:$T$39,2,0)*Steuerungsdaten!$B$4*Steuerungsdaten!$B$7*IFERROR(VLOOKUP(C168,Steuerungsdaten!$B$17:$C$37,2,FALSE),1)*POWER(IF(OR(E168=0,F168=0,E168="",F168=""),1,(E168*F168/1000000)/Steuerungsdaten!$B$6),IFERROR(VLOOKUP(C168,Steuerungsdaten!$B$17:$K$37,10,FALSE),1)-1),0),Steuerungsdaten!$E$4))</f>
        <v>80</v>
      </c>
      <c r="H168" s="77">
        <f>IF(VLOOKUP(C168,Steuerungsdaten!$P$17:$T$39,3,0)="","",MAX(ROUND(VLOOKUP(C168,Steuerungsdaten!$P$17:$T$39,3,0)*Steuerungsdaten!$B$4*Steuerungsdaten!$B$8*IFERROR(VLOOKUP(C168,Steuerungsdaten!$B$17:$E$37,4,FALSE),1)*POWER(IF(OR(E168=0,F168=0,E168="",F168=""),1,(E168*F168/1000000)/Steuerungsdaten!$B$6),IFERROR(VLOOKUP(C168,Steuerungsdaten!$B$17:$L$37,11,FALSE),1)-1),0),Steuerungsdaten!$E$5))</f>
        <v>273</v>
      </c>
      <c r="I168" s="77">
        <f>IF(VLOOKUP(C168,Steuerungsdaten!$P$17:$T$39,4,0)="","",MAX(ROUND(VLOOKUP(C168,Steuerungsdaten!$P$17:$T$39,4,0)*Steuerungsdaten!$B$4*Steuerungsdaten!$B$9*IFERROR(VLOOKUP(C168,Steuerungsdaten!$B$17:$G$37,6,FALSE),1)*POWER(IF(OR(E168=0,F168=0,E168="",F168=""),1,(E168*F168/1000000)/Steuerungsdaten!$B$6),IFERROR(VLOOKUP(C168,Steuerungsdaten!$B$17:$M$37,12,FALSE),1)-1),0),Steuerungsdaten!$E$6))</f>
        <v>284</v>
      </c>
      <c r="J168" s="77">
        <f>IF(VLOOKUP(C168,Steuerungsdaten!$P$17:$T$39,5,0)="","",MAX(ROUND(VLOOKUP(C168,Steuerungsdaten!$P$17:$T$39,5,0)*Steuerungsdaten!$B$4*Steuerungsdaten!$B$10*IFERROR(VLOOKUP(C168,Steuerungsdaten!$B$17:$I$37,8,FALSE),1)*POWER(IF(OR(E168=0,F168=0,E168="",F168=""),1,(E168*F168/1000000)/Steuerungsdaten!$B$6),IFERROR(VLOOKUP(C168,Steuerungsdaten!$B$17:$N$37,13,FALSE),1)-1),0),Steuerungsdaten!$E$7))</f>
        <v>316</v>
      </c>
      <c r="K168" s="77">
        <f>IFERROR(IF(G168="","",ROUND(G168*Steuerungsdaten!$B$5,0)),"-")</f>
        <v>92</v>
      </c>
      <c r="L168" s="77">
        <f>IFERROR(IF(H168="","",ROUND(H168*Steuerungsdaten!$B$5,0)),"-")</f>
        <v>314</v>
      </c>
      <c r="M168" s="77">
        <f>IFERROR(IF(I168="","",ROUND(I168*Steuerungsdaten!$B$5,0)),"-")</f>
        <v>327</v>
      </c>
      <c r="N168" s="78">
        <f>IFERROR(IF(J168="","",ROUND(J168*Steuerungsdaten!$B$5,0)),"-")</f>
        <v>363</v>
      </c>
      <c r="O168" s="79">
        <v>87</v>
      </c>
      <c r="P168" s="79">
        <f>IF(H168="","",ROUND(H168/(Steuerungsdaten!$B$4*Steuerungsdaten!$B$8*IFERROR(VLOOKUP(C168,Steuerungsdaten!$B$17:$E$37,4,FALSE),1)*POWER(IF(OR(E168=0,F168=0,E168="",F168=""),1,(E168*F168/1000000)/Steuerungsdaten!$B$6),IFERROR(VLOOKUP(C168,Steuerungsdaten!$B$17:$L$37,11,FALSE),1)-1)),0))</f>
        <v>240</v>
      </c>
      <c r="Q168" s="79">
        <f>IF(I168="","",ROUND(I168/(Steuerungsdaten!$B$4*Steuerungsdaten!$B$9*IFERROR(VLOOKUP(C168,Steuerungsdaten!$B$17:$G$37,6,FALSE),1)*POWER(IF(OR(E168=0,F168=0,E168="",F168=""),1,(E168*F168/1000000)/Steuerungsdaten!$B$6),IFERROR(VLOOKUP(C168,Steuerungsdaten!$B$17:$M$37,12,FALSE),1)-1)),0))</f>
        <v>250</v>
      </c>
      <c r="R168" s="79">
        <f>IF(J168="","",ROUND(J168/(Steuerungsdaten!$B$4*Steuerungsdaten!$B$10*IFERROR(VLOOKUP(C168,Steuerungsdaten!$B$17:$I$37,8,FALSE),1)*POWER(IF(OR(E168=0,F168=0,E168="",F168=""),1,(E168*F168/1000000)/Steuerungsdaten!$B$6),IFERROR(VLOOKUP(C168,Steuerungsdaten!$B$17:$N$37,13,FALSE),1)-1)),0))</f>
        <v>255</v>
      </c>
    </row>
    <row r="169" spans="1:18" x14ac:dyDescent="0.25">
      <c r="A169" s="69">
        <v>3709</v>
      </c>
      <c r="B169" s="70" t="s">
        <v>7</v>
      </c>
      <c r="C169" s="70" t="s">
        <v>165</v>
      </c>
      <c r="D169" s="70" t="s">
        <v>175</v>
      </c>
      <c r="E169" s="71">
        <v>980</v>
      </c>
      <c r="F169" s="71">
        <v>580</v>
      </c>
      <c r="G169" s="72">
        <f>IF(VLOOKUP(C169,Steuerungsdaten!$P$17:$T$39,2,0)="","",MAX(ROUND(VLOOKUP(C169,Steuerungsdaten!$P$17:$T$39,2,0)*Steuerungsdaten!$B$4*Steuerungsdaten!$B$7*IFERROR(VLOOKUP(C169,Steuerungsdaten!$B$17:$C$37,2,FALSE),1)*POWER(IF(OR(E169=0,F169=0,E169="",F169=""),1,(E169*F169/1000000)/Steuerungsdaten!$B$6),IFERROR(VLOOKUP(C169,Steuerungsdaten!$B$17:$K$37,10,FALSE),1)-1),0),Steuerungsdaten!$E$4))</f>
        <v>100</v>
      </c>
      <c r="H169" s="72">
        <f>IF(VLOOKUP(C169,Steuerungsdaten!$P$17:$T$39,3,0)="","",MAX(ROUND(VLOOKUP(C169,Steuerungsdaten!$P$17:$T$39,3,0)*Steuerungsdaten!$B$4*Steuerungsdaten!$B$8*IFERROR(VLOOKUP(C169,Steuerungsdaten!$B$17:$E$37,4,FALSE),1)*POWER(IF(OR(E169=0,F169=0,E169="",F169=""),1,(E169*F169/1000000)/Steuerungsdaten!$B$6),IFERROR(VLOOKUP(C169,Steuerungsdaten!$B$17:$L$37,11,FALSE),1)-1),0),Steuerungsdaten!$E$5))</f>
        <v>343</v>
      </c>
      <c r="I169" s="72">
        <f>IF(VLOOKUP(C169,Steuerungsdaten!$P$17:$T$39,4,0)="","",MAX(ROUND(VLOOKUP(C169,Steuerungsdaten!$P$17:$T$39,4,0)*Steuerungsdaten!$B$4*Steuerungsdaten!$B$9*IFERROR(VLOOKUP(C169,Steuerungsdaten!$B$17:$G$37,6,FALSE),1)*POWER(IF(OR(E169=0,F169=0,E169="",F169=""),1,(E169*F169/1000000)/Steuerungsdaten!$B$6),IFERROR(VLOOKUP(C169,Steuerungsdaten!$B$17:$M$37,12,FALSE),1)-1),0),Steuerungsdaten!$E$6))</f>
        <v>357</v>
      </c>
      <c r="J169" s="72">
        <f>IF(VLOOKUP(C169,Steuerungsdaten!$P$17:$T$39,5,0)="","",MAX(ROUND(VLOOKUP(C169,Steuerungsdaten!$P$17:$T$39,5,0)*Steuerungsdaten!$B$4*Steuerungsdaten!$B$10*IFERROR(VLOOKUP(C169,Steuerungsdaten!$B$17:$I$37,8,FALSE),1)*POWER(IF(OR(E169=0,F169=0,E169="",F169=""),1,(E169*F169/1000000)/Steuerungsdaten!$B$6),IFERROR(VLOOKUP(C169,Steuerungsdaten!$B$17:$N$37,13,FALSE),1)-1),0),Steuerungsdaten!$E$7))</f>
        <v>398</v>
      </c>
      <c r="K169" s="72">
        <f>IFERROR(IF(G169="","",ROUND(G169*Steuerungsdaten!$B$5,0)),"-")</f>
        <v>115</v>
      </c>
      <c r="L169" s="72">
        <f>IFERROR(IF(H169="","",ROUND(H169*Steuerungsdaten!$B$5,0)),"-")</f>
        <v>394</v>
      </c>
      <c r="M169" s="72">
        <f>IFERROR(IF(I169="","",ROUND(I169*Steuerungsdaten!$B$5,0)),"-")</f>
        <v>411</v>
      </c>
      <c r="N169" s="73">
        <f>IFERROR(IF(J169="","",ROUND(J169*Steuerungsdaten!$B$5,0)),"-")</f>
        <v>458</v>
      </c>
      <c r="O169" s="79">
        <v>110</v>
      </c>
      <c r="P169" s="79">
        <f>IF(H169="","",ROUND(H169/(Steuerungsdaten!$B$4*Steuerungsdaten!$B$8*IFERROR(VLOOKUP(C169,Steuerungsdaten!$B$17:$E$37,4,FALSE),1)*POWER(IF(OR(E169=0,F169=0,E169="",F169=""),1,(E169*F169/1000000)/Steuerungsdaten!$B$6),IFERROR(VLOOKUP(C169,Steuerungsdaten!$B$17:$L$37,11,FALSE),1)-1)),0))</f>
        <v>240</v>
      </c>
      <c r="Q169" s="79">
        <f>IF(I169="","",ROUND(I169/(Steuerungsdaten!$B$4*Steuerungsdaten!$B$9*IFERROR(VLOOKUP(C169,Steuerungsdaten!$B$17:$G$37,6,FALSE),1)*POWER(IF(OR(E169=0,F169=0,E169="",F169=""),1,(E169*F169/1000000)/Steuerungsdaten!$B$6),IFERROR(VLOOKUP(C169,Steuerungsdaten!$B$17:$M$37,12,FALSE),1)-1)),0))</f>
        <v>250</v>
      </c>
      <c r="R169" s="79">
        <f>IF(J169="","",ROUND(J169/(Steuerungsdaten!$B$4*Steuerungsdaten!$B$10*IFERROR(VLOOKUP(C169,Steuerungsdaten!$B$17:$I$37,8,FALSE),1)*POWER(IF(OR(E169=0,F169=0,E169="",F169=""),1,(E169*F169/1000000)/Steuerungsdaten!$B$6),IFERROR(VLOOKUP(C169,Steuerungsdaten!$B$17:$N$37,13,FALSE),1)-1)),0))</f>
        <v>255</v>
      </c>
    </row>
    <row r="170" spans="1:18" x14ac:dyDescent="0.25">
      <c r="A170" s="74">
        <v>3710</v>
      </c>
      <c r="B170" s="75" t="s">
        <v>7</v>
      </c>
      <c r="C170" s="75" t="s">
        <v>165</v>
      </c>
      <c r="D170" s="75" t="s">
        <v>176</v>
      </c>
      <c r="E170" s="76">
        <v>780</v>
      </c>
      <c r="F170" s="76">
        <v>780</v>
      </c>
      <c r="G170" s="77" t="s">
        <v>988</v>
      </c>
      <c r="H170" s="77" t="s">
        <v>988</v>
      </c>
      <c r="I170" s="77" t="s">
        <v>988</v>
      </c>
      <c r="J170" s="77" t="s">
        <v>988</v>
      </c>
      <c r="K170" s="77" t="s">
        <v>988</v>
      </c>
      <c r="L170" s="77" t="s">
        <v>988</v>
      </c>
      <c r="M170" s="77" t="s">
        <v>988</v>
      </c>
      <c r="N170" s="78" t="s">
        <v>988</v>
      </c>
      <c r="O170" s="79">
        <v>110</v>
      </c>
      <c r="P170" s="79" t="e">
        <f>IF(H170="","",ROUND(H170/(Steuerungsdaten!$B$4*Steuerungsdaten!$B$8*IFERROR(VLOOKUP(C170,Steuerungsdaten!$B$17:$E$37,4,FALSE),1)*POWER(IF(OR(E170=0,F170=0,E170="",F170=""),1,(E170*F170/1000000)/Steuerungsdaten!$B$6),IFERROR(VLOOKUP(C170,Steuerungsdaten!$B$17:$L$37,11,FALSE),1)-1)),0))</f>
        <v>#VALUE!</v>
      </c>
      <c r="Q170" s="79" t="e">
        <f>IF(I170="","",ROUND(I170/(Steuerungsdaten!$B$4*Steuerungsdaten!$B$9*IFERROR(VLOOKUP(C170,Steuerungsdaten!$B$17:$G$37,6,FALSE),1)*POWER(IF(OR(E170=0,F170=0,E170="",F170=""),1,(E170*F170/1000000)/Steuerungsdaten!$B$6),IFERROR(VLOOKUP(C170,Steuerungsdaten!$B$17:$M$37,12,FALSE),1)-1)),0))</f>
        <v>#VALUE!</v>
      </c>
      <c r="R170" s="79" t="e">
        <f>IF(J170="","",ROUND(J170/(Steuerungsdaten!$B$4*Steuerungsdaten!$B$10*IFERROR(VLOOKUP(C170,Steuerungsdaten!$B$17:$I$37,8,FALSE),1)*POWER(IF(OR(E170=0,F170=0,E170="",F170=""),1,(E170*F170/1000000)/Steuerungsdaten!$B$6),IFERROR(VLOOKUP(C170,Steuerungsdaten!$B$17:$N$37,13,FALSE),1)-1)),0))</f>
        <v>#VALUE!</v>
      </c>
    </row>
    <row r="171" spans="1:18" x14ac:dyDescent="0.25">
      <c r="A171" s="69">
        <v>3711</v>
      </c>
      <c r="B171" s="70" t="s">
        <v>7</v>
      </c>
      <c r="C171" s="70" t="s">
        <v>165</v>
      </c>
      <c r="D171" s="70" t="s">
        <v>177</v>
      </c>
      <c r="E171" s="71">
        <v>980</v>
      </c>
      <c r="F171" s="71">
        <v>780</v>
      </c>
      <c r="G171" s="72" t="s">
        <v>988</v>
      </c>
      <c r="H171" s="72" t="s">
        <v>988</v>
      </c>
      <c r="I171" s="72" t="s">
        <v>988</v>
      </c>
      <c r="J171" s="72" t="s">
        <v>988</v>
      </c>
      <c r="K171" s="72" t="s">
        <v>988</v>
      </c>
      <c r="L171" s="72" t="s">
        <v>988</v>
      </c>
      <c r="M171" s="72" t="s">
        <v>988</v>
      </c>
      <c r="N171" s="73" t="s">
        <v>988</v>
      </c>
      <c r="O171" s="79">
        <v>138</v>
      </c>
      <c r="P171" s="79" t="e">
        <f>IF(H171="","",ROUND(H171/(Steuerungsdaten!$B$4*Steuerungsdaten!$B$8*IFERROR(VLOOKUP(C171,Steuerungsdaten!$B$17:$E$37,4,FALSE),1)*POWER(IF(OR(E171=0,F171=0,E171="",F171=""),1,(E171*F171/1000000)/Steuerungsdaten!$B$6),IFERROR(VLOOKUP(C171,Steuerungsdaten!$B$17:$L$37,11,FALSE),1)-1)),0))</f>
        <v>#VALUE!</v>
      </c>
      <c r="Q171" s="79" t="e">
        <f>IF(I171="","",ROUND(I171/(Steuerungsdaten!$B$4*Steuerungsdaten!$B$9*IFERROR(VLOOKUP(C171,Steuerungsdaten!$B$17:$G$37,6,FALSE),1)*POWER(IF(OR(E171=0,F171=0,E171="",F171=""),1,(E171*F171/1000000)/Steuerungsdaten!$B$6),IFERROR(VLOOKUP(C171,Steuerungsdaten!$B$17:$M$37,12,FALSE),1)-1)),0))</f>
        <v>#VALUE!</v>
      </c>
      <c r="R171" s="79" t="e">
        <f>IF(J171="","",ROUND(J171/(Steuerungsdaten!$B$4*Steuerungsdaten!$B$10*IFERROR(VLOOKUP(C171,Steuerungsdaten!$B$17:$I$37,8,FALSE),1)*POWER(IF(OR(E171=0,F171=0,E171="",F171=""),1,(E171*F171/1000000)/Steuerungsdaten!$B$6),IFERROR(VLOOKUP(C171,Steuerungsdaten!$B$17:$N$37,13,FALSE),1)-1)),0))</f>
        <v>#VALUE!</v>
      </c>
    </row>
    <row r="172" spans="1:18" x14ac:dyDescent="0.25">
      <c r="A172" s="74">
        <v>3712</v>
      </c>
      <c r="B172" s="75" t="s">
        <v>7</v>
      </c>
      <c r="C172" s="75" t="s">
        <v>165</v>
      </c>
      <c r="D172" s="75" t="s">
        <v>178</v>
      </c>
      <c r="E172" s="76">
        <v>980</v>
      </c>
      <c r="F172" s="76">
        <v>980</v>
      </c>
      <c r="G172" s="77" t="s">
        <v>988</v>
      </c>
      <c r="H172" s="77" t="s">
        <v>988</v>
      </c>
      <c r="I172" s="77" t="s">
        <v>988</v>
      </c>
      <c r="J172" s="77" t="s">
        <v>988</v>
      </c>
      <c r="K172" s="77" t="s">
        <v>988</v>
      </c>
      <c r="L172" s="77" t="s">
        <v>988</v>
      </c>
      <c r="M172" s="77" t="s">
        <v>988</v>
      </c>
      <c r="N172" s="78" t="s">
        <v>988</v>
      </c>
      <c r="O172" s="79">
        <v>166</v>
      </c>
      <c r="P172" s="79" t="e">
        <f>IF(H172="","",ROUND(H172/(Steuerungsdaten!$B$4*Steuerungsdaten!$B$8*IFERROR(VLOOKUP(C172,Steuerungsdaten!$B$17:$E$37,4,FALSE),1)*POWER(IF(OR(E172=0,F172=0,E172="",F172=""),1,(E172*F172/1000000)/Steuerungsdaten!$B$6),IFERROR(VLOOKUP(C172,Steuerungsdaten!$B$17:$L$37,11,FALSE),1)-1)),0))</f>
        <v>#VALUE!</v>
      </c>
      <c r="Q172" s="79" t="e">
        <f>IF(I172="","",ROUND(I172/(Steuerungsdaten!$B$4*Steuerungsdaten!$B$9*IFERROR(VLOOKUP(C172,Steuerungsdaten!$B$17:$G$37,6,FALSE),1)*POWER(IF(OR(E172=0,F172=0,E172="",F172=""),1,(E172*F172/1000000)/Steuerungsdaten!$B$6),IFERROR(VLOOKUP(C172,Steuerungsdaten!$B$17:$M$37,12,FALSE),1)-1)),0))</f>
        <v>#VALUE!</v>
      </c>
      <c r="R172" s="79" t="e">
        <f>IF(J172="","",ROUND(J172/(Steuerungsdaten!$B$4*Steuerungsdaten!$B$10*IFERROR(VLOOKUP(C172,Steuerungsdaten!$B$17:$I$37,8,FALSE),1)*POWER(IF(OR(E172=0,F172=0,E172="",F172=""),1,(E172*F172/1000000)/Steuerungsdaten!$B$6),IFERROR(VLOOKUP(C172,Steuerungsdaten!$B$17:$N$37,13,FALSE),1)-1)),0))</f>
        <v>#VALUE!</v>
      </c>
    </row>
    <row r="173" spans="1:18" ht="21.95" customHeight="1" x14ac:dyDescent="0.25">
      <c r="A173" s="426" t="s">
        <v>179</v>
      </c>
      <c r="B173" s="426"/>
      <c r="C173" s="426"/>
      <c r="D173" s="426"/>
      <c r="E173" s="426"/>
      <c r="F173" s="426"/>
      <c r="G173" s="426"/>
      <c r="H173" s="426"/>
      <c r="I173" s="426"/>
      <c r="J173" s="426"/>
      <c r="K173" s="426" t="str">
        <f>IFERROR(IF(G173="","",ROUND(G173*Steuerungsdaten!$B$5,0)),"-")</f>
        <v/>
      </c>
      <c r="L173" s="426" t="str">
        <f>IFERROR(IF(H173="","",ROUND(H173*Steuerungsdaten!$B$5,0)),"-")</f>
        <v/>
      </c>
      <c r="M173" s="426" t="str">
        <f>IFERROR(IF(I173="","",ROUND(I173*Steuerungsdaten!$B$5,0)),"-")</f>
        <v/>
      </c>
      <c r="N173" s="426" t="str">
        <f>IFERROR(IF(J173="","",ROUND(J173*Steuerungsdaten!$B$5,0)),"-")</f>
        <v/>
      </c>
      <c r="O173" s="79"/>
      <c r="P173" s="79"/>
      <c r="Q173" s="79"/>
      <c r="R173" s="79"/>
    </row>
    <row r="174" spans="1:18" x14ac:dyDescent="0.25">
      <c r="A174" s="64">
        <v>3750</v>
      </c>
      <c r="B174" s="65" t="s">
        <v>7</v>
      </c>
      <c r="C174" s="65" t="s">
        <v>179</v>
      </c>
      <c r="D174" s="65" t="s">
        <v>180</v>
      </c>
      <c r="E174" s="66">
        <v>360</v>
      </c>
      <c r="F174" s="66">
        <v>360</v>
      </c>
      <c r="G174" s="67">
        <f>IF(VLOOKUP(C174,Steuerungsdaten!$P$17:$T$39,2,0)="","",MAX(ROUND(VLOOKUP(C174,Steuerungsdaten!$P$17:$T$39,2,0)*Steuerungsdaten!$B$4*Steuerungsdaten!$B$7*IFERROR(VLOOKUP(C174,Steuerungsdaten!$B$17:$C$37,2,FALSE),1)*POWER(IF(OR(E174=0,F174=0,E174="",F174=""),1,(E174*F174/1000000)/Steuerungsdaten!$B$6),IFERROR(VLOOKUP(C174,Steuerungsdaten!$B$17:$K$37,10,FALSE),1)-1),0),Steuerungsdaten!$E$4))</f>
        <v>25</v>
      </c>
      <c r="H174" s="67">
        <f>IF(VLOOKUP(C174,Steuerungsdaten!$P$17:$T$39,3,0)="","",MAX(ROUND(VLOOKUP(C174,Steuerungsdaten!$P$17:$T$39,3,0)*Steuerungsdaten!$B$4*Steuerungsdaten!$B$8*IFERROR(VLOOKUP(C174,Steuerungsdaten!$B$17:$E$37,4,FALSE),1)*POWER(IF(OR(E174=0,F174=0,E174="",F174=""),1,(E174*F174/1000000)/Steuerungsdaten!$B$6),IFERROR(VLOOKUP(C174,Steuerungsdaten!$B$17:$L$37,11,FALSE),1)-1),0),Steuerungsdaten!$E$5))</f>
        <v>103</v>
      </c>
      <c r="I174" s="67">
        <f>IF(VLOOKUP(C174,Steuerungsdaten!$P$17:$T$39,4,0)="","",MAX(ROUND(VLOOKUP(C174,Steuerungsdaten!$P$17:$T$39,4,0)*Steuerungsdaten!$B$4*Steuerungsdaten!$B$9*IFERROR(VLOOKUP(C174,Steuerungsdaten!$B$17:$G$37,6,FALSE),1)*POWER(IF(OR(E174=0,F174=0,E174="",F174=""),1,(E174*F174/1000000)/Steuerungsdaten!$B$6),IFERROR(VLOOKUP(C174,Steuerungsdaten!$B$17:$M$37,12,FALSE),1)-1),0),Steuerungsdaten!$E$6))</f>
        <v>120</v>
      </c>
      <c r="J174" s="67">
        <f>IF(VLOOKUP(C174,Steuerungsdaten!$P$17:$T$39,5,0)="","",MAX(ROUND(VLOOKUP(C174,Steuerungsdaten!$P$17:$T$39,5,0)*Steuerungsdaten!$B$4*Steuerungsdaten!$B$10*IFERROR(VLOOKUP(C174,Steuerungsdaten!$B$17:$I$37,8,FALSE),1)*POWER(IF(OR(E174=0,F174=0,E174="",F174=""),1,(E174*F174/1000000)/Steuerungsdaten!$B$6),IFERROR(VLOOKUP(C174,Steuerungsdaten!$B$17:$N$37,13,FALSE),1)-1),0),Steuerungsdaten!$E$7))</f>
        <v>145</v>
      </c>
      <c r="K174" s="67">
        <f>IFERROR(IF(G174="","",ROUND(G174*Steuerungsdaten!$B$5,0)),"-")</f>
        <v>29</v>
      </c>
      <c r="L174" s="67">
        <f>IFERROR(IF(H174="","",ROUND(H174*Steuerungsdaten!$B$5,0)),"-")</f>
        <v>118</v>
      </c>
      <c r="M174" s="67">
        <f>IFERROR(IF(I174="","",ROUND(I174*Steuerungsdaten!$B$5,0)),"-")</f>
        <v>138</v>
      </c>
      <c r="N174" s="68">
        <f>IFERROR(IF(J174="","",ROUND(J174*Steuerungsdaten!$B$5,0)),"-")</f>
        <v>167</v>
      </c>
      <c r="O174" s="79">
        <v>34</v>
      </c>
      <c r="P174" s="79">
        <f>IF(H174="","",ROUND(H174/(Steuerungsdaten!$B$4*Steuerungsdaten!$B$8*IFERROR(VLOOKUP(C174,Steuerungsdaten!$B$17:$E$37,4,FALSE),1)*POWER(IF(OR(E174=0,F174=0,E174="",F174=""),1,(E174*F174/1000000)/Steuerungsdaten!$B$6),IFERROR(VLOOKUP(C174,Steuerungsdaten!$B$17:$L$37,11,FALSE),1)-1)),0))</f>
        <v>316</v>
      </c>
      <c r="Q174" s="79">
        <f>IF(I174="","",ROUND(I174/(Steuerungsdaten!$B$4*Steuerungsdaten!$B$9*IFERROR(VLOOKUP(C174,Steuerungsdaten!$B$17:$G$37,6,FALSE),1)*POWER(IF(OR(E174=0,F174=0,E174="",F174=""),1,(E174*F174/1000000)/Steuerungsdaten!$B$6),IFERROR(VLOOKUP(C174,Steuerungsdaten!$B$17:$M$37,12,FALSE),1)-1)),0))</f>
        <v>368</v>
      </c>
      <c r="R174" s="79">
        <f>IF(J174="","",ROUND(J174/(Steuerungsdaten!$B$4*Steuerungsdaten!$B$10*IFERROR(VLOOKUP(C174,Steuerungsdaten!$B$17:$I$37,8,FALSE),1)*POWER(IF(OR(E174=0,F174=0,E174="",F174=""),1,(E174*F174/1000000)/Steuerungsdaten!$B$6),IFERROR(VLOOKUP(C174,Steuerungsdaten!$B$17:$N$37,13,FALSE),1)-1)),0))</f>
        <v>408</v>
      </c>
    </row>
    <row r="175" spans="1:18" x14ac:dyDescent="0.25">
      <c r="A175" s="69">
        <v>3751</v>
      </c>
      <c r="B175" s="70" t="s">
        <v>7</v>
      </c>
      <c r="C175" s="70" t="s">
        <v>179</v>
      </c>
      <c r="D175" s="70" t="s">
        <v>181</v>
      </c>
      <c r="E175" s="71">
        <v>420</v>
      </c>
      <c r="F175" s="71">
        <v>360</v>
      </c>
      <c r="G175" s="72">
        <f>IF(VLOOKUP(C175,Steuerungsdaten!$P$17:$T$39,2,0)="","",MAX(ROUND(VLOOKUP(C175,Steuerungsdaten!$P$17:$T$39,2,0)*Steuerungsdaten!$B$4*Steuerungsdaten!$B$7*IFERROR(VLOOKUP(C175,Steuerungsdaten!$B$17:$C$37,2,FALSE),1)*POWER(IF(OR(E175=0,F175=0,E175="",F175=""),1,(E175*F175/1000000)/Steuerungsdaten!$B$6),IFERROR(VLOOKUP(C175,Steuerungsdaten!$B$17:$K$37,10,FALSE),1)-1),0),Steuerungsdaten!$E$4))</f>
        <v>27</v>
      </c>
      <c r="H175" s="72">
        <f>IF(VLOOKUP(C175,Steuerungsdaten!$P$17:$T$39,3,0)="","",MAX(ROUND(VLOOKUP(C175,Steuerungsdaten!$P$17:$T$39,3,0)*Steuerungsdaten!$B$4*Steuerungsdaten!$B$8*IFERROR(VLOOKUP(C175,Steuerungsdaten!$B$17:$E$37,4,FALSE),1)*POWER(IF(OR(E175=0,F175=0,E175="",F175=""),1,(E175*F175/1000000)/Steuerungsdaten!$B$6),IFERROR(VLOOKUP(C175,Steuerungsdaten!$B$17:$L$37,11,FALSE),1)-1),0),Steuerungsdaten!$E$5))</f>
        <v>103</v>
      </c>
      <c r="I175" s="72">
        <f>IF(VLOOKUP(C175,Steuerungsdaten!$P$17:$T$39,4,0)="","",MAX(ROUND(VLOOKUP(C175,Steuerungsdaten!$P$17:$T$39,4,0)*Steuerungsdaten!$B$4*Steuerungsdaten!$B$9*IFERROR(VLOOKUP(C175,Steuerungsdaten!$B$17:$G$37,6,FALSE),1)*POWER(IF(OR(E175=0,F175=0,E175="",F175=""),1,(E175*F175/1000000)/Steuerungsdaten!$B$6),IFERROR(VLOOKUP(C175,Steuerungsdaten!$B$17:$M$37,12,FALSE),1)-1),0),Steuerungsdaten!$E$6))</f>
        <v>120</v>
      </c>
      <c r="J175" s="72">
        <f>IF(VLOOKUP(C175,Steuerungsdaten!$P$17:$T$39,5,0)="","",MAX(ROUND(VLOOKUP(C175,Steuerungsdaten!$P$17:$T$39,5,0)*Steuerungsdaten!$B$4*Steuerungsdaten!$B$10*IFERROR(VLOOKUP(C175,Steuerungsdaten!$B$17:$I$37,8,FALSE),1)*POWER(IF(OR(E175=0,F175=0,E175="",F175=""),1,(E175*F175/1000000)/Steuerungsdaten!$B$6),IFERROR(VLOOKUP(C175,Steuerungsdaten!$B$17:$N$37,13,FALSE),1)-1),0),Steuerungsdaten!$E$7))</f>
        <v>145</v>
      </c>
      <c r="K175" s="72">
        <f>IFERROR(IF(G175="","",ROUND(G175*Steuerungsdaten!$B$5,0)),"-")</f>
        <v>31</v>
      </c>
      <c r="L175" s="72">
        <f>IFERROR(IF(H175="","",ROUND(H175*Steuerungsdaten!$B$5,0)),"-")</f>
        <v>118</v>
      </c>
      <c r="M175" s="72">
        <f>IFERROR(IF(I175="","",ROUND(I175*Steuerungsdaten!$B$5,0)),"-")</f>
        <v>138</v>
      </c>
      <c r="N175" s="73">
        <f>IFERROR(IF(J175="","",ROUND(J175*Steuerungsdaten!$B$5,0)),"-")</f>
        <v>167</v>
      </c>
      <c r="O175" s="79">
        <v>34</v>
      </c>
      <c r="P175" s="79">
        <f>IF(H175="","",ROUND(H175/(Steuerungsdaten!$B$4*Steuerungsdaten!$B$8*IFERROR(VLOOKUP(C175,Steuerungsdaten!$B$17:$E$37,4,FALSE),1)*POWER(IF(OR(E175=0,F175=0,E175="",F175=""),1,(E175*F175/1000000)/Steuerungsdaten!$B$6),IFERROR(VLOOKUP(C175,Steuerungsdaten!$B$17:$L$37,11,FALSE),1)-1)),0))</f>
        <v>271</v>
      </c>
      <c r="Q175" s="79">
        <f>IF(I175="","",ROUND(I175/(Steuerungsdaten!$B$4*Steuerungsdaten!$B$9*IFERROR(VLOOKUP(C175,Steuerungsdaten!$B$17:$G$37,6,FALSE),1)*POWER(IF(OR(E175=0,F175=0,E175="",F175=""),1,(E175*F175/1000000)/Steuerungsdaten!$B$6),IFERROR(VLOOKUP(C175,Steuerungsdaten!$B$17:$M$37,12,FALSE),1)-1)),0))</f>
        <v>316</v>
      </c>
      <c r="R175" s="79">
        <f>IF(J175="","",ROUND(J175/(Steuerungsdaten!$B$4*Steuerungsdaten!$B$10*IFERROR(VLOOKUP(C175,Steuerungsdaten!$B$17:$I$37,8,FALSE),1)*POWER(IF(OR(E175=0,F175=0,E175="",F175=""),1,(E175*F175/1000000)/Steuerungsdaten!$B$6),IFERROR(VLOOKUP(C175,Steuerungsdaten!$B$17:$N$37,13,FALSE),1)-1)),0))</f>
        <v>350</v>
      </c>
    </row>
    <row r="176" spans="1:18" x14ac:dyDescent="0.25">
      <c r="A176" s="74">
        <v>3752</v>
      </c>
      <c r="B176" s="75" t="s">
        <v>7</v>
      </c>
      <c r="C176" s="75" t="s">
        <v>179</v>
      </c>
      <c r="D176" s="75" t="s">
        <v>182</v>
      </c>
      <c r="E176" s="76">
        <v>580</v>
      </c>
      <c r="F176" s="76">
        <v>360</v>
      </c>
      <c r="G176" s="77">
        <f>IF(VLOOKUP(C176,Steuerungsdaten!$P$17:$T$39,2,0)="","",MAX(ROUND(VLOOKUP(C176,Steuerungsdaten!$P$17:$T$39,2,0)*Steuerungsdaten!$B$4*Steuerungsdaten!$B$7*IFERROR(VLOOKUP(C176,Steuerungsdaten!$B$17:$C$37,2,FALSE),1)*POWER(IF(OR(E176=0,F176=0,E176="",F176=""),1,(E176*F176/1000000)/Steuerungsdaten!$B$6),IFERROR(VLOOKUP(C176,Steuerungsdaten!$B$17:$K$37,10,FALSE),1)-1),0),Steuerungsdaten!$E$4))</f>
        <v>37</v>
      </c>
      <c r="H176" s="77">
        <f>IF(VLOOKUP(C176,Steuerungsdaten!$P$17:$T$39,3,0)="","",MAX(ROUND(VLOOKUP(C176,Steuerungsdaten!$P$17:$T$39,3,0)*Steuerungsdaten!$B$4*Steuerungsdaten!$B$8*IFERROR(VLOOKUP(C176,Steuerungsdaten!$B$17:$E$37,4,FALSE),1)*POWER(IF(OR(E176=0,F176=0,E176="",F176=""),1,(E176*F176/1000000)/Steuerungsdaten!$B$6),IFERROR(VLOOKUP(C176,Steuerungsdaten!$B$17:$L$37,11,FALSE),1)-1),0),Steuerungsdaten!$E$5))</f>
        <v>126</v>
      </c>
      <c r="I176" s="77">
        <f>IF(VLOOKUP(C176,Steuerungsdaten!$P$17:$T$39,4,0)="","",MAX(ROUND(VLOOKUP(C176,Steuerungsdaten!$P$17:$T$39,4,0)*Steuerungsdaten!$B$4*Steuerungsdaten!$B$9*IFERROR(VLOOKUP(C176,Steuerungsdaten!$B$17:$G$37,6,FALSE),1)*POWER(IF(OR(E176=0,F176=0,E176="",F176=""),1,(E176*F176/1000000)/Steuerungsdaten!$B$6),IFERROR(VLOOKUP(C176,Steuerungsdaten!$B$17:$M$37,12,FALSE),1)-1),0),Steuerungsdaten!$E$6))</f>
        <v>131</v>
      </c>
      <c r="J176" s="77">
        <f>IF(VLOOKUP(C176,Steuerungsdaten!$P$17:$T$39,5,0)="","",MAX(ROUND(VLOOKUP(C176,Steuerungsdaten!$P$17:$T$39,5,0)*Steuerungsdaten!$B$4*Steuerungsdaten!$B$10*IFERROR(VLOOKUP(C176,Steuerungsdaten!$B$17:$I$37,8,FALSE),1)*POWER(IF(OR(E176=0,F176=0,E176="",F176=""),1,(E176*F176/1000000)/Steuerungsdaten!$B$6),IFERROR(VLOOKUP(C176,Steuerungsdaten!$B$17:$N$37,13,FALSE),1)-1),0),Steuerungsdaten!$E$7))</f>
        <v>146</v>
      </c>
      <c r="K176" s="77">
        <f>IFERROR(IF(G176="","",ROUND(G176*Steuerungsdaten!$B$5,0)),"-")</f>
        <v>43</v>
      </c>
      <c r="L176" s="77">
        <f>IFERROR(IF(H176="","",ROUND(H176*Steuerungsdaten!$B$5,0)),"-")</f>
        <v>145</v>
      </c>
      <c r="M176" s="77">
        <f>IFERROR(IF(I176="","",ROUND(I176*Steuerungsdaten!$B$5,0)),"-")</f>
        <v>151</v>
      </c>
      <c r="N176" s="78">
        <f>IFERROR(IF(J176="","",ROUND(J176*Steuerungsdaten!$B$5,0)),"-")</f>
        <v>168</v>
      </c>
      <c r="O176" s="79">
        <v>43</v>
      </c>
      <c r="P176" s="79">
        <f>IF(H176="","",ROUND(H176/(Steuerungsdaten!$B$4*Steuerungsdaten!$B$8*IFERROR(VLOOKUP(C176,Steuerungsdaten!$B$17:$E$37,4,FALSE),1)*POWER(IF(OR(E176=0,F176=0,E176="",F176=""),1,(E176*F176/1000000)/Steuerungsdaten!$B$6),IFERROR(VLOOKUP(C176,Steuerungsdaten!$B$17:$L$37,11,FALSE),1)-1)),0))</f>
        <v>240</v>
      </c>
      <c r="Q176" s="79">
        <f>IF(I176="","",ROUND(I176/(Steuerungsdaten!$B$4*Steuerungsdaten!$B$9*IFERROR(VLOOKUP(C176,Steuerungsdaten!$B$17:$G$37,6,FALSE),1)*POWER(IF(OR(E176=0,F176=0,E176="",F176=""),1,(E176*F176/1000000)/Steuerungsdaten!$B$6),IFERROR(VLOOKUP(C176,Steuerungsdaten!$B$17:$M$37,12,FALSE),1)-1)),0))</f>
        <v>250</v>
      </c>
      <c r="R176" s="79">
        <f>IF(J176="","",ROUND(J176/(Steuerungsdaten!$B$4*Steuerungsdaten!$B$10*IFERROR(VLOOKUP(C176,Steuerungsdaten!$B$17:$I$37,8,FALSE),1)*POWER(IF(OR(E176=0,F176=0,E176="",F176=""),1,(E176*F176/1000000)/Steuerungsdaten!$B$6),IFERROR(VLOOKUP(C176,Steuerungsdaten!$B$17:$N$37,13,FALSE),1)-1)),0))</f>
        <v>255</v>
      </c>
    </row>
    <row r="177" spans="1:18" x14ac:dyDescent="0.25">
      <c r="A177" s="69">
        <v>3753</v>
      </c>
      <c r="B177" s="70" t="s">
        <v>7</v>
      </c>
      <c r="C177" s="70" t="s">
        <v>179</v>
      </c>
      <c r="D177" s="70" t="s">
        <v>183</v>
      </c>
      <c r="E177" s="71">
        <v>780</v>
      </c>
      <c r="F177" s="71">
        <v>360</v>
      </c>
      <c r="G177" s="72">
        <f>IF(VLOOKUP(C177,Steuerungsdaten!$P$17:$T$39,2,0)="","",MAX(ROUND(VLOOKUP(C177,Steuerungsdaten!$P$17:$T$39,2,0)*Steuerungsdaten!$B$4*Steuerungsdaten!$B$7*IFERROR(VLOOKUP(C177,Steuerungsdaten!$B$17:$C$37,2,FALSE),1)*POWER(IF(OR(E177=0,F177=0,E177="",F177=""),1,(E177*F177/1000000)/Steuerungsdaten!$B$6),IFERROR(VLOOKUP(C177,Steuerungsdaten!$B$17:$K$37,10,FALSE),1)-1),0),Steuerungsdaten!$E$4))</f>
        <v>49</v>
      </c>
      <c r="H177" s="72">
        <f>IF(VLOOKUP(C177,Steuerungsdaten!$P$17:$T$39,3,0)="","",MAX(ROUND(VLOOKUP(C177,Steuerungsdaten!$P$17:$T$39,3,0)*Steuerungsdaten!$B$4*Steuerungsdaten!$B$8*IFERROR(VLOOKUP(C177,Steuerungsdaten!$B$17:$E$37,4,FALSE),1)*POWER(IF(OR(E177=0,F177=0,E177="",F177=""),1,(E177*F177/1000000)/Steuerungsdaten!$B$6),IFERROR(VLOOKUP(C177,Steuerungsdaten!$B$17:$L$37,11,FALSE),1)-1),0),Steuerungsdaten!$E$5))</f>
        <v>169</v>
      </c>
      <c r="I177" s="72">
        <f>IF(VLOOKUP(C177,Steuerungsdaten!$P$17:$T$39,4,0)="","",MAX(ROUND(VLOOKUP(C177,Steuerungsdaten!$P$17:$T$39,4,0)*Steuerungsdaten!$B$4*Steuerungsdaten!$B$9*IFERROR(VLOOKUP(C177,Steuerungsdaten!$B$17:$G$37,6,FALSE),1)*POWER(IF(OR(E177=0,F177=0,E177="",F177=""),1,(E177*F177/1000000)/Steuerungsdaten!$B$6),IFERROR(VLOOKUP(C177,Steuerungsdaten!$B$17:$M$37,12,FALSE),1)-1),0),Steuerungsdaten!$E$6))</f>
        <v>177</v>
      </c>
      <c r="J177" s="72">
        <f>IF(VLOOKUP(C177,Steuerungsdaten!$P$17:$T$39,5,0)="","",MAX(ROUND(VLOOKUP(C177,Steuerungsdaten!$P$17:$T$39,5,0)*Steuerungsdaten!$B$4*Steuerungsdaten!$B$10*IFERROR(VLOOKUP(C177,Steuerungsdaten!$B$17:$I$37,8,FALSE),1)*POWER(IF(OR(E177=0,F177=0,E177="",F177=""),1,(E177*F177/1000000)/Steuerungsdaten!$B$6),IFERROR(VLOOKUP(C177,Steuerungsdaten!$B$17:$N$37,13,FALSE),1)-1),0),Steuerungsdaten!$E$7))</f>
        <v>196</v>
      </c>
      <c r="K177" s="72">
        <f>IFERROR(IF(G177="","",ROUND(G177*Steuerungsdaten!$B$5,0)),"-")</f>
        <v>56</v>
      </c>
      <c r="L177" s="72">
        <f>IFERROR(IF(H177="","",ROUND(H177*Steuerungsdaten!$B$5,0)),"-")</f>
        <v>194</v>
      </c>
      <c r="M177" s="72">
        <f>IFERROR(IF(I177="","",ROUND(I177*Steuerungsdaten!$B$5,0)),"-")</f>
        <v>204</v>
      </c>
      <c r="N177" s="73">
        <f>IFERROR(IF(J177="","",ROUND(J177*Steuerungsdaten!$B$5,0)),"-")</f>
        <v>225</v>
      </c>
      <c r="O177" s="79">
        <v>56</v>
      </c>
      <c r="P177" s="79">
        <f>IF(H177="","",ROUND(H177/(Steuerungsdaten!$B$4*Steuerungsdaten!$B$8*IFERROR(VLOOKUP(C177,Steuerungsdaten!$B$17:$E$37,4,FALSE),1)*POWER(IF(OR(E177=0,F177=0,E177="",F177=""),1,(E177*F177/1000000)/Steuerungsdaten!$B$6),IFERROR(VLOOKUP(C177,Steuerungsdaten!$B$17:$L$37,11,FALSE),1)-1)),0))</f>
        <v>239</v>
      </c>
      <c r="Q177" s="79">
        <f>IF(I177="","",ROUND(I177/(Steuerungsdaten!$B$4*Steuerungsdaten!$B$9*IFERROR(VLOOKUP(C177,Steuerungsdaten!$B$17:$G$37,6,FALSE),1)*POWER(IF(OR(E177=0,F177=0,E177="",F177=""),1,(E177*F177/1000000)/Steuerungsdaten!$B$6),IFERROR(VLOOKUP(C177,Steuerungsdaten!$B$17:$M$37,12,FALSE),1)-1)),0))</f>
        <v>251</v>
      </c>
      <c r="R177" s="79">
        <f>IF(J177="","",ROUND(J177/(Steuerungsdaten!$B$4*Steuerungsdaten!$B$10*IFERROR(VLOOKUP(C177,Steuerungsdaten!$B$17:$I$37,8,FALSE),1)*POWER(IF(OR(E177=0,F177=0,E177="",F177=""),1,(E177*F177/1000000)/Steuerungsdaten!$B$6),IFERROR(VLOOKUP(C177,Steuerungsdaten!$B$17:$N$37,13,FALSE),1)-1)),0))</f>
        <v>254</v>
      </c>
    </row>
    <row r="178" spans="1:18" x14ac:dyDescent="0.25">
      <c r="A178" s="74">
        <v>3754</v>
      </c>
      <c r="B178" s="75" t="s">
        <v>7</v>
      </c>
      <c r="C178" s="75" t="s">
        <v>179</v>
      </c>
      <c r="D178" s="75" t="s">
        <v>184</v>
      </c>
      <c r="E178" s="76">
        <v>980</v>
      </c>
      <c r="F178" s="76">
        <v>360</v>
      </c>
      <c r="G178" s="77">
        <f>IF(VLOOKUP(C178,Steuerungsdaten!$P$17:$T$39,2,0)="","",MAX(ROUND(VLOOKUP(C178,Steuerungsdaten!$P$17:$T$39,2,0)*Steuerungsdaten!$B$4*Steuerungsdaten!$B$7*IFERROR(VLOOKUP(C178,Steuerungsdaten!$B$17:$C$37,2,FALSE),1)*POWER(IF(OR(E178=0,F178=0,E178="",F178=""),1,(E178*F178/1000000)/Steuerungsdaten!$B$6),IFERROR(VLOOKUP(C178,Steuerungsdaten!$B$17:$K$37,10,FALSE),1)-1),0),Steuerungsdaten!$E$4))</f>
        <v>62</v>
      </c>
      <c r="H178" s="77">
        <f>IF(VLOOKUP(C178,Steuerungsdaten!$P$17:$T$39,3,0)="","",MAX(ROUND(VLOOKUP(C178,Steuerungsdaten!$P$17:$T$39,3,0)*Steuerungsdaten!$B$4*Steuerungsdaten!$B$8*IFERROR(VLOOKUP(C178,Steuerungsdaten!$B$17:$E$37,4,FALSE),1)*POWER(IF(OR(E178=0,F178=0,E178="",F178=""),1,(E178*F178/1000000)/Steuerungsdaten!$B$6),IFERROR(VLOOKUP(C178,Steuerungsdaten!$B$17:$L$37,11,FALSE),1)-1),0),Steuerungsdaten!$E$5))</f>
        <v>213</v>
      </c>
      <c r="I178" s="77">
        <f>IF(VLOOKUP(C178,Steuerungsdaten!$P$17:$T$39,4,0)="","",MAX(ROUND(VLOOKUP(C178,Steuerungsdaten!$P$17:$T$39,4,0)*Steuerungsdaten!$B$4*Steuerungsdaten!$B$9*IFERROR(VLOOKUP(C178,Steuerungsdaten!$B$17:$G$37,6,FALSE),1)*POWER(IF(OR(E178=0,F178=0,E178="",F178=""),1,(E178*F178/1000000)/Steuerungsdaten!$B$6),IFERROR(VLOOKUP(C178,Steuerungsdaten!$B$17:$M$37,12,FALSE),1)-1),0),Steuerungsdaten!$E$6))</f>
        <v>222</v>
      </c>
      <c r="J178" s="77">
        <f>IF(VLOOKUP(C178,Steuerungsdaten!$P$17:$T$39,5,0)="","",MAX(ROUND(VLOOKUP(C178,Steuerungsdaten!$P$17:$T$39,5,0)*Steuerungsdaten!$B$4*Steuerungsdaten!$B$10*IFERROR(VLOOKUP(C178,Steuerungsdaten!$B$17:$I$37,8,FALSE),1)*POWER(IF(OR(E178=0,F178=0,E178="",F178=""),1,(E178*F178/1000000)/Steuerungsdaten!$B$6),IFERROR(VLOOKUP(C178,Steuerungsdaten!$B$17:$N$37,13,FALSE),1)-1),0),Steuerungsdaten!$E$7))</f>
        <v>247</v>
      </c>
      <c r="K178" s="77">
        <f>IFERROR(IF(G178="","",ROUND(G178*Steuerungsdaten!$B$5,0)),"-")</f>
        <v>71</v>
      </c>
      <c r="L178" s="77">
        <f>IFERROR(IF(H178="","",ROUND(H178*Steuerungsdaten!$B$5,0)),"-")</f>
        <v>245</v>
      </c>
      <c r="M178" s="77">
        <f>IFERROR(IF(I178="","",ROUND(I178*Steuerungsdaten!$B$5,0)),"-")</f>
        <v>255</v>
      </c>
      <c r="N178" s="78">
        <f>IFERROR(IF(J178="","",ROUND(J178*Steuerungsdaten!$B$5,0)),"-")</f>
        <v>284</v>
      </c>
      <c r="O178" s="79">
        <v>70</v>
      </c>
      <c r="P178" s="79">
        <f>IF(H178="","",ROUND(H178/(Steuerungsdaten!$B$4*Steuerungsdaten!$B$8*IFERROR(VLOOKUP(C178,Steuerungsdaten!$B$17:$E$37,4,FALSE),1)*POWER(IF(OR(E178=0,F178=0,E178="",F178=""),1,(E178*F178/1000000)/Steuerungsdaten!$B$6),IFERROR(VLOOKUP(C178,Steuerungsdaten!$B$17:$L$37,11,FALSE),1)-1)),0))</f>
        <v>240</v>
      </c>
      <c r="Q178" s="79">
        <f>IF(I178="","",ROUND(I178/(Steuerungsdaten!$B$4*Steuerungsdaten!$B$9*IFERROR(VLOOKUP(C178,Steuerungsdaten!$B$17:$G$37,6,FALSE),1)*POWER(IF(OR(E178=0,F178=0,E178="",F178=""),1,(E178*F178/1000000)/Steuerungsdaten!$B$6),IFERROR(VLOOKUP(C178,Steuerungsdaten!$B$17:$M$37,12,FALSE),1)-1)),0))</f>
        <v>250</v>
      </c>
      <c r="R178" s="79">
        <f>IF(J178="","",ROUND(J178/(Steuerungsdaten!$B$4*Steuerungsdaten!$B$10*IFERROR(VLOOKUP(C178,Steuerungsdaten!$B$17:$I$37,8,FALSE),1)*POWER(IF(OR(E178=0,F178=0,E178="",F178=""),1,(E178*F178/1000000)/Steuerungsdaten!$B$6),IFERROR(VLOOKUP(C178,Steuerungsdaten!$B$17:$N$37,13,FALSE),1)-1)),0))</f>
        <v>255</v>
      </c>
    </row>
    <row r="179" spans="1:18" x14ac:dyDescent="0.25">
      <c r="A179" s="69">
        <v>3755</v>
      </c>
      <c r="B179" s="70" t="s">
        <v>7</v>
      </c>
      <c r="C179" s="70" t="s">
        <v>179</v>
      </c>
      <c r="D179" s="70" t="s">
        <v>185</v>
      </c>
      <c r="E179" s="71">
        <v>360</v>
      </c>
      <c r="F179" s="71">
        <v>580</v>
      </c>
      <c r="G179" s="72">
        <f>IF(VLOOKUP(C179,Steuerungsdaten!$P$17:$T$39,2,0)="","",MAX(ROUND(VLOOKUP(C179,Steuerungsdaten!$P$17:$T$39,2,0)*Steuerungsdaten!$B$4*Steuerungsdaten!$B$7*IFERROR(VLOOKUP(C179,Steuerungsdaten!$B$17:$C$37,2,FALSE),1)*POWER(IF(OR(E179=0,F179=0,E179="",F179=""),1,(E179*F179/1000000)/Steuerungsdaten!$B$6),IFERROR(VLOOKUP(C179,Steuerungsdaten!$B$17:$K$37,10,FALSE),1)-1),0),Steuerungsdaten!$E$4))</f>
        <v>37</v>
      </c>
      <c r="H179" s="72">
        <f>IF(VLOOKUP(C179,Steuerungsdaten!$P$17:$T$39,3,0)="","",MAX(ROUND(VLOOKUP(C179,Steuerungsdaten!$P$17:$T$39,3,0)*Steuerungsdaten!$B$4*Steuerungsdaten!$B$8*IFERROR(VLOOKUP(C179,Steuerungsdaten!$B$17:$E$37,4,FALSE),1)*POWER(IF(OR(E179=0,F179=0,E179="",F179=""),1,(E179*F179/1000000)/Steuerungsdaten!$B$6),IFERROR(VLOOKUP(C179,Steuerungsdaten!$B$17:$L$37,11,FALSE),1)-1),0),Steuerungsdaten!$E$5))</f>
        <v>126</v>
      </c>
      <c r="I179" s="72">
        <f>IF(VLOOKUP(C179,Steuerungsdaten!$P$17:$T$39,4,0)="","",MAX(ROUND(VLOOKUP(C179,Steuerungsdaten!$P$17:$T$39,4,0)*Steuerungsdaten!$B$4*Steuerungsdaten!$B$9*IFERROR(VLOOKUP(C179,Steuerungsdaten!$B$17:$G$37,6,FALSE),1)*POWER(IF(OR(E179=0,F179=0,E179="",F179=""),1,(E179*F179/1000000)/Steuerungsdaten!$B$6),IFERROR(VLOOKUP(C179,Steuerungsdaten!$B$17:$M$37,12,FALSE),1)-1),0),Steuerungsdaten!$E$6))</f>
        <v>131</v>
      </c>
      <c r="J179" s="72">
        <f>IF(VLOOKUP(C179,Steuerungsdaten!$P$17:$T$39,5,0)="","",MAX(ROUND(VLOOKUP(C179,Steuerungsdaten!$P$17:$T$39,5,0)*Steuerungsdaten!$B$4*Steuerungsdaten!$B$10*IFERROR(VLOOKUP(C179,Steuerungsdaten!$B$17:$I$37,8,FALSE),1)*POWER(IF(OR(E179=0,F179=0,E179="",F179=""),1,(E179*F179/1000000)/Steuerungsdaten!$B$6),IFERROR(VLOOKUP(C179,Steuerungsdaten!$B$17:$N$37,13,FALSE),1)-1),0),Steuerungsdaten!$E$7))</f>
        <v>146</v>
      </c>
      <c r="K179" s="72">
        <f>IFERROR(IF(G179="","",ROUND(G179*Steuerungsdaten!$B$5,0)),"-")</f>
        <v>43</v>
      </c>
      <c r="L179" s="72">
        <f>IFERROR(IF(H179="","",ROUND(H179*Steuerungsdaten!$B$5,0)),"-")</f>
        <v>145</v>
      </c>
      <c r="M179" s="72">
        <f>IFERROR(IF(I179="","",ROUND(I179*Steuerungsdaten!$B$5,0)),"-")</f>
        <v>151</v>
      </c>
      <c r="N179" s="73">
        <f>IFERROR(IF(J179="","",ROUND(J179*Steuerungsdaten!$B$5,0)),"-")</f>
        <v>168</v>
      </c>
      <c r="O179" s="79">
        <v>43</v>
      </c>
      <c r="P179" s="79">
        <f>IF(H179="","",ROUND(H179/(Steuerungsdaten!$B$4*Steuerungsdaten!$B$8*IFERROR(VLOOKUP(C179,Steuerungsdaten!$B$17:$E$37,4,FALSE),1)*POWER(IF(OR(E179=0,F179=0,E179="",F179=""),1,(E179*F179/1000000)/Steuerungsdaten!$B$6),IFERROR(VLOOKUP(C179,Steuerungsdaten!$B$17:$L$37,11,FALSE),1)-1)),0))</f>
        <v>240</v>
      </c>
      <c r="Q179" s="79">
        <f>IF(I179="","",ROUND(I179/(Steuerungsdaten!$B$4*Steuerungsdaten!$B$9*IFERROR(VLOOKUP(C179,Steuerungsdaten!$B$17:$G$37,6,FALSE),1)*POWER(IF(OR(E179=0,F179=0,E179="",F179=""),1,(E179*F179/1000000)/Steuerungsdaten!$B$6),IFERROR(VLOOKUP(C179,Steuerungsdaten!$B$17:$M$37,12,FALSE),1)-1)),0))</f>
        <v>250</v>
      </c>
      <c r="R179" s="79">
        <f>IF(J179="","",ROUND(J179/(Steuerungsdaten!$B$4*Steuerungsdaten!$B$10*IFERROR(VLOOKUP(C179,Steuerungsdaten!$B$17:$I$37,8,FALSE),1)*POWER(IF(OR(E179=0,F179=0,E179="",F179=""),1,(E179*F179/1000000)/Steuerungsdaten!$B$6),IFERROR(VLOOKUP(C179,Steuerungsdaten!$B$17:$N$37,13,FALSE),1)-1)),0))</f>
        <v>255</v>
      </c>
    </row>
    <row r="180" spans="1:18" x14ac:dyDescent="0.25">
      <c r="A180" s="74">
        <v>3756</v>
      </c>
      <c r="B180" s="75" t="s">
        <v>7</v>
      </c>
      <c r="C180" s="75" t="s">
        <v>179</v>
      </c>
      <c r="D180" s="75" t="s">
        <v>186</v>
      </c>
      <c r="E180" s="76">
        <v>420</v>
      </c>
      <c r="F180" s="76">
        <v>580</v>
      </c>
      <c r="G180" s="77">
        <f>IF(VLOOKUP(C180,Steuerungsdaten!$P$17:$T$39,2,0)="","",MAX(ROUND(VLOOKUP(C180,Steuerungsdaten!$P$17:$T$39,2,0)*Steuerungsdaten!$B$4*Steuerungsdaten!$B$7*IFERROR(VLOOKUP(C180,Steuerungsdaten!$B$17:$C$37,2,FALSE),1)*POWER(IF(OR(E180=0,F180=0,E180="",F180=""),1,(E180*F180/1000000)/Steuerungsdaten!$B$6),IFERROR(VLOOKUP(C180,Steuerungsdaten!$B$17:$K$37,10,FALSE),1)-1),0),Steuerungsdaten!$E$4))</f>
        <v>43</v>
      </c>
      <c r="H180" s="77">
        <f>IF(VLOOKUP(C180,Steuerungsdaten!$P$17:$T$39,3,0)="","",MAX(ROUND(VLOOKUP(C180,Steuerungsdaten!$P$17:$T$39,3,0)*Steuerungsdaten!$B$4*Steuerungsdaten!$B$8*IFERROR(VLOOKUP(C180,Steuerungsdaten!$B$17:$E$37,4,FALSE),1)*POWER(IF(OR(E180=0,F180=0,E180="",F180=""),1,(E180*F180/1000000)/Steuerungsdaten!$B$6),IFERROR(VLOOKUP(C180,Steuerungsdaten!$B$17:$L$37,11,FALSE),1)-1),0),Steuerungsdaten!$E$5))</f>
        <v>147</v>
      </c>
      <c r="I180" s="77">
        <f>IF(VLOOKUP(C180,Steuerungsdaten!$P$17:$T$39,4,0)="","",MAX(ROUND(VLOOKUP(C180,Steuerungsdaten!$P$17:$T$39,4,0)*Steuerungsdaten!$B$4*Steuerungsdaten!$B$9*IFERROR(VLOOKUP(C180,Steuerungsdaten!$B$17:$G$37,6,FALSE),1)*POWER(IF(OR(E180=0,F180=0,E180="",F180=""),1,(E180*F180/1000000)/Steuerungsdaten!$B$6),IFERROR(VLOOKUP(C180,Steuerungsdaten!$B$17:$M$37,12,FALSE),1)-1),0),Steuerungsdaten!$E$6))</f>
        <v>153</v>
      </c>
      <c r="J180" s="77">
        <f>IF(VLOOKUP(C180,Steuerungsdaten!$P$17:$T$39,5,0)="","",MAX(ROUND(VLOOKUP(C180,Steuerungsdaten!$P$17:$T$39,5,0)*Steuerungsdaten!$B$4*Steuerungsdaten!$B$10*IFERROR(VLOOKUP(C180,Steuerungsdaten!$B$17:$I$37,8,FALSE),1)*POWER(IF(OR(E180=0,F180=0,E180="",F180=""),1,(E180*F180/1000000)/Steuerungsdaten!$B$6),IFERROR(VLOOKUP(C180,Steuerungsdaten!$B$17:$N$37,13,FALSE),1)-1),0),Steuerungsdaten!$E$7))</f>
        <v>170</v>
      </c>
      <c r="K180" s="77">
        <f>IFERROR(IF(G180="","",ROUND(G180*Steuerungsdaten!$B$5,0)),"-")</f>
        <v>49</v>
      </c>
      <c r="L180" s="77">
        <f>IFERROR(IF(H180="","",ROUND(H180*Steuerungsdaten!$B$5,0)),"-")</f>
        <v>169</v>
      </c>
      <c r="M180" s="77">
        <f>IFERROR(IF(I180="","",ROUND(I180*Steuerungsdaten!$B$5,0)),"-")</f>
        <v>176</v>
      </c>
      <c r="N180" s="78">
        <f>IFERROR(IF(J180="","",ROUND(J180*Steuerungsdaten!$B$5,0)),"-")</f>
        <v>196</v>
      </c>
      <c r="O180" s="79">
        <v>49</v>
      </c>
      <c r="P180" s="79">
        <f>IF(H180="","",ROUND(H180/(Steuerungsdaten!$B$4*Steuerungsdaten!$B$8*IFERROR(VLOOKUP(C180,Steuerungsdaten!$B$17:$E$37,4,FALSE),1)*POWER(IF(OR(E180=0,F180=0,E180="",F180=""),1,(E180*F180/1000000)/Steuerungsdaten!$B$6),IFERROR(VLOOKUP(C180,Steuerungsdaten!$B$17:$L$37,11,FALSE),1)-1)),0))</f>
        <v>240</v>
      </c>
      <c r="Q180" s="79">
        <f>IF(I180="","",ROUND(I180/(Steuerungsdaten!$B$4*Steuerungsdaten!$B$9*IFERROR(VLOOKUP(C180,Steuerungsdaten!$B$17:$G$37,6,FALSE),1)*POWER(IF(OR(E180=0,F180=0,E180="",F180=""),1,(E180*F180/1000000)/Steuerungsdaten!$B$6),IFERROR(VLOOKUP(C180,Steuerungsdaten!$B$17:$M$37,12,FALSE),1)-1)),0))</f>
        <v>250</v>
      </c>
      <c r="R180" s="79">
        <f>IF(J180="","",ROUND(J180/(Steuerungsdaten!$B$4*Steuerungsdaten!$B$10*IFERROR(VLOOKUP(C180,Steuerungsdaten!$B$17:$I$37,8,FALSE),1)*POWER(IF(OR(E180=0,F180=0,E180="",F180=""),1,(E180*F180/1000000)/Steuerungsdaten!$B$6),IFERROR(VLOOKUP(C180,Steuerungsdaten!$B$17:$N$37,13,FALSE),1)-1)),0))</f>
        <v>254</v>
      </c>
    </row>
    <row r="181" spans="1:18" x14ac:dyDescent="0.25">
      <c r="A181" s="69">
        <v>3757</v>
      </c>
      <c r="B181" s="70" t="s">
        <v>7</v>
      </c>
      <c r="C181" s="70" t="s">
        <v>179</v>
      </c>
      <c r="D181" s="70" t="s">
        <v>187</v>
      </c>
      <c r="E181" s="71">
        <v>580</v>
      </c>
      <c r="F181" s="71">
        <v>580</v>
      </c>
      <c r="G181" s="72">
        <f>IF(VLOOKUP(C181,Steuerungsdaten!$P$17:$T$39,2,0)="","",MAX(ROUND(VLOOKUP(C181,Steuerungsdaten!$P$17:$T$39,2,0)*Steuerungsdaten!$B$4*Steuerungsdaten!$B$7*IFERROR(VLOOKUP(C181,Steuerungsdaten!$B$17:$C$37,2,FALSE),1)*POWER(IF(OR(E181=0,F181=0,E181="",F181=""),1,(E181*F181/1000000)/Steuerungsdaten!$B$6),IFERROR(VLOOKUP(C181,Steuerungsdaten!$B$17:$K$37,10,FALSE),1)-1),0),Steuerungsdaten!$E$4))</f>
        <v>59</v>
      </c>
      <c r="H181" s="72">
        <f>IF(VLOOKUP(C181,Steuerungsdaten!$P$17:$T$39,3,0)="","",MAX(ROUND(VLOOKUP(C181,Steuerungsdaten!$P$17:$T$39,3,0)*Steuerungsdaten!$B$4*Steuerungsdaten!$B$8*IFERROR(VLOOKUP(C181,Steuerungsdaten!$B$17:$E$37,4,FALSE),1)*POWER(IF(OR(E181=0,F181=0,E181="",F181=""),1,(E181*F181/1000000)/Steuerungsdaten!$B$6),IFERROR(VLOOKUP(C181,Steuerungsdaten!$B$17:$L$37,11,FALSE),1)-1),0),Steuerungsdaten!$E$5))</f>
        <v>203</v>
      </c>
      <c r="I181" s="72">
        <f>IF(VLOOKUP(C181,Steuerungsdaten!$P$17:$T$39,4,0)="","",MAX(ROUND(VLOOKUP(C181,Steuerungsdaten!$P$17:$T$39,4,0)*Steuerungsdaten!$B$4*Steuerungsdaten!$B$9*IFERROR(VLOOKUP(C181,Steuerungsdaten!$B$17:$G$37,6,FALSE),1)*POWER(IF(OR(E181=0,F181=0,E181="",F181=""),1,(E181*F181/1000000)/Steuerungsdaten!$B$6),IFERROR(VLOOKUP(C181,Steuerungsdaten!$B$17:$M$37,12,FALSE),1)-1),0),Steuerungsdaten!$E$6))</f>
        <v>211</v>
      </c>
      <c r="J181" s="72">
        <f>IF(VLOOKUP(C181,Steuerungsdaten!$P$17:$T$39,5,0)="","",MAX(ROUND(VLOOKUP(C181,Steuerungsdaten!$P$17:$T$39,5,0)*Steuerungsdaten!$B$4*Steuerungsdaten!$B$10*IFERROR(VLOOKUP(C181,Steuerungsdaten!$B$17:$I$37,8,FALSE),1)*POWER(IF(OR(E181=0,F181=0,E181="",F181=""),1,(E181*F181/1000000)/Steuerungsdaten!$B$6),IFERROR(VLOOKUP(C181,Steuerungsdaten!$B$17:$N$37,13,FALSE),1)-1),0),Steuerungsdaten!$E$7))</f>
        <v>235</v>
      </c>
      <c r="K181" s="72">
        <f>IFERROR(IF(G181="","",ROUND(G181*Steuerungsdaten!$B$5,0)),"-")</f>
        <v>68</v>
      </c>
      <c r="L181" s="72">
        <f>IFERROR(IF(H181="","",ROUND(H181*Steuerungsdaten!$B$5,0)),"-")</f>
        <v>233</v>
      </c>
      <c r="M181" s="72">
        <f>IFERROR(IF(I181="","",ROUND(I181*Steuerungsdaten!$B$5,0)),"-")</f>
        <v>243</v>
      </c>
      <c r="N181" s="73">
        <f>IFERROR(IF(J181="","",ROUND(J181*Steuerungsdaten!$B$5,0)),"-")</f>
        <v>270</v>
      </c>
      <c r="O181" s="79">
        <v>67</v>
      </c>
      <c r="P181" s="79">
        <f>IF(H181="","",ROUND(H181/(Steuerungsdaten!$B$4*Steuerungsdaten!$B$8*IFERROR(VLOOKUP(C181,Steuerungsdaten!$B$17:$E$37,4,FALSE),1)*POWER(IF(OR(E181=0,F181=0,E181="",F181=""),1,(E181*F181/1000000)/Steuerungsdaten!$B$6),IFERROR(VLOOKUP(C181,Steuerungsdaten!$B$17:$L$37,11,FALSE),1)-1)),0))</f>
        <v>240</v>
      </c>
      <c r="Q181" s="79">
        <f>IF(I181="","",ROUND(I181/(Steuerungsdaten!$B$4*Steuerungsdaten!$B$9*IFERROR(VLOOKUP(C181,Steuerungsdaten!$B$17:$G$37,6,FALSE),1)*POWER(IF(OR(E181=0,F181=0,E181="",F181=""),1,(E181*F181/1000000)/Steuerungsdaten!$B$6),IFERROR(VLOOKUP(C181,Steuerungsdaten!$B$17:$M$37,12,FALSE),1)-1)),0))</f>
        <v>249</v>
      </c>
      <c r="R181" s="79">
        <f>IF(J181="","",ROUND(J181/(Steuerungsdaten!$B$4*Steuerungsdaten!$B$10*IFERROR(VLOOKUP(C181,Steuerungsdaten!$B$17:$I$37,8,FALSE),1)*POWER(IF(OR(E181=0,F181=0,E181="",F181=""),1,(E181*F181/1000000)/Steuerungsdaten!$B$6),IFERROR(VLOOKUP(C181,Steuerungsdaten!$B$17:$N$37,13,FALSE),1)-1)),0))</f>
        <v>255</v>
      </c>
    </row>
    <row r="182" spans="1:18" x14ac:dyDescent="0.25">
      <c r="A182" s="74">
        <v>3758</v>
      </c>
      <c r="B182" s="75" t="s">
        <v>7</v>
      </c>
      <c r="C182" s="75" t="s">
        <v>179</v>
      </c>
      <c r="D182" s="75" t="s">
        <v>188</v>
      </c>
      <c r="E182" s="76">
        <v>780</v>
      </c>
      <c r="F182" s="76">
        <v>580</v>
      </c>
      <c r="G182" s="77">
        <f>IF(VLOOKUP(C182,Steuerungsdaten!$P$17:$T$39,2,0)="","",MAX(ROUND(VLOOKUP(C182,Steuerungsdaten!$P$17:$T$39,2,0)*Steuerungsdaten!$B$4*Steuerungsdaten!$B$7*IFERROR(VLOOKUP(C182,Steuerungsdaten!$B$17:$C$37,2,FALSE),1)*POWER(IF(OR(E182=0,F182=0,E182="",F182=""),1,(E182*F182/1000000)/Steuerungsdaten!$B$6),IFERROR(VLOOKUP(C182,Steuerungsdaten!$B$17:$K$37,10,FALSE),1)-1),0),Steuerungsdaten!$E$4))</f>
        <v>80</v>
      </c>
      <c r="H182" s="77">
        <f>IF(VLOOKUP(C182,Steuerungsdaten!$P$17:$T$39,3,0)="","",MAX(ROUND(VLOOKUP(C182,Steuerungsdaten!$P$17:$T$39,3,0)*Steuerungsdaten!$B$4*Steuerungsdaten!$B$8*IFERROR(VLOOKUP(C182,Steuerungsdaten!$B$17:$E$37,4,FALSE),1)*POWER(IF(OR(E182=0,F182=0,E182="",F182=""),1,(E182*F182/1000000)/Steuerungsdaten!$B$6),IFERROR(VLOOKUP(C182,Steuerungsdaten!$B$17:$L$37,11,FALSE),1)-1),0),Steuerungsdaten!$E$5))</f>
        <v>273</v>
      </c>
      <c r="I182" s="77">
        <f>IF(VLOOKUP(C182,Steuerungsdaten!$P$17:$T$39,4,0)="","",MAX(ROUND(VLOOKUP(C182,Steuerungsdaten!$P$17:$T$39,4,0)*Steuerungsdaten!$B$4*Steuerungsdaten!$B$9*IFERROR(VLOOKUP(C182,Steuerungsdaten!$B$17:$G$37,6,FALSE),1)*POWER(IF(OR(E182=0,F182=0,E182="",F182=""),1,(E182*F182/1000000)/Steuerungsdaten!$B$6),IFERROR(VLOOKUP(C182,Steuerungsdaten!$B$17:$M$37,12,FALSE),1)-1),0),Steuerungsdaten!$E$6))</f>
        <v>284</v>
      </c>
      <c r="J182" s="77">
        <f>IF(VLOOKUP(C182,Steuerungsdaten!$P$17:$T$39,5,0)="","",MAX(ROUND(VLOOKUP(C182,Steuerungsdaten!$P$17:$T$39,5,0)*Steuerungsdaten!$B$4*Steuerungsdaten!$B$10*IFERROR(VLOOKUP(C182,Steuerungsdaten!$B$17:$I$37,8,FALSE),1)*POWER(IF(OR(E182=0,F182=0,E182="",F182=""),1,(E182*F182/1000000)/Steuerungsdaten!$B$6),IFERROR(VLOOKUP(C182,Steuerungsdaten!$B$17:$N$37,13,FALSE),1)-1),0),Steuerungsdaten!$E$7))</f>
        <v>316</v>
      </c>
      <c r="K182" s="77">
        <f>IFERROR(IF(G182="","",ROUND(G182*Steuerungsdaten!$B$5,0)),"-")</f>
        <v>92</v>
      </c>
      <c r="L182" s="77">
        <f>IFERROR(IF(H182="","",ROUND(H182*Steuerungsdaten!$B$5,0)),"-")</f>
        <v>314</v>
      </c>
      <c r="M182" s="77">
        <f>IFERROR(IF(I182="","",ROUND(I182*Steuerungsdaten!$B$5,0)),"-")</f>
        <v>327</v>
      </c>
      <c r="N182" s="78">
        <f>IFERROR(IF(J182="","",ROUND(J182*Steuerungsdaten!$B$5,0)),"-")</f>
        <v>363</v>
      </c>
      <c r="O182" s="79">
        <v>87</v>
      </c>
      <c r="P182" s="79">
        <f>IF(H182="","",ROUND(H182/(Steuerungsdaten!$B$4*Steuerungsdaten!$B$8*IFERROR(VLOOKUP(C182,Steuerungsdaten!$B$17:$E$37,4,FALSE),1)*POWER(IF(OR(E182=0,F182=0,E182="",F182=""),1,(E182*F182/1000000)/Steuerungsdaten!$B$6),IFERROR(VLOOKUP(C182,Steuerungsdaten!$B$17:$L$37,11,FALSE),1)-1)),0))</f>
        <v>240</v>
      </c>
      <c r="Q182" s="79">
        <f>IF(I182="","",ROUND(I182/(Steuerungsdaten!$B$4*Steuerungsdaten!$B$9*IFERROR(VLOOKUP(C182,Steuerungsdaten!$B$17:$G$37,6,FALSE),1)*POWER(IF(OR(E182=0,F182=0,E182="",F182=""),1,(E182*F182/1000000)/Steuerungsdaten!$B$6),IFERROR(VLOOKUP(C182,Steuerungsdaten!$B$17:$M$37,12,FALSE),1)-1)),0))</f>
        <v>250</v>
      </c>
      <c r="R182" s="79">
        <f>IF(J182="","",ROUND(J182/(Steuerungsdaten!$B$4*Steuerungsdaten!$B$10*IFERROR(VLOOKUP(C182,Steuerungsdaten!$B$17:$I$37,8,FALSE),1)*POWER(IF(OR(E182=0,F182=0,E182="",F182=""),1,(E182*F182/1000000)/Steuerungsdaten!$B$6),IFERROR(VLOOKUP(C182,Steuerungsdaten!$B$17:$N$37,13,FALSE),1)-1)),0))</f>
        <v>255</v>
      </c>
    </row>
    <row r="183" spans="1:18" x14ac:dyDescent="0.25">
      <c r="A183" s="69">
        <v>3759</v>
      </c>
      <c r="B183" s="70" t="s">
        <v>7</v>
      </c>
      <c r="C183" s="70" t="s">
        <v>179</v>
      </c>
      <c r="D183" s="70" t="s">
        <v>189</v>
      </c>
      <c r="E183" s="71">
        <v>980</v>
      </c>
      <c r="F183" s="71">
        <v>580</v>
      </c>
      <c r="G183" s="72">
        <f>IF(VLOOKUP(C183,Steuerungsdaten!$P$17:$T$39,2,0)="","",MAX(ROUND(VLOOKUP(C183,Steuerungsdaten!$P$17:$T$39,2,0)*Steuerungsdaten!$B$4*Steuerungsdaten!$B$7*IFERROR(VLOOKUP(C183,Steuerungsdaten!$B$17:$C$37,2,FALSE),1)*POWER(IF(OR(E183=0,F183=0,E183="",F183=""),1,(E183*F183/1000000)/Steuerungsdaten!$B$6),IFERROR(VLOOKUP(C183,Steuerungsdaten!$B$17:$K$37,10,FALSE),1)-1),0),Steuerungsdaten!$E$4))</f>
        <v>100</v>
      </c>
      <c r="H183" s="72">
        <f>IF(VLOOKUP(C183,Steuerungsdaten!$P$17:$T$39,3,0)="","",MAX(ROUND(VLOOKUP(C183,Steuerungsdaten!$P$17:$T$39,3,0)*Steuerungsdaten!$B$4*Steuerungsdaten!$B$8*IFERROR(VLOOKUP(C183,Steuerungsdaten!$B$17:$E$37,4,FALSE),1)*POWER(IF(OR(E183=0,F183=0,E183="",F183=""),1,(E183*F183/1000000)/Steuerungsdaten!$B$6),IFERROR(VLOOKUP(C183,Steuerungsdaten!$B$17:$L$37,11,FALSE),1)-1),0),Steuerungsdaten!$E$5))</f>
        <v>343</v>
      </c>
      <c r="I183" s="72">
        <f>IF(VLOOKUP(C183,Steuerungsdaten!$P$17:$T$39,4,0)="","",MAX(ROUND(VLOOKUP(C183,Steuerungsdaten!$P$17:$T$39,4,0)*Steuerungsdaten!$B$4*Steuerungsdaten!$B$9*IFERROR(VLOOKUP(C183,Steuerungsdaten!$B$17:$G$37,6,FALSE),1)*POWER(IF(OR(E183=0,F183=0,E183="",F183=""),1,(E183*F183/1000000)/Steuerungsdaten!$B$6),IFERROR(VLOOKUP(C183,Steuerungsdaten!$B$17:$M$37,12,FALSE),1)-1),0),Steuerungsdaten!$E$6))</f>
        <v>357</v>
      </c>
      <c r="J183" s="72">
        <f>IF(VLOOKUP(C183,Steuerungsdaten!$P$17:$T$39,5,0)="","",MAX(ROUND(VLOOKUP(C183,Steuerungsdaten!$P$17:$T$39,5,0)*Steuerungsdaten!$B$4*Steuerungsdaten!$B$10*IFERROR(VLOOKUP(C183,Steuerungsdaten!$B$17:$I$37,8,FALSE),1)*POWER(IF(OR(E183=0,F183=0,E183="",F183=""),1,(E183*F183/1000000)/Steuerungsdaten!$B$6),IFERROR(VLOOKUP(C183,Steuerungsdaten!$B$17:$N$37,13,FALSE),1)-1),0),Steuerungsdaten!$E$7))</f>
        <v>398</v>
      </c>
      <c r="K183" s="72">
        <f>IFERROR(IF(G183="","",ROUND(G183*Steuerungsdaten!$B$5,0)),"-")</f>
        <v>115</v>
      </c>
      <c r="L183" s="72">
        <f>IFERROR(IF(H183="","",ROUND(H183*Steuerungsdaten!$B$5,0)),"-")</f>
        <v>394</v>
      </c>
      <c r="M183" s="72">
        <f>IFERROR(IF(I183="","",ROUND(I183*Steuerungsdaten!$B$5,0)),"-")</f>
        <v>411</v>
      </c>
      <c r="N183" s="73">
        <f>IFERROR(IF(J183="","",ROUND(J183*Steuerungsdaten!$B$5,0)),"-")</f>
        <v>458</v>
      </c>
      <c r="O183" s="79">
        <v>110</v>
      </c>
      <c r="P183" s="79">
        <f>IF(H183="","",ROUND(H183/(Steuerungsdaten!$B$4*Steuerungsdaten!$B$8*IFERROR(VLOOKUP(C183,Steuerungsdaten!$B$17:$E$37,4,FALSE),1)*POWER(IF(OR(E183=0,F183=0,E183="",F183=""),1,(E183*F183/1000000)/Steuerungsdaten!$B$6),IFERROR(VLOOKUP(C183,Steuerungsdaten!$B$17:$L$37,11,FALSE),1)-1)),0))</f>
        <v>240</v>
      </c>
      <c r="Q183" s="79">
        <f>IF(I183="","",ROUND(I183/(Steuerungsdaten!$B$4*Steuerungsdaten!$B$9*IFERROR(VLOOKUP(C183,Steuerungsdaten!$B$17:$G$37,6,FALSE),1)*POWER(IF(OR(E183=0,F183=0,E183="",F183=""),1,(E183*F183/1000000)/Steuerungsdaten!$B$6),IFERROR(VLOOKUP(C183,Steuerungsdaten!$B$17:$M$37,12,FALSE),1)-1)),0))</f>
        <v>250</v>
      </c>
      <c r="R183" s="79">
        <f>IF(J183="","",ROUND(J183/(Steuerungsdaten!$B$4*Steuerungsdaten!$B$10*IFERROR(VLOOKUP(C183,Steuerungsdaten!$B$17:$I$37,8,FALSE),1)*POWER(IF(OR(E183=0,F183=0,E183="",F183=""),1,(E183*F183/1000000)/Steuerungsdaten!$B$6),IFERROR(VLOOKUP(C183,Steuerungsdaten!$B$17:$N$37,13,FALSE),1)-1)),0))</f>
        <v>255</v>
      </c>
    </row>
    <row r="184" spans="1:18" x14ac:dyDescent="0.25">
      <c r="A184" s="74">
        <v>3760</v>
      </c>
      <c r="B184" s="75" t="s">
        <v>7</v>
      </c>
      <c r="C184" s="75" t="s">
        <v>179</v>
      </c>
      <c r="D184" s="75" t="s">
        <v>190</v>
      </c>
      <c r="E184" s="76">
        <v>780</v>
      </c>
      <c r="F184" s="76">
        <v>780</v>
      </c>
      <c r="G184" s="77" t="s">
        <v>988</v>
      </c>
      <c r="H184" s="77" t="s">
        <v>988</v>
      </c>
      <c r="I184" s="77" t="s">
        <v>988</v>
      </c>
      <c r="J184" s="77" t="s">
        <v>988</v>
      </c>
      <c r="K184" s="77" t="s">
        <v>988</v>
      </c>
      <c r="L184" s="77" t="s">
        <v>988</v>
      </c>
      <c r="M184" s="77" t="s">
        <v>988</v>
      </c>
      <c r="N184" s="78" t="s">
        <v>988</v>
      </c>
      <c r="O184" s="79">
        <v>126</v>
      </c>
      <c r="P184" s="79" t="e">
        <f>IF(H184="","",ROUND(H184/(Steuerungsdaten!$B$4*Steuerungsdaten!$B$8*IFERROR(VLOOKUP(C184,Steuerungsdaten!$B$17:$E$37,4,FALSE),1)*POWER(IF(OR(E184=0,F184=0,E184="",F184=""),1,(E184*F184/1000000)/Steuerungsdaten!$B$6),IFERROR(VLOOKUP(C184,Steuerungsdaten!$B$17:$L$37,11,FALSE),1)-1)),0))</f>
        <v>#VALUE!</v>
      </c>
      <c r="Q184" s="79" t="e">
        <f>IF(I184="","",ROUND(I184/(Steuerungsdaten!$B$4*Steuerungsdaten!$B$9*IFERROR(VLOOKUP(C184,Steuerungsdaten!$B$17:$G$37,6,FALSE),1)*POWER(IF(OR(E184=0,F184=0,E184="",F184=""),1,(E184*F184/1000000)/Steuerungsdaten!$B$6),IFERROR(VLOOKUP(C184,Steuerungsdaten!$B$17:$M$37,12,FALSE),1)-1)),0))</f>
        <v>#VALUE!</v>
      </c>
      <c r="R184" s="79" t="e">
        <f>IF(J184="","",ROUND(J184/(Steuerungsdaten!$B$4*Steuerungsdaten!$B$10*IFERROR(VLOOKUP(C184,Steuerungsdaten!$B$17:$I$37,8,FALSE),1)*POWER(IF(OR(E184=0,F184=0,E184="",F184=""),1,(E184*F184/1000000)/Steuerungsdaten!$B$6),IFERROR(VLOOKUP(C184,Steuerungsdaten!$B$17:$N$37,13,FALSE),1)-1)),0))</f>
        <v>#VALUE!</v>
      </c>
    </row>
    <row r="185" spans="1:18" x14ac:dyDescent="0.25">
      <c r="A185" s="69">
        <v>3761</v>
      </c>
      <c r="B185" s="70" t="s">
        <v>7</v>
      </c>
      <c r="C185" s="70" t="s">
        <v>179</v>
      </c>
      <c r="D185" s="70" t="s">
        <v>191</v>
      </c>
      <c r="E185" s="71">
        <v>980</v>
      </c>
      <c r="F185" s="71">
        <v>780</v>
      </c>
      <c r="G185" s="72" t="s">
        <v>988</v>
      </c>
      <c r="H185" s="72" t="s">
        <v>988</v>
      </c>
      <c r="I185" s="72" t="s">
        <v>988</v>
      </c>
      <c r="J185" s="72" t="s">
        <v>988</v>
      </c>
      <c r="K185" s="72" t="s">
        <v>988</v>
      </c>
      <c r="L185" s="72" t="s">
        <v>988</v>
      </c>
      <c r="M185" s="72" t="s">
        <v>988</v>
      </c>
      <c r="N185" s="73" t="s">
        <v>988</v>
      </c>
      <c r="O185" s="79">
        <v>139</v>
      </c>
      <c r="P185" s="79" t="e">
        <f>IF(H185="","",ROUND(H185/(Steuerungsdaten!$B$4*Steuerungsdaten!$B$8*IFERROR(VLOOKUP(C185,Steuerungsdaten!$B$17:$E$37,4,FALSE),1)*POWER(IF(OR(E185=0,F185=0,E185="",F185=""),1,(E185*F185/1000000)/Steuerungsdaten!$B$6),IFERROR(VLOOKUP(C185,Steuerungsdaten!$B$17:$L$37,11,FALSE),1)-1)),0))</f>
        <v>#VALUE!</v>
      </c>
      <c r="Q185" s="79" t="e">
        <f>IF(I185="","",ROUND(I185/(Steuerungsdaten!$B$4*Steuerungsdaten!$B$9*IFERROR(VLOOKUP(C185,Steuerungsdaten!$B$17:$G$37,6,FALSE),1)*POWER(IF(OR(E185=0,F185=0,E185="",F185=""),1,(E185*F185/1000000)/Steuerungsdaten!$B$6),IFERROR(VLOOKUP(C185,Steuerungsdaten!$B$17:$M$37,12,FALSE),1)-1)),0))</f>
        <v>#VALUE!</v>
      </c>
      <c r="R185" s="79" t="e">
        <f>IF(J185="","",ROUND(J185/(Steuerungsdaten!$B$4*Steuerungsdaten!$B$10*IFERROR(VLOOKUP(C185,Steuerungsdaten!$B$17:$I$37,8,FALSE),1)*POWER(IF(OR(E185=0,F185=0,E185="",F185=""),1,(E185*F185/1000000)/Steuerungsdaten!$B$6),IFERROR(VLOOKUP(C185,Steuerungsdaten!$B$17:$N$37,13,FALSE),1)-1)),0))</f>
        <v>#VALUE!</v>
      </c>
    </row>
    <row r="186" spans="1:18" x14ac:dyDescent="0.25">
      <c r="A186" s="74">
        <v>3762</v>
      </c>
      <c r="B186" s="75" t="s">
        <v>7</v>
      </c>
      <c r="C186" s="75" t="s">
        <v>179</v>
      </c>
      <c r="D186" s="75" t="s">
        <v>192</v>
      </c>
      <c r="E186" s="76">
        <v>980</v>
      </c>
      <c r="F186" s="76">
        <v>980</v>
      </c>
      <c r="G186" s="77" t="s">
        <v>988</v>
      </c>
      <c r="H186" s="77" t="s">
        <v>988</v>
      </c>
      <c r="I186" s="77" t="s">
        <v>988</v>
      </c>
      <c r="J186" s="77" t="s">
        <v>988</v>
      </c>
      <c r="K186" s="77" t="s">
        <v>988</v>
      </c>
      <c r="L186" s="77" t="s">
        <v>988</v>
      </c>
      <c r="M186" s="77" t="s">
        <v>988</v>
      </c>
      <c r="N186" s="78" t="s">
        <v>988</v>
      </c>
      <c r="O186" s="79">
        <v>180</v>
      </c>
      <c r="P186" s="79" t="e">
        <f>IF(H186="","",ROUND(H186/(Steuerungsdaten!$B$4*Steuerungsdaten!$B$8*IFERROR(VLOOKUP(C186,Steuerungsdaten!$B$17:$E$37,4,FALSE),1)*POWER(IF(OR(E186=0,F186=0,E186="",F186=""),1,(E186*F186/1000000)/Steuerungsdaten!$B$6),IFERROR(VLOOKUP(C186,Steuerungsdaten!$B$17:$L$37,11,FALSE),1)-1)),0))</f>
        <v>#VALUE!</v>
      </c>
      <c r="Q186" s="79" t="e">
        <f>IF(I186="","",ROUND(I186/(Steuerungsdaten!$B$4*Steuerungsdaten!$B$9*IFERROR(VLOOKUP(C186,Steuerungsdaten!$B$17:$G$37,6,FALSE),1)*POWER(IF(OR(E186=0,F186=0,E186="",F186=""),1,(E186*F186/1000000)/Steuerungsdaten!$B$6),IFERROR(VLOOKUP(C186,Steuerungsdaten!$B$17:$M$37,12,FALSE),1)-1)),0))</f>
        <v>#VALUE!</v>
      </c>
      <c r="R186" s="79" t="e">
        <f>IF(J186="","",ROUND(J186/(Steuerungsdaten!$B$4*Steuerungsdaten!$B$10*IFERROR(VLOOKUP(C186,Steuerungsdaten!$B$17:$I$37,8,FALSE),1)*POWER(IF(OR(E186=0,F186=0,E186="",F186=""),1,(E186*F186/1000000)/Steuerungsdaten!$B$6),IFERROR(VLOOKUP(C186,Steuerungsdaten!$B$17:$N$37,13,FALSE),1)-1)),0))</f>
        <v>#VALUE!</v>
      </c>
    </row>
    <row r="187" spans="1:18" ht="21.95" customHeight="1" x14ac:dyDescent="0.25">
      <c r="A187" s="426" t="s">
        <v>193</v>
      </c>
      <c r="B187" s="426"/>
      <c r="C187" s="426"/>
      <c r="D187" s="426"/>
      <c r="E187" s="426"/>
      <c r="F187" s="426"/>
      <c r="G187" s="426"/>
      <c r="H187" s="426"/>
      <c r="I187" s="426"/>
      <c r="J187" s="426"/>
      <c r="K187" s="426" t="str">
        <f>IFERROR(IF(G187="","",ROUND(G187*Steuerungsdaten!$B$5,0)),"-")</f>
        <v/>
      </c>
      <c r="L187" s="426" t="str">
        <f>IFERROR(IF(H187="","",ROUND(H187*Steuerungsdaten!$B$5,0)),"-")</f>
        <v/>
      </c>
      <c r="M187" s="426" t="str">
        <f>IFERROR(IF(I187="","",ROUND(I187*Steuerungsdaten!$B$5,0)),"-")</f>
        <v/>
      </c>
      <c r="N187" s="426" t="str">
        <f>IFERROR(IF(J187="","",ROUND(J187*Steuerungsdaten!$B$5,0)),"-")</f>
        <v/>
      </c>
      <c r="O187" s="79"/>
      <c r="P187" s="79"/>
      <c r="Q187" s="79"/>
      <c r="R187" s="79"/>
    </row>
    <row r="188" spans="1:18" x14ac:dyDescent="0.25">
      <c r="A188" s="64">
        <v>3800</v>
      </c>
      <c r="B188" s="65" t="s">
        <v>7</v>
      </c>
      <c r="C188" s="65" t="s">
        <v>193</v>
      </c>
      <c r="D188" s="65" t="s">
        <v>194</v>
      </c>
      <c r="E188" s="66">
        <v>360</v>
      </c>
      <c r="F188" s="66">
        <v>360</v>
      </c>
      <c r="G188" s="67">
        <f>IF(VLOOKUP(C188,Steuerungsdaten!$P$17:$T$39,2,0)="","",MAX(ROUND(VLOOKUP(C188,Steuerungsdaten!$P$17:$T$39,2,0)*Steuerungsdaten!$B$4*Steuerungsdaten!$B$7*IFERROR(VLOOKUP(C188,Steuerungsdaten!$B$17:$C$37,2,FALSE),1)*POWER(IF(OR(E188=0,F188=0,E188="",F188=""),1,(E188*F188/1000000)/Steuerungsdaten!$B$6),IFERROR(VLOOKUP(C188,Steuerungsdaten!$B$17:$K$37,10,FALSE),1)-1),0),Steuerungsdaten!$E$4))</f>
        <v>25</v>
      </c>
      <c r="H188" s="67">
        <f>IF(VLOOKUP(C188,Steuerungsdaten!$P$17:$T$39,3,0)="","",MAX(ROUND(VLOOKUP(C188,Steuerungsdaten!$P$17:$T$39,3,0)*Steuerungsdaten!$B$4*Steuerungsdaten!$B$8*IFERROR(VLOOKUP(C188,Steuerungsdaten!$B$17:$E$37,4,FALSE),1)*POWER(IF(OR(E188=0,F188=0,E188="",F188=""),1,(E188*F188/1000000)/Steuerungsdaten!$B$6),IFERROR(VLOOKUP(C188,Steuerungsdaten!$B$17:$L$37,11,FALSE),1)-1),0),Steuerungsdaten!$E$5))</f>
        <v>103</v>
      </c>
      <c r="I188" s="67">
        <f>IF(VLOOKUP(C188,Steuerungsdaten!$P$17:$T$39,4,0)="","",MAX(ROUND(VLOOKUP(C188,Steuerungsdaten!$P$17:$T$39,4,0)*Steuerungsdaten!$B$4*Steuerungsdaten!$B$9*IFERROR(VLOOKUP(C188,Steuerungsdaten!$B$17:$G$37,6,FALSE),1)*POWER(IF(OR(E188=0,F188=0,E188="",F188=""),1,(E188*F188/1000000)/Steuerungsdaten!$B$6),IFERROR(VLOOKUP(C188,Steuerungsdaten!$B$17:$M$37,12,FALSE),1)-1),0),Steuerungsdaten!$E$6))</f>
        <v>120</v>
      </c>
      <c r="J188" s="67">
        <f>IF(VLOOKUP(C188,Steuerungsdaten!$P$17:$T$39,5,0)="","",MAX(ROUND(VLOOKUP(C188,Steuerungsdaten!$P$17:$T$39,5,0)*Steuerungsdaten!$B$4*Steuerungsdaten!$B$10*IFERROR(VLOOKUP(C188,Steuerungsdaten!$B$17:$I$37,8,FALSE),1)*POWER(IF(OR(E188=0,F188=0,E188="",F188=""),1,(E188*F188/1000000)/Steuerungsdaten!$B$6),IFERROR(VLOOKUP(C188,Steuerungsdaten!$B$17:$N$37,13,FALSE),1)-1),0),Steuerungsdaten!$E$7))</f>
        <v>145</v>
      </c>
      <c r="K188" s="67">
        <f>IFERROR(IF(G188="","",ROUND(G188*Steuerungsdaten!$B$5,0)),"-")</f>
        <v>29</v>
      </c>
      <c r="L188" s="67">
        <f>IFERROR(IF(H188="","",ROUND(H188*Steuerungsdaten!$B$5,0)),"-")</f>
        <v>118</v>
      </c>
      <c r="M188" s="67">
        <f>IFERROR(IF(I188="","",ROUND(I188*Steuerungsdaten!$B$5,0)),"-")</f>
        <v>138</v>
      </c>
      <c r="N188" s="68" t="s">
        <v>988</v>
      </c>
      <c r="O188" s="79">
        <v>34</v>
      </c>
      <c r="P188" s="79">
        <f>IF(H188="","",ROUND(H188/(Steuerungsdaten!$B$4*Steuerungsdaten!$B$8*IFERROR(VLOOKUP(C188,Steuerungsdaten!$B$17:$E$37,4,FALSE),1)*POWER(IF(OR(E188=0,F188=0,E188="",F188=""),1,(E188*F188/1000000)/Steuerungsdaten!$B$6),IFERROR(VLOOKUP(C188,Steuerungsdaten!$B$17:$L$37,11,FALSE),1)-1)),0))</f>
        <v>316</v>
      </c>
      <c r="Q188" s="79">
        <f>IF(I188="","",ROUND(I188/(Steuerungsdaten!$B$4*Steuerungsdaten!$B$9*IFERROR(VLOOKUP(C188,Steuerungsdaten!$B$17:$G$37,6,FALSE),1)*POWER(IF(OR(E188=0,F188=0,E188="",F188=""),1,(E188*F188/1000000)/Steuerungsdaten!$B$6),IFERROR(VLOOKUP(C188,Steuerungsdaten!$B$17:$M$37,12,FALSE),1)-1)),0))</f>
        <v>368</v>
      </c>
      <c r="R188" s="79">
        <f>IF(J188="","",ROUND(J188/(Steuerungsdaten!$B$4*Steuerungsdaten!$B$10*IFERROR(VLOOKUP(C188,Steuerungsdaten!$B$17:$I$37,8,FALSE),1)*POWER(IF(OR(E188=0,F188=0,E188="",F188=""),1,(E188*F188/1000000)/Steuerungsdaten!$B$6),IFERROR(VLOOKUP(C188,Steuerungsdaten!$B$17:$N$37,13,FALSE),1)-1)),0))</f>
        <v>408</v>
      </c>
    </row>
    <row r="189" spans="1:18" x14ac:dyDescent="0.25">
      <c r="A189" s="69">
        <v>3801</v>
      </c>
      <c r="B189" s="70" t="s">
        <v>7</v>
      </c>
      <c r="C189" s="70" t="s">
        <v>193</v>
      </c>
      <c r="D189" s="70" t="s">
        <v>195</v>
      </c>
      <c r="E189" s="71">
        <v>420</v>
      </c>
      <c r="F189" s="71">
        <v>360</v>
      </c>
      <c r="G189" s="72">
        <f>IF(VLOOKUP(C189,Steuerungsdaten!$P$17:$T$39,2,0)="","",MAX(ROUND(VLOOKUP(C189,Steuerungsdaten!$P$17:$T$39,2,0)*Steuerungsdaten!$B$4*Steuerungsdaten!$B$7*IFERROR(VLOOKUP(C189,Steuerungsdaten!$B$17:$C$37,2,FALSE),1)*POWER(IF(OR(E189=0,F189=0,E189="",F189=""),1,(E189*F189/1000000)/Steuerungsdaten!$B$6),IFERROR(VLOOKUP(C189,Steuerungsdaten!$B$17:$K$37,10,FALSE),1)-1),0),Steuerungsdaten!$E$4))</f>
        <v>27</v>
      </c>
      <c r="H189" s="72">
        <f>IF(VLOOKUP(C189,Steuerungsdaten!$P$17:$T$39,3,0)="","",MAX(ROUND(VLOOKUP(C189,Steuerungsdaten!$P$17:$T$39,3,0)*Steuerungsdaten!$B$4*Steuerungsdaten!$B$8*IFERROR(VLOOKUP(C189,Steuerungsdaten!$B$17:$E$37,4,FALSE),1)*POWER(IF(OR(E189=0,F189=0,E189="",F189=""),1,(E189*F189/1000000)/Steuerungsdaten!$B$6),IFERROR(VLOOKUP(C189,Steuerungsdaten!$B$17:$L$37,11,FALSE),1)-1),0),Steuerungsdaten!$E$5))</f>
        <v>103</v>
      </c>
      <c r="I189" s="72">
        <f>IF(VLOOKUP(C189,Steuerungsdaten!$P$17:$T$39,4,0)="","",MAX(ROUND(VLOOKUP(C189,Steuerungsdaten!$P$17:$T$39,4,0)*Steuerungsdaten!$B$4*Steuerungsdaten!$B$9*IFERROR(VLOOKUP(C189,Steuerungsdaten!$B$17:$G$37,6,FALSE),1)*POWER(IF(OR(E189=0,F189=0,E189="",F189=""),1,(E189*F189/1000000)/Steuerungsdaten!$B$6),IFERROR(VLOOKUP(C189,Steuerungsdaten!$B$17:$M$37,12,FALSE),1)-1),0),Steuerungsdaten!$E$6))</f>
        <v>120</v>
      </c>
      <c r="J189" s="72">
        <f>IF(VLOOKUP(C189,Steuerungsdaten!$P$17:$T$39,5,0)="","",MAX(ROUND(VLOOKUP(C189,Steuerungsdaten!$P$17:$T$39,5,0)*Steuerungsdaten!$B$4*Steuerungsdaten!$B$10*IFERROR(VLOOKUP(C189,Steuerungsdaten!$B$17:$I$37,8,FALSE),1)*POWER(IF(OR(E189=0,F189=0,E189="",F189=""),1,(E189*F189/1000000)/Steuerungsdaten!$B$6),IFERROR(VLOOKUP(C189,Steuerungsdaten!$B$17:$N$37,13,FALSE),1)-1),0),Steuerungsdaten!$E$7))</f>
        <v>145</v>
      </c>
      <c r="K189" s="72">
        <f>IFERROR(IF(G189="","",ROUND(G189*Steuerungsdaten!$B$5,0)),"-")</f>
        <v>31</v>
      </c>
      <c r="L189" s="72">
        <f>IFERROR(IF(H189="","",ROUND(H189*Steuerungsdaten!$B$5,0)),"-")</f>
        <v>118</v>
      </c>
      <c r="M189" s="72">
        <f>IFERROR(IF(I189="","",ROUND(I189*Steuerungsdaten!$B$5,0)),"-")</f>
        <v>138</v>
      </c>
      <c r="N189" s="73" t="s">
        <v>988</v>
      </c>
      <c r="O189" s="79">
        <v>34</v>
      </c>
      <c r="P189" s="79">
        <f>IF(H189="","",ROUND(H189/(Steuerungsdaten!$B$4*Steuerungsdaten!$B$8*IFERROR(VLOOKUP(C189,Steuerungsdaten!$B$17:$E$37,4,FALSE),1)*POWER(IF(OR(E189=0,F189=0,E189="",F189=""),1,(E189*F189/1000000)/Steuerungsdaten!$B$6),IFERROR(VLOOKUP(C189,Steuerungsdaten!$B$17:$L$37,11,FALSE),1)-1)),0))</f>
        <v>271</v>
      </c>
      <c r="Q189" s="79">
        <f>IF(I189="","",ROUND(I189/(Steuerungsdaten!$B$4*Steuerungsdaten!$B$9*IFERROR(VLOOKUP(C189,Steuerungsdaten!$B$17:$G$37,6,FALSE),1)*POWER(IF(OR(E189=0,F189=0,E189="",F189=""),1,(E189*F189/1000000)/Steuerungsdaten!$B$6),IFERROR(VLOOKUP(C189,Steuerungsdaten!$B$17:$M$37,12,FALSE),1)-1)),0))</f>
        <v>316</v>
      </c>
      <c r="R189" s="79">
        <f>IF(J189="","",ROUND(J189/(Steuerungsdaten!$B$4*Steuerungsdaten!$B$10*IFERROR(VLOOKUP(C189,Steuerungsdaten!$B$17:$I$37,8,FALSE),1)*POWER(IF(OR(E189=0,F189=0,E189="",F189=""),1,(E189*F189/1000000)/Steuerungsdaten!$B$6),IFERROR(VLOOKUP(C189,Steuerungsdaten!$B$17:$N$37,13,FALSE),1)-1)),0))</f>
        <v>350</v>
      </c>
    </row>
    <row r="190" spans="1:18" x14ac:dyDescent="0.25">
      <c r="A190" s="74">
        <v>3802</v>
      </c>
      <c r="B190" s="75" t="s">
        <v>7</v>
      </c>
      <c r="C190" s="75" t="s">
        <v>193</v>
      </c>
      <c r="D190" s="75" t="s">
        <v>196</v>
      </c>
      <c r="E190" s="76">
        <v>580</v>
      </c>
      <c r="F190" s="76">
        <v>360</v>
      </c>
      <c r="G190" s="77">
        <f>IF(VLOOKUP(C190,Steuerungsdaten!$P$17:$T$39,2,0)="","",MAX(ROUND(VLOOKUP(C190,Steuerungsdaten!$P$17:$T$39,2,0)*Steuerungsdaten!$B$4*Steuerungsdaten!$B$7*IFERROR(VLOOKUP(C190,Steuerungsdaten!$B$17:$C$37,2,FALSE),1)*POWER(IF(OR(E190=0,F190=0,E190="",F190=""),1,(E190*F190/1000000)/Steuerungsdaten!$B$6),IFERROR(VLOOKUP(C190,Steuerungsdaten!$B$17:$K$37,10,FALSE),1)-1),0),Steuerungsdaten!$E$4))</f>
        <v>37</v>
      </c>
      <c r="H190" s="77">
        <f>IF(VLOOKUP(C190,Steuerungsdaten!$P$17:$T$39,3,0)="","",MAX(ROUND(VLOOKUP(C190,Steuerungsdaten!$P$17:$T$39,3,0)*Steuerungsdaten!$B$4*Steuerungsdaten!$B$8*IFERROR(VLOOKUP(C190,Steuerungsdaten!$B$17:$E$37,4,FALSE),1)*POWER(IF(OR(E190=0,F190=0,E190="",F190=""),1,(E190*F190/1000000)/Steuerungsdaten!$B$6),IFERROR(VLOOKUP(C190,Steuerungsdaten!$B$17:$L$37,11,FALSE),1)-1),0),Steuerungsdaten!$E$5))</f>
        <v>126</v>
      </c>
      <c r="I190" s="77">
        <f>IF(VLOOKUP(C190,Steuerungsdaten!$P$17:$T$39,4,0)="","",MAX(ROUND(VLOOKUP(C190,Steuerungsdaten!$P$17:$T$39,4,0)*Steuerungsdaten!$B$4*Steuerungsdaten!$B$9*IFERROR(VLOOKUP(C190,Steuerungsdaten!$B$17:$G$37,6,FALSE),1)*POWER(IF(OR(E190=0,F190=0,E190="",F190=""),1,(E190*F190/1000000)/Steuerungsdaten!$B$6),IFERROR(VLOOKUP(C190,Steuerungsdaten!$B$17:$M$37,12,FALSE),1)-1),0),Steuerungsdaten!$E$6))</f>
        <v>131</v>
      </c>
      <c r="J190" s="77">
        <f>IF(VLOOKUP(C190,Steuerungsdaten!$P$17:$T$39,5,0)="","",MAX(ROUND(VLOOKUP(C190,Steuerungsdaten!$P$17:$T$39,5,0)*Steuerungsdaten!$B$4*Steuerungsdaten!$B$10*IFERROR(VLOOKUP(C190,Steuerungsdaten!$B$17:$I$37,8,FALSE),1)*POWER(IF(OR(E190=0,F190=0,E190="",F190=""),1,(E190*F190/1000000)/Steuerungsdaten!$B$6),IFERROR(VLOOKUP(C190,Steuerungsdaten!$B$17:$N$37,13,FALSE),1)-1),0),Steuerungsdaten!$E$7))</f>
        <v>146</v>
      </c>
      <c r="K190" s="77">
        <f>IFERROR(IF(G190="","",ROUND(G190*Steuerungsdaten!$B$5,0)),"-")</f>
        <v>43</v>
      </c>
      <c r="L190" s="77">
        <f>IFERROR(IF(H190="","",ROUND(H190*Steuerungsdaten!$B$5,0)),"-")</f>
        <v>145</v>
      </c>
      <c r="M190" s="77">
        <f>IFERROR(IF(I190="","",ROUND(I190*Steuerungsdaten!$B$5,0)),"-")</f>
        <v>151</v>
      </c>
      <c r="N190" s="78" t="s">
        <v>988</v>
      </c>
      <c r="O190" s="79">
        <v>43</v>
      </c>
      <c r="P190" s="79">
        <f>IF(H190="","",ROUND(H190/(Steuerungsdaten!$B$4*Steuerungsdaten!$B$8*IFERROR(VLOOKUP(C190,Steuerungsdaten!$B$17:$E$37,4,FALSE),1)*POWER(IF(OR(E190=0,F190=0,E190="",F190=""),1,(E190*F190/1000000)/Steuerungsdaten!$B$6),IFERROR(VLOOKUP(C190,Steuerungsdaten!$B$17:$L$37,11,FALSE),1)-1)),0))</f>
        <v>240</v>
      </c>
      <c r="Q190" s="79">
        <f>IF(I190="","",ROUND(I190/(Steuerungsdaten!$B$4*Steuerungsdaten!$B$9*IFERROR(VLOOKUP(C190,Steuerungsdaten!$B$17:$G$37,6,FALSE),1)*POWER(IF(OR(E190=0,F190=0,E190="",F190=""),1,(E190*F190/1000000)/Steuerungsdaten!$B$6),IFERROR(VLOOKUP(C190,Steuerungsdaten!$B$17:$M$37,12,FALSE),1)-1)),0))</f>
        <v>250</v>
      </c>
      <c r="R190" s="79">
        <f>IF(J190="","",ROUND(J190/(Steuerungsdaten!$B$4*Steuerungsdaten!$B$10*IFERROR(VLOOKUP(C190,Steuerungsdaten!$B$17:$I$37,8,FALSE),1)*POWER(IF(OR(E190=0,F190=0,E190="",F190=""),1,(E190*F190/1000000)/Steuerungsdaten!$B$6),IFERROR(VLOOKUP(C190,Steuerungsdaten!$B$17:$N$37,13,FALSE),1)-1)),0))</f>
        <v>255</v>
      </c>
    </row>
    <row r="191" spans="1:18" x14ac:dyDescent="0.25">
      <c r="A191" s="69">
        <v>3803</v>
      </c>
      <c r="B191" s="70" t="s">
        <v>7</v>
      </c>
      <c r="C191" s="70" t="s">
        <v>193</v>
      </c>
      <c r="D191" s="70" t="s">
        <v>197</v>
      </c>
      <c r="E191" s="71">
        <v>780</v>
      </c>
      <c r="F191" s="71">
        <v>360</v>
      </c>
      <c r="G191" s="72">
        <f>IF(VLOOKUP(C191,Steuerungsdaten!$P$17:$T$39,2,0)="","",MAX(ROUND(VLOOKUP(C191,Steuerungsdaten!$P$17:$T$39,2,0)*Steuerungsdaten!$B$4*Steuerungsdaten!$B$7*IFERROR(VLOOKUP(C191,Steuerungsdaten!$B$17:$C$37,2,FALSE),1)*POWER(IF(OR(E191=0,F191=0,E191="",F191=""),1,(E191*F191/1000000)/Steuerungsdaten!$B$6),IFERROR(VLOOKUP(C191,Steuerungsdaten!$B$17:$K$37,10,FALSE),1)-1),0),Steuerungsdaten!$E$4))</f>
        <v>49</v>
      </c>
      <c r="H191" s="72">
        <f>IF(VLOOKUP(C191,Steuerungsdaten!$P$17:$T$39,3,0)="","",MAX(ROUND(VLOOKUP(C191,Steuerungsdaten!$P$17:$T$39,3,0)*Steuerungsdaten!$B$4*Steuerungsdaten!$B$8*IFERROR(VLOOKUP(C191,Steuerungsdaten!$B$17:$E$37,4,FALSE),1)*POWER(IF(OR(E191=0,F191=0,E191="",F191=""),1,(E191*F191/1000000)/Steuerungsdaten!$B$6),IFERROR(VLOOKUP(C191,Steuerungsdaten!$B$17:$L$37,11,FALSE),1)-1),0),Steuerungsdaten!$E$5))</f>
        <v>169</v>
      </c>
      <c r="I191" s="72">
        <f>IF(VLOOKUP(C191,Steuerungsdaten!$P$17:$T$39,4,0)="","",MAX(ROUND(VLOOKUP(C191,Steuerungsdaten!$P$17:$T$39,4,0)*Steuerungsdaten!$B$4*Steuerungsdaten!$B$9*IFERROR(VLOOKUP(C191,Steuerungsdaten!$B$17:$G$37,6,FALSE),1)*POWER(IF(OR(E191=0,F191=0,E191="",F191=""),1,(E191*F191/1000000)/Steuerungsdaten!$B$6),IFERROR(VLOOKUP(C191,Steuerungsdaten!$B$17:$M$37,12,FALSE),1)-1),0),Steuerungsdaten!$E$6))</f>
        <v>177</v>
      </c>
      <c r="J191" s="72">
        <f>IF(VLOOKUP(C191,Steuerungsdaten!$P$17:$T$39,5,0)="","",MAX(ROUND(VLOOKUP(C191,Steuerungsdaten!$P$17:$T$39,5,0)*Steuerungsdaten!$B$4*Steuerungsdaten!$B$10*IFERROR(VLOOKUP(C191,Steuerungsdaten!$B$17:$I$37,8,FALSE),1)*POWER(IF(OR(E191=0,F191=0,E191="",F191=""),1,(E191*F191/1000000)/Steuerungsdaten!$B$6),IFERROR(VLOOKUP(C191,Steuerungsdaten!$B$17:$N$37,13,FALSE),1)-1),0),Steuerungsdaten!$E$7))</f>
        <v>196</v>
      </c>
      <c r="K191" s="72">
        <f>IFERROR(IF(G191="","",ROUND(G191*Steuerungsdaten!$B$5,0)),"-")</f>
        <v>56</v>
      </c>
      <c r="L191" s="72">
        <f>IFERROR(IF(H191="","",ROUND(H191*Steuerungsdaten!$B$5,0)),"-")</f>
        <v>194</v>
      </c>
      <c r="M191" s="72">
        <f>IFERROR(IF(I191="","",ROUND(I191*Steuerungsdaten!$B$5,0)),"-")</f>
        <v>204</v>
      </c>
      <c r="N191" s="73" t="s">
        <v>988</v>
      </c>
      <c r="O191" s="79">
        <v>56</v>
      </c>
      <c r="P191" s="79">
        <f>IF(H191="","",ROUND(H191/(Steuerungsdaten!$B$4*Steuerungsdaten!$B$8*IFERROR(VLOOKUP(C191,Steuerungsdaten!$B$17:$E$37,4,FALSE),1)*POWER(IF(OR(E191=0,F191=0,E191="",F191=""),1,(E191*F191/1000000)/Steuerungsdaten!$B$6),IFERROR(VLOOKUP(C191,Steuerungsdaten!$B$17:$L$37,11,FALSE),1)-1)),0))</f>
        <v>239</v>
      </c>
      <c r="Q191" s="79">
        <f>IF(I191="","",ROUND(I191/(Steuerungsdaten!$B$4*Steuerungsdaten!$B$9*IFERROR(VLOOKUP(C191,Steuerungsdaten!$B$17:$G$37,6,FALSE),1)*POWER(IF(OR(E191=0,F191=0,E191="",F191=""),1,(E191*F191/1000000)/Steuerungsdaten!$B$6),IFERROR(VLOOKUP(C191,Steuerungsdaten!$B$17:$M$37,12,FALSE),1)-1)),0))</f>
        <v>251</v>
      </c>
      <c r="R191" s="79">
        <f>IF(J191="","",ROUND(J191/(Steuerungsdaten!$B$4*Steuerungsdaten!$B$10*IFERROR(VLOOKUP(C191,Steuerungsdaten!$B$17:$I$37,8,FALSE),1)*POWER(IF(OR(E191=0,F191=0,E191="",F191=""),1,(E191*F191/1000000)/Steuerungsdaten!$B$6),IFERROR(VLOOKUP(C191,Steuerungsdaten!$B$17:$N$37,13,FALSE),1)-1)),0))</f>
        <v>254</v>
      </c>
    </row>
    <row r="192" spans="1:18" x14ac:dyDescent="0.25">
      <c r="A192" s="74">
        <v>3804</v>
      </c>
      <c r="B192" s="75" t="s">
        <v>7</v>
      </c>
      <c r="C192" s="75" t="s">
        <v>193</v>
      </c>
      <c r="D192" s="75" t="s">
        <v>198</v>
      </c>
      <c r="E192" s="76">
        <v>980</v>
      </c>
      <c r="F192" s="76">
        <v>360</v>
      </c>
      <c r="G192" s="77">
        <f>IF(VLOOKUP(C192,Steuerungsdaten!$P$17:$T$39,2,0)="","",MAX(ROUND(VLOOKUP(C192,Steuerungsdaten!$P$17:$T$39,2,0)*Steuerungsdaten!$B$4*Steuerungsdaten!$B$7*IFERROR(VLOOKUP(C192,Steuerungsdaten!$B$17:$C$37,2,FALSE),1)*POWER(IF(OR(E192=0,F192=0,E192="",F192=""),1,(E192*F192/1000000)/Steuerungsdaten!$B$6),IFERROR(VLOOKUP(C192,Steuerungsdaten!$B$17:$K$37,10,FALSE),1)-1),0),Steuerungsdaten!$E$4))</f>
        <v>62</v>
      </c>
      <c r="H192" s="77">
        <f>IF(VLOOKUP(C192,Steuerungsdaten!$P$17:$T$39,3,0)="","",MAX(ROUND(VLOOKUP(C192,Steuerungsdaten!$P$17:$T$39,3,0)*Steuerungsdaten!$B$4*Steuerungsdaten!$B$8*IFERROR(VLOOKUP(C192,Steuerungsdaten!$B$17:$E$37,4,FALSE),1)*POWER(IF(OR(E192=0,F192=0,E192="",F192=""),1,(E192*F192/1000000)/Steuerungsdaten!$B$6),IFERROR(VLOOKUP(C192,Steuerungsdaten!$B$17:$L$37,11,FALSE),1)-1),0),Steuerungsdaten!$E$5))</f>
        <v>213</v>
      </c>
      <c r="I192" s="77">
        <f>IF(VLOOKUP(C192,Steuerungsdaten!$P$17:$T$39,4,0)="","",MAX(ROUND(VLOOKUP(C192,Steuerungsdaten!$P$17:$T$39,4,0)*Steuerungsdaten!$B$4*Steuerungsdaten!$B$9*IFERROR(VLOOKUP(C192,Steuerungsdaten!$B$17:$G$37,6,FALSE),1)*POWER(IF(OR(E192=0,F192=0,E192="",F192=""),1,(E192*F192/1000000)/Steuerungsdaten!$B$6),IFERROR(VLOOKUP(C192,Steuerungsdaten!$B$17:$M$37,12,FALSE),1)-1),0),Steuerungsdaten!$E$6))</f>
        <v>222</v>
      </c>
      <c r="J192" s="77">
        <f>IF(VLOOKUP(C192,Steuerungsdaten!$P$17:$T$39,5,0)="","",MAX(ROUND(VLOOKUP(C192,Steuerungsdaten!$P$17:$T$39,5,0)*Steuerungsdaten!$B$4*Steuerungsdaten!$B$10*IFERROR(VLOOKUP(C192,Steuerungsdaten!$B$17:$I$37,8,FALSE),1)*POWER(IF(OR(E192=0,F192=0,E192="",F192=""),1,(E192*F192/1000000)/Steuerungsdaten!$B$6),IFERROR(VLOOKUP(C192,Steuerungsdaten!$B$17:$N$37,13,FALSE),1)-1),0),Steuerungsdaten!$E$7))</f>
        <v>247</v>
      </c>
      <c r="K192" s="77">
        <f>IFERROR(IF(G192="","",ROUND(G192*Steuerungsdaten!$B$5,0)),"-")</f>
        <v>71</v>
      </c>
      <c r="L192" s="77">
        <f>IFERROR(IF(H192="","",ROUND(H192*Steuerungsdaten!$B$5,0)),"-")</f>
        <v>245</v>
      </c>
      <c r="M192" s="77">
        <f>IFERROR(IF(I192="","",ROUND(I192*Steuerungsdaten!$B$5,0)),"-")</f>
        <v>255</v>
      </c>
      <c r="N192" s="78" t="s">
        <v>988</v>
      </c>
      <c r="O192" s="79">
        <v>70</v>
      </c>
      <c r="P192" s="79">
        <f>IF(H192="","",ROUND(H192/(Steuerungsdaten!$B$4*Steuerungsdaten!$B$8*IFERROR(VLOOKUP(C192,Steuerungsdaten!$B$17:$E$37,4,FALSE),1)*POWER(IF(OR(E192=0,F192=0,E192="",F192=""),1,(E192*F192/1000000)/Steuerungsdaten!$B$6),IFERROR(VLOOKUP(C192,Steuerungsdaten!$B$17:$L$37,11,FALSE),1)-1)),0))</f>
        <v>240</v>
      </c>
      <c r="Q192" s="79">
        <f>IF(I192="","",ROUND(I192/(Steuerungsdaten!$B$4*Steuerungsdaten!$B$9*IFERROR(VLOOKUP(C192,Steuerungsdaten!$B$17:$G$37,6,FALSE),1)*POWER(IF(OR(E192=0,F192=0,E192="",F192=""),1,(E192*F192/1000000)/Steuerungsdaten!$B$6),IFERROR(VLOOKUP(C192,Steuerungsdaten!$B$17:$M$37,12,FALSE),1)-1)),0))</f>
        <v>250</v>
      </c>
      <c r="R192" s="79">
        <f>IF(J192="","",ROUND(J192/(Steuerungsdaten!$B$4*Steuerungsdaten!$B$10*IFERROR(VLOOKUP(C192,Steuerungsdaten!$B$17:$I$37,8,FALSE),1)*POWER(IF(OR(E192=0,F192=0,E192="",F192=""),1,(E192*F192/1000000)/Steuerungsdaten!$B$6),IFERROR(VLOOKUP(C192,Steuerungsdaten!$B$17:$N$37,13,FALSE),1)-1)),0))</f>
        <v>255</v>
      </c>
    </row>
    <row r="193" spans="1:18" x14ac:dyDescent="0.25">
      <c r="A193" s="69">
        <v>3805</v>
      </c>
      <c r="B193" s="70" t="s">
        <v>7</v>
      </c>
      <c r="C193" s="70" t="s">
        <v>193</v>
      </c>
      <c r="D193" s="70" t="s">
        <v>199</v>
      </c>
      <c r="E193" s="71">
        <v>360</v>
      </c>
      <c r="F193" s="71">
        <v>580</v>
      </c>
      <c r="G193" s="72">
        <f>IF(VLOOKUP(C193,Steuerungsdaten!$P$17:$T$39,2,0)="","",MAX(ROUND(VLOOKUP(C193,Steuerungsdaten!$P$17:$T$39,2,0)*Steuerungsdaten!$B$4*Steuerungsdaten!$B$7*IFERROR(VLOOKUP(C193,Steuerungsdaten!$B$17:$C$37,2,FALSE),1)*POWER(IF(OR(E193=0,F193=0,E193="",F193=""),1,(E193*F193/1000000)/Steuerungsdaten!$B$6),IFERROR(VLOOKUP(C193,Steuerungsdaten!$B$17:$K$37,10,FALSE),1)-1),0),Steuerungsdaten!$E$4))</f>
        <v>37</v>
      </c>
      <c r="H193" s="72">
        <f>IF(VLOOKUP(C193,Steuerungsdaten!$P$17:$T$39,3,0)="","",MAX(ROUND(VLOOKUP(C193,Steuerungsdaten!$P$17:$T$39,3,0)*Steuerungsdaten!$B$4*Steuerungsdaten!$B$8*IFERROR(VLOOKUP(C193,Steuerungsdaten!$B$17:$E$37,4,FALSE),1)*POWER(IF(OR(E193=0,F193=0,E193="",F193=""),1,(E193*F193/1000000)/Steuerungsdaten!$B$6),IFERROR(VLOOKUP(C193,Steuerungsdaten!$B$17:$L$37,11,FALSE),1)-1),0),Steuerungsdaten!$E$5))</f>
        <v>126</v>
      </c>
      <c r="I193" s="72">
        <f>IF(VLOOKUP(C193,Steuerungsdaten!$P$17:$T$39,4,0)="","",MAX(ROUND(VLOOKUP(C193,Steuerungsdaten!$P$17:$T$39,4,0)*Steuerungsdaten!$B$4*Steuerungsdaten!$B$9*IFERROR(VLOOKUP(C193,Steuerungsdaten!$B$17:$G$37,6,FALSE),1)*POWER(IF(OR(E193=0,F193=0,E193="",F193=""),1,(E193*F193/1000000)/Steuerungsdaten!$B$6),IFERROR(VLOOKUP(C193,Steuerungsdaten!$B$17:$M$37,12,FALSE),1)-1),0),Steuerungsdaten!$E$6))</f>
        <v>131</v>
      </c>
      <c r="J193" s="72">
        <f>IF(VLOOKUP(C193,Steuerungsdaten!$P$17:$T$39,5,0)="","",MAX(ROUND(VLOOKUP(C193,Steuerungsdaten!$P$17:$T$39,5,0)*Steuerungsdaten!$B$4*Steuerungsdaten!$B$10*IFERROR(VLOOKUP(C193,Steuerungsdaten!$B$17:$I$37,8,FALSE),1)*POWER(IF(OR(E193=0,F193=0,E193="",F193=""),1,(E193*F193/1000000)/Steuerungsdaten!$B$6),IFERROR(VLOOKUP(C193,Steuerungsdaten!$B$17:$N$37,13,FALSE),1)-1),0),Steuerungsdaten!$E$7))</f>
        <v>146</v>
      </c>
      <c r="K193" s="72">
        <f>IFERROR(IF(G193="","",ROUND(G193*Steuerungsdaten!$B$5,0)),"-")</f>
        <v>43</v>
      </c>
      <c r="L193" s="72">
        <f>IFERROR(IF(H193="","",ROUND(H193*Steuerungsdaten!$B$5,0)),"-")</f>
        <v>145</v>
      </c>
      <c r="M193" s="72">
        <f>IFERROR(IF(I193="","",ROUND(I193*Steuerungsdaten!$B$5,0)),"-")</f>
        <v>151</v>
      </c>
      <c r="N193" s="73" t="s">
        <v>988</v>
      </c>
      <c r="O193" s="79">
        <v>43</v>
      </c>
      <c r="P193" s="79">
        <f>IF(H193="","",ROUND(H193/(Steuerungsdaten!$B$4*Steuerungsdaten!$B$8*IFERROR(VLOOKUP(C193,Steuerungsdaten!$B$17:$E$37,4,FALSE),1)*POWER(IF(OR(E193=0,F193=0,E193="",F193=""),1,(E193*F193/1000000)/Steuerungsdaten!$B$6),IFERROR(VLOOKUP(C193,Steuerungsdaten!$B$17:$L$37,11,FALSE),1)-1)),0))</f>
        <v>240</v>
      </c>
      <c r="Q193" s="79">
        <f>IF(I193="","",ROUND(I193/(Steuerungsdaten!$B$4*Steuerungsdaten!$B$9*IFERROR(VLOOKUP(C193,Steuerungsdaten!$B$17:$G$37,6,FALSE),1)*POWER(IF(OR(E193=0,F193=0,E193="",F193=""),1,(E193*F193/1000000)/Steuerungsdaten!$B$6),IFERROR(VLOOKUP(C193,Steuerungsdaten!$B$17:$M$37,12,FALSE),1)-1)),0))</f>
        <v>250</v>
      </c>
      <c r="R193" s="79">
        <f>IF(J193="","",ROUND(J193/(Steuerungsdaten!$B$4*Steuerungsdaten!$B$10*IFERROR(VLOOKUP(C193,Steuerungsdaten!$B$17:$I$37,8,FALSE),1)*POWER(IF(OR(E193=0,F193=0,E193="",F193=""),1,(E193*F193/1000000)/Steuerungsdaten!$B$6),IFERROR(VLOOKUP(C193,Steuerungsdaten!$B$17:$N$37,13,FALSE),1)-1)),0))</f>
        <v>255</v>
      </c>
    </row>
    <row r="194" spans="1:18" x14ac:dyDescent="0.25">
      <c r="A194" s="74">
        <v>3806</v>
      </c>
      <c r="B194" s="75" t="s">
        <v>7</v>
      </c>
      <c r="C194" s="75" t="s">
        <v>193</v>
      </c>
      <c r="D194" s="75" t="s">
        <v>200</v>
      </c>
      <c r="E194" s="76">
        <v>420</v>
      </c>
      <c r="F194" s="76">
        <v>580</v>
      </c>
      <c r="G194" s="77">
        <f>IF(VLOOKUP(C194,Steuerungsdaten!$P$17:$T$39,2,0)="","",MAX(ROUND(VLOOKUP(C194,Steuerungsdaten!$P$17:$T$39,2,0)*Steuerungsdaten!$B$4*Steuerungsdaten!$B$7*IFERROR(VLOOKUP(C194,Steuerungsdaten!$B$17:$C$37,2,FALSE),1)*POWER(IF(OR(E194=0,F194=0,E194="",F194=""),1,(E194*F194/1000000)/Steuerungsdaten!$B$6),IFERROR(VLOOKUP(C194,Steuerungsdaten!$B$17:$K$37,10,FALSE),1)-1),0),Steuerungsdaten!$E$4))</f>
        <v>43</v>
      </c>
      <c r="H194" s="77">
        <f>IF(VLOOKUP(C194,Steuerungsdaten!$P$17:$T$39,3,0)="","",MAX(ROUND(VLOOKUP(C194,Steuerungsdaten!$P$17:$T$39,3,0)*Steuerungsdaten!$B$4*Steuerungsdaten!$B$8*IFERROR(VLOOKUP(C194,Steuerungsdaten!$B$17:$E$37,4,FALSE),1)*POWER(IF(OR(E194=0,F194=0,E194="",F194=""),1,(E194*F194/1000000)/Steuerungsdaten!$B$6),IFERROR(VLOOKUP(C194,Steuerungsdaten!$B$17:$L$37,11,FALSE),1)-1),0),Steuerungsdaten!$E$5))</f>
        <v>147</v>
      </c>
      <c r="I194" s="77">
        <f>IF(VLOOKUP(C194,Steuerungsdaten!$P$17:$T$39,4,0)="","",MAX(ROUND(VLOOKUP(C194,Steuerungsdaten!$P$17:$T$39,4,0)*Steuerungsdaten!$B$4*Steuerungsdaten!$B$9*IFERROR(VLOOKUP(C194,Steuerungsdaten!$B$17:$G$37,6,FALSE),1)*POWER(IF(OR(E194=0,F194=0,E194="",F194=""),1,(E194*F194/1000000)/Steuerungsdaten!$B$6),IFERROR(VLOOKUP(C194,Steuerungsdaten!$B$17:$M$37,12,FALSE),1)-1),0),Steuerungsdaten!$E$6))</f>
        <v>153</v>
      </c>
      <c r="J194" s="77">
        <f>IF(VLOOKUP(C194,Steuerungsdaten!$P$17:$T$39,5,0)="","",MAX(ROUND(VLOOKUP(C194,Steuerungsdaten!$P$17:$T$39,5,0)*Steuerungsdaten!$B$4*Steuerungsdaten!$B$10*IFERROR(VLOOKUP(C194,Steuerungsdaten!$B$17:$I$37,8,FALSE),1)*POWER(IF(OR(E194=0,F194=0,E194="",F194=""),1,(E194*F194/1000000)/Steuerungsdaten!$B$6),IFERROR(VLOOKUP(C194,Steuerungsdaten!$B$17:$N$37,13,FALSE),1)-1),0),Steuerungsdaten!$E$7))</f>
        <v>170</v>
      </c>
      <c r="K194" s="77">
        <f>IFERROR(IF(G194="","",ROUND(G194*Steuerungsdaten!$B$5,0)),"-")</f>
        <v>49</v>
      </c>
      <c r="L194" s="77">
        <f>IFERROR(IF(H194="","",ROUND(H194*Steuerungsdaten!$B$5,0)),"-")</f>
        <v>169</v>
      </c>
      <c r="M194" s="77">
        <f>IFERROR(IF(I194="","",ROUND(I194*Steuerungsdaten!$B$5,0)),"-")</f>
        <v>176</v>
      </c>
      <c r="N194" s="78" t="s">
        <v>988</v>
      </c>
      <c r="O194" s="79">
        <v>49</v>
      </c>
      <c r="P194" s="79">
        <f>IF(H194="","",ROUND(H194/(Steuerungsdaten!$B$4*Steuerungsdaten!$B$8*IFERROR(VLOOKUP(C194,Steuerungsdaten!$B$17:$E$37,4,FALSE),1)*POWER(IF(OR(E194=0,F194=0,E194="",F194=""),1,(E194*F194/1000000)/Steuerungsdaten!$B$6),IFERROR(VLOOKUP(C194,Steuerungsdaten!$B$17:$L$37,11,FALSE),1)-1)),0))</f>
        <v>240</v>
      </c>
      <c r="Q194" s="79">
        <f>IF(I194="","",ROUND(I194/(Steuerungsdaten!$B$4*Steuerungsdaten!$B$9*IFERROR(VLOOKUP(C194,Steuerungsdaten!$B$17:$G$37,6,FALSE),1)*POWER(IF(OR(E194=0,F194=0,E194="",F194=""),1,(E194*F194/1000000)/Steuerungsdaten!$B$6),IFERROR(VLOOKUP(C194,Steuerungsdaten!$B$17:$M$37,12,FALSE),1)-1)),0))</f>
        <v>250</v>
      </c>
      <c r="R194" s="79">
        <f>IF(J194="","",ROUND(J194/(Steuerungsdaten!$B$4*Steuerungsdaten!$B$10*IFERROR(VLOOKUP(C194,Steuerungsdaten!$B$17:$I$37,8,FALSE),1)*POWER(IF(OR(E194=0,F194=0,E194="",F194=""),1,(E194*F194/1000000)/Steuerungsdaten!$B$6),IFERROR(VLOOKUP(C194,Steuerungsdaten!$B$17:$N$37,13,FALSE),1)-1)),0))</f>
        <v>254</v>
      </c>
    </row>
    <row r="195" spans="1:18" x14ac:dyDescent="0.25">
      <c r="A195" s="69">
        <v>3807</v>
      </c>
      <c r="B195" s="70" t="s">
        <v>7</v>
      </c>
      <c r="C195" s="70" t="s">
        <v>193</v>
      </c>
      <c r="D195" s="70" t="s">
        <v>201</v>
      </c>
      <c r="E195" s="71">
        <v>580</v>
      </c>
      <c r="F195" s="71">
        <v>580</v>
      </c>
      <c r="G195" s="72">
        <f>IF(VLOOKUP(C195,Steuerungsdaten!$P$17:$T$39,2,0)="","",MAX(ROUND(VLOOKUP(C195,Steuerungsdaten!$P$17:$T$39,2,0)*Steuerungsdaten!$B$4*Steuerungsdaten!$B$7*IFERROR(VLOOKUP(C195,Steuerungsdaten!$B$17:$C$37,2,FALSE),1)*POWER(IF(OR(E195=0,F195=0,E195="",F195=""),1,(E195*F195/1000000)/Steuerungsdaten!$B$6),IFERROR(VLOOKUP(C195,Steuerungsdaten!$B$17:$K$37,10,FALSE),1)-1),0),Steuerungsdaten!$E$4))</f>
        <v>59</v>
      </c>
      <c r="H195" s="72">
        <f>IF(VLOOKUP(C195,Steuerungsdaten!$P$17:$T$39,3,0)="","",MAX(ROUND(VLOOKUP(C195,Steuerungsdaten!$P$17:$T$39,3,0)*Steuerungsdaten!$B$4*Steuerungsdaten!$B$8*IFERROR(VLOOKUP(C195,Steuerungsdaten!$B$17:$E$37,4,FALSE),1)*POWER(IF(OR(E195=0,F195=0,E195="",F195=""),1,(E195*F195/1000000)/Steuerungsdaten!$B$6),IFERROR(VLOOKUP(C195,Steuerungsdaten!$B$17:$L$37,11,FALSE),1)-1),0),Steuerungsdaten!$E$5))</f>
        <v>203</v>
      </c>
      <c r="I195" s="72">
        <f>IF(VLOOKUP(C195,Steuerungsdaten!$P$17:$T$39,4,0)="","",MAX(ROUND(VLOOKUP(C195,Steuerungsdaten!$P$17:$T$39,4,0)*Steuerungsdaten!$B$4*Steuerungsdaten!$B$9*IFERROR(VLOOKUP(C195,Steuerungsdaten!$B$17:$G$37,6,FALSE),1)*POWER(IF(OR(E195=0,F195=0,E195="",F195=""),1,(E195*F195/1000000)/Steuerungsdaten!$B$6),IFERROR(VLOOKUP(C195,Steuerungsdaten!$B$17:$M$37,12,FALSE),1)-1),0),Steuerungsdaten!$E$6))</f>
        <v>211</v>
      </c>
      <c r="J195" s="72">
        <f>IF(VLOOKUP(C195,Steuerungsdaten!$P$17:$T$39,5,0)="","",MAX(ROUND(VLOOKUP(C195,Steuerungsdaten!$P$17:$T$39,5,0)*Steuerungsdaten!$B$4*Steuerungsdaten!$B$10*IFERROR(VLOOKUP(C195,Steuerungsdaten!$B$17:$I$37,8,FALSE),1)*POWER(IF(OR(E195=0,F195=0,E195="",F195=""),1,(E195*F195/1000000)/Steuerungsdaten!$B$6),IFERROR(VLOOKUP(C195,Steuerungsdaten!$B$17:$N$37,13,FALSE),1)-1),0),Steuerungsdaten!$E$7))</f>
        <v>235</v>
      </c>
      <c r="K195" s="72">
        <f>IFERROR(IF(G195="","",ROUND(G195*Steuerungsdaten!$B$5,0)),"-")</f>
        <v>68</v>
      </c>
      <c r="L195" s="72">
        <f>IFERROR(IF(H195="","",ROUND(H195*Steuerungsdaten!$B$5,0)),"-")</f>
        <v>233</v>
      </c>
      <c r="M195" s="72">
        <f>IFERROR(IF(I195="","",ROUND(I195*Steuerungsdaten!$B$5,0)),"-")</f>
        <v>243</v>
      </c>
      <c r="N195" s="73" t="s">
        <v>988</v>
      </c>
      <c r="O195" s="79">
        <v>67</v>
      </c>
      <c r="P195" s="79">
        <f>IF(H195="","",ROUND(H195/(Steuerungsdaten!$B$4*Steuerungsdaten!$B$8*IFERROR(VLOOKUP(C195,Steuerungsdaten!$B$17:$E$37,4,FALSE),1)*POWER(IF(OR(E195=0,F195=0,E195="",F195=""),1,(E195*F195/1000000)/Steuerungsdaten!$B$6),IFERROR(VLOOKUP(C195,Steuerungsdaten!$B$17:$L$37,11,FALSE),1)-1)),0))</f>
        <v>240</v>
      </c>
      <c r="Q195" s="79">
        <f>IF(I195="","",ROUND(I195/(Steuerungsdaten!$B$4*Steuerungsdaten!$B$9*IFERROR(VLOOKUP(C195,Steuerungsdaten!$B$17:$G$37,6,FALSE),1)*POWER(IF(OR(E195=0,F195=0,E195="",F195=""),1,(E195*F195/1000000)/Steuerungsdaten!$B$6),IFERROR(VLOOKUP(C195,Steuerungsdaten!$B$17:$M$37,12,FALSE),1)-1)),0))</f>
        <v>249</v>
      </c>
      <c r="R195" s="79">
        <f>IF(J195="","",ROUND(J195/(Steuerungsdaten!$B$4*Steuerungsdaten!$B$10*IFERROR(VLOOKUP(C195,Steuerungsdaten!$B$17:$I$37,8,FALSE),1)*POWER(IF(OR(E195=0,F195=0,E195="",F195=""),1,(E195*F195/1000000)/Steuerungsdaten!$B$6),IFERROR(VLOOKUP(C195,Steuerungsdaten!$B$17:$N$37,13,FALSE),1)-1)),0))</f>
        <v>255</v>
      </c>
    </row>
    <row r="196" spans="1:18" x14ac:dyDescent="0.25">
      <c r="A196" s="74">
        <v>3808</v>
      </c>
      <c r="B196" s="75" t="s">
        <v>7</v>
      </c>
      <c r="C196" s="75" t="s">
        <v>193</v>
      </c>
      <c r="D196" s="75" t="s">
        <v>202</v>
      </c>
      <c r="E196" s="76">
        <v>780</v>
      </c>
      <c r="F196" s="76">
        <v>580</v>
      </c>
      <c r="G196" s="77">
        <f>IF(VLOOKUP(C196,Steuerungsdaten!$P$17:$T$39,2,0)="","",MAX(ROUND(VLOOKUP(C196,Steuerungsdaten!$P$17:$T$39,2,0)*Steuerungsdaten!$B$4*Steuerungsdaten!$B$7*IFERROR(VLOOKUP(C196,Steuerungsdaten!$B$17:$C$37,2,FALSE),1)*POWER(IF(OR(E196=0,F196=0,E196="",F196=""),1,(E196*F196/1000000)/Steuerungsdaten!$B$6),IFERROR(VLOOKUP(C196,Steuerungsdaten!$B$17:$K$37,10,FALSE),1)-1),0),Steuerungsdaten!$E$4))</f>
        <v>80</v>
      </c>
      <c r="H196" s="77">
        <f>IF(VLOOKUP(C196,Steuerungsdaten!$P$17:$T$39,3,0)="","",MAX(ROUND(VLOOKUP(C196,Steuerungsdaten!$P$17:$T$39,3,0)*Steuerungsdaten!$B$4*Steuerungsdaten!$B$8*IFERROR(VLOOKUP(C196,Steuerungsdaten!$B$17:$E$37,4,FALSE),1)*POWER(IF(OR(E196=0,F196=0,E196="",F196=""),1,(E196*F196/1000000)/Steuerungsdaten!$B$6),IFERROR(VLOOKUP(C196,Steuerungsdaten!$B$17:$L$37,11,FALSE),1)-1),0),Steuerungsdaten!$E$5))</f>
        <v>273</v>
      </c>
      <c r="I196" s="77">
        <f>IF(VLOOKUP(C196,Steuerungsdaten!$P$17:$T$39,4,0)="","",MAX(ROUND(VLOOKUP(C196,Steuerungsdaten!$P$17:$T$39,4,0)*Steuerungsdaten!$B$4*Steuerungsdaten!$B$9*IFERROR(VLOOKUP(C196,Steuerungsdaten!$B$17:$G$37,6,FALSE),1)*POWER(IF(OR(E196=0,F196=0,E196="",F196=""),1,(E196*F196/1000000)/Steuerungsdaten!$B$6),IFERROR(VLOOKUP(C196,Steuerungsdaten!$B$17:$M$37,12,FALSE),1)-1),0),Steuerungsdaten!$E$6))</f>
        <v>284</v>
      </c>
      <c r="J196" s="77">
        <f>IF(VLOOKUP(C196,Steuerungsdaten!$P$17:$T$39,5,0)="","",MAX(ROUND(VLOOKUP(C196,Steuerungsdaten!$P$17:$T$39,5,0)*Steuerungsdaten!$B$4*Steuerungsdaten!$B$10*IFERROR(VLOOKUP(C196,Steuerungsdaten!$B$17:$I$37,8,FALSE),1)*POWER(IF(OR(E196=0,F196=0,E196="",F196=""),1,(E196*F196/1000000)/Steuerungsdaten!$B$6),IFERROR(VLOOKUP(C196,Steuerungsdaten!$B$17:$N$37,13,FALSE),1)-1),0),Steuerungsdaten!$E$7))</f>
        <v>316</v>
      </c>
      <c r="K196" s="77">
        <f>IFERROR(IF(G196="","",ROUND(G196*Steuerungsdaten!$B$5,0)),"-")</f>
        <v>92</v>
      </c>
      <c r="L196" s="77">
        <f>IFERROR(IF(H196="","",ROUND(H196*Steuerungsdaten!$B$5,0)),"-")</f>
        <v>314</v>
      </c>
      <c r="M196" s="77">
        <f>IFERROR(IF(I196="","",ROUND(I196*Steuerungsdaten!$B$5,0)),"-")</f>
        <v>327</v>
      </c>
      <c r="N196" s="78" t="s">
        <v>988</v>
      </c>
      <c r="O196" s="79">
        <v>87</v>
      </c>
      <c r="P196" s="79">
        <f>IF(H196="","",ROUND(H196/(Steuerungsdaten!$B$4*Steuerungsdaten!$B$8*IFERROR(VLOOKUP(C196,Steuerungsdaten!$B$17:$E$37,4,FALSE),1)*POWER(IF(OR(E196=0,F196=0,E196="",F196=""),1,(E196*F196/1000000)/Steuerungsdaten!$B$6),IFERROR(VLOOKUP(C196,Steuerungsdaten!$B$17:$L$37,11,FALSE),1)-1)),0))</f>
        <v>240</v>
      </c>
      <c r="Q196" s="79">
        <f>IF(I196="","",ROUND(I196/(Steuerungsdaten!$B$4*Steuerungsdaten!$B$9*IFERROR(VLOOKUP(C196,Steuerungsdaten!$B$17:$G$37,6,FALSE),1)*POWER(IF(OR(E196=0,F196=0,E196="",F196=""),1,(E196*F196/1000000)/Steuerungsdaten!$B$6),IFERROR(VLOOKUP(C196,Steuerungsdaten!$B$17:$M$37,12,FALSE),1)-1)),0))</f>
        <v>250</v>
      </c>
      <c r="R196" s="79">
        <f>IF(J196="","",ROUND(J196/(Steuerungsdaten!$B$4*Steuerungsdaten!$B$10*IFERROR(VLOOKUP(C196,Steuerungsdaten!$B$17:$I$37,8,FALSE),1)*POWER(IF(OR(E196=0,F196=0,E196="",F196=""),1,(E196*F196/1000000)/Steuerungsdaten!$B$6),IFERROR(VLOOKUP(C196,Steuerungsdaten!$B$17:$N$37,13,FALSE),1)-1)),0))</f>
        <v>255</v>
      </c>
    </row>
    <row r="197" spans="1:18" x14ac:dyDescent="0.25">
      <c r="A197" s="69">
        <v>3809</v>
      </c>
      <c r="B197" s="70" t="s">
        <v>7</v>
      </c>
      <c r="C197" s="70" t="s">
        <v>193</v>
      </c>
      <c r="D197" s="70" t="s">
        <v>203</v>
      </c>
      <c r="E197" s="71">
        <v>980</v>
      </c>
      <c r="F197" s="71">
        <v>580</v>
      </c>
      <c r="G197" s="72">
        <f>IF(VLOOKUP(C197,Steuerungsdaten!$P$17:$T$39,2,0)="","",MAX(ROUND(VLOOKUP(C197,Steuerungsdaten!$P$17:$T$39,2,0)*Steuerungsdaten!$B$4*Steuerungsdaten!$B$7*IFERROR(VLOOKUP(C197,Steuerungsdaten!$B$17:$C$37,2,FALSE),1)*POWER(IF(OR(E197=0,F197=0,E197="",F197=""),1,(E197*F197/1000000)/Steuerungsdaten!$B$6),IFERROR(VLOOKUP(C197,Steuerungsdaten!$B$17:$K$37,10,FALSE),1)-1),0),Steuerungsdaten!$E$4))</f>
        <v>100</v>
      </c>
      <c r="H197" s="72">
        <f>IF(VLOOKUP(C197,Steuerungsdaten!$P$17:$T$39,3,0)="","",MAX(ROUND(VLOOKUP(C197,Steuerungsdaten!$P$17:$T$39,3,0)*Steuerungsdaten!$B$4*Steuerungsdaten!$B$8*IFERROR(VLOOKUP(C197,Steuerungsdaten!$B$17:$E$37,4,FALSE),1)*POWER(IF(OR(E197=0,F197=0,E197="",F197=""),1,(E197*F197/1000000)/Steuerungsdaten!$B$6),IFERROR(VLOOKUP(C197,Steuerungsdaten!$B$17:$L$37,11,FALSE),1)-1),0),Steuerungsdaten!$E$5))</f>
        <v>343</v>
      </c>
      <c r="I197" s="72">
        <f>IF(VLOOKUP(C197,Steuerungsdaten!$P$17:$T$39,4,0)="","",MAX(ROUND(VLOOKUP(C197,Steuerungsdaten!$P$17:$T$39,4,0)*Steuerungsdaten!$B$4*Steuerungsdaten!$B$9*IFERROR(VLOOKUP(C197,Steuerungsdaten!$B$17:$G$37,6,FALSE),1)*POWER(IF(OR(E197=0,F197=0,E197="",F197=""),1,(E197*F197/1000000)/Steuerungsdaten!$B$6),IFERROR(VLOOKUP(C197,Steuerungsdaten!$B$17:$M$37,12,FALSE),1)-1),0),Steuerungsdaten!$E$6))</f>
        <v>357</v>
      </c>
      <c r="J197" s="72">
        <f>IF(VLOOKUP(C197,Steuerungsdaten!$P$17:$T$39,5,0)="","",MAX(ROUND(VLOOKUP(C197,Steuerungsdaten!$P$17:$T$39,5,0)*Steuerungsdaten!$B$4*Steuerungsdaten!$B$10*IFERROR(VLOOKUP(C197,Steuerungsdaten!$B$17:$I$37,8,FALSE),1)*POWER(IF(OR(E197=0,F197=0,E197="",F197=""),1,(E197*F197/1000000)/Steuerungsdaten!$B$6),IFERROR(VLOOKUP(C197,Steuerungsdaten!$B$17:$N$37,13,FALSE),1)-1),0),Steuerungsdaten!$E$7))</f>
        <v>398</v>
      </c>
      <c r="K197" s="72">
        <f>IFERROR(IF(G197="","",ROUND(G197*Steuerungsdaten!$B$5,0)),"-")</f>
        <v>115</v>
      </c>
      <c r="L197" s="72">
        <f>IFERROR(IF(H197="","",ROUND(H197*Steuerungsdaten!$B$5,0)),"-")</f>
        <v>394</v>
      </c>
      <c r="M197" s="72">
        <f>IFERROR(IF(I197="","",ROUND(I197*Steuerungsdaten!$B$5,0)),"-")</f>
        <v>411</v>
      </c>
      <c r="N197" s="73" t="s">
        <v>988</v>
      </c>
      <c r="O197" s="79">
        <v>110</v>
      </c>
      <c r="P197" s="79">
        <f>IF(H197="","",ROUND(H197/(Steuerungsdaten!$B$4*Steuerungsdaten!$B$8*IFERROR(VLOOKUP(C197,Steuerungsdaten!$B$17:$E$37,4,FALSE),1)*POWER(IF(OR(E197=0,F197=0,E197="",F197=""),1,(E197*F197/1000000)/Steuerungsdaten!$B$6),IFERROR(VLOOKUP(C197,Steuerungsdaten!$B$17:$L$37,11,FALSE),1)-1)),0))</f>
        <v>240</v>
      </c>
      <c r="Q197" s="79">
        <f>IF(I197="","",ROUND(I197/(Steuerungsdaten!$B$4*Steuerungsdaten!$B$9*IFERROR(VLOOKUP(C197,Steuerungsdaten!$B$17:$G$37,6,FALSE),1)*POWER(IF(OR(E197=0,F197=0,E197="",F197=""),1,(E197*F197/1000000)/Steuerungsdaten!$B$6),IFERROR(VLOOKUP(C197,Steuerungsdaten!$B$17:$M$37,12,FALSE),1)-1)),0))</f>
        <v>250</v>
      </c>
      <c r="R197" s="79">
        <f>IF(J197="","",ROUND(J197/(Steuerungsdaten!$B$4*Steuerungsdaten!$B$10*IFERROR(VLOOKUP(C197,Steuerungsdaten!$B$17:$I$37,8,FALSE),1)*POWER(IF(OR(E197=0,F197=0,E197="",F197=""),1,(E197*F197/1000000)/Steuerungsdaten!$B$6),IFERROR(VLOOKUP(C197,Steuerungsdaten!$B$17:$N$37,13,FALSE),1)-1)),0))</f>
        <v>255</v>
      </c>
    </row>
    <row r="198" spans="1:18" x14ac:dyDescent="0.25">
      <c r="A198" s="74">
        <v>3810</v>
      </c>
      <c r="B198" s="75" t="s">
        <v>7</v>
      </c>
      <c r="C198" s="75" t="s">
        <v>193</v>
      </c>
      <c r="D198" s="75" t="s">
        <v>204</v>
      </c>
      <c r="E198" s="76">
        <v>420</v>
      </c>
      <c r="F198" s="76">
        <v>780</v>
      </c>
      <c r="G198" s="77" t="s">
        <v>988</v>
      </c>
      <c r="H198" s="77" t="s">
        <v>988</v>
      </c>
      <c r="I198" s="77" t="s">
        <v>988</v>
      </c>
      <c r="J198" s="77" t="s">
        <v>988</v>
      </c>
      <c r="K198" s="77" t="s">
        <v>988</v>
      </c>
      <c r="L198" s="77" t="s">
        <v>988</v>
      </c>
      <c r="M198" s="77" t="s">
        <v>988</v>
      </c>
      <c r="N198" s="78" t="s">
        <v>988</v>
      </c>
      <c r="O198" s="79">
        <v>65</v>
      </c>
      <c r="P198" s="79" t="e">
        <f>IF(H198="","",ROUND(H198/(Steuerungsdaten!$B$4*Steuerungsdaten!$B$8*IFERROR(VLOOKUP(C198,Steuerungsdaten!$B$17:$E$37,4,FALSE),1)*POWER(IF(OR(E198=0,F198=0,E198="",F198=""),1,(E198*F198/1000000)/Steuerungsdaten!$B$6),IFERROR(VLOOKUP(C198,Steuerungsdaten!$B$17:$L$37,11,FALSE),1)-1)),0))</f>
        <v>#VALUE!</v>
      </c>
      <c r="Q198" s="79" t="e">
        <f>IF(I198="","",ROUND(I198/(Steuerungsdaten!$B$4*Steuerungsdaten!$B$9*IFERROR(VLOOKUP(C198,Steuerungsdaten!$B$17:$G$37,6,FALSE),1)*POWER(IF(OR(E198=0,F198=0,E198="",F198=""),1,(E198*F198/1000000)/Steuerungsdaten!$B$6),IFERROR(VLOOKUP(C198,Steuerungsdaten!$B$17:$M$37,12,FALSE),1)-1)),0))</f>
        <v>#VALUE!</v>
      </c>
      <c r="R198" s="79" t="e">
        <f>IF(J198="","",ROUND(J198/(Steuerungsdaten!$B$4*Steuerungsdaten!$B$10*IFERROR(VLOOKUP(C198,Steuerungsdaten!$B$17:$I$37,8,FALSE),1)*POWER(IF(OR(E198=0,F198=0,E198="",F198=""),1,(E198*F198/1000000)/Steuerungsdaten!$B$6),IFERROR(VLOOKUP(C198,Steuerungsdaten!$B$17:$N$37,13,FALSE),1)-1)),0))</f>
        <v>#VALUE!</v>
      </c>
    </row>
    <row r="199" spans="1:18" x14ac:dyDescent="0.25">
      <c r="A199" s="69">
        <v>3811</v>
      </c>
      <c r="B199" s="70" t="s">
        <v>7</v>
      </c>
      <c r="C199" s="70" t="s">
        <v>193</v>
      </c>
      <c r="D199" s="70" t="s">
        <v>205</v>
      </c>
      <c r="E199" s="71">
        <v>420</v>
      </c>
      <c r="F199" s="71">
        <v>980</v>
      </c>
      <c r="G199" s="72" t="s">
        <v>988</v>
      </c>
      <c r="H199" s="72" t="s">
        <v>988</v>
      </c>
      <c r="I199" s="72" t="s">
        <v>988</v>
      </c>
      <c r="J199" s="72" t="s">
        <v>988</v>
      </c>
      <c r="K199" s="72" t="s">
        <v>988</v>
      </c>
      <c r="L199" s="72" t="s">
        <v>988</v>
      </c>
      <c r="M199" s="72" t="s">
        <v>988</v>
      </c>
      <c r="N199" s="73" t="s">
        <v>988</v>
      </c>
      <c r="O199" s="79">
        <v>79</v>
      </c>
      <c r="P199" s="79" t="e">
        <f>IF(H199="","",ROUND(H199/(Steuerungsdaten!$B$4*Steuerungsdaten!$B$8*IFERROR(VLOOKUP(C199,Steuerungsdaten!$B$17:$E$37,4,FALSE),1)*POWER(IF(OR(E199=0,F199=0,E199="",F199=""),1,(E199*F199/1000000)/Steuerungsdaten!$B$6),IFERROR(VLOOKUP(C199,Steuerungsdaten!$B$17:$L$37,11,FALSE),1)-1)),0))</f>
        <v>#VALUE!</v>
      </c>
      <c r="Q199" s="79" t="e">
        <f>IF(I199="","",ROUND(I199/(Steuerungsdaten!$B$4*Steuerungsdaten!$B$9*IFERROR(VLOOKUP(C199,Steuerungsdaten!$B$17:$G$37,6,FALSE),1)*POWER(IF(OR(E199=0,F199=0,E199="",F199=""),1,(E199*F199/1000000)/Steuerungsdaten!$B$6),IFERROR(VLOOKUP(C199,Steuerungsdaten!$B$17:$M$37,12,FALSE),1)-1)),0))</f>
        <v>#VALUE!</v>
      </c>
      <c r="R199" s="79" t="e">
        <f>IF(J199="","",ROUND(J199/(Steuerungsdaten!$B$4*Steuerungsdaten!$B$10*IFERROR(VLOOKUP(C199,Steuerungsdaten!$B$17:$I$37,8,FALSE),1)*POWER(IF(OR(E199=0,F199=0,E199="",F199=""),1,(E199*F199/1000000)/Steuerungsdaten!$B$6),IFERROR(VLOOKUP(C199,Steuerungsdaten!$B$17:$N$37,13,FALSE),1)-1)),0))</f>
        <v>#VALUE!</v>
      </c>
    </row>
    <row r="200" spans="1:18" x14ac:dyDescent="0.25">
      <c r="A200" s="74">
        <v>3812</v>
      </c>
      <c r="B200" s="75" t="s">
        <v>7</v>
      </c>
      <c r="C200" s="75" t="s">
        <v>193</v>
      </c>
      <c r="D200" s="75" t="s">
        <v>206</v>
      </c>
      <c r="E200" s="76">
        <v>780</v>
      </c>
      <c r="F200" s="76">
        <v>780</v>
      </c>
      <c r="G200" s="77" t="s">
        <v>988</v>
      </c>
      <c r="H200" s="77" t="s">
        <v>988</v>
      </c>
      <c r="I200" s="77" t="s">
        <v>988</v>
      </c>
      <c r="J200" s="77" t="s">
        <v>988</v>
      </c>
      <c r="K200" s="77" t="s">
        <v>988</v>
      </c>
      <c r="L200" s="77" t="s">
        <v>988</v>
      </c>
      <c r="M200" s="77" t="s">
        <v>988</v>
      </c>
      <c r="N200" s="78" t="s">
        <v>988</v>
      </c>
      <c r="O200" s="79">
        <v>126</v>
      </c>
      <c r="P200" s="79" t="e">
        <f>IF(H200="","",ROUND(H200/(Steuerungsdaten!$B$4*Steuerungsdaten!$B$8*IFERROR(VLOOKUP(C200,Steuerungsdaten!$B$17:$E$37,4,FALSE),1)*POWER(IF(OR(E200=0,F200=0,E200="",F200=""),1,(E200*F200/1000000)/Steuerungsdaten!$B$6),IFERROR(VLOOKUP(C200,Steuerungsdaten!$B$17:$L$37,11,FALSE),1)-1)),0))</f>
        <v>#VALUE!</v>
      </c>
      <c r="Q200" s="79" t="e">
        <f>IF(I200="","",ROUND(I200/(Steuerungsdaten!$B$4*Steuerungsdaten!$B$9*IFERROR(VLOOKUP(C200,Steuerungsdaten!$B$17:$G$37,6,FALSE),1)*POWER(IF(OR(E200=0,F200=0,E200="",F200=""),1,(E200*F200/1000000)/Steuerungsdaten!$B$6),IFERROR(VLOOKUP(C200,Steuerungsdaten!$B$17:$M$37,12,FALSE),1)-1)),0))</f>
        <v>#VALUE!</v>
      </c>
      <c r="R200" s="79" t="e">
        <f>IF(J200="","",ROUND(J200/(Steuerungsdaten!$B$4*Steuerungsdaten!$B$10*IFERROR(VLOOKUP(C200,Steuerungsdaten!$B$17:$I$37,8,FALSE),1)*POWER(IF(OR(E200=0,F200=0,E200="",F200=""),1,(E200*F200/1000000)/Steuerungsdaten!$B$6),IFERROR(VLOOKUP(C200,Steuerungsdaten!$B$17:$N$37,13,FALSE),1)-1)),0))</f>
        <v>#VALUE!</v>
      </c>
    </row>
    <row r="201" spans="1:18" x14ac:dyDescent="0.25">
      <c r="A201" s="69">
        <v>3813</v>
      </c>
      <c r="B201" s="70" t="s">
        <v>7</v>
      </c>
      <c r="C201" s="70" t="s">
        <v>193</v>
      </c>
      <c r="D201" s="70" t="s">
        <v>207</v>
      </c>
      <c r="E201" s="71">
        <v>780</v>
      </c>
      <c r="F201" s="71">
        <v>980</v>
      </c>
      <c r="G201" s="72" t="s">
        <v>988</v>
      </c>
      <c r="H201" s="72" t="s">
        <v>988</v>
      </c>
      <c r="I201" s="72" t="s">
        <v>988</v>
      </c>
      <c r="J201" s="72" t="s">
        <v>988</v>
      </c>
      <c r="K201" s="72" t="s">
        <v>988</v>
      </c>
      <c r="L201" s="72" t="s">
        <v>988</v>
      </c>
      <c r="M201" s="72" t="s">
        <v>988</v>
      </c>
      <c r="N201" s="73" t="s">
        <v>988</v>
      </c>
      <c r="O201" s="79">
        <v>139</v>
      </c>
      <c r="P201" s="79" t="e">
        <f>IF(H201="","",ROUND(H201/(Steuerungsdaten!$B$4*Steuerungsdaten!$B$8*IFERROR(VLOOKUP(C201,Steuerungsdaten!$B$17:$E$37,4,FALSE),1)*POWER(IF(OR(E201=0,F201=0,E201="",F201=""),1,(E201*F201/1000000)/Steuerungsdaten!$B$6),IFERROR(VLOOKUP(C201,Steuerungsdaten!$B$17:$L$37,11,FALSE),1)-1)),0))</f>
        <v>#VALUE!</v>
      </c>
      <c r="Q201" s="79" t="e">
        <f>IF(I201="","",ROUND(I201/(Steuerungsdaten!$B$4*Steuerungsdaten!$B$9*IFERROR(VLOOKUP(C201,Steuerungsdaten!$B$17:$G$37,6,FALSE),1)*POWER(IF(OR(E201=0,F201=0,E201="",F201=""),1,(E201*F201/1000000)/Steuerungsdaten!$B$6),IFERROR(VLOOKUP(C201,Steuerungsdaten!$B$17:$M$37,12,FALSE),1)-1)),0))</f>
        <v>#VALUE!</v>
      </c>
      <c r="R201" s="79" t="e">
        <f>IF(J201="","",ROUND(J201/(Steuerungsdaten!$B$4*Steuerungsdaten!$B$10*IFERROR(VLOOKUP(C201,Steuerungsdaten!$B$17:$I$37,8,FALSE),1)*POWER(IF(OR(E201=0,F201=0,E201="",F201=""),1,(E201*F201/1000000)/Steuerungsdaten!$B$6),IFERROR(VLOOKUP(C201,Steuerungsdaten!$B$17:$N$37,13,FALSE),1)-1)),0))</f>
        <v>#VALUE!</v>
      </c>
    </row>
    <row r="202" spans="1:18" x14ac:dyDescent="0.25">
      <c r="A202" s="74">
        <v>3814</v>
      </c>
      <c r="B202" s="75" t="s">
        <v>7</v>
      </c>
      <c r="C202" s="75" t="s">
        <v>193</v>
      </c>
      <c r="D202" s="75" t="s">
        <v>208</v>
      </c>
      <c r="E202" s="76">
        <v>980</v>
      </c>
      <c r="F202" s="76">
        <v>780</v>
      </c>
      <c r="G202" s="77" t="s">
        <v>988</v>
      </c>
      <c r="H202" s="77" t="s">
        <v>988</v>
      </c>
      <c r="I202" s="77" t="s">
        <v>988</v>
      </c>
      <c r="J202" s="77" t="s">
        <v>988</v>
      </c>
      <c r="K202" s="77" t="s">
        <v>988</v>
      </c>
      <c r="L202" s="77" t="s">
        <v>988</v>
      </c>
      <c r="M202" s="77" t="s">
        <v>988</v>
      </c>
      <c r="N202" s="78" t="s">
        <v>988</v>
      </c>
      <c r="O202" s="79">
        <v>139</v>
      </c>
      <c r="P202" s="79" t="e">
        <f>IF(H202="","",ROUND(H202/(Steuerungsdaten!$B$4*Steuerungsdaten!$B$8*IFERROR(VLOOKUP(C202,Steuerungsdaten!$B$17:$E$37,4,FALSE),1)*POWER(IF(OR(E202=0,F202=0,E202="",F202=""),1,(E202*F202/1000000)/Steuerungsdaten!$B$6),IFERROR(VLOOKUP(C202,Steuerungsdaten!$B$17:$L$37,11,FALSE),1)-1)),0))</f>
        <v>#VALUE!</v>
      </c>
      <c r="Q202" s="79" t="e">
        <f>IF(I202="","",ROUND(I202/(Steuerungsdaten!$B$4*Steuerungsdaten!$B$9*IFERROR(VLOOKUP(C202,Steuerungsdaten!$B$17:$G$37,6,FALSE),1)*POWER(IF(OR(E202=0,F202=0,E202="",F202=""),1,(E202*F202/1000000)/Steuerungsdaten!$B$6),IFERROR(VLOOKUP(C202,Steuerungsdaten!$B$17:$M$37,12,FALSE),1)-1)),0))</f>
        <v>#VALUE!</v>
      </c>
      <c r="R202" s="79" t="e">
        <f>IF(J202="","",ROUND(J202/(Steuerungsdaten!$B$4*Steuerungsdaten!$B$10*IFERROR(VLOOKUP(C202,Steuerungsdaten!$B$17:$I$37,8,FALSE),1)*POWER(IF(OR(E202=0,F202=0,E202="",F202=""),1,(E202*F202/1000000)/Steuerungsdaten!$B$6),IFERROR(VLOOKUP(C202,Steuerungsdaten!$B$17:$N$37,13,FALSE),1)-1)),0))</f>
        <v>#VALUE!</v>
      </c>
    </row>
    <row r="203" spans="1:18" x14ac:dyDescent="0.25">
      <c r="A203" s="69">
        <v>3815</v>
      </c>
      <c r="B203" s="70" t="s">
        <v>7</v>
      </c>
      <c r="C203" s="70" t="s">
        <v>193</v>
      </c>
      <c r="D203" s="70" t="s">
        <v>209</v>
      </c>
      <c r="E203" s="71">
        <v>980</v>
      </c>
      <c r="F203" s="71">
        <v>980</v>
      </c>
      <c r="G203" s="72" t="s">
        <v>988</v>
      </c>
      <c r="H203" s="72" t="s">
        <v>988</v>
      </c>
      <c r="I203" s="72" t="s">
        <v>988</v>
      </c>
      <c r="J203" s="72" t="s">
        <v>988</v>
      </c>
      <c r="K203" s="72" t="s">
        <v>988</v>
      </c>
      <c r="L203" s="72" t="s">
        <v>988</v>
      </c>
      <c r="M203" s="72" t="s">
        <v>988</v>
      </c>
      <c r="N203" s="73" t="s">
        <v>988</v>
      </c>
      <c r="O203" s="79">
        <v>180</v>
      </c>
      <c r="P203" s="79" t="e">
        <f>IF(H203="","",ROUND(H203/(Steuerungsdaten!$B$4*Steuerungsdaten!$B$8*IFERROR(VLOOKUP(C203,Steuerungsdaten!$B$17:$E$37,4,FALSE),1)*POWER(IF(OR(E203=0,F203=0,E203="",F203=""),1,(E203*F203/1000000)/Steuerungsdaten!$B$6),IFERROR(VLOOKUP(C203,Steuerungsdaten!$B$17:$L$37,11,FALSE),1)-1)),0))</f>
        <v>#VALUE!</v>
      </c>
      <c r="Q203" s="79" t="e">
        <f>IF(I203="","",ROUND(I203/(Steuerungsdaten!$B$4*Steuerungsdaten!$B$9*IFERROR(VLOOKUP(C203,Steuerungsdaten!$B$17:$G$37,6,FALSE),1)*POWER(IF(OR(E203=0,F203=0,E203="",F203=""),1,(E203*F203/1000000)/Steuerungsdaten!$B$6),IFERROR(VLOOKUP(C203,Steuerungsdaten!$B$17:$M$37,12,FALSE),1)-1)),0))</f>
        <v>#VALUE!</v>
      </c>
      <c r="R203" s="79" t="e">
        <f>IF(J203="","",ROUND(J203/(Steuerungsdaten!$B$4*Steuerungsdaten!$B$10*IFERROR(VLOOKUP(C203,Steuerungsdaten!$B$17:$I$37,8,FALSE),1)*POWER(IF(OR(E203=0,F203=0,E203="",F203=""),1,(E203*F203/1000000)/Steuerungsdaten!$B$6),IFERROR(VLOOKUP(C203,Steuerungsdaten!$B$17:$N$37,13,FALSE),1)-1)),0))</f>
        <v>#VALUE!</v>
      </c>
    </row>
    <row r="204" spans="1:18" ht="21.95" customHeight="1" x14ac:dyDescent="0.25">
      <c r="A204" s="426" t="s">
        <v>1</v>
      </c>
      <c r="B204" s="426"/>
      <c r="C204" s="426"/>
      <c r="D204" s="426"/>
      <c r="E204" s="426"/>
      <c r="F204" s="426"/>
      <c r="G204" s="426"/>
      <c r="H204" s="426"/>
      <c r="I204" s="426"/>
      <c r="J204" s="426"/>
      <c r="K204" s="426" t="str">
        <f>IFERROR(IF(G204="","",ROUND(G204*Steuerungsdaten!$B$5,0)),"-")</f>
        <v/>
      </c>
      <c r="L204" s="426" t="str">
        <f>IFERROR(IF(H204="","",ROUND(H204*Steuerungsdaten!$B$5,0)),"-")</f>
        <v/>
      </c>
      <c r="M204" s="426" t="str">
        <f>IFERROR(IF(I204="","",ROUND(I204*Steuerungsdaten!$B$5,0)),"-")</f>
        <v/>
      </c>
      <c r="N204" s="426" t="str">
        <f>IFERROR(IF(J204="","",ROUND(J204*Steuerungsdaten!$B$5,0)),"-")</f>
        <v/>
      </c>
      <c r="O204" s="79"/>
      <c r="P204" s="79"/>
      <c r="Q204" s="79"/>
      <c r="R204" s="79"/>
    </row>
    <row r="205" spans="1:18" x14ac:dyDescent="0.25">
      <c r="A205" s="64">
        <v>5000</v>
      </c>
      <c r="B205" s="65" t="s">
        <v>7</v>
      </c>
      <c r="C205" s="65" t="s">
        <v>1</v>
      </c>
      <c r="D205" s="65" t="s">
        <v>210</v>
      </c>
      <c r="E205" s="66">
        <v>420</v>
      </c>
      <c r="F205" s="66">
        <v>180</v>
      </c>
      <c r="G205" s="67">
        <f>IF(VLOOKUP(C205,Steuerungsdaten!$P$17:$T$39,2,0)="","",MAX(ROUND(VLOOKUP(C205,Steuerungsdaten!$P$17:$T$39,2,0)*Steuerungsdaten!$B$4*Steuerungsdaten!$B$7*IFERROR(VLOOKUP(C205,Steuerungsdaten!$B$17:$C$37,2,FALSE),1)*POWER(IF(OR(E205=0,F205=0,E205="",F205=""),1,(E205*F205/1000000)/Steuerungsdaten!$B$6),IFERROR(VLOOKUP(C205,Steuerungsdaten!$B$17:$K$37,10,FALSE),1)-1),0),Steuerungsdaten!$E$4))</f>
        <v>103</v>
      </c>
      <c r="H205" s="67">
        <f>IF(VLOOKUP(C205,Steuerungsdaten!$P$17:$T$39,3,0)="","",MAX(ROUND(VLOOKUP(C205,Steuerungsdaten!$P$17:$T$39,3,0)*Steuerungsdaten!$B$4*Steuerungsdaten!$B$8*IFERROR(VLOOKUP(C205,Steuerungsdaten!$B$17:$E$37,4,FALSE),1)*POWER(IF(OR(E205=0,F205=0,E205="",F205=""),1,(E205*F205/1000000)/Steuerungsdaten!$B$6),IFERROR(VLOOKUP(C205,Steuerungsdaten!$B$17:$L$37,11,FALSE),1)-1),0),Steuerungsdaten!$E$5))</f>
        <v>171</v>
      </c>
      <c r="I205" s="67">
        <f>IF(VLOOKUP(C205,Steuerungsdaten!$P$17:$T$39,4,0)="","",MAX(ROUND(VLOOKUP(C205,Steuerungsdaten!$P$17:$T$39,4,0)*Steuerungsdaten!$B$4*Steuerungsdaten!$B$9*IFERROR(VLOOKUP(C205,Steuerungsdaten!$B$17:$G$37,6,FALSE),1)*POWER(IF(OR(E205=0,F205=0,E205="",F205=""),1,(E205*F205/1000000)/Steuerungsdaten!$B$6),IFERROR(VLOOKUP(C205,Steuerungsdaten!$B$17:$M$37,12,FALSE),1)-1),0),Steuerungsdaten!$E$6))</f>
        <v>180</v>
      </c>
      <c r="J205" s="67">
        <f>IF(VLOOKUP(C205,Steuerungsdaten!$P$17:$T$39,5,0)="","",MAX(ROUND(VLOOKUP(C205,Steuerungsdaten!$P$17:$T$39,5,0)*Steuerungsdaten!$B$4*Steuerungsdaten!$B$10*IFERROR(VLOOKUP(C205,Steuerungsdaten!$B$17:$I$37,8,FALSE),1)*POWER(IF(OR(E205=0,F205=0,E205="",F205=""),1,(E205*F205/1000000)/Steuerungsdaten!$B$6),IFERROR(VLOOKUP(C205,Steuerungsdaten!$B$17:$N$37,13,FALSE),1)-1),0),Steuerungsdaten!$E$7))</f>
        <v>243</v>
      </c>
      <c r="K205" s="67">
        <f>IFERROR(IF(G205="","",ROUND(G205*Steuerungsdaten!$B$5,0)),"-")</f>
        <v>118</v>
      </c>
      <c r="L205" s="67">
        <f>IFERROR(IF(H205="","",ROUND(H205*Steuerungsdaten!$B$5,0)),"-")</f>
        <v>197</v>
      </c>
      <c r="M205" s="67">
        <f>IFERROR(IF(I205="","",ROUND(I205*Steuerungsdaten!$B$5,0)),"-")</f>
        <v>207</v>
      </c>
      <c r="N205" s="68" t="s">
        <v>988</v>
      </c>
      <c r="O205" s="79">
        <v>169</v>
      </c>
      <c r="P205" s="79">
        <f>IF(H205="","",ROUND(H205/(Steuerungsdaten!$B$4*Steuerungsdaten!$B$8*IFERROR(VLOOKUP(C205,Steuerungsdaten!$B$17:$E$37,4,FALSE),1)*POWER(IF(OR(E205=0,F205=0,E205="",F205=""),1,(E205*F205/1000000)/Steuerungsdaten!$B$6),IFERROR(VLOOKUP(C205,Steuerungsdaten!$B$17:$L$37,11,FALSE),1)-1)),0))</f>
        <v>380</v>
      </c>
      <c r="Q205" s="79">
        <f>IF(I205="","",ROUND(I205/(Steuerungsdaten!$B$4*Steuerungsdaten!$B$9*IFERROR(VLOOKUP(C205,Steuerungsdaten!$B$17:$G$37,6,FALSE),1)*POWER(IF(OR(E205=0,F205=0,E205="",F205=""),1,(E205*F205/1000000)/Steuerungsdaten!$B$6),IFERROR(VLOOKUP(C205,Steuerungsdaten!$B$17:$M$37,12,FALSE),1)-1)),0))</f>
        <v>400</v>
      </c>
      <c r="R205" s="79">
        <f>IF(J205="","",ROUND(J205/(Steuerungsdaten!$B$4*Steuerungsdaten!$B$10*IFERROR(VLOOKUP(C205,Steuerungsdaten!$B$17:$I$37,8,FALSE),1)*POWER(IF(OR(E205=0,F205=0,E205="",F205=""),1,(E205*F205/1000000)/Steuerungsdaten!$B$6),IFERROR(VLOOKUP(C205,Steuerungsdaten!$B$17:$N$37,13,FALSE),1)-1)),0))</f>
        <v>495</v>
      </c>
    </row>
    <row r="206" spans="1:18" x14ac:dyDescent="0.25">
      <c r="A206" s="69">
        <v>5001</v>
      </c>
      <c r="B206" s="70" t="s">
        <v>7</v>
      </c>
      <c r="C206" s="70" t="s">
        <v>1</v>
      </c>
      <c r="D206" s="70" t="s">
        <v>211</v>
      </c>
      <c r="E206" s="71">
        <v>420</v>
      </c>
      <c r="F206" s="71">
        <v>360</v>
      </c>
      <c r="G206" s="72">
        <f>IF(VLOOKUP(C206,Steuerungsdaten!$P$17:$T$39,2,0)="","",MAX(ROUND(VLOOKUP(C206,Steuerungsdaten!$P$17:$T$39,2,0)*Steuerungsdaten!$B$4*Steuerungsdaten!$B$7*IFERROR(VLOOKUP(C206,Steuerungsdaten!$B$17:$C$37,2,FALSE),1)*POWER(IF(OR(E206=0,F206=0,E206="",F206=""),1,(E206*F206/1000000)/Steuerungsdaten!$B$6),IFERROR(VLOOKUP(C206,Steuerungsdaten!$B$17:$K$37,10,FALSE),1)-1),0),Steuerungsdaten!$E$4))</f>
        <v>146</v>
      </c>
      <c r="H206" s="72">
        <f>IF(VLOOKUP(C206,Steuerungsdaten!$P$17:$T$39,3,0)="","",MAX(ROUND(VLOOKUP(C206,Steuerungsdaten!$P$17:$T$39,3,0)*Steuerungsdaten!$B$4*Steuerungsdaten!$B$8*IFERROR(VLOOKUP(C206,Steuerungsdaten!$B$17:$E$37,4,FALSE),1)*POWER(IF(OR(E206=0,F206=0,E206="",F206=""),1,(E206*F206/1000000)/Steuerungsdaten!$B$6),IFERROR(VLOOKUP(C206,Steuerungsdaten!$B$17:$L$37,11,FALSE),1)-1),0),Steuerungsdaten!$E$5))</f>
        <v>242</v>
      </c>
      <c r="I206" s="72">
        <f>IF(VLOOKUP(C206,Steuerungsdaten!$P$17:$T$39,4,0)="","",MAX(ROUND(VLOOKUP(C206,Steuerungsdaten!$P$17:$T$39,4,0)*Steuerungsdaten!$B$4*Steuerungsdaten!$B$9*IFERROR(VLOOKUP(C206,Steuerungsdaten!$B$17:$G$37,6,FALSE),1)*POWER(IF(OR(E206=0,F206=0,E206="",F206=""),1,(E206*F206/1000000)/Steuerungsdaten!$B$6),IFERROR(VLOOKUP(C206,Steuerungsdaten!$B$17:$M$37,12,FALSE),1)-1),0),Steuerungsdaten!$E$6))</f>
        <v>254</v>
      </c>
      <c r="J206" s="72">
        <f>IF(VLOOKUP(C206,Steuerungsdaten!$P$17:$T$39,5,0)="","",MAX(ROUND(VLOOKUP(C206,Steuerungsdaten!$P$17:$T$39,5,0)*Steuerungsdaten!$B$4*Steuerungsdaten!$B$10*IFERROR(VLOOKUP(C206,Steuerungsdaten!$B$17:$I$37,8,FALSE),1)*POWER(IF(OR(E206=0,F206=0,E206="",F206=""),1,(E206*F206/1000000)/Steuerungsdaten!$B$6),IFERROR(VLOOKUP(C206,Steuerungsdaten!$B$17:$N$37,13,FALSE),1)-1),0),Steuerungsdaten!$E$7))</f>
        <v>344</v>
      </c>
      <c r="K206" s="72">
        <f>IFERROR(IF(G206="","",ROUND(G206*Steuerungsdaten!$B$5,0)),"-")</f>
        <v>168</v>
      </c>
      <c r="L206" s="72">
        <f>IFERROR(IF(H206="","",ROUND(H206*Steuerungsdaten!$B$5,0)),"-")</f>
        <v>278</v>
      </c>
      <c r="M206" s="72">
        <f>IFERROR(IF(I206="","",ROUND(I206*Steuerungsdaten!$B$5,0)),"-")</f>
        <v>292</v>
      </c>
      <c r="N206" s="73" t="s">
        <v>988</v>
      </c>
      <c r="O206" s="79">
        <v>169</v>
      </c>
      <c r="P206" s="79">
        <f>IF(H206="","",ROUND(H206/(Steuerungsdaten!$B$4*Steuerungsdaten!$B$8*IFERROR(VLOOKUP(C206,Steuerungsdaten!$B$17:$E$37,4,FALSE),1)*POWER(IF(OR(E206=0,F206=0,E206="",F206=""),1,(E206*F206/1000000)/Steuerungsdaten!$B$6),IFERROR(VLOOKUP(C206,Steuerungsdaten!$B$17:$L$37,11,FALSE),1)-1)),0))</f>
        <v>380</v>
      </c>
      <c r="Q206" s="79">
        <f>IF(I206="","",ROUND(I206/(Steuerungsdaten!$B$4*Steuerungsdaten!$B$9*IFERROR(VLOOKUP(C206,Steuerungsdaten!$B$17:$G$37,6,FALSE),1)*POWER(IF(OR(E206=0,F206=0,E206="",F206=""),1,(E206*F206/1000000)/Steuerungsdaten!$B$6),IFERROR(VLOOKUP(C206,Steuerungsdaten!$B$17:$M$37,12,FALSE),1)-1)),0))</f>
        <v>399</v>
      </c>
      <c r="R206" s="79">
        <f>IF(J206="","",ROUND(J206/(Steuerungsdaten!$B$4*Steuerungsdaten!$B$10*IFERROR(VLOOKUP(C206,Steuerungsdaten!$B$17:$I$37,8,FALSE),1)*POWER(IF(OR(E206=0,F206=0,E206="",F206=""),1,(E206*F206/1000000)/Steuerungsdaten!$B$6),IFERROR(VLOOKUP(C206,Steuerungsdaten!$B$17:$N$37,13,FALSE),1)-1)),0))</f>
        <v>496</v>
      </c>
    </row>
    <row r="207" spans="1:18" x14ac:dyDescent="0.25">
      <c r="A207" s="74">
        <v>5002</v>
      </c>
      <c r="B207" s="75" t="s">
        <v>7</v>
      </c>
      <c r="C207" s="75" t="s">
        <v>1</v>
      </c>
      <c r="D207" s="75" t="s">
        <v>212</v>
      </c>
      <c r="E207" s="76">
        <v>580</v>
      </c>
      <c r="F207" s="76">
        <v>180</v>
      </c>
      <c r="G207" s="77">
        <f>IF(VLOOKUP(C207,Steuerungsdaten!$P$17:$T$39,2,0)="","",MAX(ROUND(VLOOKUP(C207,Steuerungsdaten!$P$17:$T$39,2,0)*Steuerungsdaten!$B$4*Steuerungsdaten!$B$7*IFERROR(VLOOKUP(C207,Steuerungsdaten!$B$17:$C$37,2,FALSE),1)*POWER(IF(OR(E207=0,F207=0,E207="",F207=""),1,(E207*F207/1000000)/Steuerungsdaten!$B$6),IFERROR(VLOOKUP(C207,Steuerungsdaten!$B$17:$K$37,10,FALSE),1)-1),0),Steuerungsdaten!$E$4))</f>
        <v>122</v>
      </c>
      <c r="H207" s="77">
        <f>IF(VLOOKUP(C207,Steuerungsdaten!$P$17:$T$39,3,0)="","",MAX(ROUND(VLOOKUP(C207,Steuerungsdaten!$P$17:$T$39,3,0)*Steuerungsdaten!$B$4*Steuerungsdaten!$B$8*IFERROR(VLOOKUP(C207,Steuerungsdaten!$B$17:$E$37,4,FALSE),1)*POWER(IF(OR(E207=0,F207=0,E207="",F207=""),1,(E207*F207/1000000)/Steuerungsdaten!$B$6),IFERROR(VLOOKUP(C207,Steuerungsdaten!$B$17:$L$37,11,FALSE),1)-1),0),Steuerungsdaten!$E$5))</f>
        <v>201</v>
      </c>
      <c r="I207" s="77">
        <f>IF(VLOOKUP(C207,Steuerungsdaten!$P$17:$T$39,4,0)="","",MAX(ROUND(VLOOKUP(C207,Steuerungsdaten!$P$17:$T$39,4,0)*Steuerungsdaten!$B$4*Steuerungsdaten!$B$9*IFERROR(VLOOKUP(C207,Steuerungsdaten!$B$17:$G$37,6,FALSE),1)*POWER(IF(OR(E207=0,F207=0,E207="",F207=""),1,(E207*F207/1000000)/Steuerungsdaten!$B$6),IFERROR(VLOOKUP(C207,Steuerungsdaten!$B$17:$M$37,12,FALSE),1)-1),0),Steuerungsdaten!$E$6))</f>
        <v>211</v>
      </c>
      <c r="J207" s="77">
        <f>IF(VLOOKUP(C207,Steuerungsdaten!$P$17:$T$39,5,0)="","",MAX(ROUND(VLOOKUP(C207,Steuerungsdaten!$P$17:$T$39,5,0)*Steuerungsdaten!$B$4*Steuerungsdaten!$B$10*IFERROR(VLOOKUP(C207,Steuerungsdaten!$B$17:$I$37,8,FALSE),1)*POWER(IF(OR(E207=0,F207=0,E207="",F207=""),1,(E207*F207/1000000)/Steuerungsdaten!$B$6),IFERROR(VLOOKUP(C207,Steuerungsdaten!$B$17:$N$37,13,FALSE),1)-1),0),Steuerungsdaten!$E$7))</f>
        <v>285</v>
      </c>
      <c r="K207" s="77">
        <f>IFERROR(IF(G207="","",ROUND(G207*Steuerungsdaten!$B$5,0)),"-")</f>
        <v>140</v>
      </c>
      <c r="L207" s="77">
        <f>IFERROR(IF(H207="","",ROUND(H207*Steuerungsdaten!$B$5,0)),"-")</f>
        <v>231</v>
      </c>
      <c r="M207" s="77">
        <f>IFERROR(IF(I207="","",ROUND(I207*Steuerungsdaten!$B$5,0)),"-")</f>
        <v>243</v>
      </c>
      <c r="N207" s="78" t="s">
        <v>988</v>
      </c>
      <c r="O207" s="79">
        <v>184</v>
      </c>
      <c r="P207" s="79">
        <f>IF(H207="","",ROUND(H207/(Steuerungsdaten!$B$4*Steuerungsdaten!$B$8*IFERROR(VLOOKUP(C207,Steuerungsdaten!$B$17:$E$37,4,FALSE),1)*POWER(IF(OR(E207=0,F207=0,E207="",F207=""),1,(E207*F207/1000000)/Steuerungsdaten!$B$6),IFERROR(VLOOKUP(C207,Steuerungsdaten!$B$17:$L$37,11,FALSE),1)-1)),0))</f>
        <v>380</v>
      </c>
      <c r="Q207" s="79">
        <f>IF(I207="","",ROUND(I207/(Steuerungsdaten!$B$4*Steuerungsdaten!$B$9*IFERROR(VLOOKUP(C207,Steuerungsdaten!$B$17:$G$37,6,FALSE),1)*POWER(IF(OR(E207=0,F207=0,E207="",F207=""),1,(E207*F207/1000000)/Steuerungsdaten!$B$6),IFERROR(VLOOKUP(C207,Steuerungsdaten!$B$17:$M$37,12,FALSE),1)-1)),0))</f>
        <v>399</v>
      </c>
      <c r="R207" s="79">
        <f>IF(J207="","",ROUND(J207/(Steuerungsdaten!$B$4*Steuerungsdaten!$B$10*IFERROR(VLOOKUP(C207,Steuerungsdaten!$B$17:$I$37,8,FALSE),1)*POWER(IF(OR(E207=0,F207=0,E207="",F207=""),1,(E207*F207/1000000)/Steuerungsdaten!$B$6),IFERROR(VLOOKUP(C207,Steuerungsdaten!$B$17:$N$37,13,FALSE),1)-1)),0))</f>
        <v>494</v>
      </c>
    </row>
    <row r="208" spans="1:18" x14ac:dyDescent="0.25">
      <c r="A208" s="69">
        <v>5003</v>
      </c>
      <c r="B208" s="70" t="s">
        <v>7</v>
      </c>
      <c r="C208" s="70" t="s">
        <v>1</v>
      </c>
      <c r="D208" s="70" t="s">
        <v>213</v>
      </c>
      <c r="E208" s="71">
        <v>580</v>
      </c>
      <c r="F208" s="71">
        <v>360</v>
      </c>
      <c r="G208" s="72">
        <f>IF(VLOOKUP(C208,Steuerungsdaten!$P$17:$T$39,2,0)="","",MAX(ROUND(VLOOKUP(C208,Steuerungsdaten!$P$17:$T$39,2,0)*Steuerungsdaten!$B$4*Steuerungsdaten!$B$7*IFERROR(VLOOKUP(C208,Steuerungsdaten!$B$17:$C$37,2,FALSE),1)*POWER(IF(OR(E208=0,F208=0,E208="",F208=""),1,(E208*F208/1000000)/Steuerungsdaten!$B$6),IFERROR(VLOOKUP(C208,Steuerungsdaten!$B$17:$K$37,10,FALSE),1)-1),0),Steuerungsdaten!$E$4))</f>
        <v>172</v>
      </c>
      <c r="H208" s="72">
        <f>IF(VLOOKUP(C208,Steuerungsdaten!$P$17:$T$39,3,0)="","",MAX(ROUND(VLOOKUP(C208,Steuerungsdaten!$P$17:$T$39,3,0)*Steuerungsdaten!$B$4*Steuerungsdaten!$B$8*IFERROR(VLOOKUP(C208,Steuerungsdaten!$B$17:$E$37,4,FALSE),1)*POWER(IF(OR(E208=0,F208=0,E208="",F208=""),1,(E208*F208/1000000)/Steuerungsdaten!$B$6),IFERROR(VLOOKUP(C208,Steuerungsdaten!$B$17:$L$37,11,FALSE),1)-1),0),Steuerungsdaten!$E$5))</f>
        <v>284</v>
      </c>
      <c r="I208" s="72">
        <f>IF(VLOOKUP(C208,Steuerungsdaten!$P$17:$T$39,4,0)="","",MAX(ROUND(VLOOKUP(C208,Steuerungsdaten!$P$17:$T$39,4,0)*Steuerungsdaten!$B$4*Steuerungsdaten!$B$9*IFERROR(VLOOKUP(C208,Steuerungsdaten!$B$17:$G$37,6,FALSE),1)*POWER(IF(OR(E208=0,F208=0,E208="",F208=""),1,(E208*F208/1000000)/Steuerungsdaten!$B$6),IFERROR(VLOOKUP(C208,Steuerungsdaten!$B$17:$M$37,12,FALSE),1)-1),0),Steuerungsdaten!$E$6))</f>
        <v>299</v>
      </c>
      <c r="J208" s="72">
        <f>IF(VLOOKUP(C208,Steuerungsdaten!$P$17:$T$39,5,0)="","",MAX(ROUND(VLOOKUP(C208,Steuerungsdaten!$P$17:$T$39,5,0)*Steuerungsdaten!$B$4*Steuerungsdaten!$B$10*IFERROR(VLOOKUP(C208,Steuerungsdaten!$B$17:$I$37,8,FALSE),1)*POWER(IF(OR(E208=0,F208=0,E208="",F208=""),1,(E208*F208/1000000)/Steuerungsdaten!$B$6),IFERROR(VLOOKUP(C208,Steuerungsdaten!$B$17:$N$37,13,FALSE),1)-1),0),Steuerungsdaten!$E$7))</f>
        <v>404</v>
      </c>
      <c r="K208" s="72">
        <f>IFERROR(IF(G208="","",ROUND(G208*Steuerungsdaten!$B$5,0)),"-")</f>
        <v>198</v>
      </c>
      <c r="L208" s="72">
        <f>IFERROR(IF(H208="","",ROUND(H208*Steuerungsdaten!$B$5,0)),"-")</f>
        <v>327</v>
      </c>
      <c r="M208" s="72">
        <f>IFERROR(IF(I208="","",ROUND(I208*Steuerungsdaten!$B$5,0)),"-")</f>
        <v>344</v>
      </c>
      <c r="N208" s="73" t="s">
        <v>988</v>
      </c>
      <c r="O208" s="79">
        <v>184</v>
      </c>
      <c r="P208" s="79">
        <f>IF(H208="","",ROUND(H208/(Steuerungsdaten!$B$4*Steuerungsdaten!$B$8*IFERROR(VLOOKUP(C208,Steuerungsdaten!$B$17:$E$37,4,FALSE),1)*POWER(IF(OR(E208=0,F208=0,E208="",F208=""),1,(E208*F208/1000000)/Steuerungsdaten!$B$6),IFERROR(VLOOKUP(C208,Steuerungsdaten!$B$17:$L$37,11,FALSE),1)-1)),0))</f>
        <v>380</v>
      </c>
      <c r="Q208" s="79">
        <f>IF(I208="","",ROUND(I208/(Steuerungsdaten!$B$4*Steuerungsdaten!$B$9*IFERROR(VLOOKUP(C208,Steuerungsdaten!$B$17:$G$37,6,FALSE),1)*POWER(IF(OR(E208=0,F208=0,E208="",F208=""),1,(E208*F208/1000000)/Steuerungsdaten!$B$6),IFERROR(VLOOKUP(C208,Steuerungsdaten!$B$17:$M$37,12,FALSE),1)-1)),0))</f>
        <v>400</v>
      </c>
      <c r="R208" s="79">
        <f>IF(J208="","",ROUND(J208/(Steuerungsdaten!$B$4*Steuerungsdaten!$B$10*IFERROR(VLOOKUP(C208,Steuerungsdaten!$B$17:$I$37,8,FALSE),1)*POWER(IF(OR(E208=0,F208=0,E208="",F208=""),1,(E208*F208/1000000)/Steuerungsdaten!$B$6),IFERROR(VLOOKUP(C208,Steuerungsdaten!$B$17:$N$37,13,FALSE),1)-1)),0))</f>
        <v>495</v>
      </c>
    </row>
    <row r="209" spans="1:18" x14ac:dyDescent="0.25">
      <c r="A209" s="74">
        <v>5004</v>
      </c>
      <c r="B209" s="75" t="s">
        <v>7</v>
      </c>
      <c r="C209" s="75" t="s">
        <v>1</v>
      </c>
      <c r="D209" s="75" t="s">
        <v>214</v>
      </c>
      <c r="E209" s="76">
        <v>780</v>
      </c>
      <c r="F209" s="76">
        <v>180</v>
      </c>
      <c r="G209" s="77">
        <f>IF(VLOOKUP(C209,Steuerungsdaten!$P$17:$T$39,2,0)="","",MAX(ROUND(VLOOKUP(C209,Steuerungsdaten!$P$17:$T$39,2,0)*Steuerungsdaten!$B$4*Steuerungsdaten!$B$7*IFERROR(VLOOKUP(C209,Steuerungsdaten!$B$17:$C$37,2,FALSE),1)*POWER(IF(OR(E209=0,F209=0,E209="",F209=""),1,(E209*F209/1000000)/Steuerungsdaten!$B$6),IFERROR(VLOOKUP(C209,Steuerungsdaten!$B$17:$K$37,10,FALSE),1)-1),0),Steuerungsdaten!$E$4))</f>
        <v>141</v>
      </c>
      <c r="H209" s="77">
        <f>IF(VLOOKUP(C209,Steuerungsdaten!$P$17:$T$39,3,0)="","",MAX(ROUND(VLOOKUP(C209,Steuerungsdaten!$P$17:$T$39,3,0)*Steuerungsdaten!$B$4*Steuerungsdaten!$B$8*IFERROR(VLOOKUP(C209,Steuerungsdaten!$B$17:$E$37,4,FALSE),1)*POWER(IF(OR(E209=0,F209=0,E209="",F209=""),1,(E209*F209/1000000)/Steuerungsdaten!$B$6),IFERROR(VLOOKUP(C209,Steuerungsdaten!$B$17:$L$37,11,FALSE),1)-1),0),Steuerungsdaten!$E$5))</f>
        <v>233</v>
      </c>
      <c r="I209" s="77">
        <f>IF(VLOOKUP(C209,Steuerungsdaten!$P$17:$T$39,4,0)="","",MAX(ROUND(VLOOKUP(C209,Steuerungsdaten!$P$17:$T$39,4,0)*Steuerungsdaten!$B$4*Steuerungsdaten!$B$9*IFERROR(VLOOKUP(C209,Steuerungsdaten!$B$17:$G$37,6,FALSE),1)*POWER(IF(OR(E209=0,F209=0,E209="",F209=""),1,(E209*F209/1000000)/Steuerungsdaten!$B$6),IFERROR(VLOOKUP(C209,Steuerungsdaten!$B$17:$M$37,12,FALSE),1)-1),0),Steuerungsdaten!$E$6))</f>
        <v>245</v>
      </c>
      <c r="J209" s="77">
        <f>IF(VLOOKUP(C209,Steuerungsdaten!$P$17:$T$39,5,0)="","",MAX(ROUND(VLOOKUP(C209,Steuerungsdaten!$P$17:$T$39,5,0)*Steuerungsdaten!$B$4*Steuerungsdaten!$B$10*IFERROR(VLOOKUP(C209,Steuerungsdaten!$B$17:$I$37,8,FALSE),1)*POWER(IF(OR(E209=0,F209=0,E209="",F209=""),1,(E209*F209/1000000)/Steuerungsdaten!$B$6),IFERROR(VLOOKUP(C209,Steuerungsdaten!$B$17:$N$37,13,FALSE),1)-1),0),Steuerungsdaten!$E$7))</f>
        <v>331</v>
      </c>
      <c r="K209" s="77">
        <f>IFERROR(IF(G209="","",ROUND(G209*Steuerungsdaten!$B$5,0)),"-")</f>
        <v>162</v>
      </c>
      <c r="L209" s="77">
        <f>IFERROR(IF(H209="","",ROUND(H209*Steuerungsdaten!$B$5,0)),"-")</f>
        <v>268</v>
      </c>
      <c r="M209" s="77">
        <f>IFERROR(IF(I209="","",ROUND(I209*Steuerungsdaten!$B$5,0)),"-")</f>
        <v>282</v>
      </c>
      <c r="N209" s="78" t="s">
        <v>988</v>
      </c>
      <c r="O209" s="79">
        <v>198</v>
      </c>
      <c r="P209" s="79">
        <f>IF(H209="","",ROUND(H209/(Steuerungsdaten!$B$4*Steuerungsdaten!$B$8*IFERROR(VLOOKUP(C209,Steuerungsdaten!$B$17:$E$37,4,FALSE),1)*POWER(IF(OR(E209=0,F209=0,E209="",F209=""),1,(E209*F209/1000000)/Steuerungsdaten!$B$6),IFERROR(VLOOKUP(C209,Steuerungsdaten!$B$17:$L$37,11,FALSE),1)-1)),0))</f>
        <v>380</v>
      </c>
      <c r="Q209" s="79">
        <f>IF(I209="","",ROUND(I209/(Steuerungsdaten!$B$4*Steuerungsdaten!$B$9*IFERROR(VLOOKUP(C209,Steuerungsdaten!$B$17:$G$37,6,FALSE),1)*POWER(IF(OR(E209=0,F209=0,E209="",F209=""),1,(E209*F209/1000000)/Steuerungsdaten!$B$6),IFERROR(VLOOKUP(C209,Steuerungsdaten!$B$17:$M$37,12,FALSE),1)-1)),0))</f>
        <v>400</v>
      </c>
      <c r="R209" s="79">
        <f>IF(J209="","",ROUND(J209/(Steuerungsdaten!$B$4*Steuerungsdaten!$B$10*IFERROR(VLOOKUP(C209,Steuerungsdaten!$B$17:$I$37,8,FALSE),1)*POWER(IF(OR(E209=0,F209=0,E209="",F209=""),1,(E209*F209/1000000)/Steuerungsdaten!$B$6),IFERROR(VLOOKUP(C209,Steuerungsdaten!$B$17:$N$37,13,FALSE),1)-1)),0))</f>
        <v>495</v>
      </c>
    </row>
    <row r="210" spans="1:18" x14ac:dyDescent="0.25">
      <c r="A210" s="69">
        <v>5005</v>
      </c>
      <c r="B210" s="70" t="s">
        <v>7</v>
      </c>
      <c r="C210" s="70" t="s">
        <v>1</v>
      </c>
      <c r="D210" s="70" t="s">
        <v>215</v>
      </c>
      <c r="E210" s="71">
        <v>780</v>
      </c>
      <c r="F210" s="71">
        <v>360</v>
      </c>
      <c r="G210" s="72">
        <f>IF(VLOOKUP(C210,Steuerungsdaten!$P$17:$T$39,2,0)="","",MAX(ROUND(VLOOKUP(C210,Steuerungsdaten!$P$17:$T$39,2,0)*Steuerungsdaten!$B$4*Steuerungsdaten!$B$7*IFERROR(VLOOKUP(C210,Steuerungsdaten!$B$17:$C$37,2,FALSE),1)*POWER(IF(OR(E210=0,F210=0,E210="",F210=""),1,(E210*F210/1000000)/Steuerungsdaten!$B$6),IFERROR(VLOOKUP(C210,Steuerungsdaten!$B$17:$K$37,10,FALSE),1)-1),0),Steuerungsdaten!$E$4))</f>
        <v>199</v>
      </c>
      <c r="H210" s="72">
        <f>IF(VLOOKUP(C210,Steuerungsdaten!$P$17:$T$39,3,0)="","",MAX(ROUND(VLOOKUP(C210,Steuerungsdaten!$P$17:$T$39,3,0)*Steuerungsdaten!$B$4*Steuerungsdaten!$B$8*IFERROR(VLOOKUP(C210,Steuerungsdaten!$B$17:$E$37,4,FALSE),1)*POWER(IF(OR(E210=0,F210=0,E210="",F210=""),1,(E210*F210/1000000)/Steuerungsdaten!$B$6),IFERROR(VLOOKUP(C210,Steuerungsdaten!$B$17:$L$37,11,FALSE),1)-1),0),Steuerungsdaten!$E$5))</f>
        <v>329</v>
      </c>
      <c r="I210" s="72">
        <f>IF(VLOOKUP(C210,Steuerungsdaten!$P$17:$T$39,4,0)="","",MAX(ROUND(VLOOKUP(C210,Steuerungsdaten!$P$17:$T$39,4,0)*Steuerungsdaten!$B$4*Steuerungsdaten!$B$9*IFERROR(VLOOKUP(C210,Steuerungsdaten!$B$17:$G$37,6,FALSE),1)*POWER(IF(OR(E210=0,F210=0,E210="",F210=""),1,(E210*F210/1000000)/Steuerungsdaten!$B$6),IFERROR(VLOOKUP(C210,Steuerungsdaten!$B$17:$M$37,12,FALSE),1)-1),0),Steuerungsdaten!$E$6))</f>
        <v>347</v>
      </c>
      <c r="J210" s="72">
        <f>IF(VLOOKUP(C210,Steuerungsdaten!$P$17:$T$39,5,0)="","",MAX(ROUND(VLOOKUP(C210,Steuerungsdaten!$P$17:$T$39,5,0)*Steuerungsdaten!$B$4*Steuerungsdaten!$B$10*IFERROR(VLOOKUP(C210,Steuerungsdaten!$B$17:$I$37,8,FALSE),1)*POWER(IF(OR(E210=0,F210=0,E210="",F210=""),1,(E210*F210/1000000)/Steuerungsdaten!$B$6),IFERROR(VLOOKUP(C210,Steuerungsdaten!$B$17:$N$37,13,FALSE),1)-1),0),Steuerungsdaten!$E$7))</f>
        <v>468</v>
      </c>
      <c r="K210" s="72">
        <f>IFERROR(IF(G210="","",ROUND(G210*Steuerungsdaten!$B$5,0)),"-")</f>
        <v>229</v>
      </c>
      <c r="L210" s="72">
        <f>IFERROR(IF(H210="","",ROUND(H210*Steuerungsdaten!$B$5,0)),"-")</f>
        <v>378</v>
      </c>
      <c r="M210" s="72">
        <f>IFERROR(IF(I210="","",ROUND(I210*Steuerungsdaten!$B$5,0)),"-")</f>
        <v>399</v>
      </c>
      <c r="N210" s="73" t="s">
        <v>988</v>
      </c>
      <c r="O210" s="79">
        <v>198</v>
      </c>
      <c r="P210" s="79">
        <f>IF(H210="","",ROUND(H210/(Steuerungsdaten!$B$4*Steuerungsdaten!$B$8*IFERROR(VLOOKUP(C210,Steuerungsdaten!$B$17:$E$37,4,FALSE),1)*POWER(IF(OR(E210=0,F210=0,E210="",F210=""),1,(E210*F210/1000000)/Steuerungsdaten!$B$6),IFERROR(VLOOKUP(C210,Steuerungsdaten!$B$17:$L$37,11,FALSE),1)-1)),0))</f>
        <v>379</v>
      </c>
      <c r="Q210" s="79">
        <f>IF(I210="","",ROUND(I210/(Steuerungsdaten!$B$4*Steuerungsdaten!$B$9*IFERROR(VLOOKUP(C210,Steuerungsdaten!$B$17:$G$37,6,FALSE),1)*POWER(IF(OR(E210=0,F210=0,E210="",F210=""),1,(E210*F210/1000000)/Steuerungsdaten!$B$6),IFERROR(VLOOKUP(C210,Steuerungsdaten!$B$17:$M$37,12,FALSE),1)-1)),0))</f>
        <v>400</v>
      </c>
      <c r="R210" s="79">
        <f>IF(J210="","",ROUND(J210/(Steuerungsdaten!$B$4*Steuerungsdaten!$B$10*IFERROR(VLOOKUP(C210,Steuerungsdaten!$B$17:$I$37,8,FALSE),1)*POWER(IF(OR(E210=0,F210=0,E210="",F210=""),1,(E210*F210/1000000)/Steuerungsdaten!$B$6),IFERROR(VLOOKUP(C210,Steuerungsdaten!$B$17:$N$37,13,FALSE),1)-1)),0))</f>
        <v>495</v>
      </c>
    </row>
    <row r="211" spans="1:18" x14ac:dyDescent="0.25">
      <c r="A211" s="74">
        <v>5006</v>
      </c>
      <c r="B211" s="75" t="s">
        <v>7</v>
      </c>
      <c r="C211" s="75" t="s">
        <v>1</v>
      </c>
      <c r="D211" s="75" t="s">
        <v>216</v>
      </c>
      <c r="E211" s="76">
        <v>980</v>
      </c>
      <c r="F211" s="76">
        <v>180</v>
      </c>
      <c r="G211" s="77">
        <f>IF(VLOOKUP(C211,Steuerungsdaten!$P$17:$T$39,2,0)="","",MAX(ROUND(VLOOKUP(C211,Steuerungsdaten!$P$17:$T$39,2,0)*Steuerungsdaten!$B$4*Steuerungsdaten!$B$7*IFERROR(VLOOKUP(C211,Steuerungsdaten!$B$17:$C$37,2,FALSE),1)*POWER(IF(OR(E211=0,F211=0,E211="",F211=""),1,(E211*F211/1000000)/Steuerungsdaten!$B$6),IFERROR(VLOOKUP(C211,Steuerungsdaten!$B$17:$K$37,10,FALSE),1)-1),0),Steuerungsdaten!$E$4))</f>
        <v>158</v>
      </c>
      <c r="H211" s="77">
        <f>IF(VLOOKUP(C211,Steuerungsdaten!$P$17:$T$39,3,0)="","",MAX(ROUND(VLOOKUP(C211,Steuerungsdaten!$P$17:$T$39,3,0)*Steuerungsdaten!$B$4*Steuerungsdaten!$B$8*IFERROR(VLOOKUP(C211,Steuerungsdaten!$B$17:$E$37,4,FALSE),1)*POWER(IF(OR(E211=0,F211=0,E211="",F211=""),1,(E211*F211/1000000)/Steuerungsdaten!$B$6),IFERROR(VLOOKUP(C211,Steuerungsdaten!$B$17:$L$37,11,FALSE),1)-1),0),Steuerungsdaten!$E$5))</f>
        <v>261</v>
      </c>
      <c r="I211" s="77">
        <f>IF(VLOOKUP(C211,Steuerungsdaten!$P$17:$T$39,4,0)="","",MAX(ROUND(VLOOKUP(C211,Steuerungsdaten!$P$17:$T$39,4,0)*Steuerungsdaten!$B$4*Steuerungsdaten!$B$9*IFERROR(VLOOKUP(C211,Steuerungsdaten!$B$17:$G$37,6,FALSE),1)*POWER(IF(OR(E211=0,F211=0,E211="",F211=""),1,(E211*F211/1000000)/Steuerungsdaten!$B$6),IFERROR(VLOOKUP(C211,Steuerungsdaten!$B$17:$M$37,12,FALSE),1)-1),0),Steuerungsdaten!$E$6))</f>
        <v>275</v>
      </c>
      <c r="J211" s="77">
        <f>IF(VLOOKUP(C211,Steuerungsdaten!$P$17:$T$39,5,0)="","",MAX(ROUND(VLOOKUP(C211,Steuerungsdaten!$P$17:$T$39,5,0)*Steuerungsdaten!$B$4*Steuerungsdaten!$B$10*IFERROR(VLOOKUP(C211,Steuerungsdaten!$B$17:$I$37,8,FALSE),1)*POWER(IF(OR(E211=0,F211=0,E211="",F211=""),1,(E211*F211/1000000)/Steuerungsdaten!$B$6),IFERROR(VLOOKUP(C211,Steuerungsdaten!$B$17:$N$37,13,FALSE),1)-1),0),Steuerungsdaten!$E$7))</f>
        <v>371</v>
      </c>
      <c r="K211" s="77">
        <f>IFERROR(IF(G211="","",ROUND(G211*Steuerungsdaten!$B$5,0)),"-")</f>
        <v>182</v>
      </c>
      <c r="L211" s="77">
        <f>IFERROR(IF(H211="","",ROUND(H211*Steuerungsdaten!$B$5,0)),"-")</f>
        <v>300</v>
      </c>
      <c r="M211" s="77">
        <f>IFERROR(IF(I211="","",ROUND(I211*Steuerungsdaten!$B$5,0)),"-")</f>
        <v>316</v>
      </c>
      <c r="N211" s="78" t="s">
        <v>988</v>
      </c>
      <c r="O211" s="79">
        <v>250</v>
      </c>
      <c r="P211" s="79">
        <f>IF(H211="","",ROUND(H211/(Steuerungsdaten!$B$4*Steuerungsdaten!$B$8*IFERROR(VLOOKUP(C211,Steuerungsdaten!$B$17:$E$37,4,FALSE),1)*POWER(IF(OR(E211=0,F211=0,E211="",F211=""),1,(E211*F211/1000000)/Steuerungsdaten!$B$6),IFERROR(VLOOKUP(C211,Steuerungsdaten!$B$17:$L$37,11,FALSE),1)-1)),0))</f>
        <v>380</v>
      </c>
      <c r="Q211" s="79">
        <f>IF(I211="","",ROUND(I211/(Steuerungsdaten!$B$4*Steuerungsdaten!$B$9*IFERROR(VLOOKUP(C211,Steuerungsdaten!$B$17:$G$37,6,FALSE),1)*POWER(IF(OR(E211=0,F211=0,E211="",F211=""),1,(E211*F211/1000000)/Steuerungsdaten!$B$6),IFERROR(VLOOKUP(C211,Steuerungsdaten!$B$17:$M$37,12,FALSE),1)-1)),0))</f>
        <v>400</v>
      </c>
      <c r="R211" s="79">
        <f>IF(J211="","",ROUND(J211/(Steuerungsdaten!$B$4*Steuerungsdaten!$B$10*IFERROR(VLOOKUP(C211,Steuerungsdaten!$B$17:$I$37,8,FALSE),1)*POWER(IF(OR(E211=0,F211=0,E211="",F211=""),1,(E211*F211/1000000)/Steuerungsdaten!$B$6),IFERROR(VLOOKUP(C211,Steuerungsdaten!$B$17:$N$37,13,FALSE),1)-1)),0))</f>
        <v>495</v>
      </c>
    </row>
    <row r="212" spans="1:18" ht="15.75" thickBot="1" x14ac:dyDescent="0.3">
      <c r="A212" s="69">
        <v>5007</v>
      </c>
      <c r="B212" s="70" t="s">
        <v>7</v>
      </c>
      <c r="C212" s="70" t="s">
        <v>1</v>
      </c>
      <c r="D212" s="70" t="s">
        <v>217</v>
      </c>
      <c r="E212" s="71">
        <v>980</v>
      </c>
      <c r="F212" s="71">
        <v>360</v>
      </c>
      <c r="G212" s="165">
        <f>IF(VLOOKUP(C212,Steuerungsdaten!$P$17:$T$39,2,0)="","",MAX(ROUND(VLOOKUP(C212,Steuerungsdaten!$P$17:$T$39,2,0)*Steuerungsdaten!$B$4*Steuerungsdaten!$B$7*IFERROR(VLOOKUP(C212,Steuerungsdaten!$B$17:$C$37,2,FALSE),1)*POWER(IF(OR(E212=0,F212=0,E212="",F212=""),1,(E212*F212/1000000)/Steuerungsdaten!$B$6),IFERROR(VLOOKUP(C212,Steuerungsdaten!$B$17:$K$37,10,FALSE),1)-1),0),Steuerungsdaten!$E$4))</f>
        <v>224</v>
      </c>
      <c r="H212" s="165">
        <f>IF(VLOOKUP(C212,Steuerungsdaten!$P$17:$T$39,3,0)="","",MAX(ROUND(VLOOKUP(C212,Steuerungsdaten!$P$17:$T$39,3,0)*Steuerungsdaten!$B$4*Steuerungsdaten!$B$8*IFERROR(VLOOKUP(C212,Steuerungsdaten!$B$17:$E$37,4,FALSE),1)*POWER(IF(OR(E212=0,F212=0,E212="",F212=""),1,(E212*F212/1000000)/Steuerungsdaten!$B$6),IFERROR(VLOOKUP(C212,Steuerungsdaten!$B$17:$L$37,11,FALSE),1)-1),0),Steuerungsdaten!$E$5))</f>
        <v>369</v>
      </c>
      <c r="I212" s="165">
        <f>IF(VLOOKUP(C212,Steuerungsdaten!$P$17:$T$39,4,0)="","",MAX(ROUND(VLOOKUP(C212,Steuerungsdaten!$P$17:$T$39,4,0)*Steuerungsdaten!$B$4*Steuerungsdaten!$B$9*IFERROR(VLOOKUP(C212,Steuerungsdaten!$B$17:$G$37,6,FALSE),1)*POWER(IF(OR(E212=0,F212=0,E212="",F212=""),1,(E212*F212/1000000)/Steuerungsdaten!$B$6),IFERROR(VLOOKUP(C212,Steuerungsdaten!$B$17:$M$37,12,FALSE),1)-1),0),Steuerungsdaten!$E$6))</f>
        <v>389</v>
      </c>
      <c r="J212" s="165">
        <f>IF(VLOOKUP(C212,Steuerungsdaten!$P$17:$T$39,5,0)="","",MAX(ROUND(VLOOKUP(C212,Steuerungsdaten!$P$17:$T$39,5,0)*Steuerungsdaten!$B$4*Steuerungsdaten!$B$10*IFERROR(VLOOKUP(C212,Steuerungsdaten!$B$17:$I$37,8,FALSE),1)*POWER(IF(OR(E212=0,F212=0,E212="",F212=""),1,(E212*F212/1000000)/Steuerungsdaten!$B$6),IFERROR(VLOOKUP(C212,Steuerungsdaten!$B$17:$N$37,13,FALSE),1)-1),0),Steuerungsdaten!$E$7))</f>
        <v>525</v>
      </c>
      <c r="K212" s="165">
        <f>IFERROR(IF(G212="","",ROUND(G212*Steuerungsdaten!$B$5,0)),"-")</f>
        <v>258</v>
      </c>
      <c r="L212" s="165">
        <f>IFERROR(IF(H212="","",ROUND(H212*Steuerungsdaten!$B$5,0)),"-")</f>
        <v>424</v>
      </c>
      <c r="M212" s="165">
        <f>IFERROR(IF(I212="","",ROUND(I212*Steuerungsdaten!$B$5,0)),"-")</f>
        <v>447</v>
      </c>
      <c r="N212" s="166" t="s">
        <v>988</v>
      </c>
      <c r="O212" s="79">
        <v>250</v>
      </c>
      <c r="P212" s="79">
        <f>IF(H212="","",ROUND(H212/(Steuerungsdaten!$B$4*Steuerungsdaten!$B$8*IFERROR(VLOOKUP(C212,Steuerungsdaten!$B$17:$E$37,4,FALSE),1)*POWER(IF(OR(E212=0,F212=0,E212="",F212=""),1,(E212*F212/1000000)/Steuerungsdaten!$B$6),IFERROR(VLOOKUP(C212,Steuerungsdaten!$B$17:$L$37,11,FALSE),1)-1)),0))</f>
        <v>380</v>
      </c>
      <c r="Q212" s="79">
        <f>IF(I212="","",ROUND(I212/(Steuerungsdaten!$B$4*Steuerungsdaten!$B$9*IFERROR(VLOOKUP(C212,Steuerungsdaten!$B$17:$G$37,6,FALSE),1)*POWER(IF(OR(E212=0,F212=0,E212="",F212=""),1,(E212*F212/1000000)/Steuerungsdaten!$B$6),IFERROR(VLOOKUP(C212,Steuerungsdaten!$B$17:$M$37,12,FALSE),1)-1)),0))</f>
        <v>400</v>
      </c>
      <c r="R212" s="79">
        <f>IF(J212="","",ROUND(J212/(Steuerungsdaten!$B$4*Steuerungsdaten!$B$10*IFERROR(VLOOKUP(C212,Steuerungsdaten!$B$17:$I$37,8,FALSE),1)*POWER(IF(OR(E212=0,F212=0,E212="",F212=""),1,(E212*F212/1000000)/Steuerungsdaten!$B$6),IFERROR(VLOOKUP(C212,Steuerungsdaten!$B$17:$N$37,13,FALSE),1)-1)),0))</f>
        <v>495</v>
      </c>
    </row>
    <row r="213" spans="1:18" ht="15.75" thickBot="1" x14ac:dyDescent="0.3">
      <c r="A213" s="74">
        <v>5009</v>
      </c>
      <c r="B213" s="75" t="s">
        <v>7</v>
      </c>
      <c r="C213" s="75" t="s">
        <v>1</v>
      </c>
      <c r="D213" s="163" t="s">
        <v>218</v>
      </c>
      <c r="E213" s="164">
        <v>360</v>
      </c>
      <c r="F213" s="164">
        <v>180</v>
      </c>
      <c r="G213" s="169" t="s">
        <v>988</v>
      </c>
      <c r="H213" s="169" t="s">
        <v>988</v>
      </c>
      <c r="I213" s="169" t="s">
        <v>988</v>
      </c>
      <c r="J213" s="169" t="s">
        <v>988</v>
      </c>
      <c r="K213" s="169" t="s">
        <v>988</v>
      </c>
      <c r="L213" s="169" t="s">
        <v>988</v>
      </c>
      <c r="M213" s="169" t="s">
        <v>988</v>
      </c>
      <c r="N213" s="170" t="s">
        <v>988</v>
      </c>
      <c r="O213" s="79">
        <v>169</v>
      </c>
      <c r="P213" s="79" t="e">
        <f>IF(H213="","",ROUND(H213/(Steuerungsdaten!$B$4*Steuerungsdaten!$B$8*IFERROR(VLOOKUP(C213,Steuerungsdaten!$B$17:$E$37,4,FALSE),1)*POWER(IF(OR(E213=0,F213=0,E213="",F213=""),1,(E213*F213/1000000)/Steuerungsdaten!$B$6),IFERROR(VLOOKUP(C213,Steuerungsdaten!$B$17:$L$37,11,FALSE),1)-1)),0))</f>
        <v>#VALUE!</v>
      </c>
      <c r="Q213" s="79" t="e">
        <f>IF(I213="","",ROUND(I213/(Steuerungsdaten!$B$4*Steuerungsdaten!$B$9*IFERROR(VLOOKUP(C213,Steuerungsdaten!$B$17:$G$37,6,FALSE),1)*POWER(IF(OR(E213=0,F213=0,E213="",F213=""),1,(E213*F213/1000000)/Steuerungsdaten!$B$6),IFERROR(VLOOKUP(C213,Steuerungsdaten!$B$17:$M$37,12,FALSE),1)-1)),0))</f>
        <v>#VALUE!</v>
      </c>
      <c r="R213" s="79" t="e">
        <f>IF(J213="","",ROUND(J213/(Steuerungsdaten!$B$4*Steuerungsdaten!$B$10*IFERROR(VLOOKUP(C213,Steuerungsdaten!$B$17:$I$37,8,FALSE),1)*POWER(IF(OR(E213=0,F213=0,E213="",F213=""),1,(E213*F213/1000000)/Steuerungsdaten!$B$6),IFERROR(VLOOKUP(C213,Steuerungsdaten!$B$17:$N$37,13,FALSE),1)-1)),0))</f>
        <v>#VALUE!</v>
      </c>
    </row>
    <row r="214" spans="1:18" ht="15.75" thickBot="1" x14ac:dyDescent="0.3">
      <c r="A214" s="69">
        <v>5008</v>
      </c>
      <c r="B214" s="70" t="s">
        <v>7</v>
      </c>
      <c r="C214" s="70" t="s">
        <v>1</v>
      </c>
      <c r="D214" s="163" t="s">
        <v>219</v>
      </c>
      <c r="E214" s="164">
        <v>360</v>
      </c>
      <c r="F214" s="164">
        <v>360</v>
      </c>
      <c r="G214" s="173" t="s">
        <v>988</v>
      </c>
      <c r="H214" s="173" t="s">
        <v>988</v>
      </c>
      <c r="I214" s="173" t="s">
        <v>988</v>
      </c>
      <c r="J214" s="173" t="s">
        <v>988</v>
      </c>
      <c r="K214" s="173" t="s">
        <v>988</v>
      </c>
      <c r="L214" s="173" t="s">
        <v>988</v>
      </c>
      <c r="M214" s="173" t="s">
        <v>988</v>
      </c>
      <c r="N214" s="174" t="s">
        <v>988</v>
      </c>
      <c r="O214" s="79">
        <v>169</v>
      </c>
      <c r="P214" s="79" t="e">
        <f>IF(H214="","",ROUND(H214/(Steuerungsdaten!$B$4*Steuerungsdaten!$B$8*IFERROR(VLOOKUP(C214,Steuerungsdaten!$B$17:$E$37,4,FALSE),1)*POWER(IF(OR(E214=0,F214=0,E214="",F214=""),1,(E214*F214/1000000)/Steuerungsdaten!$B$6),IFERROR(VLOOKUP(C214,Steuerungsdaten!$B$17:$L$37,11,FALSE),1)-1)),0))</f>
        <v>#VALUE!</v>
      </c>
      <c r="Q214" s="79" t="e">
        <f>IF(I214="","",ROUND(I214/(Steuerungsdaten!$B$4*Steuerungsdaten!$B$9*IFERROR(VLOOKUP(C214,Steuerungsdaten!$B$17:$G$37,6,FALSE),1)*POWER(IF(OR(E214=0,F214=0,E214="",F214=""),1,(E214*F214/1000000)/Steuerungsdaten!$B$6),IFERROR(VLOOKUP(C214,Steuerungsdaten!$B$17:$M$37,12,FALSE),1)-1)),0))</f>
        <v>#VALUE!</v>
      </c>
      <c r="R214" s="79" t="e">
        <f>IF(J214="","",ROUND(J214/(Steuerungsdaten!$B$4*Steuerungsdaten!$B$10*IFERROR(VLOOKUP(C214,Steuerungsdaten!$B$17:$I$37,8,FALSE),1)*POWER(IF(OR(E214=0,F214=0,E214="",F214=""),1,(E214*F214/1000000)/Steuerungsdaten!$B$6),IFERROR(VLOOKUP(C214,Steuerungsdaten!$B$17:$N$37,13,FALSE),1)-1)),0))</f>
        <v>#VALUE!</v>
      </c>
    </row>
    <row r="215" spans="1:18" ht="15.75" thickBot="1" x14ac:dyDescent="0.3">
      <c r="A215" s="74" t="s">
        <v>220</v>
      </c>
      <c r="B215" s="75" t="s">
        <v>7</v>
      </c>
      <c r="C215" s="75" t="s">
        <v>1</v>
      </c>
      <c r="D215" s="163" t="s">
        <v>221</v>
      </c>
      <c r="E215" s="164">
        <v>980</v>
      </c>
      <c r="F215" s="164">
        <v>420</v>
      </c>
      <c r="G215" s="167" t="s">
        <v>988</v>
      </c>
      <c r="H215" s="167" t="s">
        <v>988</v>
      </c>
      <c r="I215" s="167" t="s">
        <v>988</v>
      </c>
      <c r="J215" s="167" t="s">
        <v>988</v>
      </c>
      <c r="K215" s="167" t="s">
        <v>988</v>
      </c>
      <c r="L215" s="167" t="s">
        <v>988</v>
      </c>
      <c r="M215" s="167" t="s">
        <v>988</v>
      </c>
      <c r="N215" s="168" t="s">
        <v>988</v>
      </c>
      <c r="O215" s="79">
        <v>255</v>
      </c>
      <c r="P215" s="79" t="e">
        <f>IF(H215="","",ROUND(H215/(Steuerungsdaten!$B$4*Steuerungsdaten!$B$8*IFERROR(VLOOKUP(C215,Steuerungsdaten!$B$17:$E$37,4,FALSE),1)*POWER(IF(OR(E215=0,F215=0,E215="",F215=""),1,(E215*F215/1000000)/Steuerungsdaten!$B$6),IFERROR(VLOOKUP(C215,Steuerungsdaten!$B$17:$L$37,11,FALSE),1)-1)),0))</f>
        <v>#VALUE!</v>
      </c>
      <c r="Q215" s="79" t="e">
        <f>IF(I215="","",ROUND(I215/(Steuerungsdaten!$B$4*Steuerungsdaten!$B$9*IFERROR(VLOOKUP(C215,Steuerungsdaten!$B$17:$G$37,6,FALSE),1)*POWER(IF(OR(E215=0,F215=0,E215="",F215=""),1,(E215*F215/1000000)/Steuerungsdaten!$B$6),IFERROR(VLOOKUP(C215,Steuerungsdaten!$B$17:$M$37,12,FALSE),1)-1)),0))</f>
        <v>#VALUE!</v>
      </c>
      <c r="R215" s="79" t="e">
        <f>IF(J215="","",ROUND(J215/(Steuerungsdaten!$B$4*Steuerungsdaten!$B$10*IFERROR(VLOOKUP(C215,Steuerungsdaten!$B$17:$I$37,8,FALSE),1)*POWER(IF(OR(E215=0,F215=0,E215="",F215=""),1,(E215*F215/1000000)/Steuerungsdaten!$B$6),IFERROR(VLOOKUP(C215,Steuerungsdaten!$B$17:$N$37,13,FALSE),1)-1)),0))</f>
        <v>#VALUE!</v>
      </c>
    </row>
    <row r="216" spans="1:18" ht="21.95" customHeight="1" x14ac:dyDescent="0.25">
      <c r="A216" s="426" t="s">
        <v>222</v>
      </c>
      <c r="B216" s="426"/>
      <c r="C216" s="426"/>
      <c r="D216" s="426"/>
      <c r="E216" s="426"/>
      <c r="F216" s="426"/>
      <c r="G216" s="427"/>
      <c r="H216" s="427"/>
      <c r="I216" s="427"/>
      <c r="J216" s="427"/>
      <c r="K216" s="427" t="str">
        <f>IFERROR(IF(G216="","",ROUND(G216*Steuerungsdaten!$B$5,0)),"-")</f>
        <v/>
      </c>
      <c r="L216" s="427" t="str">
        <f>IFERROR(IF(H216="","",ROUND(H216*Steuerungsdaten!$B$5,0)),"-")</f>
        <v/>
      </c>
      <c r="M216" s="427" t="str">
        <f>IFERROR(IF(I216="","",ROUND(I216*Steuerungsdaten!$B$5,0)),"-")</f>
        <v/>
      </c>
      <c r="N216" s="427" t="str">
        <f>IFERROR(IF(J216="","",ROUND(J216*Steuerungsdaten!$B$5,0)),"-")</f>
        <v/>
      </c>
      <c r="O216" s="79"/>
      <c r="P216" s="79"/>
      <c r="Q216" s="79"/>
      <c r="R216" s="79"/>
    </row>
    <row r="217" spans="1:18" x14ac:dyDescent="0.25">
      <c r="A217" s="64">
        <v>5100</v>
      </c>
      <c r="B217" s="65" t="s">
        <v>7</v>
      </c>
      <c r="C217" s="65" t="s">
        <v>222</v>
      </c>
      <c r="D217" s="65" t="s">
        <v>223</v>
      </c>
      <c r="E217" s="66">
        <v>420</v>
      </c>
      <c r="F217" s="66">
        <v>360</v>
      </c>
      <c r="G217" s="67">
        <f>IF(VLOOKUP(C217,Steuerungsdaten!$P$17:$T$39,2,0)="","",MAX(ROUND(VLOOKUP(C217,Steuerungsdaten!$P$17:$T$39,2,0)*Steuerungsdaten!$B$4*Steuerungsdaten!$B$7*IFERROR(VLOOKUP(C217,Steuerungsdaten!$B$17:$C$37,2,FALSE),1)*POWER(IF(OR(E217=0,F217=0,E217="",F217=""),1,(E217*F217/1000000)/Steuerungsdaten!$B$6),IFERROR(VLOOKUP(C217,Steuerungsdaten!$B$17:$K$37,10,FALSE),1)-1),0),Steuerungsdaten!$E$4))</f>
        <v>127</v>
      </c>
      <c r="H217" s="67">
        <f>IF(VLOOKUP(C217,Steuerungsdaten!$P$17:$T$39,3,0)="","",MAX(ROUND(VLOOKUP(C217,Steuerungsdaten!$P$17:$T$39,3,0)*Steuerungsdaten!$B$4*Steuerungsdaten!$B$8*IFERROR(VLOOKUP(C217,Steuerungsdaten!$B$17:$E$37,4,FALSE),1)*POWER(IF(OR(E217=0,F217=0,E217="",F217=""),1,(E217*F217/1000000)/Steuerungsdaten!$B$6),IFERROR(VLOOKUP(C217,Steuerungsdaten!$B$17:$L$37,11,FALSE),1)-1),0),Steuerungsdaten!$E$5))</f>
        <v>273</v>
      </c>
      <c r="I217" s="67">
        <f>IF(VLOOKUP(C217,Steuerungsdaten!$P$17:$T$39,4,0)="","",MAX(ROUND(VLOOKUP(C217,Steuerungsdaten!$P$17:$T$39,4,0)*Steuerungsdaten!$B$4*Steuerungsdaten!$B$9*IFERROR(VLOOKUP(C217,Steuerungsdaten!$B$17:$G$37,6,FALSE),1)*POWER(IF(OR(E217=0,F217=0,E217="",F217=""),1,(E217*F217/1000000)/Steuerungsdaten!$B$6),IFERROR(VLOOKUP(C217,Steuerungsdaten!$B$17:$M$37,12,FALSE),1)-1),0),Steuerungsdaten!$E$6))</f>
        <v>298</v>
      </c>
      <c r="J217" s="67">
        <f>IF(VLOOKUP(C217,Steuerungsdaten!$P$17:$T$39,5,0)="","",MAX(ROUND(VLOOKUP(C217,Steuerungsdaten!$P$17:$T$39,5,0)*Steuerungsdaten!$B$4*Steuerungsdaten!$B$10*IFERROR(VLOOKUP(C217,Steuerungsdaten!$B$17:$I$37,8,FALSE),1)*POWER(IF(OR(E217=0,F217=0,E217="",F217=""),1,(E217*F217/1000000)/Steuerungsdaten!$B$6),IFERROR(VLOOKUP(C217,Steuerungsdaten!$B$17:$N$37,13,FALSE),1)-1),0),Steuerungsdaten!$E$7))</f>
        <v>433</v>
      </c>
      <c r="K217" s="67">
        <f>IFERROR(IF(G217="","",ROUND(G217*Steuerungsdaten!$B$5,0)),"-")</f>
        <v>146</v>
      </c>
      <c r="L217" s="67">
        <f>IFERROR(IF(H217="","",ROUND(H217*Steuerungsdaten!$B$5,0)),"-")</f>
        <v>314</v>
      </c>
      <c r="M217" s="67">
        <f>IFERROR(IF(I217="","",ROUND(I217*Steuerungsdaten!$B$5,0)),"-")</f>
        <v>343</v>
      </c>
      <c r="N217" s="68" t="s">
        <v>988</v>
      </c>
      <c r="O217" s="79">
        <v>136</v>
      </c>
      <c r="P217" s="79">
        <f>IF(H217="","",ROUND(H217/(Steuerungsdaten!$B$4*Steuerungsdaten!$B$8*IFERROR(VLOOKUP(C217,Steuerungsdaten!$B$17:$E$37,4,FALSE),1)*POWER(IF(OR(E217=0,F217=0,E217="",F217=""),1,(E217*F217/1000000)/Steuerungsdaten!$B$6),IFERROR(VLOOKUP(C217,Steuerungsdaten!$B$17:$L$37,11,FALSE),1)-1)),0))</f>
        <v>429</v>
      </c>
      <c r="Q217" s="79">
        <f>IF(I217="","",ROUND(I217/(Steuerungsdaten!$B$4*Steuerungsdaten!$B$9*IFERROR(VLOOKUP(C217,Steuerungsdaten!$B$17:$G$37,6,FALSE),1)*POWER(IF(OR(E217=0,F217=0,E217="",F217=""),1,(E217*F217/1000000)/Steuerungsdaten!$B$6),IFERROR(VLOOKUP(C217,Steuerungsdaten!$B$17:$M$37,12,FALSE),1)-1)),0))</f>
        <v>468</v>
      </c>
      <c r="R217" s="79">
        <f>IF(J217="","",ROUND(J217/(Steuerungsdaten!$B$4*Steuerungsdaten!$B$10*IFERROR(VLOOKUP(C217,Steuerungsdaten!$B$17:$I$37,8,FALSE),1)*POWER(IF(OR(E217=0,F217=0,E217="",F217=""),1,(E217*F217/1000000)/Steuerungsdaten!$B$6),IFERROR(VLOOKUP(C217,Steuerungsdaten!$B$17:$N$37,13,FALSE),1)-1)),0))</f>
        <v>624</v>
      </c>
    </row>
    <row r="218" spans="1:18" x14ac:dyDescent="0.25">
      <c r="A218" s="69">
        <v>5101</v>
      </c>
      <c r="B218" s="70" t="s">
        <v>7</v>
      </c>
      <c r="C218" s="70" t="s">
        <v>222</v>
      </c>
      <c r="D218" s="70" t="s">
        <v>224</v>
      </c>
      <c r="E218" s="71">
        <v>420</v>
      </c>
      <c r="F218" s="71">
        <v>720</v>
      </c>
      <c r="G218" s="72">
        <f>IF(VLOOKUP(C218,Steuerungsdaten!$P$17:$T$39,2,0)="","",MAX(ROUND(VLOOKUP(C218,Steuerungsdaten!$P$17:$T$39,2,0)*Steuerungsdaten!$B$4*Steuerungsdaten!$B$7*IFERROR(VLOOKUP(C218,Steuerungsdaten!$B$17:$C$37,2,FALSE),1)*POWER(IF(OR(E218=0,F218=0,E218="",F218=""),1,(E218*F218/1000000)/Steuerungsdaten!$B$6),IFERROR(VLOOKUP(C218,Steuerungsdaten!$B$17:$K$37,10,FALSE),1)-1),0),Steuerungsdaten!$E$4))</f>
        <v>180</v>
      </c>
      <c r="H218" s="72">
        <f>IF(VLOOKUP(C218,Steuerungsdaten!$P$17:$T$39,3,0)="","",MAX(ROUND(VLOOKUP(C218,Steuerungsdaten!$P$17:$T$39,3,0)*Steuerungsdaten!$B$4*Steuerungsdaten!$B$8*IFERROR(VLOOKUP(C218,Steuerungsdaten!$B$17:$E$37,4,FALSE),1)*POWER(IF(OR(E218=0,F218=0,E218="",F218=""),1,(E218*F218/1000000)/Steuerungsdaten!$B$6),IFERROR(VLOOKUP(C218,Steuerungsdaten!$B$17:$L$37,11,FALSE),1)-1),0),Steuerungsdaten!$E$5))</f>
        <v>386</v>
      </c>
      <c r="I218" s="72">
        <f>IF(VLOOKUP(C218,Steuerungsdaten!$P$17:$T$39,4,0)="","",MAX(ROUND(VLOOKUP(C218,Steuerungsdaten!$P$17:$T$39,4,0)*Steuerungsdaten!$B$4*Steuerungsdaten!$B$9*IFERROR(VLOOKUP(C218,Steuerungsdaten!$B$17:$G$37,6,FALSE),1)*POWER(IF(OR(E218=0,F218=0,E218="",F218=""),1,(E218*F218/1000000)/Steuerungsdaten!$B$6),IFERROR(VLOOKUP(C218,Steuerungsdaten!$B$17:$M$37,12,FALSE),1)-1),0),Steuerungsdaten!$E$6))</f>
        <v>422</v>
      </c>
      <c r="J218" s="72">
        <f>IF(VLOOKUP(C218,Steuerungsdaten!$P$17:$T$39,5,0)="","",MAX(ROUND(VLOOKUP(C218,Steuerungsdaten!$P$17:$T$39,5,0)*Steuerungsdaten!$B$4*Steuerungsdaten!$B$10*IFERROR(VLOOKUP(C218,Steuerungsdaten!$B$17:$I$37,8,FALSE),1)*POWER(IF(OR(E218=0,F218=0,E218="",F218=""),1,(E218*F218/1000000)/Steuerungsdaten!$B$6),IFERROR(VLOOKUP(C218,Steuerungsdaten!$B$17:$N$37,13,FALSE),1)-1),0),Steuerungsdaten!$E$7))</f>
        <v>612</v>
      </c>
      <c r="K218" s="72">
        <f>IFERROR(IF(G218="","",ROUND(G218*Steuerungsdaten!$B$5,0)),"-")</f>
        <v>207</v>
      </c>
      <c r="L218" s="72">
        <f>IFERROR(IF(H218="","",ROUND(H218*Steuerungsdaten!$B$5,0)),"-")</f>
        <v>444</v>
      </c>
      <c r="M218" s="72">
        <f>IFERROR(IF(I218="","",ROUND(I218*Steuerungsdaten!$B$5,0)),"-")</f>
        <v>485</v>
      </c>
      <c r="N218" s="73" t="s">
        <v>988</v>
      </c>
      <c r="O218" s="79">
        <v>159</v>
      </c>
      <c r="P218" s="79">
        <f>IF(H218="","",ROUND(H218/(Steuerungsdaten!$B$4*Steuerungsdaten!$B$8*IFERROR(VLOOKUP(C218,Steuerungsdaten!$B$17:$E$37,4,FALSE),1)*POWER(IF(OR(E218=0,F218=0,E218="",F218=""),1,(E218*F218/1000000)/Steuerungsdaten!$B$6),IFERROR(VLOOKUP(C218,Steuerungsdaten!$B$17:$L$37,11,FALSE),1)-1)),0))</f>
        <v>429</v>
      </c>
      <c r="Q218" s="79">
        <f>IF(I218="","",ROUND(I218/(Steuerungsdaten!$B$4*Steuerungsdaten!$B$9*IFERROR(VLOOKUP(C218,Steuerungsdaten!$B$17:$G$37,6,FALSE),1)*POWER(IF(OR(E218=0,F218=0,E218="",F218=""),1,(E218*F218/1000000)/Steuerungsdaten!$B$6),IFERROR(VLOOKUP(C218,Steuerungsdaten!$B$17:$M$37,12,FALSE),1)-1)),0))</f>
        <v>469</v>
      </c>
      <c r="R218" s="79">
        <f>IF(J218="","",ROUND(J218/(Steuerungsdaten!$B$4*Steuerungsdaten!$B$10*IFERROR(VLOOKUP(C218,Steuerungsdaten!$B$17:$I$37,8,FALSE),1)*POWER(IF(OR(E218=0,F218=0,E218="",F218=""),1,(E218*F218/1000000)/Steuerungsdaten!$B$6),IFERROR(VLOOKUP(C218,Steuerungsdaten!$B$17:$N$37,13,FALSE),1)-1)),0))</f>
        <v>623</v>
      </c>
    </row>
    <row r="219" spans="1:18" x14ac:dyDescent="0.25">
      <c r="A219" s="74">
        <v>5102</v>
      </c>
      <c r="B219" s="75" t="s">
        <v>7</v>
      </c>
      <c r="C219" s="75" t="s">
        <v>222</v>
      </c>
      <c r="D219" s="75" t="s">
        <v>225</v>
      </c>
      <c r="E219" s="76">
        <v>420</v>
      </c>
      <c r="F219" s="76">
        <v>1080</v>
      </c>
      <c r="G219" s="77">
        <f>IF(VLOOKUP(C219,Steuerungsdaten!$P$17:$T$39,2,0)="","",MAX(ROUND(VLOOKUP(C219,Steuerungsdaten!$P$17:$T$39,2,0)*Steuerungsdaten!$B$4*Steuerungsdaten!$B$7*IFERROR(VLOOKUP(C219,Steuerungsdaten!$B$17:$C$37,2,FALSE),1)*POWER(IF(OR(E219=0,F219=0,E219="",F219=""),1,(E219*F219/1000000)/Steuerungsdaten!$B$6),IFERROR(VLOOKUP(C219,Steuerungsdaten!$B$17:$K$37,10,FALSE),1)-1),0),Steuerungsdaten!$E$4))</f>
        <v>220</v>
      </c>
      <c r="H219" s="77">
        <f>IF(VLOOKUP(C219,Steuerungsdaten!$P$17:$T$39,3,0)="","",MAX(ROUND(VLOOKUP(C219,Steuerungsdaten!$P$17:$T$39,3,0)*Steuerungsdaten!$B$4*Steuerungsdaten!$B$8*IFERROR(VLOOKUP(C219,Steuerungsdaten!$B$17:$E$37,4,FALSE),1)*POWER(IF(OR(E219=0,F219=0,E219="",F219=""),1,(E219*F219/1000000)/Steuerungsdaten!$B$6),IFERROR(VLOOKUP(C219,Steuerungsdaten!$B$17:$L$37,11,FALSE),1)-1),0),Steuerungsdaten!$E$5))</f>
        <v>473</v>
      </c>
      <c r="I219" s="77">
        <f>IF(VLOOKUP(C219,Steuerungsdaten!$P$17:$T$39,4,0)="","",MAX(ROUND(VLOOKUP(C219,Steuerungsdaten!$P$17:$T$39,4,0)*Steuerungsdaten!$B$4*Steuerungsdaten!$B$9*IFERROR(VLOOKUP(C219,Steuerungsdaten!$B$17:$G$37,6,FALSE),1)*POWER(IF(OR(E219=0,F219=0,E219="",F219=""),1,(E219*F219/1000000)/Steuerungsdaten!$B$6),IFERROR(VLOOKUP(C219,Steuerungsdaten!$B$17:$M$37,12,FALSE),1)-1),0),Steuerungsdaten!$E$6))</f>
        <v>517</v>
      </c>
      <c r="J219" s="77">
        <f>IF(VLOOKUP(C219,Steuerungsdaten!$P$17:$T$39,5,0)="","",MAX(ROUND(VLOOKUP(C219,Steuerungsdaten!$P$17:$T$39,5,0)*Steuerungsdaten!$B$4*Steuerungsdaten!$B$10*IFERROR(VLOOKUP(C219,Steuerungsdaten!$B$17:$I$37,8,FALSE),1)*POWER(IF(OR(E219=0,F219=0,E219="",F219=""),1,(E219*F219/1000000)/Steuerungsdaten!$B$6),IFERROR(VLOOKUP(C219,Steuerungsdaten!$B$17:$N$37,13,FALSE),1)-1),0),Steuerungsdaten!$E$7))</f>
        <v>750</v>
      </c>
      <c r="K219" s="77">
        <f>IFERROR(IF(G219="","",ROUND(G219*Steuerungsdaten!$B$5,0)),"-")</f>
        <v>253</v>
      </c>
      <c r="L219" s="77">
        <f>IFERROR(IF(H219="","",ROUND(H219*Steuerungsdaten!$B$5,0)),"-")</f>
        <v>544</v>
      </c>
      <c r="M219" s="77">
        <f>IFERROR(IF(I219="","",ROUND(I219*Steuerungsdaten!$B$5,0)),"-")</f>
        <v>595</v>
      </c>
      <c r="N219" s="78" t="s">
        <v>988</v>
      </c>
      <c r="O219" s="79">
        <v>235</v>
      </c>
      <c r="P219" s="79">
        <f>IF(H219="","",ROUND(H219/(Steuerungsdaten!$B$4*Steuerungsdaten!$B$8*IFERROR(VLOOKUP(C219,Steuerungsdaten!$B$17:$E$37,4,FALSE),1)*POWER(IF(OR(E219=0,F219=0,E219="",F219=""),1,(E219*F219/1000000)/Steuerungsdaten!$B$6),IFERROR(VLOOKUP(C219,Steuerungsdaten!$B$17:$L$37,11,FALSE),1)-1)),0))</f>
        <v>429</v>
      </c>
      <c r="Q219" s="79">
        <f>IF(I219="","",ROUND(I219/(Steuerungsdaten!$B$4*Steuerungsdaten!$B$9*IFERROR(VLOOKUP(C219,Steuerungsdaten!$B$17:$G$37,6,FALSE),1)*POWER(IF(OR(E219=0,F219=0,E219="",F219=""),1,(E219*F219/1000000)/Steuerungsdaten!$B$6),IFERROR(VLOOKUP(C219,Steuerungsdaten!$B$17:$M$37,12,FALSE),1)-1)),0))</f>
        <v>469</v>
      </c>
      <c r="R219" s="79">
        <f>IF(J219="","",ROUND(J219/(Steuerungsdaten!$B$4*Steuerungsdaten!$B$10*IFERROR(VLOOKUP(C219,Steuerungsdaten!$B$17:$I$37,8,FALSE),1)*POWER(IF(OR(E219=0,F219=0,E219="",F219=""),1,(E219*F219/1000000)/Steuerungsdaten!$B$6),IFERROR(VLOOKUP(C219,Steuerungsdaten!$B$17:$N$37,13,FALSE),1)-1)),0))</f>
        <v>624</v>
      </c>
    </row>
    <row r="220" spans="1:18" x14ac:dyDescent="0.25">
      <c r="A220" s="69">
        <v>5103</v>
      </c>
      <c r="B220" s="70" t="s">
        <v>7</v>
      </c>
      <c r="C220" s="70" t="s">
        <v>222</v>
      </c>
      <c r="D220" s="70" t="s">
        <v>226</v>
      </c>
      <c r="E220" s="71">
        <v>420</v>
      </c>
      <c r="F220" s="71">
        <v>1440</v>
      </c>
      <c r="G220" s="72">
        <f>IF(VLOOKUP(C220,Steuerungsdaten!$P$17:$T$39,2,0)="","",MAX(ROUND(VLOOKUP(C220,Steuerungsdaten!$P$17:$T$39,2,0)*Steuerungsdaten!$B$4*Steuerungsdaten!$B$7*IFERROR(VLOOKUP(C220,Steuerungsdaten!$B$17:$C$37,2,FALSE),1)*POWER(IF(OR(E220=0,F220=0,E220="",F220=""),1,(E220*F220/1000000)/Steuerungsdaten!$B$6),IFERROR(VLOOKUP(C220,Steuerungsdaten!$B$17:$K$37,10,FALSE),1)-1),0),Steuerungsdaten!$E$4))</f>
        <v>254</v>
      </c>
      <c r="H220" s="72">
        <f>IF(VLOOKUP(C220,Steuerungsdaten!$P$17:$T$39,3,0)="","",MAX(ROUND(VLOOKUP(C220,Steuerungsdaten!$P$17:$T$39,3,0)*Steuerungsdaten!$B$4*Steuerungsdaten!$B$8*IFERROR(VLOOKUP(C220,Steuerungsdaten!$B$17:$E$37,4,FALSE),1)*POWER(IF(OR(E220=0,F220=0,E220="",F220=""),1,(E220*F220/1000000)/Steuerungsdaten!$B$6),IFERROR(VLOOKUP(C220,Steuerungsdaten!$B$17:$L$37,11,FALSE),1)-1),0),Steuerungsdaten!$E$5))</f>
        <v>546</v>
      </c>
      <c r="I220" s="72">
        <f>IF(VLOOKUP(C220,Steuerungsdaten!$P$17:$T$39,4,0)="","",MAX(ROUND(VLOOKUP(C220,Steuerungsdaten!$P$17:$T$39,4,0)*Steuerungsdaten!$B$4*Steuerungsdaten!$B$9*IFERROR(VLOOKUP(C220,Steuerungsdaten!$B$17:$G$37,6,FALSE),1)*POWER(IF(OR(E220=0,F220=0,E220="",F220=""),1,(E220*F220/1000000)/Steuerungsdaten!$B$6),IFERROR(VLOOKUP(C220,Steuerungsdaten!$B$17:$M$37,12,FALSE),1)-1),0),Steuerungsdaten!$E$6))</f>
        <v>597</v>
      </c>
      <c r="J220" s="72">
        <f>IF(VLOOKUP(C220,Steuerungsdaten!$P$17:$T$39,5,0)="","",MAX(ROUND(VLOOKUP(C220,Steuerungsdaten!$P$17:$T$39,5,0)*Steuerungsdaten!$B$4*Steuerungsdaten!$B$10*IFERROR(VLOOKUP(C220,Steuerungsdaten!$B$17:$I$37,8,FALSE),1)*POWER(IF(OR(E220=0,F220=0,E220="",F220=""),1,(E220*F220/1000000)/Steuerungsdaten!$B$6),IFERROR(VLOOKUP(C220,Steuerungsdaten!$B$17:$N$37,13,FALSE),1)-1),0),Steuerungsdaten!$E$7))</f>
        <v>866</v>
      </c>
      <c r="K220" s="72">
        <f>IFERROR(IF(G220="","",ROUND(G220*Steuerungsdaten!$B$5,0)),"-")</f>
        <v>292</v>
      </c>
      <c r="L220" s="72">
        <f>IFERROR(IF(H220="","",ROUND(H220*Steuerungsdaten!$B$5,0)),"-")</f>
        <v>628</v>
      </c>
      <c r="M220" s="72">
        <f>IFERROR(IF(I220="","",ROUND(I220*Steuerungsdaten!$B$5,0)),"-")</f>
        <v>687</v>
      </c>
      <c r="N220" s="73" t="s">
        <v>988</v>
      </c>
      <c r="O220" s="79">
        <v>257</v>
      </c>
      <c r="P220" s="79">
        <f>IF(H220="","",ROUND(H220/(Steuerungsdaten!$B$4*Steuerungsdaten!$B$8*IFERROR(VLOOKUP(C220,Steuerungsdaten!$B$17:$E$37,4,FALSE),1)*POWER(IF(OR(E220=0,F220=0,E220="",F220=""),1,(E220*F220/1000000)/Steuerungsdaten!$B$6),IFERROR(VLOOKUP(C220,Steuerungsdaten!$B$17:$L$37,11,FALSE),1)-1)),0))</f>
        <v>429</v>
      </c>
      <c r="Q220" s="79">
        <f>IF(I220="","",ROUND(I220/(Steuerungsdaten!$B$4*Steuerungsdaten!$B$9*IFERROR(VLOOKUP(C220,Steuerungsdaten!$B$17:$G$37,6,FALSE),1)*POWER(IF(OR(E220=0,F220=0,E220="",F220=""),1,(E220*F220/1000000)/Steuerungsdaten!$B$6),IFERROR(VLOOKUP(C220,Steuerungsdaten!$B$17:$M$37,12,FALSE),1)-1)),0))</f>
        <v>469</v>
      </c>
      <c r="R220" s="79">
        <f>IF(J220="","",ROUND(J220/(Steuerungsdaten!$B$4*Steuerungsdaten!$B$10*IFERROR(VLOOKUP(C220,Steuerungsdaten!$B$17:$I$37,8,FALSE),1)*POWER(IF(OR(E220=0,F220=0,E220="",F220=""),1,(E220*F220/1000000)/Steuerungsdaten!$B$6),IFERROR(VLOOKUP(C220,Steuerungsdaten!$B$17:$N$37,13,FALSE),1)-1)),0))</f>
        <v>624</v>
      </c>
    </row>
    <row r="221" spans="1:18" x14ac:dyDescent="0.25">
      <c r="A221" s="74">
        <v>5104</v>
      </c>
      <c r="B221" s="75" t="s">
        <v>7</v>
      </c>
      <c r="C221" s="75" t="s">
        <v>222</v>
      </c>
      <c r="D221" s="75" t="s">
        <v>227</v>
      </c>
      <c r="E221" s="76">
        <v>420</v>
      </c>
      <c r="F221" s="76">
        <v>1800</v>
      </c>
      <c r="G221" s="77">
        <f>IF(VLOOKUP(C221,Steuerungsdaten!$P$17:$T$39,2,0)="","",MAX(ROUND(VLOOKUP(C221,Steuerungsdaten!$P$17:$T$39,2,0)*Steuerungsdaten!$B$4*Steuerungsdaten!$B$7*IFERROR(VLOOKUP(C221,Steuerungsdaten!$B$17:$C$37,2,FALSE),1)*POWER(IF(OR(E221=0,F221=0,E221="",F221=""),1,(E221*F221/1000000)/Steuerungsdaten!$B$6),IFERROR(VLOOKUP(C221,Steuerungsdaten!$B$17:$K$37,10,FALSE),1)-1),0),Steuerungsdaten!$E$4))</f>
        <v>285</v>
      </c>
      <c r="H221" s="77">
        <f>IF(VLOOKUP(C221,Steuerungsdaten!$P$17:$T$39,3,0)="","",MAX(ROUND(VLOOKUP(C221,Steuerungsdaten!$P$17:$T$39,3,0)*Steuerungsdaten!$B$4*Steuerungsdaten!$B$8*IFERROR(VLOOKUP(C221,Steuerungsdaten!$B$17:$E$37,4,FALSE),1)*POWER(IF(OR(E221=0,F221=0,E221="",F221=""),1,(E221*F221/1000000)/Steuerungsdaten!$B$6),IFERROR(VLOOKUP(C221,Steuerungsdaten!$B$17:$L$37,11,FALSE),1)-1),0),Steuerungsdaten!$E$5))</f>
        <v>610</v>
      </c>
      <c r="I221" s="77">
        <f>IF(VLOOKUP(C221,Steuerungsdaten!$P$17:$T$39,4,0)="","",MAX(ROUND(VLOOKUP(C221,Steuerungsdaten!$P$17:$T$39,4,0)*Steuerungsdaten!$B$4*Steuerungsdaten!$B$9*IFERROR(VLOOKUP(C221,Steuerungsdaten!$B$17:$G$37,6,FALSE),1)*POWER(IF(OR(E221=0,F221=0,E221="",F221=""),1,(E221*F221/1000000)/Steuerungsdaten!$B$6),IFERROR(VLOOKUP(C221,Steuerungsdaten!$B$17:$M$37,12,FALSE),1)-1),0),Steuerungsdaten!$E$6))</f>
        <v>667</v>
      </c>
      <c r="J221" s="77">
        <f>IF(VLOOKUP(C221,Steuerungsdaten!$P$17:$T$39,5,0)="","",MAX(ROUND(VLOOKUP(C221,Steuerungsdaten!$P$17:$T$39,5,0)*Steuerungsdaten!$B$4*Steuerungsdaten!$B$10*IFERROR(VLOOKUP(C221,Steuerungsdaten!$B$17:$I$37,8,FALSE),1)*POWER(IF(OR(E221=0,F221=0,E221="",F221=""),1,(E221*F221/1000000)/Steuerungsdaten!$B$6),IFERROR(VLOOKUP(C221,Steuerungsdaten!$B$17:$N$37,13,FALSE),1)-1),0),Steuerungsdaten!$E$7))</f>
        <v>968</v>
      </c>
      <c r="K221" s="77">
        <f>IFERROR(IF(G221="","",ROUND(G221*Steuerungsdaten!$B$5,0)),"-")</f>
        <v>328</v>
      </c>
      <c r="L221" s="77">
        <f>IFERROR(IF(H221="","",ROUND(H221*Steuerungsdaten!$B$5,0)),"-")</f>
        <v>702</v>
      </c>
      <c r="M221" s="77">
        <f>IFERROR(IF(I221="","",ROUND(I221*Steuerungsdaten!$B$5,0)),"-")</f>
        <v>767</v>
      </c>
      <c r="N221" s="78" t="s">
        <v>988</v>
      </c>
      <c r="O221" s="79">
        <v>340</v>
      </c>
      <c r="P221" s="79">
        <f>IF(H221="","",ROUND(H221/(Steuerungsdaten!$B$4*Steuerungsdaten!$B$8*IFERROR(VLOOKUP(C221,Steuerungsdaten!$B$17:$E$37,4,FALSE),1)*POWER(IF(OR(E221=0,F221=0,E221="",F221=""),1,(E221*F221/1000000)/Steuerungsdaten!$B$6),IFERROR(VLOOKUP(C221,Steuerungsdaten!$B$17:$L$37,11,FALSE),1)-1)),0))</f>
        <v>429</v>
      </c>
      <c r="Q221" s="79">
        <f>IF(I221="","",ROUND(I221/(Steuerungsdaten!$B$4*Steuerungsdaten!$B$9*IFERROR(VLOOKUP(C221,Steuerungsdaten!$B$17:$G$37,6,FALSE),1)*POWER(IF(OR(E221=0,F221=0,E221="",F221=""),1,(E221*F221/1000000)/Steuerungsdaten!$B$6),IFERROR(VLOOKUP(C221,Steuerungsdaten!$B$17:$M$37,12,FALSE),1)-1)),0))</f>
        <v>469</v>
      </c>
      <c r="R221" s="79">
        <f>IF(J221="","",ROUND(J221/(Steuerungsdaten!$B$4*Steuerungsdaten!$B$10*IFERROR(VLOOKUP(C221,Steuerungsdaten!$B$17:$I$37,8,FALSE),1)*POWER(IF(OR(E221=0,F221=0,E221="",F221=""),1,(E221*F221/1000000)/Steuerungsdaten!$B$6),IFERROR(VLOOKUP(C221,Steuerungsdaten!$B$17:$N$37,13,FALSE),1)-1)),0))</f>
        <v>624</v>
      </c>
    </row>
    <row r="222" spans="1:18" x14ac:dyDescent="0.25">
      <c r="A222" s="69">
        <v>5105</v>
      </c>
      <c r="B222" s="70" t="s">
        <v>7</v>
      </c>
      <c r="C222" s="70" t="s">
        <v>222</v>
      </c>
      <c r="D222" s="70" t="s">
        <v>228</v>
      </c>
      <c r="E222" s="71">
        <v>580</v>
      </c>
      <c r="F222" s="71">
        <v>360</v>
      </c>
      <c r="G222" s="72">
        <f>IF(VLOOKUP(C222,Steuerungsdaten!$P$17:$T$39,2,0)="","",MAX(ROUND(VLOOKUP(C222,Steuerungsdaten!$P$17:$T$39,2,0)*Steuerungsdaten!$B$4*Steuerungsdaten!$B$7*IFERROR(VLOOKUP(C222,Steuerungsdaten!$B$17:$C$37,2,FALSE),1)*POWER(IF(OR(E222=0,F222=0,E222="",F222=""),1,(E222*F222/1000000)/Steuerungsdaten!$B$6),IFERROR(VLOOKUP(C222,Steuerungsdaten!$B$17:$K$37,10,FALSE),1)-1),0),Steuerungsdaten!$E$4))</f>
        <v>150</v>
      </c>
      <c r="H222" s="72">
        <f>IF(VLOOKUP(C222,Steuerungsdaten!$P$17:$T$39,3,0)="","",MAX(ROUND(VLOOKUP(C222,Steuerungsdaten!$P$17:$T$39,3,0)*Steuerungsdaten!$B$4*Steuerungsdaten!$B$8*IFERROR(VLOOKUP(C222,Steuerungsdaten!$B$17:$E$37,4,FALSE),1)*POWER(IF(OR(E222=0,F222=0,E222="",F222=""),1,(E222*F222/1000000)/Steuerungsdaten!$B$6),IFERROR(VLOOKUP(C222,Steuerungsdaten!$B$17:$L$37,11,FALSE),1)-1),0),Steuerungsdaten!$E$5))</f>
        <v>321</v>
      </c>
      <c r="I222" s="72">
        <f>IF(VLOOKUP(C222,Steuerungsdaten!$P$17:$T$39,4,0)="","",MAX(ROUND(VLOOKUP(C222,Steuerungsdaten!$P$17:$T$39,4,0)*Steuerungsdaten!$B$4*Steuerungsdaten!$B$9*IFERROR(VLOOKUP(C222,Steuerungsdaten!$B$17:$G$37,6,FALSE),1)*POWER(IF(OR(E222=0,F222=0,E222="",F222=""),1,(E222*F222/1000000)/Steuerungsdaten!$B$6),IFERROR(VLOOKUP(C222,Steuerungsdaten!$B$17:$M$37,12,FALSE),1)-1),0),Steuerungsdaten!$E$6))</f>
        <v>351</v>
      </c>
      <c r="J222" s="72">
        <f>IF(VLOOKUP(C222,Steuerungsdaten!$P$17:$T$39,5,0)="","",MAX(ROUND(VLOOKUP(C222,Steuerungsdaten!$P$17:$T$39,5,0)*Steuerungsdaten!$B$4*Steuerungsdaten!$B$10*IFERROR(VLOOKUP(C222,Steuerungsdaten!$B$17:$I$37,8,FALSE),1)*POWER(IF(OR(E222=0,F222=0,E222="",F222=""),1,(E222*F222/1000000)/Steuerungsdaten!$B$6),IFERROR(VLOOKUP(C222,Steuerungsdaten!$B$17:$N$37,13,FALSE),1)-1),0),Steuerungsdaten!$E$7))</f>
        <v>509</v>
      </c>
      <c r="K222" s="72">
        <f>IFERROR(IF(G222="","",ROUND(G222*Steuerungsdaten!$B$5,0)),"-")</f>
        <v>173</v>
      </c>
      <c r="L222" s="72">
        <f>IFERROR(IF(H222="","",ROUND(H222*Steuerungsdaten!$B$5,0)),"-")</f>
        <v>369</v>
      </c>
      <c r="M222" s="72">
        <f>IFERROR(IF(I222="","",ROUND(I222*Steuerungsdaten!$B$5,0)),"-")</f>
        <v>404</v>
      </c>
      <c r="N222" s="73" t="s">
        <v>988</v>
      </c>
      <c r="O222" s="79">
        <v>153</v>
      </c>
      <c r="P222" s="79">
        <f>IF(H222="","",ROUND(H222/(Steuerungsdaten!$B$4*Steuerungsdaten!$B$8*IFERROR(VLOOKUP(C222,Steuerungsdaten!$B$17:$E$37,4,FALSE),1)*POWER(IF(OR(E222=0,F222=0,E222="",F222=""),1,(E222*F222/1000000)/Steuerungsdaten!$B$6),IFERROR(VLOOKUP(C222,Steuerungsdaten!$B$17:$L$37,11,FALSE),1)-1)),0))</f>
        <v>429</v>
      </c>
      <c r="Q222" s="79">
        <f>IF(I222="","",ROUND(I222/(Steuerungsdaten!$B$4*Steuerungsdaten!$B$9*IFERROR(VLOOKUP(C222,Steuerungsdaten!$B$17:$G$37,6,FALSE),1)*POWER(IF(OR(E222=0,F222=0,E222="",F222=""),1,(E222*F222/1000000)/Steuerungsdaten!$B$6),IFERROR(VLOOKUP(C222,Steuerungsdaten!$B$17:$M$37,12,FALSE),1)-1)),0))</f>
        <v>469</v>
      </c>
      <c r="R222" s="79">
        <f>IF(J222="","",ROUND(J222/(Steuerungsdaten!$B$4*Steuerungsdaten!$B$10*IFERROR(VLOOKUP(C222,Steuerungsdaten!$B$17:$I$37,8,FALSE),1)*POWER(IF(OR(E222=0,F222=0,E222="",F222=""),1,(E222*F222/1000000)/Steuerungsdaten!$B$6),IFERROR(VLOOKUP(C222,Steuerungsdaten!$B$17:$N$37,13,FALSE),1)-1)),0))</f>
        <v>624</v>
      </c>
    </row>
    <row r="223" spans="1:18" x14ac:dyDescent="0.25">
      <c r="A223" s="74">
        <v>5106</v>
      </c>
      <c r="B223" s="75" t="s">
        <v>7</v>
      </c>
      <c r="C223" s="75" t="s">
        <v>222</v>
      </c>
      <c r="D223" s="75" t="s">
        <v>229</v>
      </c>
      <c r="E223" s="76">
        <v>580</v>
      </c>
      <c r="F223" s="76">
        <v>720</v>
      </c>
      <c r="G223" s="77">
        <f>IF(VLOOKUP(C223,Steuerungsdaten!$P$17:$T$39,2,0)="","",MAX(ROUND(VLOOKUP(C223,Steuerungsdaten!$P$17:$T$39,2,0)*Steuerungsdaten!$B$4*Steuerungsdaten!$B$7*IFERROR(VLOOKUP(C223,Steuerungsdaten!$B$17:$C$37,2,FALSE),1)*POWER(IF(OR(E223=0,F223=0,E223="",F223=""),1,(E223*F223/1000000)/Steuerungsdaten!$B$6),IFERROR(VLOOKUP(C223,Steuerungsdaten!$B$17:$K$37,10,FALSE),1)-1),0),Steuerungsdaten!$E$4))</f>
        <v>211</v>
      </c>
      <c r="H223" s="77">
        <f>IF(VLOOKUP(C223,Steuerungsdaten!$P$17:$T$39,3,0)="","",MAX(ROUND(VLOOKUP(C223,Steuerungsdaten!$P$17:$T$39,3,0)*Steuerungsdaten!$B$4*Steuerungsdaten!$B$8*IFERROR(VLOOKUP(C223,Steuerungsdaten!$B$17:$E$37,4,FALSE),1)*POWER(IF(OR(E223=0,F223=0,E223="",F223=""),1,(E223*F223/1000000)/Steuerungsdaten!$B$6),IFERROR(VLOOKUP(C223,Steuerungsdaten!$B$17:$L$37,11,FALSE),1)-1),0),Steuerungsdaten!$E$5))</f>
        <v>454</v>
      </c>
      <c r="I223" s="77">
        <f>IF(VLOOKUP(C223,Steuerungsdaten!$P$17:$T$39,4,0)="","",MAX(ROUND(VLOOKUP(C223,Steuerungsdaten!$P$17:$T$39,4,0)*Steuerungsdaten!$B$4*Steuerungsdaten!$B$9*IFERROR(VLOOKUP(C223,Steuerungsdaten!$B$17:$G$37,6,FALSE),1)*POWER(IF(OR(E223=0,F223=0,E223="",F223=""),1,(E223*F223/1000000)/Steuerungsdaten!$B$6),IFERROR(VLOOKUP(C223,Steuerungsdaten!$B$17:$M$37,12,FALSE),1)-1),0),Steuerungsdaten!$E$6))</f>
        <v>496</v>
      </c>
      <c r="J223" s="77">
        <f>IF(VLOOKUP(C223,Steuerungsdaten!$P$17:$T$39,5,0)="","",MAX(ROUND(VLOOKUP(C223,Steuerungsdaten!$P$17:$T$39,5,0)*Steuerungsdaten!$B$4*Steuerungsdaten!$B$10*IFERROR(VLOOKUP(C223,Steuerungsdaten!$B$17:$I$37,8,FALSE),1)*POWER(IF(OR(E223=0,F223=0,E223="",F223=""),1,(E223*F223/1000000)/Steuerungsdaten!$B$6),IFERROR(VLOOKUP(C223,Steuerungsdaten!$B$17:$N$37,13,FALSE),1)-1),0),Steuerungsdaten!$E$7))</f>
        <v>720</v>
      </c>
      <c r="K223" s="77">
        <f>IFERROR(IF(G223="","",ROUND(G223*Steuerungsdaten!$B$5,0)),"-")</f>
        <v>243</v>
      </c>
      <c r="L223" s="77">
        <f>IFERROR(IF(H223="","",ROUND(H223*Steuerungsdaten!$B$5,0)),"-")</f>
        <v>522</v>
      </c>
      <c r="M223" s="77">
        <f>IFERROR(IF(I223="","",ROUND(I223*Steuerungsdaten!$B$5,0)),"-")</f>
        <v>570</v>
      </c>
      <c r="N223" s="78" t="s">
        <v>988</v>
      </c>
      <c r="O223" s="79">
        <v>210</v>
      </c>
      <c r="P223" s="79">
        <f>IF(H223="","",ROUND(H223/(Steuerungsdaten!$B$4*Steuerungsdaten!$B$8*IFERROR(VLOOKUP(C223,Steuerungsdaten!$B$17:$E$37,4,FALSE),1)*POWER(IF(OR(E223=0,F223=0,E223="",F223=""),1,(E223*F223/1000000)/Steuerungsdaten!$B$6),IFERROR(VLOOKUP(C223,Steuerungsdaten!$B$17:$L$37,11,FALSE),1)-1)),0))</f>
        <v>429</v>
      </c>
      <c r="Q223" s="79">
        <f>IF(I223="","",ROUND(I223/(Steuerungsdaten!$B$4*Steuerungsdaten!$B$9*IFERROR(VLOOKUP(C223,Steuerungsdaten!$B$17:$G$37,6,FALSE),1)*POWER(IF(OR(E223=0,F223=0,E223="",F223=""),1,(E223*F223/1000000)/Steuerungsdaten!$B$6),IFERROR(VLOOKUP(C223,Steuerungsdaten!$B$17:$M$37,12,FALSE),1)-1)),0))</f>
        <v>469</v>
      </c>
      <c r="R223" s="79">
        <f>IF(J223="","",ROUND(J223/(Steuerungsdaten!$B$4*Steuerungsdaten!$B$10*IFERROR(VLOOKUP(C223,Steuerungsdaten!$B$17:$I$37,8,FALSE),1)*POWER(IF(OR(E223=0,F223=0,E223="",F223=""),1,(E223*F223/1000000)/Steuerungsdaten!$B$6),IFERROR(VLOOKUP(C223,Steuerungsdaten!$B$17:$N$37,13,FALSE),1)-1)),0))</f>
        <v>624</v>
      </c>
    </row>
    <row r="224" spans="1:18" x14ac:dyDescent="0.25">
      <c r="A224" s="69">
        <v>5107</v>
      </c>
      <c r="B224" s="70" t="s">
        <v>7</v>
      </c>
      <c r="C224" s="70" t="s">
        <v>222</v>
      </c>
      <c r="D224" s="70" t="s">
        <v>230</v>
      </c>
      <c r="E224" s="71">
        <v>580</v>
      </c>
      <c r="F224" s="71">
        <v>1080</v>
      </c>
      <c r="G224" s="72">
        <f>IF(VLOOKUP(C224,Steuerungsdaten!$P$17:$T$39,2,0)="","",MAX(ROUND(VLOOKUP(C224,Steuerungsdaten!$P$17:$T$39,2,0)*Steuerungsdaten!$B$4*Steuerungsdaten!$B$7*IFERROR(VLOOKUP(C224,Steuerungsdaten!$B$17:$C$37,2,FALSE),1)*POWER(IF(OR(E224=0,F224=0,E224="",F224=""),1,(E224*F224/1000000)/Steuerungsdaten!$B$6),IFERROR(VLOOKUP(C224,Steuerungsdaten!$B$17:$K$37,10,FALSE),1)-1),0),Steuerungsdaten!$E$4))</f>
        <v>259</v>
      </c>
      <c r="H224" s="72">
        <f>IF(VLOOKUP(C224,Steuerungsdaten!$P$17:$T$39,3,0)="","",MAX(ROUND(VLOOKUP(C224,Steuerungsdaten!$P$17:$T$39,3,0)*Steuerungsdaten!$B$4*Steuerungsdaten!$B$8*IFERROR(VLOOKUP(C224,Steuerungsdaten!$B$17:$E$37,4,FALSE),1)*POWER(IF(OR(E224=0,F224=0,E224="",F224=""),1,(E224*F224/1000000)/Steuerungsdaten!$B$6),IFERROR(VLOOKUP(C224,Steuerungsdaten!$B$17:$L$37,11,FALSE),1)-1),0),Steuerungsdaten!$E$5))</f>
        <v>556</v>
      </c>
      <c r="I224" s="72">
        <f>IF(VLOOKUP(C224,Steuerungsdaten!$P$17:$T$39,4,0)="","",MAX(ROUND(VLOOKUP(C224,Steuerungsdaten!$P$17:$T$39,4,0)*Steuerungsdaten!$B$4*Steuerungsdaten!$B$9*IFERROR(VLOOKUP(C224,Steuerungsdaten!$B$17:$G$37,6,FALSE),1)*POWER(IF(OR(E224=0,F224=0,E224="",F224=""),1,(E224*F224/1000000)/Steuerungsdaten!$B$6),IFERROR(VLOOKUP(C224,Steuerungsdaten!$B$17:$M$37,12,FALSE),1)-1),0),Steuerungsdaten!$E$6))</f>
        <v>607</v>
      </c>
      <c r="J224" s="72">
        <f>IF(VLOOKUP(C224,Steuerungsdaten!$P$17:$T$39,5,0)="","",MAX(ROUND(VLOOKUP(C224,Steuerungsdaten!$P$17:$T$39,5,0)*Steuerungsdaten!$B$4*Steuerungsdaten!$B$10*IFERROR(VLOOKUP(C224,Steuerungsdaten!$B$17:$I$37,8,FALSE),1)*POWER(IF(OR(E224=0,F224=0,E224="",F224=""),1,(E224*F224/1000000)/Steuerungsdaten!$B$6),IFERROR(VLOOKUP(C224,Steuerungsdaten!$B$17:$N$37,13,FALSE),1)-1),0),Steuerungsdaten!$E$7))</f>
        <v>882</v>
      </c>
      <c r="K224" s="72">
        <f>IFERROR(IF(G224="","",ROUND(G224*Steuerungsdaten!$B$5,0)),"-")</f>
        <v>298</v>
      </c>
      <c r="L224" s="72">
        <f>IFERROR(IF(H224="","",ROUND(H224*Steuerungsdaten!$B$5,0)),"-")</f>
        <v>639</v>
      </c>
      <c r="M224" s="72">
        <f>IFERROR(IF(I224="","",ROUND(I224*Steuerungsdaten!$B$5,0)),"-")</f>
        <v>698</v>
      </c>
      <c r="N224" s="73" t="s">
        <v>988</v>
      </c>
      <c r="O224" s="79">
        <v>278</v>
      </c>
      <c r="P224" s="79">
        <f>IF(H224="","",ROUND(H224/(Steuerungsdaten!$B$4*Steuerungsdaten!$B$8*IFERROR(VLOOKUP(C224,Steuerungsdaten!$B$17:$E$37,4,FALSE),1)*POWER(IF(OR(E224=0,F224=0,E224="",F224=""),1,(E224*F224/1000000)/Steuerungsdaten!$B$6),IFERROR(VLOOKUP(C224,Steuerungsdaten!$B$17:$L$37,11,FALSE),1)-1)),0))</f>
        <v>429</v>
      </c>
      <c r="Q224" s="79">
        <f>IF(I224="","",ROUND(I224/(Steuerungsdaten!$B$4*Steuerungsdaten!$B$9*IFERROR(VLOOKUP(C224,Steuerungsdaten!$B$17:$G$37,6,FALSE),1)*POWER(IF(OR(E224=0,F224=0,E224="",F224=""),1,(E224*F224/1000000)/Steuerungsdaten!$B$6),IFERROR(VLOOKUP(C224,Steuerungsdaten!$B$17:$M$37,12,FALSE),1)-1)),0))</f>
        <v>469</v>
      </c>
      <c r="R224" s="79">
        <f>IF(J224="","",ROUND(J224/(Steuerungsdaten!$B$4*Steuerungsdaten!$B$10*IFERROR(VLOOKUP(C224,Steuerungsdaten!$B$17:$I$37,8,FALSE),1)*POWER(IF(OR(E224=0,F224=0,E224="",F224=""),1,(E224*F224/1000000)/Steuerungsdaten!$B$6),IFERROR(VLOOKUP(C224,Steuerungsdaten!$B$17:$N$37,13,FALSE),1)-1)),0))</f>
        <v>624</v>
      </c>
    </row>
    <row r="225" spans="1:18" x14ac:dyDescent="0.25">
      <c r="A225" s="74">
        <v>5108</v>
      </c>
      <c r="B225" s="75" t="s">
        <v>7</v>
      </c>
      <c r="C225" s="75" t="s">
        <v>222</v>
      </c>
      <c r="D225" s="75" t="s">
        <v>231</v>
      </c>
      <c r="E225" s="76">
        <v>580</v>
      </c>
      <c r="F225" s="76">
        <v>1440</v>
      </c>
      <c r="G225" s="77">
        <f>IF(VLOOKUP(C225,Steuerungsdaten!$P$17:$T$39,2,0)="","",MAX(ROUND(VLOOKUP(C225,Steuerungsdaten!$P$17:$T$39,2,0)*Steuerungsdaten!$B$4*Steuerungsdaten!$B$7*IFERROR(VLOOKUP(C225,Steuerungsdaten!$B$17:$C$37,2,FALSE),1)*POWER(IF(OR(E225=0,F225=0,E225="",F225=""),1,(E225*F225/1000000)/Steuerungsdaten!$B$6),IFERROR(VLOOKUP(C225,Steuerungsdaten!$B$17:$K$37,10,FALSE),1)-1),0),Steuerungsdaten!$E$4))</f>
        <v>299</v>
      </c>
      <c r="H225" s="77">
        <f>IF(VLOOKUP(C225,Steuerungsdaten!$P$17:$T$39,3,0)="","",MAX(ROUND(VLOOKUP(C225,Steuerungsdaten!$P$17:$T$39,3,0)*Steuerungsdaten!$B$4*Steuerungsdaten!$B$8*IFERROR(VLOOKUP(C225,Steuerungsdaten!$B$17:$E$37,4,FALSE),1)*POWER(IF(OR(E225=0,F225=0,E225="",F225=""),1,(E225*F225/1000000)/Steuerungsdaten!$B$6),IFERROR(VLOOKUP(C225,Steuerungsdaten!$B$17:$L$37,11,FALSE),1)-1),0),Steuerungsdaten!$E$5))</f>
        <v>641</v>
      </c>
      <c r="I225" s="77">
        <f>IF(VLOOKUP(C225,Steuerungsdaten!$P$17:$T$39,4,0)="","",MAX(ROUND(VLOOKUP(C225,Steuerungsdaten!$P$17:$T$39,4,0)*Steuerungsdaten!$B$4*Steuerungsdaten!$B$9*IFERROR(VLOOKUP(C225,Steuerungsdaten!$B$17:$G$37,6,FALSE),1)*POWER(IF(OR(E225=0,F225=0,E225="",F225=""),1,(E225*F225/1000000)/Steuerungsdaten!$B$6),IFERROR(VLOOKUP(C225,Steuerungsdaten!$B$17:$M$37,12,FALSE),1)-1),0),Steuerungsdaten!$E$6))</f>
        <v>701</v>
      </c>
      <c r="J225" s="77">
        <f>IF(VLOOKUP(C225,Steuerungsdaten!$P$17:$T$39,5,0)="","",MAX(ROUND(VLOOKUP(C225,Steuerungsdaten!$P$17:$T$39,5,0)*Steuerungsdaten!$B$4*Steuerungsdaten!$B$10*IFERROR(VLOOKUP(C225,Steuerungsdaten!$B$17:$I$37,8,FALSE),1)*POWER(IF(OR(E225=0,F225=0,E225="",F225=""),1,(E225*F225/1000000)/Steuerungsdaten!$B$6),IFERROR(VLOOKUP(C225,Steuerungsdaten!$B$17:$N$37,13,FALSE),1)-1),0),Steuerungsdaten!$E$7))</f>
        <v>1018</v>
      </c>
      <c r="K225" s="77">
        <f>IFERROR(IF(G225="","",ROUND(G225*Steuerungsdaten!$B$5,0)),"-")</f>
        <v>344</v>
      </c>
      <c r="L225" s="77">
        <f>IFERROR(IF(H225="","",ROUND(H225*Steuerungsdaten!$B$5,0)),"-")</f>
        <v>737</v>
      </c>
      <c r="M225" s="77">
        <f>IFERROR(IF(I225="","",ROUND(I225*Steuerungsdaten!$B$5,0)),"-")</f>
        <v>806</v>
      </c>
      <c r="N225" s="78" t="s">
        <v>988</v>
      </c>
      <c r="O225" s="79">
        <v>337</v>
      </c>
      <c r="P225" s="79">
        <f>IF(H225="","",ROUND(H225/(Steuerungsdaten!$B$4*Steuerungsdaten!$B$8*IFERROR(VLOOKUP(C225,Steuerungsdaten!$B$17:$E$37,4,FALSE),1)*POWER(IF(OR(E225=0,F225=0,E225="",F225=""),1,(E225*F225/1000000)/Steuerungsdaten!$B$6),IFERROR(VLOOKUP(C225,Steuerungsdaten!$B$17:$L$37,11,FALSE),1)-1)),0))</f>
        <v>429</v>
      </c>
      <c r="Q225" s="79">
        <f>IF(I225="","",ROUND(I225/(Steuerungsdaten!$B$4*Steuerungsdaten!$B$9*IFERROR(VLOOKUP(C225,Steuerungsdaten!$B$17:$G$37,6,FALSE),1)*POWER(IF(OR(E225=0,F225=0,E225="",F225=""),1,(E225*F225/1000000)/Steuerungsdaten!$B$6),IFERROR(VLOOKUP(C225,Steuerungsdaten!$B$17:$M$37,12,FALSE),1)-1)),0))</f>
        <v>469</v>
      </c>
      <c r="R225" s="79">
        <f>IF(J225="","",ROUND(J225/(Steuerungsdaten!$B$4*Steuerungsdaten!$B$10*IFERROR(VLOOKUP(C225,Steuerungsdaten!$B$17:$I$37,8,FALSE),1)*POWER(IF(OR(E225=0,F225=0,E225="",F225=""),1,(E225*F225/1000000)/Steuerungsdaten!$B$6),IFERROR(VLOOKUP(C225,Steuerungsdaten!$B$17:$N$37,13,FALSE),1)-1)),0))</f>
        <v>624</v>
      </c>
    </row>
    <row r="226" spans="1:18" ht="15.75" thickBot="1" x14ac:dyDescent="0.3">
      <c r="A226" s="69">
        <v>5109</v>
      </c>
      <c r="B226" s="70" t="s">
        <v>7</v>
      </c>
      <c r="C226" s="70" t="s">
        <v>222</v>
      </c>
      <c r="D226" s="70" t="s">
        <v>232</v>
      </c>
      <c r="E226" s="71">
        <v>580</v>
      </c>
      <c r="F226" s="71">
        <v>1800</v>
      </c>
      <c r="G226" s="165">
        <f>IF(VLOOKUP(C226,Steuerungsdaten!$P$17:$T$39,2,0)="","",MAX(ROUND(VLOOKUP(C226,Steuerungsdaten!$P$17:$T$39,2,0)*Steuerungsdaten!$B$4*Steuerungsdaten!$B$7*IFERROR(VLOOKUP(C226,Steuerungsdaten!$B$17:$C$37,2,FALSE),1)*POWER(IF(OR(E226=0,F226=0,E226="",F226=""),1,(E226*F226/1000000)/Steuerungsdaten!$B$6),IFERROR(VLOOKUP(C226,Steuerungsdaten!$B$17:$K$37,10,FALSE),1)-1),0),Steuerungsdaten!$E$4))</f>
        <v>334</v>
      </c>
      <c r="H226" s="165">
        <f>IF(VLOOKUP(C226,Steuerungsdaten!$P$17:$T$39,3,0)="","",MAX(ROUND(VLOOKUP(C226,Steuerungsdaten!$P$17:$T$39,3,0)*Steuerungsdaten!$B$4*Steuerungsdaten!$B$8*IFERROR(VLOOKUP(C226,Steuerungsdaten!$B$17:$E$37,4,FALSE),1)*POWER(IF(OR(E226=0,F226=0,E226="",F226=""),1,(E226*F226/1000000)/Steuerungsdaten!$B$6),IFERROR(VLOOKUP(C226,Steuerungsdaten!$B$17:$L$37,11,FALSE),1)-1),0),Steuerungsdaten!$E$5))</f>
        <v>717</v>
      </c>
      <c r="I226" s="165">
        <f>IF(VLOOKUP(C226,Steuerungsdaten!$P$17:$T$39,4,0)="","",MAX(ROUND(VLOOKUP(C226,Steuerungsdaten!$P$17:$T$39,4,0)*Steuerungsdaten!$B$4*Steuerungsdaten!$B$9*IFERROR(VLOOKUP(C226,Steuerungsdaten!$B$17:$G$37,6,FALSE),1)*POWER(IF(OR(E226=0,F226=0,E226="",F226=""),1,(E226*F226/1000000)/Steuerungsdaten!$B$6),IFERROR(VLOOKUP(C226,Steuerungsdaten!$B$17:$M$37,12,FALSE),1)-1),0),Steuerungsdaten!$E$6))</f>
        <v>784</v>
      </c>
      <c r="J226" s="165">
        <f>IF(VLOOKUP(C226,Steuerungsdaten!$P$17:$T$39,5,0)="","",MAX(ROUND(VLOOKUP(C226,Steuerungsdaten!$P$17:$T$39,5,0)*Steuerungsdaten!$B$4*Steuerungsdaten!$B$10*IFERROR(VLOOKUP(C226,Steuerungsdaten!$B$17:$I$37,8,FALSE),1)*POWER(IF(OR(E226=0,F226=0,E226="",F226=""),1,(E226*F226/1000000)/Steuerungsdaten!$B$6),IFERROR(VLOOKUP(C226,Steuerungsdaten!$B$17:$N$37,13,FALSE),1)-1),0),Steuerungsdaten!$E$7))</f>
        <v>1138</v>
      </c>
      <c r="K226" s="165">
        <f>IFERROR(IF(G226="","",ROUND(G226*Steuerungsdaten!$B$5,0)),"-")</f>
        <v>384</v>
      </c>
      <c r="L226" s="165">
        <f>IFERROR(IF(H226="","",ROUND(H226*Steuerungsdaten!$B$5,0)),"-")</f>
        <v>825</v>
      </c>
      <c r="M226" s="165">
        <f>IFERROR(IF(I226="","",ROUND(I226*Steuerungsdaten!$B$5,0)),"-")</f>
        <v>902</v>
      </c>
      <c r="N226" s="166" t="s">
        <v>988</v>
      </c>
      <c r="O226" s="79">
        <v>417</v>
      </c>
      <c r="P226" s="79">
        <f>IF(H226="","",ROUND(H226/(Steuerungsdaten!$B$4*Steuerungsdaten!$B$8*IFERROR(VLOOKUP(C226,Steuerungsdaten!$B$17:$E$37,4,FALSE),1)*POWER(IF(OR(E226=0,F226=0,E226="",F226=""),1,(E226*F226/1000000)/Steuerungsdaten!$B$6),IFERROR(VLOOKUP(C226,Steuerungsdaten!$B$17:$L$37,11,FALSE),1)-1)),0))</f>
        <v>429</v>
      </c>
      <c r="Q226" s="79">
        <f>IF(I226="","",ROUND(I226/(Steuerungsdaten!$B$4*Steuerungsdaten!$B$9*IFERROR(VLOOKUP(C226,Steuerungsdaten!$B$17:$G$37,6,FALSE),1)*POWER(IF(OR(E226=0,F226=0,E226="",F226=""),1,(E226*F226/1000000)/Steuerungsdaten!$B$6),IFERROR(VLOOKUP(C226,Steuerungsdaten!$B$17:$M$37,12,FALSE),1)-1)),0))</f>
        <v>469</v>
      </c>
      <c r="R226" s="79">
        <f>IF(J226="","",ROUND(J226/(Steuerungsdaten!$B$4*Steuerungsdaten!$B$10*IFERROR(VLOOKUP(C226,Steuerungsdaten!$B$17:$I$37,8,FALSE),1)*POWER(IF(OR(E226=0,F226=0,E226="",F226=""),1,(E226*F226/1000000)/Steuerungsdaten!$B$6),IFERROR(VLOOKUP(C226,Steuerungsdaten!$B$17:$N$37,13,FALSE),1)-1)),0))</f>
        <v>624</v>
      </c>
    </row>
    <row r="227" spans="1:18" ht="15.75" thickBot="1" x14ac:dyDescent="0.3">
      <c r="A227" s="74">
        <v>5110</v>
      </c>
      <c r="B227" s="75" t="s">
        <v>7</v>
      </c>
      <c r="C227" s="75" t="s">
        <v>222</v>
      </c>
      <c r="D227" s="163" t="s">
        <v>233</v>
      </c>
      <c r="E227" s="164">
        <v>360</v>
      </c>
      <c r="F227" s="164">
        <v>360</v>
      </c>
      <c r="G227" s="169" t="s">
        <v>988</v>
      </c>
      <c r="H227" s="169" t="s">
        <v>988</v>
      </c>
      <c r="I227" s="169" t="s">
        <v>988</v>
      </c>
      <c r="J227" s="169" t="s">
        <v>988</v>
      </c>
      <c r="K227" s="169" t="s">
        <v>988</v>
      </c>
      <c r="L227" s="169" t="s">
        <v>988</v>
      </c>
      <c r="M227" s="169" t="s">
        <v>988</v>
      </c>
      <c r="N227" s="170" t="s">
        <v>988</v>
      </c>
      <c r="O227" s="79">
        <v>136</v>
      </c>
      <c r="P227" s="79" t="e">
        <f>IF(H227="","",ROUND(H227/(Steuerungsdaten!$B$4*Steuerungsdaten!$B$8*IFERROR(VLOOKUP(C227,Steuerungsdaten!$B$17:$E$37,4,FALSE),1)*POWER(IF(OR(E227=0,F227=0,E227="",F227=""),1,(E227*F227/1000000)/Steuerungsdaten!$B$6),IFERROR(VLOOKUP(C227,Steuerungsdaten!$B$17:$L$37,11,FALSE),1)-1)),0))</f>
        <v>#VALUE!</v>
      </c>
      <c r="Q227" s="79" t="e">
        <f>IF(I227="","",ROUND(I227/(Steuerungsdaten!$B$4*Steuerungsdaten!$B$9*IFERROR(VLOOKUP(C227,Steuerungsdaten!$B$17:$G$37,6,FALSE),1)*POWER(IF(OR(E227=0,F227=0,E227="",F227=""),1,(E227*F227/1000000)/Steuerungsdaten!$B$6),IFERROR(VLOOKUP(C227,Steuerungsdaten!$B$17:$M$37,12,FALSE),1)-1)),0))</f>
        <v>#VALUE!</v>
      </c>
      <c r="R227" s="79" t="e">
        <f>IF(J227="","",ROUND(J227/(Steuerungsdaten!$B$4*Steuerungsdaten!$B$10*IFERROR(VLOOKUP(C227,Steuerungsdaten!$B$17:$I$37,8,FALSE),1)*POWER(IF(OR(E227=0,F227=0,E227="",F227=""),1,(E227*F227/1000000)/Steuerungsdaten!$B$6),IFERROR(VLOOKUP(C227,Steuerungsdaten!$B$17:$N$37,13,FALSE),1)-1)),0))</f>
        <v>#VALUE!</v>
      </c>
    </row>
    <row r="228" spans="1:18" ht="15.75" thickBot="1" x14ac:dyDescent="0.3">
      <c r="A228" s="69">
        <v>5111</v>
      </c>
      <c r="B228" s="70" t="s">
        <v>7</v>
      </c>
      <c r="C228" s="70" t="s">
        <v>222</v>
      </c>
      <c r="D228" s="163" t="s">
        <v>234</v>
      </c>
      <c r="E228" s="164">
        <v>780</v>
      </c>
      <c r="F228" s="164">
        <v>360</v>
      </c>
      <c r="G228" s="171" t="s">
        <v>988</v>
      </c>
      <c r="H228" s="171" t="s">
        <v>988</v>
      </c>
      <c r="I228" s="171" t="s">
        <v>988</v>
      </c>
      <c r="J228" s="171" t="s">
        <v>988</v>
      </c>
      <c r="K228" s="171" t="s">
        <v>988</v>
      </c>
      <c r="L228" s="171" t="s">
        <v>988</v>
      </c>
      <c r="M228" s="171" t="s">
        <v>988</v>
      </c>
      <c r="N228" s="172" t="s">
        <v>988</v>
      </c>
      <c r="O228" s="79"/>
      <c r="P228" s="79">
        <v>259</v>
      </c>
      <c r="Q228" s="79"/>
      <c r="R228" s="79">
        <v>487</v>
      </c>
    </row>
    <row r="229" spans="1:18" ht="21.95" customHeight="1" x14ac:dyDescent="0.25">
      <c r="A229" s="426" t="s">
        <v>235</v>
      </c>
      <c r="B229" s="426"/>
      <c r="C229" s="426"/>
      <c r="D229" s="426"/>
      <c r="E229" s="426"/>
      <c r="F229" s="426"/>
      <c r="G229" s="427"/>
      <c r="H229" s="427"/>
      <c r="I229" s="427"/>
      <c r="J229" s="427"/>
      <c r="K229" s="427" t="str">
        <f>IFERROR(IF(G229="","",ROUND(G229*Steuerungsdaten!$B$5,0)),"-")</f>
        <v/>
      </c>
      <c r="L229" s="427" t="str">
        <f>IFERROR(IF(H229="","",ROUND(H229*Steuerungsdaten!$B$5,0)),"-")</f>
        <v/>
      </c>
      <c r="M229" s="427" t="str">
        <f>IFERROR(IF(I229="","",ROUND(I229*Steuerungsdaten!$B$5,0)),"-")</f>
        <v/>
      </c>
      <c r="N229" s="427" t="str">
        <f>IFERROR(IF(J229="","",ROUND(J229*Steuerungsdaten!$B$5,0)),"-")</f>
        <v/>
      </c>
      <c r="O229" s="79"/>
      <c r="P229" s="79"/>
      <c r="Q229" s="79"/>
      <c r="R229" s="79"/>
    </row>
    <row r="230" spans="1:18" x14ac:dyDescent="0.25">
      <c r="A230" s="64">
        <v>5200</v>
      </c>
      <c r="B230" s="65" t="s">
        <v>7</v>
      </c>
      <c r="C230" s="65" t="s">
        <v>235</v>
      </c>
      <c r="D230" s="65" t="s">
        <v>236</v>
      </c>
      <c r="E230" s="66">
        <v>780</v>
      </c>
      <c r="F230" s="66">
        <v>360</v>
      </c>
      <c r="G230" s="67">
        <f>IF(VLOOKUP(C230,Steuerungsdaten!$P$17:$T$39,2,0)="","",MAX(ROUND(VLOOKUP(C230,Steuerungsdaten!$P$17:$T$39,2,0)*Steuerungsdaten!$B$4*Steuerungsdaten!$B$7*IFERROR(VLOOKUP(C230,Steuerungsdaten!$B$17:$C$37,2,FALSE),1)*POWER(IF(OR(E230=0,F230=0,E230="",F230=""),1,(E230*F230/1000000)/Steuerungsdaten!$B$6),IFERROR(VLOOKUP(C230,Steuerungsdaten!$B$17:$K$37,10,FALSE),1)-1),0),Steuerungsdaten!$E$4))</f>
        <v>212</v>
      </c>
      <c r="H230" s="67">
        <f>IF(VLOOKUP(C230,Steuerungsdaten!$P$17:$T$39,3,0)="","",MAX(ROUND(VLOOKUP(C230,Steuerungsdaten!$P$17:$T$39,3,0)*Steuerungsdaten!$B$4*Steuerungsdaten!$B$8*IFERROR(VLOOKUP(C230,Steuerungsdaten!$B$17:$E$37,4,FALSE),1)*POWER(IF(OR(E230=0,F230=0,E230="",F230=""),1,(E230*F230/1000000)/Steuerungsdaten!$B$6),IFERROR(VLOOKUP(C230,Steuerungsdaten!$B$17:$L$37,11,FALSE),1)-1),0),Steuerungsdaten!$E$5))</f>
        <v>300</v>
      </c>
      <c r="I230" s="67">
        <f>IF(VLOOKUP(C230,Steuerungsdaten!$P$17:$T$39,4,0)="","",MAX(ROUND(VLOOKUP(C230,Steuerungsdaten!$P$17:$T$39,4,0)*Steuerungsdaten!$B$4*Steuerungsdaten!$B$9*IFERROR(VLOOKUP(C230,Steuerungsdaten!$B$17:$G$37,6,FALSE),1)*POWER(IF(OR(E230=0,F230=0,E230="",F230=""),1,(E230*F230/1000000)/Steuerungsdaten!$B$6),IFERROR(VLOOKUP(C230,Steuerungsdaten!$B$17:$M$37,12,FALSE),1)-1),0),Steuerungsdaten!$E$6))</f>
        <v>316</v>
      </c>
      <c r="J230" s="67">
        <f>IF(VLOOKUP(C230,Steuerungsdaten!$P$17:$T$39,5,0)="","",MAX(ROUND(VLOOKUP(C230,Steuerungsdaten!$P$17:$T$39,5,0)*Steuerungsdaten!$B$4*Steuerungsdaten!$B$10*IFERROR(VLOOKUP(C230,Steuerungsdaten!$B$17:$I$37,8,FALSE),1)*POWER(IF(OR(E230=0,F230=0,E230="",F230=""),1,(E230*F230/1000000)/Steuerungsdaten!$B$6),IFERROR(VLOOKUP(C230,Steuerungsdaten!$B$17:$N$37,13,FALSE),1)-1),0),Steuerungsdaten!$E$7))</f>
        <v>697</v>
      </c>
      <c r="K230" s="67">
        <f>IFERROR(IF(G230="","",ROUND(G230*Steuerungsdaten!$B$5,0)),"-")</f>
        <v>244</v>
      </c>
      <c r="L230" s="67">
        <f>IFERROR(IF(H230="","",ROUND(H230*Steuerungsdaten!$B$5,0)),"-")</f>
        <v>345</v>
      </c>
      <c r="M230" s="67">
        <f>IFERROR(IF(I230="","",ROUND(I230*Steuerungsdaten!$B$5,0)),"-")</f>
        <v>363</v>
      </c>
      <c r="N230" s="68" t="s">
        <v>988</v>
      </c>
      <c r="O230" s="79">
        <v>255</v>
      </c>
      <c r="P230" s="79">
        <f>IF(H230="","",ROUND(H230/(Steuerungsdaten!$B$4*Steuerungsdaten!$B$8*IFERROR(VLOOKUP(C230,Steuerungsdaten!$B$17:$E$37,4,FALSE),1)*POWER(IF(OR(E230=0,F230=0,E230="",F230=""),1,(E230*F230/1000000)/Steuerungsdaten!$B$6),IFERROR(VLOOKUP(C230,Steuerungsdaten!$B$17:$L$37,11,FALSE),1)-1)),0))</f>
        <v>362</v>
      </c>
      <c r="Q230" s="79">
        <f>IF(I230="","",ROUND(I230/(Steuerungsdaten!$B$4*Steuerungsdaten!$B$9*IFERROR(VLOOKUP(C230,Steuerungsdaten!$B$17:$G$37,6,FALSE),1)*POWER(IF(OR(E230=0,F230=0,E230="",F230=""),1,(E230*F230/1000000)/Steuerungsdaten!$B$6),IFERROR(VLOOKUP(C230,Steuerungsdaten!$B$17:$M$37,12,FALSE),1)-1)),0))</f>
        <v>381</v>
      </c>
      <c r="R230" s="79">
        <f>IF(J230="","",ROUND(J230/(Steuerungsdaten!$B$4*Steuerungsdaten!$B$10*IFERROR(VLOOKUP(C230,Steuerungsdaten!$B$17:$I$37,8,FALSE),1)*POWER(IF(OR(E230=0,F230=0,E230="",F230=""),1,(E230*F230/1000000)/Steuerungsdaten!$B$6),IFERROR(VLOOKUP(C230,Steuerungsdaten!$B$17:$N$37,13,FALSE),1)-1)),0))</f>
        <v>770</v>
      </c>
    </row>
    <row r="231" spans="1:18" x14ac:dyDescent="0.25">
      <c r="A231" s="69">
        <v>5210</v>
      </c>
      <c r="B231" s="70" t="s">
        <v>7</v>
      </c>
      <c r="C231" s="70" t="s">
        <v>235</v>
      </c>
      <c r="D231" s="70" t="s">
        <v>237</v>
      </c>
      <c r="E231" s="71">
        <v>780</v>
      </c>
      <c r="F231" s="71">
        <v>660</v>
      </c>
      <c r="G231" s="72">
        <f>IF(VLOOKUP(C231,Steuerungsdaten!$P$17:$T$39,2,0)="","",MAX(ROUND(VLOOKUP(C231,Steuerungsdaten!$P$17:$T$39,2,0)*Steuerungsdaten!$B$4*Steuerungsdaten!$B$7*IFERROR(VLOOKUP(C231,Steuerungsdaten!$B$17:$C$37,2,FALSE),1)*POWER(IF(OR(E231=0,F231=0,E231="",F231=""),1,(E231*F231/1000000)/Steuerungsdaten!$B$6),IFERROR(VLOOKUP(C231,Steuerungsdaten!$B$17:$K$37,10,FALSE),1)-1),0),Steuerungsdaten!$E$4))</f>
        <v>323</v>
      </c>
      <c r="H231" s="72">
        <f>IF(VLOOKUP(C231,Steuerungsdaten!$P$17:$T$39,3,0)="","",MAX(ROUND(VLOOKUP(C231,Steuerungsdaten!$P$17:$T$39,3,0)*Steuerungsdaten!$B$4*Steuerungsdaten!$B$8*IFERROR(VLOOKUP(C231,Steuerungsdaten!$B$17:$E$37,4,FALSE),1)*POWER(IF(OR(E231=0,F231=0,E231="",F231=""),1,(E231*F231/1000000)/Steuerungsdaten!$B$6),IFERROR(VLOOKUP(C231,Steuerungsdaten!$B$17:$L$37,11,FALSE),1)-1),0),Steuerungsdaten!$E$5))</f>
        <v>458</v>
      </c>
      <c r="I231" s="72">
        <f>IF(VLOOKUP(C231,Steuerungsdaten!$P$17:$T$39,4,0)="","",MAX(ROUND(VLOOKUP(C231,Steuerungsdaten!$P$17:$T$39,4,0)*Steuerungsdaten!$B$4*Steuerungsdaten!$B$9*IFERROR(VLOOKUP(C231,Steuerungsdaten!$B$17:$G$37,6,FALSE),1)*POWER(IF(OR(E231=0,F231=0,E231="",F231=""),1,(E231*F231/1000000)/Steuerungsdaten!$B$6),IFERROR(VLOOKUP(C231,Steuerungsdaten!$B$17:$M$37,12,FALSE),1)-1),0),Steuerungsdaten!$E$6))</f>
        <v>483</v>
      </c>
      <c r="J231" s="72">
        <f>IF(VLOOKUP(C231,Steuerungsdaten!$P$17:$T$39,5,0)="","",MAX(ROUND(VLOOKUP(C231,Steuerungsdaten!$P$17:$T$39,5,0)*Steuerungsdaten!$B$4*Steuerungsdaten!$B$10*IFERROR(VLOOKUP(C231,Steuerungsdaten!$B$17:$I$37,8,FALSE),1)*POWER(IF(OR(E231=0,F231=0,E231="",F231=""),1,(E231*F231/1000000)/Steuerungsdaten!$B$6),IFERROR(VLOOKUP(C231,Steuerungsdaten!$B$17:$N$37,13,FALSE),1)-1),0),Steuerungsdaten!$E$7))</f>
        <v>1065</v>
      </c>
      <c r="K231" s="72">
        <f>IFERROR(IF(G231="","",ROUND(G231*Steuerungsdaten!$B$5,0)),"-")</f>
        <v>371</v>
      </c>
      <c r="L231" s="72">
        <f>IFERROR(IF(H231="","",ROUND(H231*Steuerungsdaten!$B$5,0)),"-")</f>
        <v>527</v>
      </c>
      <c r="M231" s="72">
        <f>IFERROR(IF(I231="","",ROUND(I231*Steuerungsdaten!$B$5,0)),"-")</f>
        <v>555</v>
      </c>
      <c r="N231" s="73" t="s">
        <v>988</v>
      </c>
      <c r="O231" s="79">
        <v>314</v>
      </c>
      <c r="P231" s="79">
        <f>IF(H231="","",ROUND(H231/(Steuerungsdaten!$B$4*Steuerungsdaten!$B$8*IFERROR(VLOOKUP(C231,Steuerungsdaten!$B$17:$E$37,4,FALSE),1)*POWER(IF(OR(E231=0,F231=0,E231="",F231=""),1,(E231*F231/1000000)/Steuerungsdaten!$B$6),IFERROR(VLOOKUP(C231,Steuerungsdaten!$B$17:$L$37,11,FALSE),1)-1)),0))</f>
        <v>361</v>
      </c>
      <c r="Q231" s="79">
        <f>IF(I231="","",ROUND(I231/(Steuerungsdaten!$B$4*Steuerungsdaten!$B$9*IFERROR(VLOOKUP(C231,Steuerungsdaten!$B$17:$G$37,6,FALSE),1)*POWER(IF(OR(E231=0,F231=0,E231="",F231=""),1,(E231*F231/1000000)/Steuerungsdaten!$B$6),IFERROR(VLOOKUP(C231,Steuerungsdaten!$B$17:$M$37,12,FALSE),1)-1)),0))</f>
        <v>381</v>
      </c>
      <c r="R231" s="79">
        <f>IF(J231="","",ROUND(J231/(Steuerungsdaten!$B$4*Steuerungsdaten!$B$10*IFERROR(VLOOKUP(C231,Steuerungsdaten!$B$17:$I$37,8,FALSE),1)*POWER(IF(OR(E231=0,F231=0,E231="",F231=""),1,(E231*F231/1000000)/Steuerungsdaten!$B$6),IFERROR(VLOOKUP(C231,Steuerungsdaten!$B$17:$N$37,13,FALSE),1)-1)),0))</f>
        <v>770</v>
      </c>
    </row>
    <row r="232" spans="1:18" x14ac:dyDescent="0.25">
      <c r="A232" s="74">
        <v>5201</v>
      </c>
      <c r="B232" s="75" t="s">
        <v>7</v>
      </c>
      <c r="C232" s="75" t="s">
        <v>235</v>
      </c>
      <c r="D232" s="75" t="s">
        <v>238</v>
      </c>
      <c r="E232" s="76">
        <v>780</v>
      </c>
      <c r="F232" s="76">
        <v>720</v>
      </c>
      <c r="G232" s="77">
        <f>IF(VLOOKUP(C232,Steuerungsdaten!$P$17:$T$39,2,0)="","",MAX(ROUND(VLOOKUP(C232,Steuerungsdaten!$P$17:$T$39,2,0)*Steuerungsdaten!$B$4*Steuerungsdaten!$B$7*IFERROR(VLOOKUP(C232,Steuerungsdaten!$B$17:$C$37,2,FALSE),1)*POWER(IF(OR(E232=0,F232=0,E232="",F232=""),1,(E232*F232/1000000)/Steuerungsdaten!$B$6),IFERROR(VLOOKUP(C232,Steuerungsdaten!$B$17:$K$37,10,FALSE),1)-1),0),Steuerungsdaten!$E$4))</f>
        <v>344</v>
      </c>
      <c r="H232" s="77">
        <f>IF(VLOOKUP(C232,Steuerungsdaten!$P$17:$T$39,3,0)="","",MAX(ROUND(VLOOKUP(C232,Steuerungsdaten!$P$17:$T$39,3,0)*Steuerungsdaten!$B$4*Steuerungsdaten!$B$8*IFERROR(VLOOKUP(C232,Steuerungsdaten!$B$17:$E$37,4,FALSE),1)*POWER(IF(OR(E232=0,F232=0,E232="",F232=""),1,(E232*F232/1000000)/Steuerungsdaten!$B$6),IFERROR(VLOOKUP(C232,Steuerungsdaten!$B$17:$L$37,11,FALSE),1)-1),0),Steuerungsdaten!$E$5))</f>
        <v>487</v>
      </c>
      <c r="I232" s="77">
        <f>IF(VLOOKUP(C232,Steuerungsdaten!$P$17:$T$39,4,0)="","",MAX(ROUND(VLOOKUP(C232,Steuerungsdaten!$P$17:$T$39,4,0)*Steuerungsdaten!$B$4*Steuerungsdaten!$B$9*IFERROR(VLOOKUP(C232,Steuerungsdaten!$B$17:$G$37,6,FALSE),1)*POWER(IF(OR(E232=0,F232=0,E232="",F232=""),1,(E232*F232/1000000)/Steuerungsdaten!$B$6),IFERROR(VLOOKUP(C232,Steuerungsdaten!$B$17:$M$37,12,FALSE),1)-1),0),Steuerungsdaten!$E$6))</f>
        <v>514</v>
      </c>
      <c r="J232" s="77">
        <f>IF(VLOOKUP(C232,Steuerungsdaten!$P$17:$T$39,5,0)="","",MAX(ROUND(VLOOKUP(C232,Steuerungsdaten!$P$17:$T$39,5,0)*Steuerungsdaten!$B$4*Steuerungsdaten!$B$10*IFERROR(VLOOKUP(C232,Steuerungsdaten!$B$17:$I$37,8,FALSE),1)*POWER(IF(OR(E232=0,F232=0,E232="",F232=""),1,(E232*F232/1000000)/Steuerungsdaten!$B$6),IFERROR(VLOOKUP(C232,Steuerungsdaten!$B$17:$N$37,13,FALSE),1)-1),0),Steuerungsdaten!$E$7))</f>
        <v>1132</v>
      </c>
      <c r="K232" s="77">
        <f>IFERROR(IF(G232="","",ROUND(G232*Steuerungsdaten!$B$5,0)),"-")</f>
        <v>396</v>
      </c>
      <c r="L232" s="77">
        <f>IFERROR(IF(H232="","",ROUND(H232*Steuerungsdaten!$B$5,0)),"-")</f>
        <v>560</v>
      </c>
      <c r="M232" s="77">
        <f>IFERROR(IF(I232="","",ROUND(I232*Steuerungsdaten!$B$5,0)),"-")</f>
        <v>591</v>
      </c>
      <c r="N232" s="78" t="s">
        <v>988</v>
      </c>
      <c r="O232" s="79">
        <v>314</v>
      </c>
      <c r="P232" s="79">
        <f>IF(H232="","",ROUND(H232/(Steuerungsdaten!$B$4*Steuerungsdaten!$B$8*IFERROR(VLOOKUP(C232,Steuerungsdaten!$B$17:$E$37,4,FALSE),1)*POWER(IF(OR(E232=0,F232=0,E232="",F232=""),1,(E232*F232/1000000)/Steuerungsdaten!$B$6),IFERROR(VLOOKUP(C232,Steuerungsdaten!$B$17:$L$37,11,FALSE),1)-1)),0))</f>
        <v>361</v>
      </c>
      <c r="Q232" s="79">
        <f>IF(I232="","",ROUND(I232/(Steuerungsdaten!$B$4*Steuerungsdaten!$B$9*IFERROR(VLOOKUP(C232,Steuerungsdaten!$B$17:$G$37,6,FALSE),1)*POWER(IF(OR(E232=0,F232=0,E232="",F232=""),1,(E232*F232/1000000)/Steuerungsdaten!$B$6),IFERROR(VLOOKUP(C232,Steuerungsdaten!$B$17:$M$37,12,FALSE),1)-1)),0))</f>
        <v>381</v>
      </c>
      <c r="R232" s="79">
        <f>IF(J232="","",ROUND(J232/(Steuerungsdaten!$B$4*Steuerungsdaten!$B$10*IFERROR(VLOOKUP(C232,Steuerungsdaten!$B$17:$I$37,8,FALSE),1)*POWER(IF(OR(E232=0,F232=0,E232="",F232=""),1,(E232*F232/1000000)/Steuerungsdaten!$B$6),IFERROR(VLOOKUP(C232,Steuerungsdaten!$B$17:$N$37,13,FALSE),1)-1)),0))</f>
        <v>770</v>
      </c>
    </row>
    <row r="233" spans="1:18" x14ac:dyDescent="0.25">
      <c r="A233" s="69">
        <v>5202</v>
      </c>
      <c r="B233" s="70" t="s">
        <v>7</v>
      </c>
      <c r="C233" s="70" t="s">
        <v>235</v>
      </c>
      <c r="D233" s="70" t="s">
        <v>239</v>
      </c>
      <c r="E233" s="71">
        <v>780</v>
      </c>
      <c r="F233" s="71">
        <v>1080</v>
      </c>
      <c r="G233" s="72">
        <f>IF(VLOOKUP(C233,Steuerungsdaten!$P$17:$T$39,2,0)="","",MAX(ROUND(VLOOKUP(C233,Steuerungsdaten!$P$17:$T$39,2,0)*Steuerungsdaten!$B$4*Steuerungsdaten!$B$7*IFERROR(VLOOKUP(C233,Steuerungsdaten!$B$17:$C$37,2,FALSE),1)*POWER(IF(OR(E233=0,F233=0,E233="",F233=""),1,(E233*F233/1000000)/Steuerungsdaten!$B$6),IFERROR(VLOOKUP(C233,Steuerungsdaten!$B$17:$K$37,10,FALSE),1)-1),0),Steuerungsdaten!$E$4))</f>
        <v>456</v>
      </c>
      <c r="H233" s="72">
        <f>IF(VLOOKUP(C233,Steuerungsdaten!$P$17:$T$39,3,0)="","",MAX(ROUND(VLOOKUP(C233,Steuerungsdaten!$P$17:$T$39,3,0)*Steuerungsdaten!$B$4*Steuerungsdaten!$B$8*IFERROR(VLOOKUP(C233,Steuerungsdaten!$B$17:$E$37,4,FALSE),1)*POWER(IF(OR(E233=0,F233=0,E233="",F233=""),1,(E233*F233/1000000)/Steuerungsdaten!$B$6),IFERROR(VLOOKUP(C233,Steuerungsdaten!$B$17:$L$37,11,FALSE),1)-1),0),Steuerungsdaten!$E$5))</f>
        <v>646</v>
      </c>
      <c r="I233" s="72">
        <f>IF(VLOOKUP(C233,Steuerungsdaten!$P$17:$T$39,4,0)="","",MAX(ROUND(VLOOKUP(C233,Steuerungsdaten!$P$17:$T$39,4,0)*Steuerungsdaten!$B$4*Steuerungsdaten!$B$9*IFERROR(VLOOKUP(C233,Steuerungsdaten!$B$17:$G$37,6,FALSE),1)*POWER(IF(OR(E233=0,F233=0,E233="",F233=""),1,(E233*F233/1000000)/Steuerungsdaten!$B$6),IFERROR(VLOOKUP(C233,Steuerungsdaten!$B$17:$M$37,12,FALSE),1)-1),0),Steuerungsdaten!$E$6))</f>
        <v>682</v>
      </c>
      <c r="J233" s="72">
        <f>IF(VLOOKUP(C233,Steuerungsdaten!$P$17:$T$39,5,0)="","",MAX(ROUND(VLOOKUP(C233,Steuerungsdaten!$P$17:$T$39,5,0)*Steuerungsdaten!$B$4*Steuerungsdaten!$B$10*IFERROR(VLOOKUP(C233,Steuerungsdaten!$B$17:$I$37,8,FALSE),1)*POWER(IF(OR(E233=0,F233=0,E233="",F233=""),1,(E233*F233/1000000)/Steuerungsdaten!$B$6),IFERROR(VLOOKUP(C233,Steuerungsdaten!$B$17:$N$37,13,FALSE),1)-1),0),Steuerungsdaten!$E$7))</f>
        <v>1504</v>
      </c>
      <c r="K233" s="72">
        <f>IFERROR(IF(G233="","",ROUND(G233*Steuerungsdaten!$B$5,0)),"-")</f>
        <v>524</v>
      </c>
      <c r="L233" s="72">
        <f>IFERROR(IF(H233="","",ROUND(H233*Steuerungsdaten!$B$5,0)),"-")</f>
        <v>743</v>
      </c>
      <c r="M233" s="72">
        <f>IFERROR(IF(I233="","",ROUND(I233*Steuerungsdaten!$B$5,0)),"-")</f>
        <v>784</v>
      </c>
      <c r="N233" s="73" t="s">
        <v>988</v>
      </c>
      <c r="O233" s="79">
        <v>464</v>
      </c>
      <c r="P233" s="79">
        <f>IF(H233="","",ROUND(H233/(Steuerungsdaten!$B$4*Steuerungsdaten!$B$8*IFERROR(VLOOKUP(C233,Steuerungsdaten!$B$17:$E$37,4,FALSE),1)*POWER(IF(OR(E233=0,F233=0,E233="",F233=""),1,(E233*F233/1000000)/Steuerungsdaten!$B$6),IFERROR(VLOOKUP(C233,Steuerungsdaten!$B$17:$L$37,11,FALSE),1)-1)),0))</f>
        <v>361</v>
      </c>
      <c r="Q233" s="79">
        <f>IF(I233="","",ROUND(I233/(Steuerungsdaten!$B$4*Steuerungsdaten!$B$9*IFERROR(VLOOKUP(C233,Steuerungsdaten!$B$17:$G$37,6,FALSE),1)*POWER(IF(OR(E233=0,F233=0,E233="",F233=""),1,(E233*F233/1000000)/Steuerungsdaten!$B$6),IFERROR(VLOOKUP(C233,Steuerungsdaten!$B$17:$M$37,12,FALSE),1)-1)),0))</f>
        <v>381</v>
      </c>
      <c r="R233" s="79">
        <f>IF(J233="","",ROUND(J233/(Steuerungsdaten!$B$4*Steuerungsdaten!$B$10*IFERROR(VLOOKUP(C233,Steuerungsdaten!$B$17:$I$37,8,FALSE),1)*POWER(IF(OR(E233=0,F233=0,E233="",F233=""),1,(E233*F233/1000000)/Steuerungsdaten!$B$6),IFERROR(VLOOKUP(C233,Steuerungsdaten!$B$17:$N$37,13,FALSE),1)-1)),0))</f>
        <v>770</v>
      </c>
    </row>
    <row r="234" spans="1:18" x14ac:dyDescent="0.25">
      <c r="A234" s="74">
        <v>5203</v>
      </c>
      <c r="B234" s="75" t="s">
        <v>7</v>
      </c>
      <c r="C234" s="75" t="s">
        <v>235</v>
      </c>
      <c r="D234" s="75" t="s">
        <v>240</v>
      </c>
      <c r="E234" s="76">
        <v>780</v>
      </c>
      <c r="F234" s="76">
        <v>1440</v>
      </c>
      <c r="G234" s="77">
        <f>IF(VLOOKUP(C234,Steuerungsdaten!$P$17:$T$39,2,0)="","",MAX(ROUND(VLOOKUP(C234,Steuerungsdaten!$P$17:$T$39,2,0)*Steuerungsdaten!$B$4*Steuerungsdaten!$B$7*IFERROR(VLOOKUP(C234,Steuerungsdaten!$B$17:$C$37,2,FALSE),1)*POWER(IF(OR(E234=0,F234=0,E234="",F234=""),1,(E234*F234/1000000)/Steuerungsdaten!$B$6),IFERROR(VLOOKUP(C234,Steuerungsdaten!$B$17:$K$37,10,FALSE),1)-1),0),Steuerungsdaten!$E$4))</f>
        <v>558</v>
      </c>
      <c r="H234" s="77">
        <f>IF(VLOOKUP(C234,Steuerungsdaten!$P$17:$T$39,3,0)="","",MAX(ROUND(VLOOKUP(C234,Steuerungsdaten!$P$17:$T$39,3,0)*Steuerungsdaten!$B$4*Steuerungsdaten!$B$8*IFERROR(VLOOKUP(C234,Steuerungsdaten!$B$17:$E$37,4,FALSE),1)*POWER(IF(OR(E234=0,F234=0,E234="",F234=""),1,(E234*F234/1000000)/Steuerungsdaten!$B$6),IFERROR(VLOOKUP(C234,Steuerungsdaten!$B$17:$L$37,11,FALSE),1)-1),0),Steuerungsdaten!$E$5))</f>
        <v>790</v>
      </c>
      <c r="I234" s="77">
        <f>IF(VLOOKUP(C234,Steuerungsdaten!$P$17:$T$39,4,0)="","",MAX(ROUND(VLOOKUP(C234,Steuerungsdaten!$P$17:$T$39,4,0)*Steuerungsdaten!$B$4*Steuerungsdaten!$B$9*IFERROR(VLOOKUP(C234,Steuerungsdaten!$B$17:$G$37,6,FALSE),1)*POWER(IF(OR(E234=0,F234=0,E234="",F234=""),1,(E234*F234/1000000)/Steuerungsdaten!$B$6),IFERROR(VLOOKUP(C234,Steuerungsdaten!$B$17:$M$37,12,FALSE),1)-1),0),Steuerungsdaten!$E$6))</f>
        <v>834</v>
      </c>
      <c r="J234" s="77">
        <f>IF(VLOOKUP(C234,Steuerungsdaten!$P$17:$T$39,5,0)="","",MAX(ROUND(VLOOKUP(C234,Steuerungsdaten!$P$17:$T$39,5,0)*Steuerungsdaten!$B$4*Steuerungsdaten!$B$10*IFERROR(VLOOKUP(C234,Steuerungsdaten!$B$17:$I$37,8,FALSE),1)*POWER(IF(OR(E234=0,F234=0,E234="",F234=""),1,(E234*F234/1000000)/Steuerungsdaten!$B$6),IFERROR(VLOOKUP(C234,Steuerungsdaten!$B$17:$N$37,13,FALSE),1)-1),0),Steuerungsdaten!$E$7))</f>
        <v>1839</v>
      </c>
      <c r="K234" s="77">
        <f>IFERROR(IF(G234="","",ROUND(G234*Steuerungsdaten!$B$5,0)),"-")</f>
        <v>642</v>
      </c>
      <c r="L234" s="77">
        <f>IFERROR(IF(H234="","",ROUND(H234*Steuerungsdaten!$B$5,0)),"-")</f>
        <v>909</v>
      </c>
      <c r="M234" s="77">
        <f>IFERROR(IF(I234="","",ROUND(I234*Steuerungsdaten!$B$5,0)),"-")</f>
        <v>959</v>
      </c>
      <c r="N234" s="78" t="s">
        <v>988</v>
      </c>
      <c r="O234" s="79">
        <v>542</v>
      </c>
      <c r="P234" s="79">
        <f>IF(H234="","",ROUND(H234/(Steuerungsdaten!$B$4*Steuerungsdaten!$B$8*IFERROR(VLOOKUP(C234,Steuerungsdaten!$B$17:$E$37,4,FALSE),1)*POWER(IF(OR(E234=0,F234=0,E234="",F234=""),1,(E234*F234/1000000)/Steuerungsdaten!$B$6),IFERROR(VLOOKUP(C234,Steuerungsdaten!$B$17:$L$37,11,FALSE),1)-1)),0))</f>
        <v>361</v>
      </c>
      <c r="Q234" s="79">
        <f>IF(I234="","",ROUND(I234/(Steuerungsdaten!$B$4*Steuerungsdaten!$B$9*IFERROR(VLOOKUP(C234,Steuerungsdaten!$B$17:$G$37,6,FALSE),1)*POWER(IF(OR(E234=0,F234=0,E234="",F234=""),1,(E234*F234/1000000)/Steuerungsdaten!$B$6),IFERROR(VLOOKUP(C234,Steuerungsdaten!$B$17:$M$37,12,FALSE),1)-1)),0))</f>
        <v>381</v>
      </c>
      <c r="R234" s="79">
        <f>IF(J234="","",ROUND(J234/(Steuerungsdaten!$B$4*Steuerungsdaten!$B$10*IFERROR(VLOOKUP(C234,Steuerungsdaten!$B$17:$I$37,8,FALSE),1)*POWER(IF(OR(E234=0,F234=0,E234="",F234=""),1,(E234*F234/1000000)/Steuerungsdaten!$B$6),IFERROR(VLOOKUP(C234,Steuerungsdaten!$B$17:$N$37,13,FALSE),1)-1)),0))</f>
        <v>770</v>
      </c>
    </row>
    <row r="235" spans="1:18" x14ac:dyDescent="0.25">
      <c r="A235" s="69">
        <v>5204</v>
      </c>
      <c r="B235" s="70" t="s">
        <v>7</v>
      </c>
      <c r="C235" s="70" t="s">
        <v>235</v>
      </c>
      <c r="D235" s="70" t="s">
        <v>241</v>
      </c>
      <c r="E235" s="71">
        <v>780</v>
      </c>
      <c r="F235" s="71">
        <v>1800</v>
      </c>
      <c r="G235" s="72">
        <f>IF(VLOOKUP(C235,Steuerungsdaten!$P$17:$T$39,2,0)="","",MAX(ROUND(VLOOKUP(C235,Steuerungsdaten!$P$17:$T$39,2,0)*Steuerungsdaten!$B$4*Steuerungsdaten!$B$7*IFERROR(VLOOKUP(C235,Steuerungsdaten!$B$17:$C$37,2,FALSE),1)*POWER(IF(OR(E235=0,F235=0,E235="",F235=""),1,(E235*F235/1000000)/Steuerungsdaten!$B$6),IFERROR(VLOOKUP(C235,Steuerungsdaten!$B$17:$K$37,10,FALSE),1)-1),0),Steuerungsdaten!$E$4))</f>
        <v>653</v>
      </c>
      <c r="H235" s="72">
        <f>IF(VLOOKUP(C235,Steuerungsdaten!$P$17:$T$39,3,0)="","",MAX(ROUND(VLOOKUP(C235,Steuerungsdaten!$P$17:$T$39,3,0)*Steuerungsdaten!$B$4*Steuerungsdaten!$B$8*IFERROR(VLOOKUP(C235,Steuerungsdaten!$B$17:$E$37,4,FALSE),1)*POWER(IF(OR(E235=0,F235=0,E235="",F235=""),1,(E235*F235/1000000)/Steuerungsdaten!$B$6),IFERROR(VLOOKUP(C235,Steuerungsdaten!$B$17:$L$37,11,FALSE),1)-1),0),Steuerungsdaten!$E$5))</f>
        <v>924</v>
      </c>
      <c r="I235" s="72">
        <f>IF(VLOOKUP(C235,Steuerungsdaten!$P$17:$T$39,4,0)="","",MAX(ROUND(VLOOKUP(C235,Steuerungsdaten!$P$17:$T$39,4,0)*Steuerungsdaten!$B$4*Steuerungsdaten!$B$9*IFERROR(VLOOKUP(C235,Steuerungsdaten!$B$17:$G$37,6,FALSE),1)*POWER(IF(OR(E235=0,F235=0,E235="",F235=""),1,(E235*F235/1000000)/Steuerungsdaten!$B$6),IFERROR(VLOOKUP(C235,Steuerungsdaten!$B$17:$M$37,12,FALSE),1)-1),0),Steuerungsdaten!$E$6))</f>
        <v>975</v>
      </c>
      <c r="J235" s="72">
        <f>IF(VLOOKUP(C235,Steuerungsdaten!$P$17:$T$39,5,0)="","",MAX(ROUND(VLOOKUP(C235,Steuerungsdaten!$P$17:$T$39,5,0)*Steuerungsdaten!$B$4*Steuerungsdaten!$B$10*IFERROR(VLOOKUP(C235,Steuerungsdaten!$B$17:$I$37,8,FALSE),1)*POWER(IF(OR(E235=0,F235=0,E235="",F235=""),1,(E235*F235/1000000)/Steuerungsdaten!$B$6),IFERROR(VLOOKUP(C235,Steuerungsdaten!$B$17:$N$37,13,FALSE),1)-1),0),Steuerungsdaten!$E$7))</f>
        <v>2150</v>
      </c>
      <c r="K235" s="72">
        <f>IFERROR(IF(G235="","",ROUND(G235*Steuerungsdaten!$B$5,0)),"-")</f>
        <v>751</v>
      </c>
      <c r="L235" s="72">
        <f>IFERROR(IF(H235="","",ROUND(H235*Steuerungsdaten!$B$5,0)),"-")</f>
        <v>1063</v>
      </c>
      <c r="M235" s="72">
        <f>IFERROR(IF(I235="","",ROUND(I235*Steuerungsdaten!$B$5,0)),"-")</f>
        <v>1121</v>
      </c>
      <c r="N235" s="73" t="s">
        <v>988</v>
      </c>
      <c r="O235" s="79">
        <v>668</v>
      </c>
      <c r="P235" s="79">
        <f>IF(H235="","",ROUND(H235/(Steuerungsdaten!$B$4*Steuerungsdaten!$B$8*IFERROR(VLOOKUP(C235,Steuerungsdaten!$B$17:$E$37,4,FALSE),1)*POWER(IF(OR(E235=0,F235=0,E235="",F235=""),1,(E235*F235/1000000)/Steuerungsdaten!$B$6),IFERROR(VLOOKUP(C235,Steuerungsdaten!$B$17:$L$37,11,FALSE),1)-1)),0))</f>
        <v>361</v>
      </c>
      <c r="Q235" s="79">
        <f>IF(I235="","",ROUND(I235/(Steuerungsdaten!$B$4*Steuerungsdaten!$B$9*IFERROR(VLOOKUP(C235,Steuerungsdaten!$B$17:$G$37,6,FALSE),1)*POWER(IF(OR(E235=0,F235=0,E235="",F235=""),1,(E235*F235/1000000)/Steuerungsdaten!$B$6),IFERROR(VLOOKUP(C235,Steuerungsdaten!$B$17:$M$37,12,FALSE),1)-1)),0))</f>
        <v>381</v>
      </c>
      <c r="R235" s="79">
        <f>IF(J235="","",ROUND(J235/(Steuerungsdaten!$B$4*Steuerungsdaten!$B$10*IFERROR(VLOOKUP(C235,Steuerungsdaten!$B$17:$I$37,8,FALSE),1)*POWER(IF(OR(E235=0,F235=0,E235="",F235=""),1,(E235*F235/1000000)/Steuerungsdaten!$B$6),IFERROR(VLOOKUP(C235,Steuerungsdaten!$B$17:$N$37,13,FALSE),1)-1)),0))</f>
        <v>770</v>
      </c>
    </row>
    <row r="236" spans="1:18" x14ac:dyDescent="0.25">
      <c r="A236" s="74">
        <v>5205</v>
      </c>
      <c r="B236" s="75" t="s">
        <v>7</v>
      </c>
      <c r="C236" s="75" t="s">
        <v>235</v>
      </c>
      <c r="D236" s="75" t="s">
        <v>242</v>
      </c>
      <c r="E236" s="76">
        <v>980</v>
      </c>
      <c r="F236" s="76">
        <v>360</v>
      </c>
      <c r="G236" s="77">
        <f>IF(VLOOKUP(C236,Steuerungsdaten!$P$17:$T$39,2,0)="","",MAX(ROUND(VLOOKUP(C236,Steuerungsdaten!$P$17:$T$39,2,0)*Steuerungsdaten!$B$4*Steuerungsdaten!$B$7*IFERROR(VLOOKUP(C236,Steuerungsdaten!$B$17:$C$37,2,FALSE),1)*POWER(IF(OR(E236=0,F236=0,E236="",F236=""),1,(E236*F236/1000000)/Steuerungsdaten!$B$6),IFERROR(VLOOKUP(C236,Steuerungsdaten!$B$17:$K$37,10,FALSE),1)-1),0),Steuerungsdaten!$E$4))</f>
        <v>248</v>
      </c>
      <c r="H236" s="77">
        <f>IF(VLOOKUP(C236,Steuerungsdaten!$P$17:$T$39,3,0)="","",MAX(ROUND(VLOOKUP(C236,Steuerungsdaten!$P$17:$T$39,3,0)*Steuerungsdaten!$B$4*Steuerungsdaten!$B$8*IFERROR(VLOOKUP(C236,Steuerungsdaten!$B$17:$E$37,4,FALSE),1)*POWER(IF(OR(E236=0,F236=0,E236="",F236=""),1,(E236*F236/1000000)/Steuerungsdaten!$B$6),IFERROR(VLOOKUP(C236,Steuerungsdaten!$B$17:$L$37,11,FALSE),1)-1),0),Steuerungsdaten!$E$5))</f>
        <v>351</v>
      </c>
      <c r="I236" s="77">
        <f>IF(VLOOKUP(C236,Steuerungsdaten!$P$17:$T$39,4,0)="","",MAX(ROUND(VLOOKUP(C236,Steuerungsdaten!$P$17:$T$39,4,0)*Steuerungsdaten!$B$4*Steuerungsdaten!$B$9*IFERROR(VLOOKUP(C236,Steuerungsdaten!$B$17:$G$37,6,FALSE),1)*POWER(IF(OR(E236=0,F236=0,E236="",F236=""),1,(E236*F236/1000000)/Steuerungsdaten!$B$6),IFERROR(VLOOKUP(C236,Steuerungsdaten!$B$17:$M$37,12,FALSE),1)-1),0),Steuerungsdaten!$E$6))</f>
        <v>371</v>
      </c>
      <c r="J236" s="77">
        <f>IF(VLOOKUP(C236,Steuerungsdaten!$P$17:$T$39,5,0)="","",MAX(ROUND(VLOOKUP(C236,Steuerungsdaten!$P$17:$T$39,5,0)*Steuerungsdaten!$B$4*Steuerungsdaten!$B$10*IFERROR(VLOOKUP(C236,Steuerungsdaten!$B$17:$I$37,8,FALSE),1)*POWER(IF(OR(E236=0,F236=0,E236="",F236=""),1,(E236*F236/1000000)/Steuerungsdaten!$B$6),IFERROR(VLOOKUP(C236,Steuerungsdaten!$B$17:$N$37,13,FALSE),1)-1),0),Steuerungsdaten!$E$7))</f>
        <v>818</v>
      </c>
      <c r="K236" s="77">
        <f>IFERROR(IF(G236="","",ROUND(G236*Steuerungsdaten!$B$5,0)),"-")</f>
        <v>285</v>
      </c>
      <c r="L236" s="77">
        <f>IFERROR(IF(H236="","",ROUND(H236*Steuerungsdaten!$B$5,0)),"-")</f>
        <v>404</v>
      </c>
      <c r="M236" s="77">
        <f>IFERROR(IF(I236="","",ROUND(I236*Steuerungsdaten!$B$5,0)),"-")</f>
        <v>427</v>
      </c>
      <c r="N236" s="78" t="s">
        <v>988</v>
      </c>
      <c r="O236" s="79">
        <v>269</v>
      </c>
      <c r="P236" s="79">
        <f>IF(H236="","",ROUND(H236/(Steuerungsdaten!$B$4*Steuerungsdaten!$B$8*IFERROR(VLOOKUP(C236,Steuerungsdaten!$B$17:$E$37,4,FALSE),1)*POWER(IF(OR(E236=0,F236=0,E236="",F236=""),1,(E236*F236/1000000)/Steuerungsdaten!$B$6),IFERROR(VLOOKUP(C236,Steuerungsdaten!$B$17:$L$37,11,FALSE),1)-1)),0))</f>
        <v>361</v>
      </c>
      <c r="Q236" s="79">
        <f>IF(I236="","",ROUND(I236/(Steuerungsdaten!$B$4*Steuerungsdaten!$B$9*IFERROR(VLOOKUP(C236,Steuerungsdaten!$B$17:$G$37,6,FALSE),1)*POWER(IF(OR(E236=0,F236=0,E236="",F236=""),1,(E236*F236/1000000)/Steuerungsdaten!$B$6),IFERROR(VLOOKUP(C236,Steuerungsdaten!$B$17:$M$37,12,FALSE),1)-1)),0))</f>
        <v>381</v>
      </c>
      <c r="R236" s="79">
        <f>IF(J236="","",ROUND(J236/(Steuerungsdaten!$B$4*Steuerungsdaten!$B$10*IFERROR(VLOOKUP(C236,Steuerungsdaten!$B$17:$I$37,8,FALSE),1)*POWER(IF(OR(E236=0,F236=0,E236="",F236=""),1,(E236*F236/1000000)/Steuerungsdaten!$B$6),IFERROR(VLOOKUP(C236,Steuerungsdaten!$B$17:$N$37,13,FALSE),1)-1)),0))</f>
        <v>770</v>
      </c>
    </row>
    <row r="237" spans="1:18" x14ac:dyDescent="0.25">
      <c r="A237" s="69">
        <v>5206</v>
      </c>
      <c r="B237" s="70" t="s">
        <v>7</v>
      </c>
      <c r="C237" s="70" t="s">
        <v>235</v>
      </c>
      <c r="D237" s="70" t="s">
        <v>243</v>
      </c>
      <c r="E237" s="71">
        <v>980</v>
      </c>
      <c r="F237" s="71">
        <v>720</v>
      </c>
      <c r="G237" s="72">
        <f>IF(VLOOKUP(C237,Steuerungsdaten!$P$17:$T$39,2,0)="","",MAX(ROUND(VLOOKUP(C237,Steuerungsdaten!$P$17:$T$39,2,0)*Steuerungsdaten!$B$4*Steuerungsdaten!$B$7*IFERROR(VLOOKUP(C237,Steuerungsdaten!$B$17:$C$37,2,FALSE),1)*POWER(IF(OR(E237=0,F237=0,E237="",F237=""),1,(E237*F237/1000000)/Steuerungsdaten!$B$6),IFERROR(VLOOKUP(C237,Steuerungsdaten!$B$17:$K$37,10,FALSE),1)-1),0),Steuerungsdaten!$E$4))</f>
        <v>403</v>
      </c>
      <c r="H237" s="72">
        <f>IF(VLOOKUP(C237,Steuerungsdaten!$P$17:$T$39,3,0)="","",MAX(ROUND(VLOOKUP(C237,Steuerungsdaten!$P$17:$T$39,3,0)*Steuerungsdaten!$B$4*Steuerungsdaten!$B$8*IFERROR(VLOOKUP(C237,Steuerungsdaten!$B$17:$E$37,4,FALSE),1)*POWER(IF(OR(E237=0,F237=0,E237="",F237=""),1,(E237*F237/1000000)/Steuerungsdaten!$B$6),IFERROR(VLOOKUP(C237,Steuerungsdaten!$B$17:$L$37,11,FALSE),1)-1),0),Steuerungsdaten!$E$5))</f>
        <v>571</v>
      </c>
      <c r="I237" s="72">
        <f>IF(VLOOKUP(C237,Steuerungsdaten!$P$17:$T$39,4,0)="","",MAX(ROUND(VLOOKUP(C237,Steuerungsdaten!$P$17:$T$39,4,0)*Steuerungsdaten!$B$4*Steuerungsdaten!$B$9*IFERROR(VLOOKUP(C237,Steuerungsdaten!$B$17:$G$37,6,FALSE),1)*POWER(IF(OR(E237=0,F237=0,E237="",F237=""),1,(E237*F237/1000000)/Steuerungsdaten!$B$6),IFERROR(VLOOKUP(C237,Steuerungsdaten!$B$17:$M$37,12,FALSE),1)-1),0),Steuerungsdaten!$E$6))</f>
        <v>602</v>
      </c>
      <c r="J237" s="72">
        <f>IF(VLOOKUP(C237,Steuerungsdaten!$P$17:$T$39,5,0)="","",MAX(ROUND(VLOOKUP(C237,Steuerungsdaten!$P$17:$T$39,5,0)*Steuerungsdaten!$B$4*Steuerungsdaten!$B$10*IFERROR(VLOOKUP(C237,Steuerungsdaten!$B$17:$I$37,8,FALSE),1)*POWER(IF(OR(E237=0,F237=0,E237="",F237=""),1,(E237*F237/1000000)/Steuerungsdaten!$B$6),IFERROR(VLOOKUP(C237,Steuerungsdaten!$B$17:$N$37,13,FALSE),1)-1),0),Steuerungsdaten!$E$7))</f>
        <v>1328</v>
      </c>
      <c r="K237" s="72">
        <f>IFERROR(IF(G237="","",ROUND(G237*Steuerungsdaten!$B$5,0)),"-")</f>
        <v>463</v>
      </c>
      <c r="L237" s="72">
        <f>IFERROR(IF(H237="","",ROUND(H237*Steuerungsdaten!$B$5,0)),"-")</f>
        <v>657</v>
      </c>
      <c r="M237" s="72">
        <f>IFERROR(IF(I237="","",ROUND(I237*Steuerungsdaten!$B$5,0)),"-")</f>
        <v>692</v>
      </c>
      <c r="N237" s="73" t="s">
        <v>988</v>
      </c>
      <c r="O237" s="79">
        <v>375</v>
      </c>
      <c r="P237" s="79">
        <f>IF(H237="","",ROUND(H237/(Steuerungsdaten!$B$4*Steuerungsdaten!$B$8*IFERROR(VLOOKUP(C237,Steuerungsdaten!$B$17:$E$37,4,FALSE),1)*POWER(IF(OR(E237=0,F237=0,E237="",F237=""),1,(E237*F237/1000000)/Steuerungsdaten!$B$6),IFERROR(VLOOKUP(C237,Steuerungsdaten!$B$17:$L$37,11,FALSE),1)-1)),0))</f>
        <v>361</v>
      </c>
      <c r="Q237" s="79">
        <f>IF(I237="","",ROUND(I237/(Steuerungsdaten!$B$4*Steuerungsdaten!$B$9*IFERROR(VLOOKUP(C237,Steuerungsdaten!$B$17:$G$37,6,FALSE),1)*POWER(IF(OR(E237=0,F237=0,E237="",F237=""),1,(E237*F237/1000000)/Steuerungsdaten!$B$6),IFERROR(VLOOKUP(C237,Steuerungsdaten!$B$17:$M$37,12,FALSE),1)-1)),0))</f>
        <v>381</v>
      </c>
      <c r="R237" s="79">
        <f>IF(J237="","",ROUND(J237/(Steuerungsdaten!$B$4*Steuerungsdaten!$B$10*IFERROR(VLOOKUP(C237,Steuerungsdaten!$B$17:$I$37,8,FALSE),1)*POWER(IF(OR(E237=0,F237=0,E237="",F237=""),1,(E237*F237/1000000)/Steuerungsdaten!$B$6),IFERROR(VLOOKUP(C237,Steuerungsdaten!$B$17:$N$37,13,FALSE),1)-1)),0))</f>
        <v>770</v>
      </c>
    </row>
    <row r="238" spans="1:18" x14ac:dyDescent="0.25">
      <c r="A238" s="74">
        <v>5207</v>
      </c>
      <c r="B238" s="75" t="s">
        <v>7</v>
      </c>
      <c r="C238" s="75" t="s">
        <v>235</v>
      </c>
      <c r="D238" s="75" t="s">
        <v>244</v>
      </c>
      <c r="E238" s="76">
        <v>980</v>
      </c>
      <c r="F238" s="76">
        <v>1080</v>
      </c>
      <c r="G238" s="77">
        <f>IF(VLOOKUP(C238,Steuerungsdaten!$P$17:$T$39,2,0)="","",MAX(ROUND(VLOOKUP(C238,Steuerungsdaten!$P$17:$T$39,2,0)*Steuerungsdaten!$B$4*Steuerungsdaten!$B$7*IFERROR(VLOOKUP(C238,Steuerungsdaten!$B$17:$C$37,2,FALSE),1)*POWER(IF(OR(E238=0,F238=0,E238="",F238=""),1,(E238*F238/1000000)/Steuerungsdaten!$B$6),IFERROR(VLOOKUP(C238,Steuerungsdaten!$B$17:$K$37,10,FALSE),1)-1),0),Steuerungsdaten!$E$4))</f>
        <v>536</v>
      </c>
      <c r="H238" s="77">
        <f>IF(VLOOKUP(C238,Steuerungsdaten!$P$17:$T$39,3,0)="","",MAX(ROUND(VLOOKUP(C238,Steuerungsdaten!$P$17:$T$39,3,0)*Steuerungsdaten!$B$4*Steuerungsdaten!$B$8*IFERROR(VLOOKUP(C238,Steuerungsdaten!$B$17:$E$37,4,FALSE),1)*POWER(IF(OR(E238=0,F238=0,E238="",F238=""),1,(E238*F238/1000000)/Steuerungsdaten!$B$6),IFERROR(VLOOKUP(C238,Steuerungsdaten!$B$17:$L$37,11,FALSE),1)-1),0),Steuerungsdaten!$E$5))</f>
        <v>758</v>
      </c>
      <c r="I238" s="77">
        <f>IF(VLOOKUP(C238,Steuerungsdaten!$P$17:$T$39,4,0)="","",MAX(ROUND(VLOOKUP(C238,Steuerungsdaten!$P$17:$T$39,4,0)*Steuerungsdaten!$B$4*Steuerungsdaten!$B$9*IFERROR(VLOOKUP(C238,Steuerungsdaten!$B$17:$G$37,6,FALSE),1)*POWER(IF(OR(E238=0,F238=0,E238="",F238=""),1,(E238*F238/1000000)/Steuerungsdaten!$B$6),IFERROR(VLOOKUP(C238,Steuerungsdaten!$B$17:$M$37,12,FALSE),1)-1),0),Steuerungsdaten!$E$6))</f>
        <v>800</v>
      </c>
      <c r="J238" s="77">
        <f>IF(VLOOKUP(C238,Steuerungsdaten!$P$17:$T$39,5,0)="","",MAX(ROUND(VLOOKUP(C238,Steuerungsdaten!$P$17:$T$39,5,0)*Steuerungsdaten!$B$4*Steuerungsdaten!$B$10*IFERROR(VLOOKUP(C238,Steuerungsdaten!$B$17:$I$37,8,FALSE),1)*POWER(IF(OR(E238=0,F238=0,E238="",F238=""),1,(E238*F238/1000000)/Steuerungsdaten!$B$6),IFERROR(VLOOKUP(C238,Steuerungsdaten!$B$17:$N$37,13,FALSE),1)-1),0),Steuerungsdaten!$E$7))</f>
        <v>1764</v>
      </c>
      <c r="K238" s="77">
        <f>IFERROR(IF(G238="","",ROUND(G238*Steuerungsdaten!$B$5,0)),"-")</f>
        <v>616</v>
      </c>
      <c r="L238" s="77">
        <f>IFERROR(IF(H238="","",ROUND(H238*Steuerungsdaten!$B$5,0)),"-")</f>
        <v>872</v>
      </c>
      <c r="M238" s="77">
        <f>IFERROR(IF(I238="","",ROUND(I238*Steuerungsdaten!$B$5,0)),"-")</f>
        <v>920</v>
      </c>
      <c r="N238" s="78" t="s">
        <v>988</v>
      </c>
      <c r="O238" s="79">
        <v>523</v>
      </c>
      <c r="P238" s="79">
        <f>IF(H238="","",ROUND(H238/(Steuerungsdaten!$B$4*Steuerungsdaten!$B$8*IFERROR(VLOOKUP(C238,Steuerungsdaten!$B$17:$E$37,4,FALSE),1)*POWER(IF(OR(E238=0,F238=0,E238="",F238=""),1,(E238*F238/1000000)/Steuerungsdaten!$B$6),IFERROR(VLOOKUP(C238,Steuerungsdaten!$B$17:$L$37,11,FALSE),1)-1)),0))</f>
        <v>361</v>
      </c>
      <c r="Q238" s="79">
        <f>IF(I238="","",ROUND(I238/(Steuerungsdaten!$B$4*Steuerungsdaten!$B$9*IFERROR(VLOOKUP(C238,Steuerungsdaten!$B$17:$G$37,6,FALSE),1)*POWER(IF(OR(E238=0,F238=0,E238="",F238=""),1,(E238*F238/1000000)/Steuerungsdaten!$B$6),IFERROR(VLOOKUP(C238,Steuerungsdaten!$B$17:$M$37,12,FALSE),1)-1)),0))</f>
        <v>381</v>
      </c>
      <c r="R238" s="79">
        <f>IF(J238="","",ROUND(J238/(Steuerungsdaten!$B$4*Steuerungsdaten!$B$10*IFERROR(VLOOKUP(C238,Steuerungsdaten!$B$17:$I$37,8,FALSE),1)*POWER(IF(OR(E238=0,F238=0,E238="",F238=""),1,(E238*F238/1000000)/Steuerungsdaten!$B$6),IFERROR(VLOOKUP(C238,Steuerungsdaten!$B$17:$N$37,13,FALSE),1)-1)),0))</f>
        <v>770</v>
      </c>
    </row>
    <row r="239" spans="1:18" x14ac:dyDescent="0.25">
      <c r="A239" s="69">
        <v>5208</v>
      </c>
      <c r="B239" s="70" t="s">
        <v>7</v>
      </c>
      <c r="C239" s="70" t="s">
        <v>235</v>
      </c>
      <c r="D239" s="70" t="s">
        <v>245</v>
      </c>
      <c r="E239" s="71">
        <v>980</v>
      </c>
      <c r="F239" s="71">
        <v>1440</v>
      </c>
      <c r="G239" s="72" t="s">
        <v>988</v>
      </c>
      <c r="H239" s="72" t="s">
        <v>988</v>
      </c>
      <c r="I239" s="72" t="s">
        <v>988</v>
      </c>
      <c r="J239" s="72" t="s">
        <v>988</v>
      </c>
      <c r="K239" s="72" t="s">
        <v>988</v>
      </c>
      <c r="L239" s="72" t="s">
        <v>988</v>
      </c>
      <c r="M239" s="72" t="s">
        <v>988</v>
      </c>
      <c r="N239" s="73" t="s">
        <v>988</v>
      </c>
      <c r="O239" s="79">
        <v>625</v>
      </c>
      <c r="P239" s="79" t="e">
        <f>IF(H239="","",ROUND(H239/(Steuerungsdaten!$B$4*Steuerungsdaten!$B$8*IFERROR(VLOOKUP(C239,Steuerungsdaten!$B$17:$E$37,4,FALSE),1)*POWER(IF(OR(E239=0,F239=0,E239="",F239=""),1,(E239*F239/1000000)/Steuerungsdaten!$B$6),IFERROR(VLOOKUP(C239,Steuerungsdaten!$B$17:$L$37,11,FALSE),1)-1)),0))</f>
        <v>#VALUE!</v>
      </c>
      <c r="Q239" s="79" t="e">
        <f>IF(I239="","",ROUND(I239/(Steuerungsdaten!$B$4*Steuerungsdaten!$B$9*IFERROR(VLOOKUP(C239,Steuerungsdaten!$B$17:$G$37,6,FALSE),1)*POWER(IF(OR(E239=0,F239=0,E239="",F239=""),1,(E239*F239/1000000)/Steuerungsdaten!$B$6),IFERROR(VLOOKUP(C239,Steuerungsdaten!$B$17:$M$37,12,FALSE),1)-1)),0))</f>
        <v>#VALUE!</v>
      </c>
      <c r="R239" s="79" t="e">
        <f>IF(J239="","",ROUND(J239/(Steuerungsdaten!$B$4*Steuerungsdaten!$B$10*IFERROR(VLOOKUP(C239,Steuerungsdaten!$B$17:$I$37,8,FALSE),1)*POWER(IF(OR(E239=0,F239=0,E239="",F239=""),1,(E239*F239/1000000)/Steuerungsdaten!$B$6),IFERROR(VLOOKUP(C239,Steuerungsdaten!$B$17:$N$37,13,FALSE),1)-1)),0))</f>
        <v>#VALUE!</v>
      </c>
    </row>
    <row r="240" spans="1:18" x14ac:dyDescent="0.25">
      <c r="A240" s="74">
        <v>5209</v>
      </c>
      <c r="B240" s="75" t="s">
        <v>7</v>
      </c>
      <c r="C240" s="75" t="s">
        <v>235</v>
      </c>
      <c r="D240" s="75" t="s">
        <v>246</v>
      </c>
      <c r="E240" s="76">
        <v>980</v>
      </c>
      <c r="F240" s="76">
        <v>1800</v>
      </c>
      <c r="G240" s="77" t="s">
        <v>988</v>
      </c>
      <c r="H240" s="77" t="s">
        <v>988</v>
      </c>
      <c r="I240" s="77" t="s">
        <v>988</v>
      </c>
      <c r="J240" s="77" t="s">
        <v>988</v>
      </c>
      <c r="K240" s="77" t="s">
        <v>988</v>
      </c>
      <c r="L240" s="77" t="s">
        <v>988</v>
      </c>
      <c r="M240" s="77" t="s">
        <v>988</v>
      </c>
      <c r="N240" s="78" t="s">
        <v>988</v>
      </c>
      <c r="O240" s="79">
        <v>769</v>
      </c>
      <c r="P240" s="79" t="e">
        <f>IF(H240="","",ROUND(H240/(Steuerungsdaten!$B$4*Steuerungsdaten!$B$8*IFERROR(VLOOKUP(C240,Steuerungsdaten!$B$17:$E$37,4,FALSE),1)*POWER(IF(OR(E240=0,F240=0,E240="",F240=""),1,(E240*F240/1000000)/Steuerungsdaten!$B$6),IFERROR(VLOOKUP(C240,Steuerungsdaten!$B$17:$L$37,11,FALSE),1)-1)),0))</f>
        <v>#VALUE!</v>
      </c>
      <c r="Q240" s="79" t="e">
        <f>IF(I240="","",ROUND(I240/(Steuerungsdaten!$B$4*Steuerungsdaten!$B$9*IFERROR(VLOOKUP(C240,Steuerungsdaten!$B$17:$G$37,6,FALSE),1)*POWER(IF(OR(E240=0,F240=0,E240="",F240=""),1,(E240*F240/1000000)/Steuerungsdaten!$B$6),IFERROR(VLOOKUP(C240,Steuerungsdaten!$B$17:$M$37,12,FALSE),1)-1)),0))</f>
        <v>#VALUE!</v>
      </c>
      <c r="R240" s="79" t="e">
        <f>IF(J240="","",ROUND(J240/(Steuerungsdaten!$B$4*Steuerungsdaten!$B$10*IFERROR(VLOOKUP(C240,Steuerungsdaten!$B$17:$I$37,8,FALSE),1)*POWER(IF(OR(E240=0,F240=0,E240="",F240=""),1,(E240*F240/1000000)/Steuerungsdaten!$B$6),IFERROR(VLOOKUP(C240,Steuerungsdaten!$B$17:$N$37,13,FALSE),1)-1)),0))</f>
        <v>#VALUE!</v>
      </c>
    </row>
    <row r="241" spans="1:18" ht="21.95" customHeight="1" x14ac:dyDescent="0.25">
      <c r="A241" s="426" t="s">
        <v>2</v>
      </c>
      <c r="B241" s="426"/>
      <c r="C241" s="426"/>
      <c r="D241" s="426"/>
      <c r="E241" s="426"/>
      <c r="F241" s="426"/>
      <c r="G241" s="426"/>
      <c r="H241" s="426"/>
      <c r="I241" s="426"/>
      <c r="J241" s="426"/>
      <c r="K241" s="426" t="str">
        <f>IFERROR(IF(G241="","",ROUND(G241*Steuerungsdaten!$B$5,0)),"-")</f>
        <v/>
      </c>
      <c r="L241" s="426" t="str">
        <f>IFERROR(IF(H241="","",ROUND(H241*Steuerungsdaten!$B$5,0)),"-")</f>
        <v/>
      </c>
      <c r="M241" s="426" t="str">
        <f>IFERROR(IF(I241="","",ROUND(I241*Steuerungsdaten!$B$5,0)),"-")</f>
        <v/>
      </c>
      <c r="N241" s="426" t="s">
        <v>988</v>
      </c>
      <c r="O241" s="79"/>
      <c r="P241" s="79"/>
      <c r="Q241" s="79"/>
      <c r="R241" s="79"/>
    </row>
    <row r="242" spans="1:18" x14ac:dyDescent="0.25">
      <c r="A242" s="64">
        <v>5300</v>
      </c>
      <c r="B242" s="65" t="s">
        <v>7</v>
      </c>
      <c r="C242" s="65" t="s">
        <v>2</v>
      </c>
      <c r="D242" s="65" t="s">
        <v>247</v>
      </c>
      <c r="E242" s="66">
        <v>420</v>
      </c>
      <c r="F242" s="66">
        <v>180</v>
      </c>
      <c r="G242" s="67">
        <f>IF(VLOOKUP(C242,Steuerungsdaten!$P$17:$T$39,2,0)="","",MAX(ROUND(VLOOKUP(C242,Steuerungsdaten!$P$17:$T$39,2,0)*Steuerungsdaten!$B$4*Steuerungsdaten!$B$7*IFERROR(VLOOKUP(C242,Steuerungsdaten!$B$17:$C$37,2,FALSE),1)*POWER(IF(OR(E242=0,F242=0,E242="",F242=""),1,(E242*F242/1000000)/Steuerungsdaten!$B$6),IFERROR(VLOOKUP(C242,Steuerungsdaten!$B$17:$K$37,10,FALSE),1)-1),0),Steuerungsdaten!$E$4))</f>
        <v>299</v>
      </c>
      <c r="H242" s="67">
        <f>IF(VLOOKUP(C242,Steuerungsdaten!$P$17:$T$39,3,0)="","",MAX(ROUND(VLOOKUP(C242,Steuerungsdaten!$P$17:$T$39,3,0)*Steuerungsdaten!$B$4*Steuerungsdaten!$B$8*IFERROR(VLOOKUP(C242,Steuerungsdaten!$B$17:$E$37,4,FALSE),1)*POWER(IF(OR(E242=0,F242=0,E242="",F242=""),1,(E242*F242/1000000)/Steuerungsdaten!$B$6),IFERROR(VLOOKUP(C242,Steuerungsdaten!$B$17:$L$37,11,FALSE),1)-1),0),Steuerungsdaten!$E$5))</f>
        <v>355</v>
      </c>
      <c r="I242" s="67">
        <f>IF(VLOOKUP(C242,Steuerungsdaten!$P$17:$T$39,4,0)="","",MAX(ROUND(VLOOKUP(C242,Steuerungsdaten!$P$17:$T$39,4,0)*Steuerungsdaten!$B$4*Steuerungsdaten!$B$9*IFERROR(VLOOKUP(C242,Steuerungsdaten!$B$17:$G$37,6,FALSE),1)*POWER(IF(OR(E242=0,F242=0,E242="",F242=""),1,(E242*F242/1000000)/Steuerungsdaten!$B$6),IFERROR(VLOOKUP(C242,Steuerungsdaten!$B$17:$M$37,12,FALSE),1)-1),0),Steuerungsdaten!$E$6))</f>
        <v>386</v>
      </c>
      <c r="J242" s="67" t="s">
        <v>988</v>
      </c>
      <c r="K242" s="67">
        <f>IFERROR(IF(G242="","",ROUND(G242*Steuerungsdaten!$B$5,0)),"-")</f>
        <v>344</v>
      </c>
      <c r="L242" s="67">
        <f>IFERROR(IF(H242="","",ROUND(H242*Steuerungsdaten!$B$5,0)),"-")</f>
        <v>408</v>
      </c>
      <c r="M242" s="67">
        <f>IFERROR(IF(I242="","",ROUND(I242*Steuerungsdaten!$B$5,0)),"-")</f>
        <v>444</v>
      </c>
      <c r="N242" s="68" t="str">
        <f>IFERROR(IF(J242="","",ROUND(J242*Steuerungsdaten!$B$5,0)),"-")</f>
        <v>-</v>
      </c>
      <c r="O242" s="79">
        <v>285</v>
      </c>
      <c r="P242" s="79">
        <f>IF(H242="","",ROUND(H242/(Steuerungsdaten!$B$4*Steuerungsdaten!$B$8*IFERROR(VLOOKUP(C242,Steuerungsdaten!$B$17:$E$37,4,FALSE),1)*POWER(IF(OR(E242=0,F242=0,E242="",F242=""),1,(E242*F242/1000000)/Steuerungsdaten!$B$6),IFERROR(VLOOKUP(C242,Steuerungsdaten!$B$17:$L$37,11,FALSE),1)-1)),0))</f>
        <v>418</v>
      </c>
      <c r="Q242" s="79">
        <f>IF(I242="","",ROUND(I242/(Steuerungsdaten!$B$4*Steuerungsdaten!$B$9*IFERROR(VLOOKUP(C242,Steuerungsdaten!$B$17:$G$37,6,FALSE),1)*POWER(IF(OR(E242=0,F242=0,E242="",F242=""),1,(E242*F242/1000000)/Steuerungsdaten!$B$6),IFERROR(VLOOKUP(C242,Steuerungsdaten!$B$17:$M$37,12,FALSE),1)-1)),0))</f>
        <v>454</v>
      </c>
      <c r="R242" s="79" t="e">
        <f>IF(J242="","",ROUND(J242/(Steuerungsdaten!$B$4*Steuerungsdaten!$B$10*IFERROR(VLOOKUP(C242,Steuerungsdaten!$B$17:$I$37,8,FALSE),1)*POWER(IF(OR(E242=0,F242=0,E242="",F242=""),1,(E242*F242/1000000)/Steuerungsdaten!$B$6),IFERROR(VLOOKUP(C242,Steuerungsdaten!$B$17:$N$37,13,FALSE),1)-1)),0))</f>
        <v>#VALUE!</v>
      </c>
    </row>
    <row r="243" spans="1:18" x14ac:dyDescent="0.25">
      <c r="A243" s="69">
        <v>5301</v>
      </c>
      <c r="B243" s="70" t="s">
        <v>7</v>
      </c>
      <c r="C243" s="70" t="s">
        <v>2</v>
      </c>
      <c r="D243" s="70" t="s">
        <v>248</v>
      </c>
      <c r="E243" s="71">
        <v>420</v>
      </c>
      <c r="F243" s="71">
        <v>360</v>
      </c>
      <c r="G243" s="72">
        <f>IF(VLOOKUP(C243,Steuerungsdaten!$P$17:$T$39,2,0)="","",MAX(ROUND(VLOOKUP(C243,Steuerungsdaten!$P$17:$T$39,2,0)*Steuerungsdaten!$B$4*Steuerungsdaten!$B$7*IFERROR(VLOOKUP(C243,Steuerungsdaten!$B$17:$C$37,2,FALSE),1)*POWER(IF(OR(E243=0,F243=0,E243="",F243=""),1,(E243*F243/1000000)/Steuerungsdaten!$B$6),IFERROR(VLOOKUP(C243,Steuerungsdaten!$B$17:$K$37,10,FALSE),1)-1),0),Steuerungsdaten!$E$4))</f>
        <v>320</v>
      </c>
      <c r="H243" s="72">
        <f>IF(VLOOKUP(C243,Steuerungsdaten!$P$17:$T$39,3,0)="","",MAX(ROUND(VLOOKUP(C243,Steuerungsdaten!$P$17:$T$39,3,0)*Steuerungsdaten!$B$4*Steuerungsdaten!$B$8*IFERROR(VLOOKUP(C243,Steuerungsdaten!$B$17:$E$37,4,FALSE),1)*POWER(IF(OR(E243=0,F243=0,E243="",F243=""),1,(E243*F243/1000000)/Steuerungsdaten!$B$6),IFERROR(VLOOKUP(C243,Steuerungsdaten!$B$17:$L$37,11,FALSE),1)-1),0),Steuerungsdaten!$E$5))</f>
        <v>381</v>
      </c>
      <c r="I243" s="72">
        <f>IF(VLOOKUP(C243,Steuerungsdaten!$P$17:$T$39,4,0)="","",MAX(ROUND(VLOOKUP(C243,Steuerungsdaten!$P$17:$T$39,4,0)*Steuerungsdaten!$B$4*Steuerungsdaten!$B$9*IFERROR(VLOOKUP(C243,Steuerungsdaten!$B$17:$G$37,6,FALSE),1)*POWER(IF(OR(E243=0,F243=0,E243="",F243=""),1,(E243*F243/1000000)/Steuerungsdaten!$B$6),IFERROR(VLOOKUP(C243,Steuerungsdaten!$B$17:$M$37,12,FALSE),1)-1),0),Steuerungsdaten!$E$6))</f>
        <v>414</v>
      </c>
      <c r="J243" s="72" t="s">
        <v>988</v>
      </c>
      <c r="K243" s="72">
        <f>IFERROR(IF(G243="","",ROUND(G243*Steuerungsdaten!$B$5,0)),"-")</f>
        <v>368</v>
      </c>
      <c r="L243" s="72">
        <f>IFERROR(IF(H243="","",ROUND(H243*Steuerungsdaten!$B$5,0)),"-")</f>
        <v>438</v>
      </c>
      <c r="M243" s="72">
        <f>IFERROR(IF(I243="","",ROUND(I243*Steuerungsdaten!$B$5,0)),"-")</f>
        <v>476</v>
      </c>
      <c r="N243" s="73" t="str">
        <f>IFERROR(IF(J243="","",ROUND(J243*Steuerungsdaten!$B$5,0)),"-")</f>
        <v>-</v>
      </c>
      <c r="O243" s="79">
        <v>352</v>
      </c>
      <c r="P243" s="79">
        <f>IF(H243="","",ROUND(H243/(Steuerungsdaten!$B$4*Steuerungsdaten!$B$8*IFERROR(VLOOKUP(C243,Steuerungsdaten!$B$17:$E$37,4,FALSE),1)*POWER(IF(OR(E243=0,F243=0,E243="",F243=""),1,(E243*F243/1000000)/Steuerungsdaten!$B$6),IFERROR(VLOOKUP(C243,Steuerungsdaten!$B$17:$L$37,11,FALSE),1)-1)),0))</f>
        <v>419</v>
      </c>
      <c r="Q243" s="79">
        <f>IF(I243="","",ROUND(I243/(Steuerungsdaten!$B$4*Steuerungsdaten!$B$9*IFERROR(VLOOKUP(C243,Steuerungsdaten!$B$17:$G$37,6,FALSE),1)*POWER(IF(OR(E243=0,F243=0,E243="",F243=""),1,(E243*F243/1000000)/Steuerungsdaten!$B$6),IFERROR(VLOOKUP(C243,Steuerungsdaten!$B$17:$M$37,12,FALSE),1)-1)),0))</f>
        <v>455</v>
      </c>
      <c r="R243" s="79" t="e">
        <f>IF(J243="","",ROUND(J243/(Steuerungsdaten!$B$4*Steuerungsdaten!$B$10*IFERROR(VLOOKUP(C243,Steuerungsdaten!$B$17:$I$37,8,FALSE),1)*POWER(IF(OR(E243=0,F243=0,E243="",F243=""),1,(E243*F243/1000000)/Steuerungsdaten!$B$6),IFERROR(VLOOKUP(C243,Steuerungsdaten!$B$17:$N$37,13,FALSE),1)-1)),0))</f>
        <v>#VALUE!</v>
      </c>
    </row>
    <row r="244" spans="1:18" x14ac:dyDescent="0.25">
      <c r="A244" s="74">
        <v>5302</v>
      </c>
      <c r="B244" s="75" t="s">
        <v>7</v>
      </c>
      <c r="C244" s="75" t="s">
        <v>2</v>
      </c>
      <c r="D244" s="75" t="s">
        <v>249</v>
      </c>
      <c r="E244" s="76">
        <v>580</v>
      </c>
      <c r="F244" s="76">
        <v>180</v>
      </c>
      <c r="G244" s="77">
        <f>IF(VLOOKUP(C244,Steuerungsdaten!$P$17:$T$39,2,0)="","",MAX(ROUND(VLOOKUP(C244,Steuerungsdaten!$P$17:$T$39,2,0)*Steuerungsdaten!$B$4*Steuerungsdaten!$B$7*IFERROR(VLOOKUP(C244,Steuerungsdaten!$B$17:$C$37,2,FALSE),1)*POWER(IF(OR(E244=0,F244=0,E244="",F244=""),1,(E244*F244/1000000)/Steuerungsdaten!$B$6),IFERROR(VLOOKUP(C244,Steuerungsdaten!$B$17:$K$37,10,FALSE),1)-1),0),Steuerungsdaten!$E$4))</f>
        <v>309</v>
      </c>
      <c r="H244" s="77">
        <f>IF(VLOOKUP(C244,Steuerungsdaten!$P$17:$T$39,3,0)="","",MAX(ROUND(VLOOKUP(C244,Steuerungsdaten!$P$17:$T$39,3,0)*Steuerungsdaten!$B$4*Steuerungsdaten!$B$8*IFERROR(VLOOKUP(C244,Steuerungsdaten!$B$17:$E$37,4,FALSE),1)*POWER(IF(OR(E244=0,F244=0,E244="",F244=""),1,(E244*F244/1000000)/Steuerungsdaten!$B$6),IFERROR(VLOOKUP(C244,Steuerungsdaten!$B$17:$L$37,11,FALSE),1)-1),0),Steuerungsdaten!$E$5))</f>
        <v>367</v>
      </c>
      <c r="I244" s="77">
        <f>IF(VLOOKUP(C244,Steuerungsdaten!$P$17:$T$39,4,0)="","",MAX(ROUND(VLOOKUP(C244,Steuerungsdaten!$P$17:$T$39,4,0)*Steuerungsdaten!$B$4*Steuerungsdaten!$B$9*IFERROR(VLOOKUP(C244,Steuerungsdaten!$B$17:$G$37,6,FALSE),1)*POWER(IF(OR(E244=0,F244=0,E244="",F244=""),1,(E244*F244/1000000)/Steuerungsdaten!$B$6),IFERROR(VLOOKUP(C244,Steuerungsdaten!$B$17:$M$37,12,FALSE),1)-1),0),Steuerungsdaten!$E$6))</f>
        <v>399</v>
      </c>
      <c r="J244" s="77" t="s">
        <v>988</v>
      </c>
      <c r="K244" s="77">
        <f>IFERROR(IF(G244="","",ROUND(G244*Steuerungsdaten!$B$5,0)),"-")</f>
        <v>355</v>
      </c>
      <c r="L244" s="77">
        <f>IFERROR(IF(H244="","",ROUND(H244*Steuerungsdaten!$B$5,0)),"-")</f>
        <v>422</v>
      </c>
      <c r="M244" s="77">
        <f>IFERROR(IF(I244="","",ROUND(I244*Steuerungsdaten!$B$5,0)),"-")</f>
        <v>459</v>
      </c>
      <c r="N244" s="78" t="str">
        <f>IFERROR(IF(J244="","",ROUND(J244*Steuerungsdaten!$B$5,0)),"-")</f>
        <v>-</v>
      </c>
      <c r="O244" s="79">
        <v>298</v>
      </c>
      <c r="P244" s="79">
        <f>IF(H244="","",ROUND(H244/(Steuerungsdaten!$B$4*Steuerungsdaten!$B$8*IFERROR(VLOOKUP(C244,Steuerungsdaten!$B$17:$E$37,4,FALSE),1)*POWER(IF(OR(E244=0,F244=0,E244="",F244=""),1,(E244*F244/1000000)/Steuerungsdaten!$B$6),IFERROR(VLOOKUP(C244,Steuerungsdaten!$B$17:$L$37,11,FALSE),1)-1)),0))</f>
        <v>418</v>
      </c>
      <c r="Q244" s="79">
        <f>IF(I244="","",ROUND(I244/(Steuerungsdaten!$B$4*Steuerungsdaten!$B$9*IFERROR(VLOOKUP(C244,Steuerungsdaten!$B$17:$G$37,6,FALSE),1)*POWER(IF(OR(E244=0,F244=0,E244="",F244=""),1,(E244*F244/1000000)/Steuerungsdaten!$B$6),IFERROR(VLOOKUP(C244,Steuerungsdaten!$B$17:$M$37,12,FALSE),1)-1)),0))</f>
        <v>455</v>
      </c>
      <c r="R244" s="79" t="e">
        <f>IF(J244="","",ROUND(J244/(Steuerungsdaten!$B$4*Steuerungsdaten!$B$10*IFERROR(VLOOKUP(C244,Steuerungsdaten!$B$17:$I$37,8,FALSE),1)*POWER(IF(OR(E244=0,F244=0,E244="",F244=""),1,(E244*F244/1000000)/Steuerungsdaten!$B$6),IFERROR(VLOOKUP(C244,Steuerungsdaten!$B$17:$N$37,13,FALSE),1)-1)),0))</f>
        <v>#VALUE!</v>
      </c>
    </row>
    <row r="245" spans="1:18" x14ac:dyDescent="0.25">
      <c r="A245" s="69">
        <v>5303</v>
      </c>
      <c r="B245" s="70" t="s">
        <v>7</v>
      </c>
      <c r="C245" s="70" t="s">
        <v>2</v>
      </c>
      <c r="D245" s="70" t="s">
        <v>250</v>
      </c>
      <c r="E245" s="71">
        <v>580</v>
      </c>
      <c r="F245" s="71">
        <v>360</v>
      </c>
      <c r="G245" s="72">
        <f>IF(VLOOKUP(C245,Steuerungsdaten!$P$17:$T$39,2,0)="","",MAX(ROUND(VLOOKUP(C245,Steuerungsdaten!$P$17:$T$39,2,0)*Steuerungsdaten!$B$4*Steuerungsdaten!$B$7*IFERROR(VLOOKUP(C245,Steuerungsdaten!$B$17:$C$37,2,FALSE),1)*POWER(IF(OR(E245=0,F245=0,E245="",F245=""),1,(E245*F245/1000000)/Steuerungsdaten!$B$6),IFERROR(VLOOKUP(C245,Steuerungsdaten!$B$17:$K$37,10,FALSE),1)-1),0),Steuerungsdaten!$E$4))</f>
        <v>331</v>
      </c>
      <c r="H245" s="72">
        <f>IF(VLOOKUP(C245,Steuerungsdaten!$P$17:$T$39,3,0)="","",MAX(ROUND(VLOOKUP(C245,Steuerungsdaten!$P$17:$T$39,3,0)*Steuerungsdaten!$B$4*Steuerungsdaten!$B$8*IFERROR(VLOOKUP(C245,Steuerungsdaten!$B$17:$E$37,4,FALSE),1)*POWER(IF(OR(E245=0,F245=0,E245="",F245=""),1,(E245*F245/1000000)/Steuerungsdaten!$B$6),IFERROR(VLOOKUP(C245,Steuerungsdaten!$B$17:$L$37,11,FALSE),1)-1),0),Steuerungsdaten!$E$5))</f>
        <v>393</v>
      </c>
      <c r="I245" s="72">
        <f>IF(VLOOKUP(C245,Steuerungsdaten!$P$17:$T$39,4,0)="","",MAX(ROUND(VLOOKUP(C245,Steuerungsdaten!$P$17:$T$39,4,0)*Steuerungsdaten!$B$4*Steuerungsdaten!$B$9*IFERROR(VLOOKUP(C245,Steuerungsdaten!$B$17:$G$37,6,FALSE),1)*POWER(IF(OR(E245=0,F245=0,E245="",F245=""),1,(E245*F245/1000000)/Steuerungsdaten!$B$6),IFERROR(VLOOKUP(C245,Steuerungsdaten!$B$17:$M$37,12,FALSE),1)-1),0),Steuerungsdaten!$E$6))</f>
        <v>428</v>
      </c>
      <c r="J245" s="72" t="s">
        <v>988</v>
      </c>
      <c r="K245" s="72">
        <f>IFERROR(IF(G245="","",ROUND(G245*Steuerungsdaten!$B$5,0)),"-")</f>
        <v>381</v>
      </c>
      <c r="L245" s="72">
        <f>IFERROR(IF(H245="","",ROUND(H245*Steuerungsdaten!$B$5,0)),"-")</f>
        <v>452</v>
      </c>
      <c r="M245" s="72">
        <f>IFERROR(IF(I245="","",ROUND(I245*Steuerungsdaten!$B$5,0)),"-")</f>
        <v>492</v>
      </c>
      <c r="N245" s="73" t="str">
        <f>IFERROR(IF(J245="","",ROUND(J245*Steuerungsdaten!$B$5,0)),"-")</f>
        <v>-</v>
      </c>
      <c r="O245" s="79">
        <v>353</v>
      </c>
      <c r="P245" s="79">
        <f>IF(H245="","",ROUND(H245/(Steuerungsdaten!$B$4*Steuerungsdaten!$B$8*IFERROR(VLOOKUP(C245,Steuerungsdaten!$B$17:$E$37,4,FALSE),1)*POWER(IF(OR(E245=0,F245=0,E245="",F245=""),1,(E245*F245/1000000)/Steuerungsdaten!$B$6),IFERROR(VLOOKUP(C245,Steuerungsdaten!$B$17:$L$37,11,FALSE),1)-1)),0))</f>
        <v>418</v>
      </c>
      <c r="Q245" s="79">
        <f>IF(I245="","",ROUND(I245/(Steuerungsdaten!$B$4*Steuerungsdaten!$B$9*IFERROR(VLOOKUP(C245,Steuerungsdaten!$B$17:$G$37,6,FALSE),1)*POWER(IF(OR(E245=0,F245=0,E245="",F245=""),1,(E245*F245/1000000)/Steuerungsdaten!$B$6),IFERROR(VLOOKUP(C245,Steuerungsdaten!$B$17:$M$37,12,FALSE),1)-1)),0))</f>
        <v>455</v>
      </c>
      <c r="R245" s="79" t="e">
        <f>IF(J245="","",ROUND(J245/(Steuerungsdaten!$B$4*Steuerungsdaten!$B$10*IFERROR(VLOOKUP(C245,Steuerungsdaten!$B$17:$I$37,8,FALSE),1)*POWER(IF(OR(E245=0,F245=0,E245="",F245=""),1,(E245*F245/1000000)/Steuerungsdaten!$B$6),IFERROR(VLOOKUP(C245,Steuerungsdaten!$B$17:$N$37,13,FALSE),1)-1)),0))</f>
        <v>#VALUE!</v>
      </c>
    </row>
    <row r="246" spans="1:18" x14ac:dyDescent="0.25">
      <c r="A246" s="74">
        <v>5304</v>
      </c>
      <c r="B246" s="75" t="s">
        <v>7</v>
      </c>
      <c r="C246" s="75" t="s">
        <v>2</v>
      </c>
      <c r="D246" s="75" t="s">
        <v>251</v>
      </c>
      <c r="E246" s="76">
        <v>780</v>
      </c>
      <c r="F246" s="76">
        <v>180</v>
      </c>
      <c r="G246" s="77">
        <f>IF(VLOOKUP(C246,Steuerungsdaten!$P$17:$T$39,2,0)="","",MAX(ROUND(VLOOKUP(C246,Steuerungsdaten!$P$17:$T$39,2,0)*Steuerungsdaten!$B$4*Steuerungsdaten!$B$7*IFERROR(VLOOKUP(C246,Steuerungsdaten!$B$17:$C$37,2,FALSE),1)*POWER(IF(OR(E246=0,F246=0,E246="",F246=""),1,(E246*F246/1000000)/Steuerungsdaten!$B$6),IFERROR(VLOOKUP(C246,Steuerungsdaten!$B$17:$K$37,10,FALSE),1)-1),0),Steuerungsdaten!$E$4))</f>
        <v>318</v>
      </c>
      <c r="H246" s="77">
        <f>IF(VLOOKUP(C246,Steuerungsdaten!$P$17:$T$39,3,0)="","",MAX(ROUND(VLOOKUP(C246,Steuerungsdaten!$P$17:$T$39,3,0)*Steuerungsdaten!$B$4*Steuerungsdaten!$B$8*IFERROR(VLOOKUP(C246,Steuerungsdaten!$B$17:$E$37,4,FALSE),1)*POWER(IF(OR(E246=0,F246=0,E246="",F246=""),1,(E246*F246/1000000)/Steuerungsdaten!$B$6),IFERROR(VLOOKUP(C246,Steuerungsdaten!$B$17:$L$37,11,FALSE),1)-1),0),Steuerungsdaten!$E$5))</f>
        <v>378</v>
      </c>
      <c r="I246" s="77">
        <f>IF(VLOOKUP(C246,Steuerungsdaten!$P$17:$T$39,4,0)="","",MAX(ROUND(VLOOKUP(C246,Steuerungsdaten!$P$17:$T$39,4,0)*Steuerungsdaten!$B$4*Steuerungsdaten!$B$9*IFERROR(VLOOKUP(C246,Steuerungsdaten!$B$17:$G$37,6,FALSE),1)*POWER(IF(OR(E246=0,F246=0,E246="",F246=""),1,(E246*F246/1000000)/Steuerungsdaten!$B$6),IFERROR(VLOOKUP(C246,Steuerungsdaten!$B$17:$M$37,12,FALSE),1)-1),0),Steuerungsdaten!$E$6))</f>
        <v>411</v>
      </c>
      <c r="J246" s="77" t="s">
        <v>988</v>
      </c>
      <c r="K246" s="77">
        <f>IFERROR(IF(G246="","",ROUND(G246*Steuerungsdaten!$B$5,0)),"-")</f>
        <v>366</v>
      </c>
      <c r="L246" s="77">
        <f>IFERROR(IF(H246="","",ROUND(H246*Steuerungsdaten!$B$5,0)),"-")</f>
        <v>435</v>
      </c>
      <c r="M246" s="77">
        <f>IFERROR(IF(I246="","",ROUND(I246*Steuerungsdaten!$B$5,0)),"-")</f>
        <v>473</v>
      </c>
      <c r="N246" s="78" t="str">
        <f>IFERROR(IF(J246="","",ROUND(J246*Steuerungsdaten!$B$5,0)),"-")</f>
        <v>-</v>
      </c>
      <c r="O246" s="79">
        <v>309</v>
      </c>
      <c r="P246" s="79">
        <f>IF(H246="","",ROUND(H246/(Steuerungsdaten!$B$4*Steuerungsdaten!$B$8*IFERROR(VLOOKUP(C246,Steuerungsdaten!$B$17:$E$37,4,FALSE),1)*POWER(IF(OR(E246=0,F246=0,E246="",F246=""),1,(E246*F246/1000000)/Steuerungsdaten!$B$6),IFERROR(VLOOKUP(C246,Steuerungsdaten!$B$17:$L$37,11,FALSE),1)-1)),0))</f>
        <v>418</v>
      </c>
      <c r="Q246" s="79">
        <f>IF(I246="","",ROUND(I246/(Steuerungsdaten!$B$4*Steuerungsdaten!$B$9*IFERROR(VLOOKUP(C246,Steuerungsdaten!$B$17:$G$37,6,FALSE),1)*POWER(IF(OR(E246=0,F246=0,E246="",F246=""),1,(E246*F246/1000000)/Steuerungsdaten!$B$6),IFERROR(VLOOKUP(C246,Steuerungsdaten!$B$17:$M$37,12,FALSE),1)-1)),0))</f>
        <v>455</v>
      </c>
      <c r="R246" s="79" t="e">
        <f>IF(J246="","",ROUND(J246/(Steuerungsdaten!$B$4*Steuerungsdaten!$B$10*IFERROR(VLOOKUP(C246,Steuerungsdaten!$B$17:$I$37,8,FALSE),1)*POWER(IF(OR(E246=0,F246=0,E246="",F246=""),1,(E246*F246/1000000)/Steuerungsdaten!$B$6),IFERROR(VLOOKUP(C246,Steuerungsdaten!$B$17:$N$37,13,FALSE),1)-1)),0))</f>
        <v>#VALUE!</v>
      </c>
    </row>
    <row r="247" spans="1:18" x14ac:dyDescent="0.25">
      <c r="A247" s="69">
        <v>5305</v>
      </c>
      <c r="B247" s="70" t="s">
        <v>7</v>
      </c>
      <c r="C247" s="70" t="s">
        <v>2</v>
      </c>
      <c r="D247" s="70" t="s">
        <v>252</v>
      </c>
      <c r="E247" s="71">
        <v>780</v>
      </c>
      <c r="F247" s="71">
        <v>360</v>
      </c>
      <c r="G247" s="72">
        <f>IF(VLOOKUP(C247,Steuerungsdaten!$P$17:$T$39,2,0)="","",MAX(ROUND(VLOOKUP(C247,Steuerungsdaten!$P$17:$T$39,2,0)*Steuerungsdaten!$B$4*Steuerungsdaten!$B$7*IFERROR(VLOOKUP(C247,Steuerungsdaten!$B$17:$C$37,2,FALSE),1)*POWER(IF(OR(E247=0,F247=0,E247="",F247=""),1,(E247*F247/1000000)/Steuerungsdaten!$B$6),IFERROR(VLOOKUP(C247,Steuerungsdaten!$B$17:$K$37,10,FALSE),1)-1),0),Steuerungsdaten!$E$4))</f>
        <v>341</v>
      </c>
      <c r="H247" s="72">
        <f>IF(VLOOKUP(C247,Steuerungsdaten!$P$17:$T$39,3,0)="","",MAX(ROUND(VLOOKUP(C247,Steuerungsdaten!$P$17:$T$39,3,0)*Steuerungsdaten!$B$4*Steuerungsdaten!$B$8*IFERROR(VLOOKUP(C247,Steuerungsdaten!$B$17:$E$37,4,FALSE),1)*POWER(IF(OR(E247=0,F247=0,E247="",F247=""),1,(E247*F247/1000000)/Steuerungsdaten!$B$6),IFERROR(VLOOKUP(C247,Steuerungsdaten!$B$17:$L$37,11,FALSE),1)-1),0),Steuerungsdaten!$E$5))</f>
        <v>405</v>
      </c>
      <c r="I247" s="72">
        <f>IF(VLOOKUP(C247,Steuerungsdaten!$P$17:$T$39,4,0)="","",MAX(ROUND(VLOOKUP(C247,Steuerungsdaten!$P$17:$T$39,4,0)*Steuerungsdaten!$B$4*Steuerungsdaten!$B$9*IFERROR(VLOOKUP(C247,Steuerungsdaten!$B$17:$G$37,6,FALSE),1)*POWER(IF(OR(E247=0,F247=0,E247="",F247=""),1,(E247*F247/1000000)/Steuerungsdaten!$B$6),IFERROR(VLOOKUP(C247,Steuerungsdaten!$B$17:$M$37,12,FALSE),1)-1),0),Steuerungsdaten!$E$6))</f>
        <v>441</v>
      </c>
      <c r="J247" s="72" t="s">
        <v>988</v>
      </c>
      <c r="K247" s="72">
        <f>IFERROR(IF(G247="","",ROUND(G247*Steuerungsdaten!$B$5,0)),"-")</f>
        <v>392</v>
      </c>
      <c r="L247" s="72">
        <f>IFERROR(IF(H247="","",ROUND(H247*Steuerungsdaten!$B$5,0)),"-")</f>
        <v>466</v>
      </c>
      <c r="M247" s="72">
        <f>IFERROR(IF(I247="","",ROUND(I247*Steuerungsdaten!$B$5,0)),"-")</f>
        <v>507</v>
      </c>
      <c r="N247" s="73" t="str">
        <f>IFERROR(IF(J247="","",ROUND(J247*Steuerungsdaten!$B$5,0)),"-")</f>
        <v>-</v>
      </c>
      <c r="O247" s="79">
        <v>356</v>
      </c>
      <c r="P247" s="79">
        <f>IF(H247="","",ROUND(H247/(Steuerungsdaten!$B$4*Steuerungsdaten!$B$8*IFERROR(VLOOKUP(C247,Steuerungsdaten!$B$17:$E$37,4,FALSE),1)*POWER(IF(OR(E247=0,F247=0,E247="",F247=""),1,(E247*F247/1000000)/Steuerungsdaten!$B$6),IFERROR(VLOOKUP(C247,Steuerungsdaten!$B$17:$L$37,11,FALSE),1)-1)),0))</f>
        <v>418</v>
      </c>
      <c r="Q247" s="79">
        <f>IF(I247="","",ROUND(I247/(Steuerungsdaten!$B$4*Steuerungsdaten!$B$9*IFERROR(VLOOKUP(C247,Steuerungsdaten!$B$17:$G$37,6,FALSE),1)*POWER(IF(OR(E247=0,F247=0,E247="",F247=""),1,(E247*F247/1000000)/Steuerungsdaten!$B$6),IFERROR(VLOOKUP(C247,Steuerungsdaten!$B$17:$M$37,12,FALSE),1)-1)),0))</f>
        <v>455</v>
      </c>
      <c r="R247" s="79" t="e">
        <f>IF(J247="","",ROUND(J247/(Steuerungsdaten!$B$4*Steuerungsdaten!$B$10*IFERROR(VLOOKUP(C247,Steuerungsdaten!$B$17:$I$37,8,FALSE),1)*POWER(IF(OR(E247=0,F247=0,E247="",F247=""),1,(E247*F247/1000000)/Steuerungsdaten!$B$6),IFERROR(VLOOKUP(C247,Steuerungsdaten!$B$17:$N$37,13,FALSE),1)-1)),0))</f>
        <v>#VALUE!</v>
      </c>
    </row>
    <row r="248" spans="1:18" x14ac:dyDescent="0.25">
      <c r="A248" s="74">
        <v>5306</v>
      </c>
      <c r="B248" s="75" t="s">
        <v>7</v>
      </c>
      <c r="C248" s="75" t="s">
        <v>2</v>
      </c>
      <c r="D248" s="75" t="s">
        <v>253</v>
      </c>
      <c r="E248" s="76">
        <v>980</v>
      </c>
      <c r="F248" s="76">
        <v>180</v>
      </c>
      <c r="G248" s="77">
        <f>IF(VLOOKUP(C248,Steuerungsdaten!$P$17:$T$39,2,0)="","",MAX(ROUND(VLOOKUP(C248,Steuerungsdaten!$P$17:$T$39,2,0)*Steuerungsdaten!$B$4*Steuerungsdaten!$B$7*IFERROR(VLOOKUP(C248,Steuerungsdaten!$B$17:$C$37,2,FALSE),1)*POWER(IF(OR(E248=0,F248=0,E248="",F248=""),1,(E248*F248/1000000)/Steuerungsdaten!$B$6),IFERROR(VLOOKUP(C248,Steuerungsdaten!$B$17:$K$37,10,FALSE),1)-1),0),Steuerungsdaten!$E$4))</f>
        <v>325</v>
      </c>
      <c r="H248" s="77">
        <f>IF(VLOOKUP(C248,Steuerungsdaten!$P$17:$T$39,3,0)="","",MAX(ROUND(VLOOKUP(C248,Steuerungsdaten!$P$17:$T$39,3,0)*Steuerungsdaten!$B$4*Steuerungsdaten!$B$8*IFERROR(VLOOKUP(C248,Steuerungsdaten!$B$17:$E$37,4,FALSE),1)*POWER(IF(OR(E248=0,F248=0,E248="",F248=""),1,(E248*F248/1000000)/Steuerungsdaten!$B$6),IFERROR(VLOOKUP(C248,Steuerungsdaten!$B$17:$L$37,11,FALSE),1)-1),0),Steuerungsdaten!$E$5))</f>
        <v>386</v>
      </c>
      <c r="I248" s="77">
        <f>IF(VLOOKUP(C248,Steuerungsdaten!$P$17:$T$39,4,0)="","",MAX(ROUND(VLOOKUP(C248,Steuerungsdaten!$P$17:$T$39,4,0)*Steuerungsdaten!$B$4*Steuerungsdaten!$B$9*IFERROR(VLOOKUP(C248,Steuerungsdaten!$B$17:$G$37,6,FALSE),1)*POWER(IF(OR(E248=0,F248=0,E248="",F248=""),1,(E248*F248/1000000)/Steuerungsdaten!$B$6),IFERROR(VLOOKUP(C248,Steuerungsdaten!$B$17:$M$37,12,FALSE),1)-1),0),Steuerungsdaten!$E$6))</f>
        <v>421</v>
      </c>
      <c r="J248" s="77" t="s">
        <v>988</v>
      </c>
      <c r="K248" s="77">
        <f>IFERROR(IF(G248="","",ROUND(G248*Steuerungsdaten!$B$5,0)),"-")</f>
        <v>374</v>
      </c>
      <c r="L248" s="77">
        <f>IFERROR(IF(H248="","",ROUND(H248*Steuerungsdaten!$B$5,0)),"-")</f>
        <v>444</v>
      </c>
      <c r="M248" s="77">
        <f>IFERROR(IF(I248="","",ROUND(I248*Steuerungsdaten!$B$5,0)),"-")</f>
        <v>484</v>
      </c>
      <c r="N248" s="78" t="str">
        <f>IFERROR(IF(J248="","",ROUND(J248*Steuerungsdaten!$B$5,0)),"-")</f>
        <v>-</v>
      </c>
      <c r="O248" s="79">
        <v>348</v>
      </c>
      <c r="P248" s="79">
        <f>IF(H248="","",ROUND(H248/(Steuerungsdaten!$B$4*Steuerungsdaten!$B$8*IFERROR(VLOOKUP(C248,Steuerungsdaten!$B$17:$E$37,4,FALSE),1)*POWER(IF(OR(E248=0,F248=0,E248="",F248=""),1,(E248*F248/1000000)/Steuerungsdaten!$B$6),IFERROR(VLOOKUP(C248,Steuerungsdaten!$B$17:$L$37,11,FALSE),1)-1)),0))</f>
        <v>418</v>
      </c>
      <c r="Q248" s="79">
        <f>IF(I248="","",ROUND(I248/(Steuerungsdaten!$B$4*Steuerungsdaten!$B$9*IFERROR(VLOOKUP(C248,Steuerungsdaten!$B$17:$G$37,6,FALSE),1)*POWER(IF(OR(E248=0,F248=0,E248="",F248=""),1,(E248*F248/1000000)/Steuerungsdaten!$B$6),IFERROR(VLOOKUP(C248,Steuerungsdaten!$B$17:$M$37,12,FALSE),1)-1)),0))</f>
        <v>455</v>
      </c>
      <c r="R248" s="79" t="e">
        <f>IF(J248="","",ROUND(J248/(Steuerungsdaten!$B$4*Steuerungsdaten!$B$10*IFERROR(VLOOKUP(C248,Steuerungsdaten!$B$17:$I$37,8,FALSE),1)*POWER(IF(OR(E248=0,F248=0,E248="",F248=""),1,(E248*F248/1000000)/Steuerungsdaten!$B$6),IFERROR(VLOOKUP(C248,Steuerungsdaten!$B$17:$N$37,13,FALSE),1)-1)),0))</f>
        <v>#VALUE!</v>
      </c>
    </row>
    <row r="249" spans="1:18" x14ac:dyDescent="0.25">
      <c r="A249" s="69">
        <v>5307</v>
      </c>
      <c r="B249" s="70" t="s">
        <v>7</v>
      </c>
      <c r="C249" s="70" t="s">
        <v>2</v>
      </c>
      <c r="D249" s="70" t="s">
        <v>254</v>
      </c>
      <c r="E249" s="71">
        <v>980</v>
      </c>
      <c r="F249" s="71">
        <v>360</v>
      </c>
      <c r="G249" s="72">
        <f>IF(VLOOKUP(C249,Steuerungsdaten!$P$17:$T$39,2,0)="","",MAX(ROUND(VLOOKUP(C249,Steuerungsdaten!$P$17:$T$39,2,0)*Steuerungsdaten!$B$4*Steuerungsdaten!$B$7*IFERROR(VLOOKUP(C249,Steuerungsdaten!$B$17:$C$37,2,FALSE),1)*POWER(IF(OR(E249=0,F249=0,E249="",F249=""),1,(E249*F249/1000000)/Steuerungsdaten!$B$6),IFERROR(VLOOKUP(C249,Steuerungsdaten!$B$17:$K$37,10,FALSE),1)-1),0),Steuerungsdaten!$E$4))</f>
        <v>349</v>
      </c>
      <c r="H249" s="72">
        <f>IF(VLOOKUP(C249,Steuerungsdaten!$P$17:$T$39,3,0)="","",MAX(ROUND(VLOOKUP(C249,Steuerungsdaten!$P$17:$T$39,3,0)*Steuerungsdaten!$B$4*Steuerungsdaten!$B$8*IFERROR(VLOOKUP(C249,Steuerungsdaten!$B$17:$E$37,4,FALSE),1)*POWER(IF(OR(E249=0,F249=0,E249="",F249=""),1,(E249*F249/1000000)/Steuerungsdaten!$B$6),IFERROR(VLOOKUP(C249,Steuerungsdaten!$B$17:$L$37,11,FALSE),1)-1),0),Steuerungsdaten!$E$5))</f>
        <v>414</v>
      </c>
      <c r="I249" s="72">
        <f>IF(VLOOKUP(C249,Steuerungsdaten!$P$17:$T$39,4,0)="","",MAX(ROUND(VLOOKUP(C249,Steuerungsdaten!$P$17:$T$39,4,0)*Steuerungsdaten!$B$4*Steuerungsdaten!$B$9*IFERROR(VLOOKUP(C249,Steuerungsdaten!$B$17:$G$37,6,FALSE),1)*POWER(IF(OR(E249=0,F249=0,E249="",F249=""),1,(E249*F249/1000000)/Steuerungsdaten!$B$6),IFERROR(VLOOKUP(C249,Steuerungsdaten!$B$17:$M$37,12,FALSE),1)-1),0),Steuerungsdaten!$E$6))</f>
        <v>451</v>
      </c>
      <c r="J249" s="72" t="s">
        <v>988</v>
      </c>
      <c r="K249" s="72">
        <f>IFERROR(IF(G249="","",ROUND(G249*Steuerungsdaten!$B$5,0)),"-")</f>
        <v>401</v>
      </c>
      <c r="L249" s="72">
        <f>IFERROR(IF(H249="","",ROUND(H249*Steuerungsdaten!$B$5,0)),"-")</f>
        <v>476</v>
      </c>
      <c r="M249" s="72">
        <f>IFERROR(IF(I249="","",ROUND(I249*Steuerungsdaten!$B$5,0)),"-")</f>
        <v>519</v>
      </c>
      <c r="N249" s="73" t="str">
        <f>IFERROR(IF(J249="","",ROUND(J249*Steuerungsdaten!$B$5,0)),"-")</f>
        <v>-</v>
      </c>
      <c r="O249" s="79">
        <v>429</v>
      </c>
      <c r="P249" s="79">
        <f>IF(H249="","",ROUND(H249/(Steuerungsdaten!$B$4*Steuerungsdaten!$B$8*IFERROR(VLOOKUP(C249,Steuerungsdaten!$B$17:$E$37,4,FALSE),1)*POWER(IF(OR(E249=0,F249=0,E249="",F249=""),1,(E249*F249/1000000)/Steuerungsdaten!$B$6),IFERROR(VLOOKUP(C249,Steuerungsdaten!$B$17:$L$37,11,FALSE),1)-1)),0))</f>
        <v>418</v>
      </c>
      <c r="Q249" s="79">
        <f>IF(I249="","",ROUND(I249/(Steuerungsdaten!$B$4*Steuerungsdaten!$B$9*IFERROR(VLOOKUP(C249,Steuerungsdaten!$B$17:$G$37,6,FALSE),1)*POWER(IF(OR(E249=0,F249=0,E249="",F249=""),1,(E249*F249/1000000)/Steuerungsdaten!$B$6),IFERROR(VLOOKUP(C249,Steuerungsdaten!$B$17:$M$37,12,FALSE),1)-1)),0))</f>
        <v>455</v>
      </c>
      <c r="R249" s="79" t="e">
        <f>IF(J249="","",ROUND(J249/(Steuerungsdaten!$B$4*Steuerungsdaten!$B$10*IFERROR(VLOOKUP(C249,Steuerungsdaten!$B$17:$I$37,8,FALSE),1)*POWER(IF(OR(E249=0,F249=0,E249="",F249=""),1,(E249*F249/1000000)/Steuerungsdaten!$B$6),IFERROR(VLOOKUP(C249,Steuerungsdaten!$B$17:$N$37,13,FALSE),1)-1)),0))</f>
        <v>#VALUE!</v>
      </c>
    </row>
    <row r="250" spans="1:18" ht="15.75" thickBot="1" x14ac:dyDescent="0.3">
      <c r="A250" s="74" t="s">
        <v>255</v>
      </c>
      <c r="B250" s="75" t="s">
        <v>7</v>
      </c>
      <c r="C250" s="75" t="s">
        <v>2</v>
      </c>
      <c r="D250" s="75" t="s">
        <v>251</v>
      </c>
      <c r="E250" s="76">
        <v>780</v>
      </c>
      <c r="F250" s="76">
        <v>180</v>
      </c>
      <c r="G250" s="175">
        <f>IF(VLOOKUP(C250,Steuerungsdaten!$P$17:$T$39,2,0)="","",MAX(ROUND(VLOOKUP(C250,Steuerungsdaten!$P$17:$T$39,2,0)*Steuerungsdaten!$B$4*Steuerungsdaten!$B$7*IFERROR(VLOOKUP(C250,Steuerungsdaten!$B$17:$C$37,2,FALSE),1)*POWER(IF(OR(E250=0,F250=0,E250="",F250=""),1,(E250*F250/1000000)/Steuerungsdaten!$B$6),IFERROR(VLOOKUP(C250,Steuerungsdaten!$B$17:$K$37,10,FALSE),1)-1),0),Steuerungsdaten!$E$4))</f>
        <v>318</v>
      </c>
      <c r="H250" s="175">
        <f>IF(VLOOKUP(C250,Steuerungsdaten!$P$17:$T$39,3,0)="","",MAX(ROUND(VLOOKUP(C250,Steuerungsdaten!$P$17:$T$39,3,0)*Steuerungsdaten!$B$4*Steuerungsdaten!$B$8*IFERROR(VLOOKUP(C250,Steuerungsdaten!$B$17:$E$37,4,FALSE),1)*POWER(IF(OR(E250=0,F250=0,E250="",F250=""),1,(E250*F250/1000000)/Steuerungsdaten!$B$6),IFERROR(VLOOKUP(C250,Steuerungsdaten!$B$17:$L$37,11,FALSE),1)-1),0),Steuerungsdaten!$E$5))</f>
        <v>378</v>
      </c>
      <c r="I250" s="175">
        <f>IF(VLOOKUP(C250,Steuerungsdaten!$P$17:$T$39,4,0)="","",MAX(ROUND(VLOOKUP(C250,Steuerungsdaten!$P$17:$T$39,4,0)*Steuerungsdaten!$B$4*Steuerungsdaten!$B$9*IFERROR(VLOOKUP(C250,Steuerungsdaten!$B$17:$G$37,6,FALSE),1)*POWER(IF(OR(E250=0,F250=0,E250="",F250=""),1,(E250*F250/1000000)/Steuerungsdaten!$B$6),IFERROR(VLOOKUP(C250,Steuerungsdaten!$B$17:$M$37,12,FALSE),1)-1),0),Steuerungsdaten!$E$6))</f>
        <v>411</v>
      </c>
      <c r="J250" s="175" t="s">
        <v>988</v>
      </c>
      <c r="K250" s="175">
        <f>IFERROR(IF(G250="","",ROUND(G250*Steuerungsdaten!$B$5,0)),"-")</f>
        <v>366</v>
      </c>
      <c r="L250" s="175">
        <f>IFERROR(IF(H250="","",ROUND(H250*Steuerungsdaten!$B$5,0)),"-")</f>
        <v>435</v>
      </c>
      <c r="M250" s="175">
        <f>IFERROR(IF(I250="","",ROUND(I250*Steuerungsdaten!$B$5,0)),"-")</f>
        <v>473</v>
      </c>
      <c r="N250" s="176" t="str">
        <f>IFERROR(IF(J250="","",ROUND(J250*Steuerungsdaten!$B$5,0)),"-")</f>
        <v>-</v>
      </c>
      <c r="O250" s="79">
        <v>309</v>
      </c>
      <c r="P250" s="79">
        <f>IF(H250="","",ROUND(H250/(Steuerungsdaten!$B$4*Steuerungsdaten!$B$8*IFERROR(VLOOKUP(C250,Steuerungsdaten!$B$17:$E$37,4,FALSE),1)*POWER(IF(OR(E250=0,F250=0,E250="",F250=""),1,(E250*F250/1000000)/Steuerungsdaten!$B$6),IFERROR(VLOOKUP(C250,Steuerungsdaten!$B$17:$L$37,11,FALSE),1)-1)),0))</f>
        <v>418</v>
      </c>
      <c r="Q250" s="79">
        <f>IF(I250="","",ROUND(I250/(Steuerungsdaten!$B$4*Steuerungsdaten!$B$9*IFERROR(VLOOKUP(C250,Steuerungsdaten!$B$17:$G$37,6,FALSE),1)*POWER(IF(OR(E250=0,F250=0,E250="",F250=""),1,(E250*F250/1000000)/Steuerungsdaten!$B$6),IFERROR(VLOOKUP(C250,Steuerungsdaten!$B$17:$M$37,12,FALSE),1)-1)),0))</f>
        <v>455</v>
      </c>
      <c r="R250" s="79" t="e">
        <f>IF(J250="","",ROUND(J250/(Steuerungsdaten!$B$4*Steuerungsdaten!$B$10*IFERROR(VLOOKUP(C250,Steuerungsdaten!$B$17:$I$37,8,FALSE),1)*POWER(IF(OR(E250=0,F250=0,E250="",F250=""),1,(E250*F250/1000000)/Steuerungsdaten!$B$6),IFERROR(VLOOKUP(C250,Steuerungsdaten!$B$17:$N$37,13,FALSE),1)-1)),0))</f>
        <v>#VALUE!</v>
      </c>
    </row>
    <row r="251" spans="1:18" ht="15.75" thickBot="1" x14ac:dyDescent="0.3">
      <c r="A251" s="69" t="s">
        <v>258</v>
      </c>
      <c r="B251" s="70" t="s">
        <v>7</v>
      </c>
      <c r="C251" s="70" t="s">
        <v>2</v>
      </c>
      <c r="D251" s="163" t="s">
        <v>259</v>
      </c>
      <c r="E251" s="164">
        <v>420</v>
      </c>
      <c r="F251" s="164">
        <v>134</v>
      </c>
      <c r="G251" s="173" t="s">
        <v>988</v>
      </c>
      <c r="H251" s="173" t="s">
        <v>988</v>
      </c>
      <c r="I251" s="173" t="s">
        <v>988</v>
      </c>
      <c r="J251" s="173" t="s">
        <v>988</v>
      </c>
      <c r="K251" s="173" t="s">
        <v>988</v>
      </c>
      <c r="L251" s="173" t="s">
        <v>988</v>
      </c>
      <c r="M251" s="173" t="s">
        <v>988</v>
      </c>
      <c r="N251" s="174" t="s">
        <v>988</v>
      </c>
      <c r="O251" s="79">
        <v>285</v>
      </c>
      <c r="P251" s="79" t="e">
        <f>IF(H251="","",ROUND(H251/(Steuerungsdaten!$B$4*Steuerungsdaten!$B$8*IFERROR(VLOOKUP(C251,Steuerungsdaten!$B$17:$E$37,4,FALSE),1)*POWER(IF(OR(E251=0,F251=0,E251="",F251=""),1,(E251*F251/1000000)/Steuerungsdaten!$B$6),IFERROR(VLOOKUP(C251,Steuerungsdaten!$B$17:$L$37,11,FALSE),1)-1)),0))</f>
        <v>#VALUE!</v>
      </c>
      <c r="Q251" s="79" t="e">
        <f>IF(I251="","",ROUND(I251/(Steuerungsdaten!$B$4*Steuerungsdaten!$B$9*IFERROR(VLOOKUP(C251,Steuerungsdaten!$B$17:$G$37,6,FALSE),1)*POWER(IF(OR(E251=0,F251=0,E251="",F251=""),1,(E251*F251/1000000)/Steuerungsdaten!$B$6),IFERROR(VLOOKUP(C251,Steuerungsdaten!$B$17:$M$37,12,FALSE),1)-1)),0))</f>
        <v>#VALUE!</v>
      </c>
      <c r="R251" s="79" t="e">
        <f>IF(J251="","",ROUND(J251/(Steuerungsdaten!$B$4*Steuerungsdaten!$B$10*IFERROR(VLOOKUP(C251,Steuerungsdaten!$B$17:$I$37,8,FALSE),1)*POWER(IF(OR(E251=0,F251=0,E251="",F251=""),1,(E251*F251/1000000)/Steuerungsdaten!$B$6),IFERROR(VLOOKUP(C251,Steuerungsdaten!$B$17:$N$37,13,FALSE),1)-1)),0))</f>
        <v>#VALUE!</v>
      </c>
    </row>
    <row r="252" spans="1:18" ht="15.75" thickBot="1" x14ac:dyDescent="0.3">
      <c r="A252" s="74" t="s">
        <v>260</v>
      </c>
      <c r="B252" s="75" t="s">
        <v>7</v>
      </c>
      <c r="C252" s="75" t="s">
        <v>2</v>
      </c>
      <c r="D252" s="163" t="s">
        <v>261</v>
      </c>
      <c r="E252" s="164">
        <v>420</v>
      </c>
      <c r="F252" s="164">
        <v>220</v>
      </c>
      <c r="G252" s="169" t="s">
        <v>988</v>
      </c>
      <c r="H252" s="169" t="s">
        <v>988</v>
      </c>
      <c r="I252" s="169" t="s">
        <v>988</v>
      </c>
      <c r="J252" s="169" t="s">
        <v>988</v>
      </c>
      <c r="K252" s="169" t="s">
        <v>988</v>
      </c>
      <c r="L252" s="169" t="s">
        <v>988</v>
      </c>
      <c r="M252" s="169" t="s">
        <v>988</v>
      </c>
      <c r="N252" s="170" t="s">
        <v>988</v>
      </c>
      <c r="O252" s="79">
        <v>285</v>
      </c>
      <c r="P252" s="79" t="e">
        <f>IF(H252="","",ROUND(H252/(Steuerungsdaten!$B$4*Steuerungsdaten!$B$8*IFERROR(VLOOKUP(C252,Steuerungsdaten!$B$17:$E$37,4,FALSE),1)*POWER(IF(OR(E252=0,F252=0,E252="",F252=""),1,(E252*F252/1000000)/Steuerungsdaten!$B$6),IFERROR(VLOOKUP(C252,Steuerungsdaten!$B$17:$L$37,11,FALSE),1)-1)),0))</f>
        <v>#VALUE!</v>
      </c>
      <c r="Q252" s="79" t="e">
        <f>IF(I252="","",ROUND(I252/(Steuerungsdaten!$B$4*Steuerungsdaten!$B$9*IFERROR(VLOOKUP(C252,Steuerungsdaten!$B$17:$G$37,6,FALSE),1)*POWER(IF(OR(E252=0,F252=0,E252="",F252=""),1,(E252*F252/1000000)/Steuerungsdaten!$B$6),IFERROR(VLOOKUP(C252,Steuerungsdaten!$B$17:$M$37,12,FALSE),1)-1)),0))</f>
        <v>#VALUE!</v>
      </c>
      <c r="R252" s="79" t="e">
        <f>IF(J252="","",ROUND(J252/(Steuerungsdaten!$B$4*Steuerungsdaten!$B$10*IFERROR(VLOOKUP(C252,Steuerungsdaten!$B$17:$I$37,8,FALSE),1)*POWER(IF(OR(E252=0,F252=0,E252="",F252=""),1,(E252*F252/1000000)/Steuerungsdaten!$B$6),IFERROR(VLOOKUP(C252,Steuerungsdaten!$B$17:$N$37,13,FALSE),1)-1)),0))</f>
        <v>#VALUE!</v>
      </c>
    </row>
    <row r="253" spans="1:18" ht="15.75" thickBot="1" x14ac:dyDescent="0.3">
      <c r="A253" s="69" t="s">
        <v>262</v>
      </c>
      <c r="B253" s="70" t="s">
        <v>7</v>
      </c>
      <c r="C253" s="70" t="s">
        <v>2</v>
      </c>
      <c r="D253" s="163" t="s">
        <v>263</v>
      </c>
      <c r="E253" s="164">
        <v>412</v>
      </c>
      <c r="F253" s="164">
        <v>121</v>
      </c>
      <c r="G253" s="173" t="s">
        <v>988</v>
      </c>
      <c r="H253" s="173" t="s">
        <v>988</v>
      </c>
      <c r="I253" s="173" t="s">
        <v>988</v>
      </c>
      <c r="J253" s="173" t="s">
        <v>988</v>
      </c>
      <c r="K253" s="173" t="s">
        <v>988</v>
      </c>
      <c r="L253" s="173" t="s">
        <v>988</v>
      </c>
      <c r="M253" s="173" t="s">
        <v>988</v>
      </c>
      <c r="N253" s="174" t="s">
        <v>988</v>
      </c>
      <c r="O253" s="79">
        <v>285</v>
      </c>
      <c r="P253" s="79" t="e">
        <f>IF(H253="","",ROUND(H253/(Steuerungsdaten!$B$4*Steuerungsdaten!$B$8*IFERROR(VLOOKUP(C253,Steuerungsdaten!$B$17:$E$37,4,FALSE),1)*POWER(IF(OR(E253=0,F253=0,E253="",F253=""),1,(E253*F253/1000000)/Steuerungsdaten!$B$6),IFERROR(VLOOKUP(C253,Steuerungsdaten!$B$17:$L$37,11,FALSE),1)-1)),0))</f>
        <v>#VALUE!</v>
      </c>
      <c r="Q253" s="79" t="e">
        <f>IF(I253="","",ROUND(I253/(Steuerungsdaten!$B$4*Steuerungsdaten!$B$9*IFERROR(VLOOKUP(C253,Steuerungsdaten!$B$17:$G$37,6,FALSE),1)*POWER(IF(OR(E253=0,F253=0,E253="",F253=""),1,(E253*F253/1000000)/Steuerungsdaten!$B$6),IFERROR(VLOOKUP(C253,Steuerungsdaten!$B$17:$M$37,12,FALSE),1)-1)),0))</f>
        <v>#VALUE!</v>
      </c>
      <c r="R253" s="79" t="e">
        <f>IF(J253="","",ROUND(J253/(Steuerungsdaten!$B$4*Steuerungsdaten!$B$10*IFERROR(VLOOKUP(C253,Steuerungsdaten!$B$17:$I$37,8,FALSE),1)*POWER(IF(OR(E253=0,F253=0,E253="",F253=""),1,(E253*F253/1000000)/Steuerungsdaten!$B$6),IFERROR(VLOOKUP(C253,Steuerungsdaten!$B$17:$N$37,13,FALSE),1)-1)),0))</f>
        <v>#VALUE!</v>
      </c>
    </row>
    <row r="254" spans="1:18" ht="15.75" thickBot="1" x14ac:dyDescent="0.3">
      <c r="A254" s="74" t="s">
        <v>264</v>
      </c>
      <c r="B254" s="75" t="s">
        <v>7</v>
      </c>
      <c r="C254" s="75" t="s">
        <v>2</v>
      </c>
      <c r="D254" s="163" t="s">
        <v>265</v>
      </c>
      <c r="E254" s="164">
        <v>412</v>
      </c>
      <c r="F254" s="164">
        <v>400</v>
      </c>
      <c r="G254" s="169" t="s">
        <v>988</v>
      </c>
      <c r="H254" s="169" t="s">
        <v>988</v>
      </c>
      <c r="I254" s="169" t="s">
        <v>988</v>
      </c>
      <c r="J254" s="169" t="s">
        <v>988</v>
      </c>
      <c r="K254" s="169" t="s">
        <v>988</v>
      </c>
      <c r="L254" s="169" t="s">
        <v>988</v>
      </c>
      <c r="M254" s="169" t="s">
        <v>988</v>
      </c>
      <c r="N254" s="170" t="s">
        <v>988</v>
      </c>
      <c r="O254" s="79">
        <v>352</v>
      </c>
      <c r="P254" s="79" t="e">
        <f>IF(H254="","",ROUND(H254/(Steuerungsdaten!$B$4*Steuerungsdaten!$B$8*IFERROR(VLOOKUP(C254,Steuerungsdaten!$B$17:$E$37,4,FALSE),1)*POWER(IF(OR(E254=0,F254=0,E254="",F254=""),1,(E254*F254/1000000)/Steuerungsdaten!$B$6),IFERROR(VLOOKUP(C254,Steuerungsdaten!$B$17:$L$37,11,FALSE),1)-1)),0))</f>
        <v>#VALUE!</v>
      </c>
      <c r="Q254" s="79" t="e">
        <f>IF(I254="","",ROUND(I254/(Steuerungsdaten!$B$4*Steuerungsdaten!$B$9*IFERROR(VLOOKUP(C254,Steuerungsdaten!$B$17:$G$37,6,FALSE),1)*POWER(IF(OR(E254=0,F254=0,E254="",F254=""),1,(E254*F254/1000000)/Steuerungsdaten!$B$6),IFERROR(VLOOKUP(C254,Steuerungsdaten!$B$17:$M$37,12,FALSE),1)-1)),0))</f>
        <v>#VALUE!</v>
      </c>
      <c r="R254" s="79" t="e">
        <f>IF(J254="","",ROUND(J254/(Steuerungsdaten!$B$4*Steuerungsdaten!$B$10*IFERROR(VLOOKUP(C254,Steuerungsdaten!$B$17:$I$37,8,FALSE),1)*POWER(IF(OR(E254=0,F254=0,E254="",F254=""),1,(E254*F254/1000000)/Steuerungsdaten!$B$6),IFERROR(VLOOKUP(C254,Steuerungsdaten!$B$17:$N$37,13,FALSE),1)-1)),0))</f>
        <v>#VALUE!</v>
      </c>
    </row>
    <row r="255" spans="1:18" ht="15.75" thickBot="1" x14ac:dyDescent="0.3">
      <c r="A255" s="69" t="s">
        <v>266</v>
      </c>
      <c r="B255" s="70" t="s">
        <v>7</v>
      </c>
      <c r="C255" s="70" t="s">
        <v>2</v>
      </c>
      <c r="D255" s="163" t="s">
        <v>267</v>
      </c>
      <c r="E255" s="164">
        <v>420</v>
      </c>
      <c r="F255" s="164">
        <v>145</v>
      </c>
      <c r="G255" s="173" t="s">
        <v>988</v>
      </c>
      <c r="H255" s="173" t="s">
        <v>988</v>
      </c>
      <c r="I255" s="173" t="s">
        <v>988</v>
      </c>
      <c r="J255" s="173" t="s">
        <v>988</v>
      </c>
      <c r="K255" s="173" t="s">
        <v>988</v>
      </c>
      <c r="L255" s="173" t="s">
        <v>988</v>
      </c>
      <c r="M255" s="173" t="s">
        <v>988</v>
      </c>
      <c r="N255" s="174" t="s">
        <v>988</v>
      </c>
      <c r="O255" s="79">
        <v>285</v>
      </c>
      <c r="P255" s="79" t="e">
        <f>IF(H255="","",ROUND(H255/(Steuerungsdaten!$B$4*Steuerungsdaten!$B$8*IFERROR(VLOOKUP(C255,Steuerungsdaten!$B$17:$E$37,4,FALSE),1)*POWER(IF(OR(E255=0,F255=0,E255="",F255=""),1,(E255*F255/1000000)/Steuerungsdaten!$B$6),IFERROR(VLOOKUP(C255,Steuerungsdaten!$B$17:$L$37,11,FALSE),1)-1)),0))</f>
        <v>#VALUE!</v>
      </c>
      <c r="Q255" s="79" t="e">
        <f>IF(I255="","",ROUND(I255/(Steuerungsdaten!$B$4*Steuerungsdaten!$B$9*IFERROR(VLOOKUP(C255,Steuerungsdaten!$B$17:$G$37,6,FALSE),1)*POWER(IF(OR(E255=0,F255=0,E255="",F255=""),1,(E255*F255/1000000)/Steuerungsdaten!$B$6),IFERROR(VLOOKUP(C255,Steuerungsdaten!$B$17:$M$37,12,FALSE),1)-1)),0))</f>
        <v>#VALUE!</v>
      </c>
      <c r="R255" s="79" t="e">
        <f>IF(J255="","",ROUND(J255/(Steuerungsdaten!$B$4*Steuerungsdaten!$B$10*IFERROR(VLOOKUP(C255,Steuerungsdaten!$B$17:$I$37,8,FALSE),1)*POWER(IF(OR(E255=0,F255=0,E255="",F255=""),1,(E255*F255/1000000)/Steuerungsdaten!$B$6),IFERROR(VLOOKUP(C255,Steuerungsdaten!$B$17:$N$37,13,FALSE),1)-1)),0))</f>
        <v>#VALUE!</v>
      </c>
    </row>
    <row r="256" spans="1:18" ht="15.75" thickBot="1" x14ac:dyDescent="0.3">
      <c r="A256" s="74" t="s">
        <v>268</v>
      </c>
      <c r="B256" s="75" t="s">
        <v>7</v>
      </c>
      <c r="C256" s="75" t="s">
        <v>2</v>
      </c>
      <c r="D256" s="163" t="s">
        <v>269</v>
      </c>
      <c r="E256" s="164">
        <v>420</v>
      </c>
      <c r="F256" s="164">
        <v>293</v>
      </c>
      <c r="G256" s="169" t="s">
        <v>988</v>
      </c>
      <c r="H256" s="169" t="s">
        <v>988</v>
      </c>
      <c r="I256" s="169" t="s">
        <v>988</v>
      </c>
      <c r="J256" s="169" t="s">
        <v>988</v>
      </c>
      <c r="K256" s="169" t="s">
        <v>988</v>
      </c>
      <c r="L256" s="169" t="s">
        <v>988</v>
      </c>
      <c r="M256" s="169" t="s">
        <v>988</v>
      </c>
      <c r="N256" s="170" t="s">
        <v>988</v>
      </c>
      <c r="O256" s="79">
        <v>352</v>
      </c>
      <c r="P256" s="79" t="e">
        <f>IF(H256="","",ROUND(H256/(Steuerungsdaten!$B$4*Steuerungsdaten!$B$8*IFERROR(VLOOKUP(C256,Steuerungsdaten!$B$17:$E$37,4,FALSE),1)*POWER(IF(OR(E256=0,F256=0,E256="",F256=""),1,(E256*F256/1000000)/Steuerungsdaten!$B$6),IFERROR(VLOOKUP(C256,Steuerungsdaten!$B$17:$L$37,11,FALSE),1)-1)),0))</f>
        <v>#VALUE!</v>
      </c>
      <c r="Q256" s="79" t="e">
        <f>IF(I256="","",ROUND(I256/(Steuerungsdaten!$B$4*Steuerungsdaten!$B$9*IFERROR(VLOOKUP(C256,Steuerungsdaten!$B$17:$G$37,6,FALSE),1)*POWER(IF(OR(E256=0,F256=0,E256="",F256=""),1,(E256*F256/1000000)/Steuerungsdaten!$B$6),IFERROR(VLOOKUP(C256,Steuerungsdaten!$B$17:$M$37,12,FALSE),1)-1)),0))</f>
        <v>#VALUE!</v>
      </c>
      <c r="R256" s="79" t="e">
        <f>IF(J256="","",ROUND(J256/(Steuerungsdaten!$B$4*Steuerungsdaten!$B$10*IFERROR(VLOOKUP(C256,Steuerungsdaten!$B$17:$I$37,8,FALSE),1)*POWER(IF(OR(E256=0,F256=0,E256="",F256=""),1,(E256*F256/1000000)/Steuerungsdaten!$B$6),IFERROR(VLOOKUP(C256,Steuerungsdaten!$B$17:$N$37,13,FALSE),1)-1)),0))</f>
        <v>#VALUE!</v>
      </c>
    </row>
    <row r="257" spans="1:18" ht="15.75" thickBot="1" x14ac:dyDescent="0.3">
      <c r="A257" s="69" t="s">
        <v>270</v>
      </c>
      <c r="B257" s="70" t="s">
        <v>7</v>
      </c>
      <c r="C257" s="70" t="s">
        <v>2</v>
      </c>
      <c r="D257" s="163" t="s">
        <v>271</v>
      </c>
      <c r="E257" s="164">
        <v>420</v>
      </c>
      <c r="F257" s="164">
        <v>67</v>
      </c>
      <c r="G257" s="173" t="s">
        <v>988</v>
      </c>
      <c r="H257" s="173" t="s">
        <v>988</v>
      </c>
      <c r="I257" s="173" t="s">
        <v>988</v>
      </c>
      <c r="J257" s="173" t="s">
        <v>988</v>
      </c>
      <c r="K257" s="173" t="s">
        <v>988</v>
      </c>
      <c r="L257" s="173" t="s">
        <v>988</v>
      </c>
      <c r="M257" s="173" t="s">
        <v>988</v>
      </c>
      <c r="N257" s="174" t="s">
        <v>988</v>
      </c>
      <c r="O257" s="79">
        <v>285</v>
      </c>
      <c r="P257" s="79" t="e">
        <f>IF(H257="","",ROUND(H257/(Steuerungsdaten!$B$4*Steuerungsdaten!$B$8*IFERROR(VLOOKUP(C257,Steuerungsdaten!$B$17:$E$37,4,FALSE),1)*POWER(IF(OR(E257=0,F257=0,E257="",F257=""),1,(E257*F257/1000000)/Steuerungsdaten!$B$6),IFERROR(VLOOKUP(C257,Steuerungsdaten!$B$17:$L$37,11,FALSE),1)-1)),0))</f>
        <v>#VALUE!</v>
      </c>
      <c r="Q257" s="79" t="e">
        <f>IF(I257="","",ROUND(I257/(Steuerungsdaten!$B$4*Steuerungsdaten!$B$9*IFERROR(VLOOKUP(C257,Steuerungsdaten!$B$17:$G$37,6,FALSE),1)*POWER(IF(OR(E257=0,F257=0,E257="",F257=""),1,(E257*F257/1000000)/Steuerungsdaten!$B$6),IFERROR(VLOOKUP(C257,Steuerungsdaten!$B$17:$M$37,12,FALSE),1)-1)),0))</f>
        <v>#VALUE!</v>
      </c>
      <c r="R257" s="79" t="e">
        <f>IF(J257="","",ROUND(J257/(Steuerungsdaten!$B$4*Steuerungsdaten!$B$10*IFERROR(VLOOKUP(C257,Steuerungsdaten!$B$17:$I$37,8,FALSE),1)*POWER(IF(OR(E257=0,F257=0,E257="",F257=""),1,(E257*F257/1000000)/Steuerungsdaten!$B$6),IFERROR(VLOOKUP(C257,Steuerungsdaten!$B$17:$N$37,13,FALSE),1)-1)),0))</f>
        <v>#VALUE!</v>
      </c>
    </row>
    <row r="258" spans="1:18" ht="15.75" thickBot="1" x14ac:dyDescent="0.3">
      <c r="A258" s="74" t="s">
        <v>272</v>
      </c>
      <c r="B258" s="75" t="s">
        <v>7</v>
      </c>
      <c r="C258" s="75" t="s">
        <v>2</v>
      </c>
      <c r="D258" s="163" t="s">
        <v>273</v>
      </c>
      <c r="E258" s="164">
        <v>420</v>
      </c>
      <c r="F258" s="164">
        <v>142</v>
      </c>
      <c r="G258" s="169" t="s">
        <v>988</v>
      </c>
      <c r="H258" s="169" t="s">
        <v>988</v>
      </c>
      <c r="I258" s="169" t="s">
        <v>988</v>
      </c>
      <c r="J258" s="169" t="s">
        <v>988</v>
      </c>
      <c r="K258" s="169" t="s">
        <v>988</v>
      </c>
      <c r="L258" s="169" t="s">
        <v>988</v>
      </c>
      <c r="M258" s="169" t="s">
        <v>988</v>
      </c>
      <c r="N258" s="170" t="s">
        <v>988</v>
      </c>
      <c r="O258" s="79">
        <v>285</v>
      </c>
      <c r="P258" s="79" t="e">
        <f>IF(H258="","",ROUND(H258/(Steuerungsdaten!$B$4*Steuerungsdaten!$B$8*IFERROR(VLOOKUP(C258,Steuerungsdaten!$B$17:$E$37,4,FALSE),1)*POWER(IF(OR(E258=0,F258=0,E258="",F258=""),1,(E258*F258/1000000)/Steuerungsdaten!$B$6),IFERROR(VLOOKUP(C258,Steuerungsdaten!$B$17:$L$37,11,FALSE),1)-1)),0))</f>
        <v>#VALUE!</v>
      </c>
      <c r="Q258" s="79" t="e">
        <f>IF(I258="","",ROUND(I258/(Steuerungsdaten!$B$4*Steuerungsdaten!$B$9*IFERROR(VLOOKUP(C258,Steuerungsdaten!$B$17:$G$37,6,FALSE),1)*POWER(IF(OR(E258=0,F258=0,E258="",F258=""),1,(E258*F258/1000000)/Steuerungsdaten!$B$6),IFERROR(VLOOKUP(C258,Steuerungsdaten!$B$17:$M$37,12,FALSE),1)-1)),0))</f>
        <v>#VALUE!</v>
      </c>
      <c r="R258" s="79" t="e">
        <f>IF(J258="","",ROUND(J258/(Steuerungsdaten!$B$4*Steuerungsdaten!$B$10*IFERROR(VLOOKUP(C258,Steuerungsdaten!$B$17:$I$37,8,FALSE),1)*POWER(IF(OR(E258=0,F258=0,E258="",F258=""),1,(E258*F258/1000000)/Steuerungsdaten!$B$6),IFERROR(VLOOKUP(C258,Steuerungsdaten!$B$17:$N$37,13,FALSE),1)-1)),0))</f>
        <v>#VALUE!</v>
      </c>
    </row>
    <row r="259" spans="1:18" ht="15.75" thickBot="1" x14ac:dyDescent="0.3">
      <c r="A259" s="69" t="s">
        <v>274</v>
      </c>
      <c r="B259" s="70" t="s">
        <v>7</v>
      </c>
      <c r="C259" s="70" t="s">
        <v>2</v>
      </c>
      <c r="D259" s="163" t="s">
        <v>275</v>
      </c>
      <c r="E259" s="164">
        <v>420</v>
      </c>
      <c r="F259" s="164">
        <v>280</v>
      </c>
      <c r="G259" s="173" t="s">
        <v>988</v>
      </c>
      <c r="H259" s="173" t="s">
        <v>988</v>
      </c>
      <c r="I259" s="173" t="s">
        <v>988</v>
      </c>
      <c r="J259" s="173" t="s">
        <v>988</v>
      </c>
      <c r="K259" s="173" t="s">
        <v>988</v>
      </c>
      <c r="L259" s="173" t="s">
        <v>988</v>
      </c>
      <c r="M259" s="173" t="s">
        <v>988</v>
      </c>
      <c r="N259" s="174" t="s">
        <v>988</v>
      </c>
      <c r="O259" s="79">
        <v>285</v>
      </c>
      <c r="P259" s="79" t="e">
        <f>IF(H259="","",ROUND(H259/(Steuerungsdaten!$B$4*Steuerungsdaten!$B$8*IFERROR(VLOOKUP(C259,Steuerungsdaten!$B$17:$E$37,4,FALSE),1)*POWER(IF(OR(E259=0,F259=0,E259="",F259=""),1,(E259*F259/1000000)/Steuerungsdaten!$B$6),IFERROR(VLOOKUP(C259,Steuerungsdaten!$B$17:$L$37,11,FALSE),1)-1)),0))</f>
        <v>#VALUE!</v>
      </c>
      <c r="Q259" s="79" t="e">
        <f>IF(I259="","",ROUND(I259/(Steuerungsdaten!$B$4*Steuerungsdaten!$B$9*IFERROR(VLOOKUP(C259,Steuerungsdaten!$B$17:$G$37,6,FALSE),1)*POWER(IF(OR(E259=0,F259=0,E259="",F259=""),1,(E259*F259/1000000)/Steuerungsdaten!$B$6),IFERROR(VLOOKUP(C259,Steuerungsdaten!$B$17:$M$37,12,FALSE),1)-1)),0))</f>
        <v>#VALUE!</v>
      </c>
      <c r="R259" s="79" t="e">
        <f>IF(J259="","",ROUND(J259/(Steuerungsdaten!$B$4*Steuerungsdaten!$B$10*IFERROR(VLOOKUP(C259,Steuerungsdaten!$B$17:$I$37,8,FALSE),1)*POWER(IF(OR(E259=0,F259=0,E259="",F259=""),1,(E259*F259/1000000)/Steuerungsdaten!$B$6),IFERROR(VLOOKUP(C259,Steuerungsdaten!$B$17:$N$37,13,FALSE),1)-1)),0))</f>
        <v>#VALUE!</v>
      </c>
    </row>
    <row r="260" spans="1:18" ht="15.75" thickBot="1" x14ac:dyDescent="0.3">
      <c r="A260" s="74" t="s">
        <v>276</v>
      </c>
      <c r="B260" s="75" t="s">
        <v>7</v>
      </c>
      <c r="C260" s="75" t="s">
        <v>2</v>
      </c>
      <c r="D260" s="163" t="s">
        <v>277</v>
      </c>
      <c r="E260" s="164">
        <v>420</v>
      </c>
      <c r="F260" s="164">
        <v>141</v>
      </c>
      <c r="G260" s="167" t="s">
        <v>988</v>
      </c>
      <c r="H260" s="167" t="s">
        <v>988</v>
      </c>
      <c r="I260" s="167" t="s">
        <v>988</v>
      </c>
      <c r="J260" s="167" t="s">
        <v>988</v>
      </c>
      <c r="K260" s="167" t="s">
        <v>988</v>
      </c>
      <c r="L260" s="167" t="s">
        <v>988</v>
      </c>
      <c r="M260" s="167" t="s">
        <v>988</v>
      </c>
      <c r="N260" s="168" t="s">
        <v>988</v>
      </c>
      <c r="O260" s="79">
        <v>285</v>
      </c>
      <c r="P260" s="79" t="e">
        <f>IF(H260="","",ROUND(H260/(Steuerungsdaten!$B$4*Steuerungsdaten!$B$8*IFERROR(VLOOKUP(C260,Steuerungsdaten!$B$17:$E$37,4,FALSE),1)*POWER(IF(OR(E260=0,F260=0,E260="",F260=""),1,(E260*F260/1000000)/Steuerungsdaten!$B$6),IFERROR(VLOOKUP(C260,Steuerungsdaten!$B$17:$L$37,11,FALSE),1)-1)),0))</f>
        <v>#VALUE!</v>
      </c>
      <c r="Q260" s="79" t="e">
        <f>IF(I260="","",ROUND(I260/(Steuerungsdaten!$B$4*Steuerungsdaten!$B$9*IFERROR(VLOOKUP(C260,Steuerungsdaten!$B$17:$G$37,6,FALSE),1)*POWER(IF(OR(E260=0,F260=0,E260="",F260=""),1,(E260*F260/1000000)/Steuerungsdaten!$B$6),IFERROR(VLOOKUP(C260,Steuerungsdaten!$B$17:$M$37,12,FALSE),1)-1)),0))</f>
        <v>#VALUE!</v>
      </c>
      <c r="R260" s="79" t="e">
        <f>IF(J260="","",ROUND(J260/(Steuerungsdaten!$B$4*Steuerungsdaten!$B$10*IFERROR(VLOOKUP(C260,Steuerungsdaten!$B$17:$I$37,8,FALSE),1)*POWER(IF(OR(E260=0,F260=0,E260="",F260=""),1,(E260*F260/1000000)/Steuerungsdaten!$B$6),IFERROR(VLOOKUP(C260,Steuerungsdaten!$B$17:$N$37,13,FALSE),1)-1)),0))</f>
        <v>#VALUE!</v>
      </c>
    </row>
    <row r="261" spans="1:18" ht="21.95" customHeight="1" x14ac:dyDescent="0.25">
      <c r="A261" s="425" t="s">
        <v>278</v>
      </c>
      <c r="B261" s="426"/>
      <c r="C261" s="426"/>
      <c r="D261" s="426"/>
      <c r="E261" s="426"/>
      <c r="F261" s="426"/>
      <c r="G261" s="427"/>
      <c r="H261" s="427"/>
      <c r="I261" s="427"/>
      <c r="J261" s="427"/>
      <c r="K261" s="427" t="str">
        <f>IFERROR(IF(G261="","",ROUND(G261*Steuerungsdaten!$B$5,0)),"-")</f>
        <v/>
      </c>
      <c r="L261" s="427" t="str">
        <f>IFERROR(IF(H261="","",ROUND(H261*Steuerungsdaten!$B$5,0)),"-")</f>
        <v/>
      </c>
      <c r="M261" s="427" t="str">
        <f>IFERROR(IF(I261="","",ROUND(I261*Steuerungsdaten!$B$5,0)),"-")</f>
        <v/>
      </c>
      <c r="N261" s="427" t="str">
        <f>IFERROR(IF(J261="","",ROUND(J261*Steuerungsdaten!$B$5,0)),"-")</f>
        <v/>
      </c>
      <c r="O261" s="79"/>
      <c r="P261" s="79"/>
      <c r="Q261" s="79"/>
      <c r="R261" s="79"/>
    </row>
    <row r="262" spans="1:18" x14ac:dyDescent="0.25">
      <c r="A262" s="64">
        <v>5400</v>
      </c>
      <c r="B262" s="65" t="s">
        <v>7</v>
      </c>
      <c r="C262" s="65" t="s">
        <v>278</v>
      </c>
      <c r="D262" s="65" t="s">
        <v>279</v>
      </c>
      <c r="E262" s="66">
        <v>420</v>
      </c>
      <c r="F262" s="66">
        <v>180</v>
      </c>
      <c r="G262" s="67">
        <f>IF(VLOOKUP(C262,Steuerungsdaten!$P$17:$T$39,2,0)="","",MAX(ROUND(VLOOKUP(C262,Steuerungsdaten!$P$17:$T$39,2,0)*Steuerungsdaten!$B$4*Steuerungsdaten!$B$7*IFERROR(VLOOKUP(C262,Steuerungsdaten!$B$17:$C$37,2,FALSE),1)*POWER(IF(OR(E262=0,F262=0,E262="",F262=""),1,(E262*F262/1000000)/Steuerungsdaten!$B$6),IFERROR(VLOOKUP(C262,Steuerungsdaten!$B$17:$K$37,10,FALSE),1)-1),0),Steuerungsdaten!$E$4))</f>
        <v>299</v>
      </c>
      <c r="H262" s="67">
        <f>IF(VLOOKUP(C262,Steuerungsdaten!$P$17:$T$39,3,0)="","",MAX(ROUND(VLOOKUP(C262,Steuerungsdaten!$P$17:$T$39,3,0)*Steuerungsdaten!$B$4*Steuerungsdaten!$B$8*IFERROR(VLOOKUP(C262,Steuerungsdaten!$B$17:$E$37,4,FALSE),1)*POWER(IF(OR(E262=0,F262=0,E262="",F262=""),1,(E262*F262/1000000)/Steuerungsdaten!$B$6),IFERROR(VLOOKUP(C262,Steuerungsdaten!$B$17:$L$37,11,FALSE),1)-1),0),Steuerungsdaten!$E$5))</f>
        <v>355</v>
      </c>
      <c r="I262" s="67">
        <f>IF(VLOOKUP(C262,Steuerungsdaten!$P$17:$T$39,4,0)="","",MAX(ROUND(VLOOKUP(C262,Steuerungsdaten!$P$17:$T$39,4,0)*Steuerungsdaten!$B$4*Steuerungsdaten!$B$9*IFERROR(VLOOKUP(C262,Steuerungsdaten!$B$17:$G$37,6,FALSE),1)*POWER(IF(OR(E262=0,F262=0,E262="",F262=""),1,(E262*F262/1000000)/Steuerungsdaten!$B$6),IFERROR(VLOOKUP(C262,Steuerungsdaten!$B$17:$M$37,12,FALSE),1)-1),0),Steuerungsdaten!$E$6))</f>
        <v>386</v>
      </c>
      <c r="J262" s="67" t="s">
        <v>988</v>
      </c>
      <c r="K262" s="67">
        <f>IFERROR(IF(G262="","",ROUND(G262*Steuerungsdaten!$B$5,0)),"-")</f>
        <v>344</v>
      </c>
      <c r="L262" s="67">
        <f>IFERROR(IF(H262="","",ROUND(H262*Steuerungsdaten!$B$5,0)),"-")</f>
        <v>408</v>
      </c>
      <c r="M262" s="67">
        <f>IFERROR(IF(I262="","",ROUND(I262*Steuerungsdaten!$B$5,0)),"-")</f>
        <v>444</v>
      </c>
      <c r="N262" s="68" t="str">
        <f>IFERROR(IF(J262="","",ROUND(J262*Steuerungsdaten!$B$5,0)),"-")</f>
        <v>-</v>
      </c>
      <c r="O262" s="79">
        <v>285</v>
      </c>
      <c r="P262" s="79">
        <f>IF(H262="","",ROUND(H262/(Steuerungsdaten!$B$4*Steuerungsdaten!$B$8*IFERROR(VLOOKUP(C262,Steuerungsdaten!$B$17:$E$37,4,FALSE),1)*POWER(IF(OR(E262=0,F262=0,E262="",F262=""),1,(E262*F262/1000000)/Steuerungsdaten!$B$6),IFERROR(VLOOKUP(C262,Steuerungsdaten!$B$17:$L$37,11,FALSE),1)-1)),0))</f>
        <v>418</v>
      </c>
      <c r="Q262" s="79">
        <f>IF(I262="","",ROUND(I262/(Steuerungsdaten!$B$4*Steuerungsdaten!$B$9*IFERROR(VLOOKUP(C262,Steuerungsdaten!$B$17:$G$37,6,FALSE),1)*POWER(IF(OR(E262=0,F262=0,E262="",F262=""),1,(E262*F262/1000000)/Steuerungsdaten!$B$6),IFERROR(VLOOKUP(C262,Steuerungsdaten!$B$17:$M$37,12,FALSE),1)-1)),0))</f>
        <v>454</v>
      </c>
      <c r="R262" s="79" t="e">
        <f>IF(J262="","",ROUND(J262/(Steuerungsdaten!$B$4*Steuerungsdaten!$B$10*IFERROR(VLOOKUP(C262,Steuerungsdaten!$B$17:$I$37,8,FALSE),1)*POWER(IF(OR(E262=0,F262=0,E262="",F262=""),1,(E262*F262/1000000)/Steuerungsdaten!$B$6),IFERROR(VLOOKUP(C262,Steuerungsdaten!$B$17:$N$37,13,FALSE),1)-1)),0))</f>
        <v>#VALUE!</v>
      </c>
    </row>
    <row r="263" spans="1:18" x14ac:dyDescent="0.25">
      <c r="A263" s="69">
        <v>5401</v>
      </c>
      <c r="B263" s="70" t="s">
        <v>7</v>
      </c>
      <c r="C263" s="70" t="s">
        <v>278</v>
      </c>
      <c r="D263" s="70" t="s">
        <v>280</v>
      </c>
      <c r="E263" s="71">
        <v>420</v>
      </c>
      <c r="F263" s="71">
        <v>360</v>
      </c>
      <c r="G263" s="72">
        <f>IF(VLOOKUP(C263,Steuerungsdaten!$P$17:$T$39,2,0)="","",MAX(ROUND(VLOOKUP(C263,Steuerungsdaten!$P$17:$T$39,2,0)*Steuerungsdaten!$B$4*Steuerungsdaten!$B$7*IFERROR(VLOOKUP(C263,Steuerungsdaten!$B$17:$C$37,2,FALSE),1)*POWER(IF(OR(E263=0,F263=0,E263="",F263=""),1,(E263*F263/1000000)/Steuerungsdaten!$B$6),IFERROR(VLOOKUP(C263,Steuerungsdaten!$B$17:$K$37,10,FALSE),1)-1),0),Steuerungsdaten!$E$4))</f>
        <v>320</v>
      </c>
      <c r="H263" s="72">
        <f>IF(VLOOKUP(C263,Steuerungsdaten!$P$17:$T$39,3,0)="","",MAX(ROUND(VLOOKUP(C263,Steuerungsdaten!$P$17:$T$39,3,0)*Steuerungsdaten!$B$4*Steuerungsdaten!$B$8*IFERROR(VLOOKUP(C263,Steuerungsdaten!$B$17:$E$37,4,FALSE),1)*POWER(IF(OR(E263=0,F263=0,E263="",F263=""),1,(E263*F263/1000000)/Steuerungsdaten!$B$6),IFERROR(VLOOKUP(C263,Steuerungsdaten!$B$17:$L$37,11,FALSE),1)-1),0),Steuerungsdaten!$E$5))</f>
        <v>381</v>
      </c>
      <c r="I263" s="72">
        <f>IF(VLOOKUP(C263,Steuerungsdaten!$P$17:$T$39,4,0)="","",MAX(ROUND(VLOOKUP(C263,Steuerungsdaten!$P$17:$T$39,4,0)*Steuerungsdaten!$B$4*Steuerungsdaten!$B$9*IFERROR(VLOOKUP(C263,Steuerungsdaten!$B$17:$G$37,6,FALSE),1)*POWER(IF(OR(E263=0,F263=0,E263="",F263=""),1,(E263*F263/1000000)/Steuerungsdaten!$B$6),IFERROR(VLOOKUP(C263,Steuerungsdaten!$B$17:$M$37,12,FALSE),1)-1),0),Steuerungsdaten!$E$6))</f>
        <v>414</v>
      </c>
      <c r="J263" s="72" t="s">
        <v>988</v>
      </c>
      <c r="K263" s="72">
        <f>IFERROR(IF(G263="","",ROUND(G263*Steuerungsdaten!$B$5,0)),"-")</f>
        <v>368</v>
      </c>
      <c r="L263" s="72">
        <f>IFERROR(IF(H263="","",ROUND(H263*Steuerungsdaten!$B$5,0)),"-")</f>
        <v>438</v>
      </c>
      <c r="M263" s="72">
        <f>IFERROR(IF(I263="","",ROUND(I263*Steuerungsdaten!$B$5,0)),"-")</f>
        <v>476</v>
      </c>
      <c r="N263" s="73" t="str">
        <f>IFERROR(IF(J263="","",ROUND(J263*Steuerungsdaten!$B$5,0)),"-")</f>
        <v>-</v>
      </c>
      <c r="O263" s="79">
        <v>352</v>
      </c>
      <c r="P263" s="79">
        <f>IF(H263="","",ROUND(H263/(Steuerungsdaten!$B$4*Steuerungsdaten!$B$8*IFERROR(VLOOKUP(C263,Steuerungsdaten!$B$17:$E$37,4,FALSE),1)*POWER(IF(OR(E263=0,F263=0,E263="",F263=""),1,(E263*F263/1000000)/Steuerungsdaten!$B$6),IFERROR(VLOOKUP(C263,Steuerungsdaten!$B$17:$L$37,11,FALSE),1)-1)),0))</f>
        <v>419</v>
      </c>
      <c r="Q263" s="79">
        <f>IF(I263="","",ROUND(I263/(Steuerungsdaten!$B$4*Steuerungsdaten!$B$9*IFERROR(VLOOKUP(C263,Steuerungsdaten!$B$17:$G$37,6,FALSE),1)*POWER(IF(OR(E263=0,F263=0,E263="",F263=""),1,(E263*F263/1000000)/Steuerungsdaten!$B$6),IFERROR(VLOOKUP(C263,Steuerungsdaten!$B$17:$M$37,12,FALSE),1)-1)),0))</f>
        <v>455</v>
      </c>
      <c r="R263" s="79" t="e">
        <f>IF(J263="","",ROUND(J263/(Steuerungsdaten!$B$4*Steuerungsdaten!$B$10*IFERROR(VLOOKUP(C263,Steuerungsdaten!$B$17:$I$37,8,FALSE),1)*POWER(IF(OR(E263=0,F263=0,E263="",F263=""),1,(E263*F263/1000000)/Steuerungsdaten!$B$6),IFERROR(VLOOKUP(C263,Steuerungsdaten!$B$17:$N$37,13,FALSE),1)-1)),0))</f>
        <v>#VALUE!</v>
      </c>
    </row>
    <row r="264" spans="1:18" x14ac:dyDescent="0.25">
      <c r="A264" s="74">
        <v>5402</v>
      </c>
      <c r="B264" s="75" t="s">
        <v>7</v>
      </c>
      <c r="C264" s="75" t="s">
        <v>278</v>
      </c>
      <c r="D264" s="75" t="s">
        <v>281</v>
      </c>
      <c r="E264" s="76">
        <v>580</v>
      </c>
      <c r="F264" s="76">
        <v>180</v>
      </c>
      <c r="G264" s="77">
        <f>IF(VLOOKUP(C264,Steuerungsdaten!$P$17:$T$39,2,0)="","",MAX(ROUND(VLOOKUP(C264,Steuerungsdaten!$P$17:$T$39,2,0)*Steuerungsdaten!$B$4*Steuerungsdaten!$B$7*IFERROR(VLOOKUP(C264,Steuerungsdaten!$B$17:$C$37,2,FALSE),1)*POWER(IF(OR(E264=0,F264=0,E264="",F264=""),1,(E264*F264/1000000)/Steuerungsdaten!$B$6),IFERROR(VLOOKUP(C264,Steuerungsdaten!$B$17:$K$37,10,FALSE),1)-1),0),Steuerungsdaten!$E$4))</f>
        <v>309</v>
      </c>
      <c r="H264" s="77">
        <f>IF(VLOOKUP(C264,Steuerungsdaten!$P$17:$T$39,3,0)="","",MAX(ROUND(VLOOKUP(C264,Steuerungsdaten!$P$17:$T$39,3,0)*Steuerungsdaten!$B$4*Steuerungsdaten!$B$8*IFERROR(VLOOKUP(C264,Steuerungsdaten!$B$17:$E$37,4,FALSE),1)*POWER(IF(OR(E264=0,F264=0,E264="",F264=""),1,(E264*F264/1000000)/Steuerungsdaten!$B$6),IFERROR(VLOOKUP(C264,Steuerungsdaten!$B$17:$L$37,11,FALSE),1)-1),0),Steuerungsdaten!$E$5))</f>
        <v>367</v>
      </c>
      <c r="I264" s="77">
        <f>IF(VLOOKUP(C264,Steuerungsdaten!$P$17:$T$39,4,0)="","",MAX(ROUND(VLOOKUP(C264,Steuerungsdaten!$P$17:$T$39,4,0)*Steuerungsdaten!$B$4*Steuerungsdaten!$B$9*IFERROR(VLOOKUP(C264,Steuerungsdaten!$B$17:$G$37,6,FALSE),1)*POWER(IF(OR(E264=0,F264=0,E264="",F264=""),1,(E264*F264/1000000)/Steuerungsdaten!$B$6),IFERROR(VLOOKUP(C264,Steuerungsdaten!$B$17:$M$37,12,FALSE),1)-1),0),Steuerungsdaten!$E$6))</f>
        <v>399</v>
      </c>
      <c r="J264" s="77" t="s">
        <v>988</v>
      </c>
      <c r="K264" s="77">
        <f>IFERROR(IF(G264="","",ROUND(G264*Steuerungsdaten!$B$5,0)),"-")</f>
        <v>355</v>
      </c>
      <c r="L264" s="77">
        <f>IFERROR(IF(H264="","",ROUND(H264*Steuerungsdaten!$B$5,0)),"-")</f>
        <v>422</v>
      </c>
      <c r="M264" s="77">
        <f>IFERROR(IF(I264="","",ROUND(I264*Steuerungsdaten!$B$5,0)),"-")</f>
        <v>459</v>
      </c>
      <c r="N264" s="78" t="str">
        <f>IFERROR(IF(J264="","",ROUND(J264*Steuerungsdaten!$B$5,0)),"-")</f>
        <v>-</v>
      </c>
      <c r="O264" s="79">
        <v>298</v>
      </c>
      <c r="P264" s="79">
        <f>IF(H264="","",ROUND(H264/(Steuerungsdaten!$B$4*Steuerungsdaten!$B$8*IFERROR(VLOOKUP(C264,Steuerungsdaten!$B$17:$E$37,4,FALSE),1)*POWER(IF(OR(E264=0,F264=0,E264="",F264=""),1,(E264*F264/1000000)/Steuerungsdaten!$B$6),IFERROR(VLOOKUP(C264,Steuerungsdaten!$B$17:$L$37,11,FALSE),1)-1)),0))</f>
        <v>418</v>
      </c>
      <c r="Q264" s="79">
        <f>IF(I264="","",ROUND(I264/(Steuerungsdaten!$B$4*Steuerungsdaten!$B$9*IFERROR(VLOOKUP(C264,Steuerungsdaten!$B$17:$G$37,6,FALSE),1)*POWER(IF(OR(E264=0,F264=0,E264="",F264=""),1,(E264*F264/1000000)/Steuerungsdaten!$B$6),IFERROR(VLOOKUP(C264,Steuerungsdaten!$B$17:$M$37,12,FALSE),1)-1)),0))</f>
        <v>455</v>
      </c>
      <c r="R264" s="79" t="e">
        <f>IF(J264="","",ROUND(J264/(Steuerungsdaten!$B$4*Steuerungsdaten!$B$10*IFERROR(VLOOKUP(C264,Steuerungsdaten!$B$17:$I$37,8,FALSE),1)*POWER(IF(OR(E264=0,F264=0,E264="",F264=""),1,(E264*F264/1000000)/Steuerungsdaten!$B$6),IFERROR(VLOOKUP(C264,Steuerungsdaten!$B$17:$N$37,13,FALSE),1)-1)),0))</f>
        <v>#VALUE!</v>
      </c>
    </row>
    <row r="265" spans="1:18" x14ac:dyDescent="0.25">
      <c r="A265" s="69">
        <v>5403</v>
      </c>
      <c r="B265" s="70" t="s">
        <v>7</v>
      </c>
      <c r="C265" s="70" t="s">
        <v>278</v>
      </c>
      <c r="D265" s="70" t="s">
        <v>282</v>
      </c>
      <c r="E265" s="71">
        <v>580</v>
      </c>
      <c r="F265" s="71">
        <v>360</v>
      </c>
      <c r="G265" s="72">
        <f>IF(VLOOKUP(C265,Steuerungsdaten!$P$17:$T$39,2,0)="","",MAX(ROUND(VLOOKUP(C265,Steuerungsdaten!$P$17:$T$39,2,0)*Steuerungsdaten!$B$4*Steuerungsdaten!$B$7*IFERROR(VLOOKUP(C265,Steuerungsdaten!$B$17:$C$37,2,FALSE),1)*POWER(IF(OR(E265=0,F265=0,E265="",F265=""),1,(E265*F265/1000000)/Steuerungsdaten!$B$6),IFERROR(VLOOKUP(C265,Steuerungsdaten!$B$17:$K$37,10,FALSE),1)-1),0),Steuerungsdaten!$E$4))</f>
        <v>331</v>
      </c>
      <c r="H265" s="72">
        <f>IF(VLOOKUP(C265,Steuerungsdaten!$P$17:$T$39,3,0)="","",MAX(ROUND(VLOOKUP(C265,Steuerungsdaten!$P$17:$T$39,3,0)*Steuerungsdaten!$B$4*Steuerungsdaten!$B$8*IFERROR(VLOOKUP(C265,Steuerungsdaten!$B$17:$E$37,4,FALSE),1)*POWER(IF(OR(E265=0,F265=0,E265="",F265=""),1,(E265*F265/1000000)/Steuerungsdaten!$B$6),IFERROR(VLOOKUP(C265,Steuerungsdaten!$B$17:$L$37,11,FALSE),1)-1),0),Steuerungsdaten!$E$5))</f>
        <v>393</v>
      </c>
      <c r="I265" s="72">
        <f>IF(VLOOKUP(C265,Steuerungsdaten!$P$17:$T$39,4,0)="","",MAX(ROUND(VLOOKUP(C265,Steuerungsdaten!$P$17:$T$39,4,0)*Steuerungsdaten!$B$4*Steuerungsdaten!$B$9*IFERROR(VLOOKUP(C265,Steuerungsdaten!$B$17:$G$37,6,FALSE),1)*POWER(IF(OR(E265=0,F265=0,E265="",F265=""),1,(E265*F265/1000000)/Steuerungsdaten!$B$6),IFERROR(VLOOKUP(C265,Steuerungsdaten!$B$17:$M$37,12,FALSE),1)-1),0),Steuerungsdaten!$E$6))</f>
        <v>428</v>
      </c>
      <c r="J265" s="72" t="s">
        <v>988</v>
      </c>
      <c r="K265" s="72">
        <f>IFERROR(IF(G265="","",ROUND(G265*Steuerungsdaten!$B$5,0)),"-")</f>
        <v>381</v>
      </c>
      <c r="L265" s="72">
        <f>IFERROR(IF(H265="","",ROUND(H265*Steuerungsdaten!$B$5,0)),"-")</f>
        <v>452</v>
      </c>
      <c r="M265" s="72">
        <f>IFERROR(IF(I265="","",ROUND(I265*Steuerungsdaten!$B$5,0)),"-")</f>
        <v>492</v>
      </c>
      <c r="N265" s="73" t="str">
        <f>IFERROR(IF(J265="","",ROUND(J265*Steuerungsdaten!$B$5,0)),"-")</f>
        <v>-</v>
      </c>
      <c r="O265" s="79">
        <v>353</v>
      </c>
      <c r="P265" s="79">
        <f>IF(H265="","",ROUND(H265/(Steuerungsdaten!$B$4*Steuerungsdaten!$B$8*IFERROR(VLOOKUP(C265,Steuerungsdaten!$B$17:$E$37,4,FALSE),1)*POWER(IF(OR(E265=0,F265=0,E265="",F265=""),1,(E265*F265/1000000)/Steuerungsdaten!$B$6),IFERROR(VLOOKUP(C265,Steuerungsdaten!$B$17:$L$37,11,FALSE),1)-1)),0))</f>
        <v>418</v>
      </c>
      <c r="Q265" s="79">
        <f>IF(I265="","",ROUND(I265/(Steuerungsdaten!$B$4*Steuerungsdaten!$B$9*IFERROR(VLOOKUP(C265,Steuerungsdaten!$B$17:$G$37,6,FALSE),1)*POWER(IF(OR(E265=0,F265=0,E265="",F265=""),1,(E265*F265/1000000)/Steuerungsdaten!$B$6),IFERROR(VLOOKUP(C265,Steuerungsdaten!$B$17:$M$37,12,FALSE),1)-1)),0))</f>
        <v>455</v>
      </c>
      <c r="R265" s="79" t="e">
        <f>IF(J265="","",ROUND(J265/(Steuerungsdaten!$B$4*Steuerungsdaten!$B$10*IFERROR(VLOOKUP(C265,Steuerungsdaten!$B$17:$I$37,8,FALSE),1)*POWER(IF(OR(E265=0,F265=0,E265="",F265=""),1,(E265*F265/1000000)/Steuerungsdaten!$B$6),IFERROR(VLOOKUP(C265,Steuerungsdaten!$B$17:$N$37,13,FALSE),1)-1)),0))</f>
        <v>#VALUE!</v>
      </c>
    </row>
    <row r="266" spans="1:18" x14ac:dyDescent="0.25">
      <c r="A266" s="74">
        <v>5404</v>
      </c>
      <c r="B266" s="75" t="s">
        <v>7</v>
      </c>
      <c r="C266" s="75" t="s">
        <v>278</v>
      </c>
      <c r="D266" s="75" t="s">
        <v>283</v>
      </c>
      <c r="E266" s="76">
        <v>780</v>
      </c>
      <c r="F266" s="76">
        <v>180</v>
      </c>
      <c r="G266" s="77">
        <f>IF(VLOOKUP(C266,Steuerungsdaten!$P$17:$T$39,2,0)="","",MAX(ROUND(VLOOKUP(C266,Steuerungsdaten!$P$17:$T$39,2,0)*Steuerungsdaten!$B$4*Steuerungsdaten!$B$7*IFERROR(VLOOKUP(C266,Steuerungsdaten!$B$17:$C$37,2,FALSE),1)*POWER(IF(OR(E266=0,F266=0,E266="",F266=""),1,(E266*F266/1000000)/Steuerungsdaten!$B$6),IFERROR(VLOOKUP(C266,Steuerungsdaten!$B$17:$K$37,10,FALSE),1)-1),0),Steuerungsdaten!$E$4))</f>
        <v>318</v>
      </c>
      <c r="H266" s="77">
        <f>IF(VLOOKUP(C266,Steuerungsdaten!$P$17:$T$39,3,0)="","",MAX(ROUND(VLOOKUP(C266,Steuerungsdaten!$P$17:$T$39,3,0)*Steuerungsdaten!$B$4*Steuerungsdaten!$B$8*IFERROR(VLOOKUP(C266,Steuerungsdaten!$B$17:$E$37,4,FALSE),1)*POWER(IF(OR(E266=0,F266=0,E266="",F266=""),1,(E266*F266/1000000)/Steuerungsdaten!$B$6),IFERROR(VLOOKUP(C266,Steuerungsdaten!$B$17:$L$37,11,FALSE),1)-1),0),Steuerungsdaten!$E$5))</f>
        <v>378</v>
      </c>
      <c r="I266" s="77">
        <f>IF(VLOOKUP(C266,Steuerungsdaten!$P$17:$T$39,4,0)="","",MAX(ROUND(VLOOKUP(C266,Steuerungsdaten!$P$17:$T$39,4,0)*Steuerungsdaten!$B$4*Steuerungsdaten!$B$9*IFERROR(VLOOKUP(C266,Steuerungsdaten!$B$17:$G$37,6,FALSE),1)*POWER(IF(OR(E266=0,F266=0,E266="",F266=""),1,(E266*F266/1000000)/Steuerungsdaten!$B$6),IFERROR(VLOOKUP(C266,Steuerungsdaten!$B$17:$M$37,12,FALSE),1)-1),0),Steuerungsdaten!$E$6))</f>
        <v>411</v>
      </c>
      <c r="J266" s="77" t="s">
        <v>988</v>
      </c>
      <c r="K266" s="77">
        <f>IFERROR(IF(G266="","",ROUND(G266*Steuerungsdaten!$B$5,0)),"-")</f>
        <v>366</v>
      </c>
      <c r="L266" s="77">
        <f>IFERROR(IF(H266="","",ROUND(H266*Steuerungsdaten!$B$5,0)),"-")</f>
        <v>435</v>
      </c>
      <c r="M266" s="77">
        <f>IFERROR(IF(I266="","",ROUND(I266*Steuerungsdaten!$B$5,0)),"-")</f>
        <v>473</v>
      </c>
      <c r="N266" s="78" t="str">
        <f>IFERROR(IF(J266="","",ROUND(J266*Steuerungsdaten!$B$5,0)),"-")</f>
        <v>-</v>
      </c>
      <c r="O266" s="79">
        <v>309</v>
      </c>
      <c r="P266" s="79">
        <f>IF(H266="","",ROUND(H266/(Steuerungsdaten!$B$4*Steuerungsdaten!$B$8*IFERROR(VLOOKUP(C266,Steuerungsdaten!$B$17:$E$37,4,FALSE),1)*POWER(IF(OR(E266=0,F266=0,E266="",F266=""),1,(E266*F266/1000000)/Steuerungsdaten!$B$6),IFERROR(VLOOKUP(C266,Steuerungsdaten!$B$17:$L$37,11,FALSE),1)-1)),0))</f>
        <v>418</v>
      </c>
      <c r="Q266" s="79">
        <f>IF(I266="","",ROUND(I266/(Steuerungsdaten!$B$4*Steuerungsdaten!$B$9*IFERROR(VLOOKUP(C266,Steuerungsdaten!$B$17:$G$37,6,FALSE),1)*POWER(IF(OR(E266=0,F266=0,E266="",F266=""),1,(E266*F266/1000000)/Steuerungsdaten!$B$6),IFERROR(VLOOKUP(C266,Steuerungsdaten!$B$17:$M$37,12,FALSE),1)-1)),0))</f>
        <v>455</v>
      </c>
      <c r="R266" s="79" t="e">
        <f>IF(J266="","",ROUND(J266/(Steuerungsdaten!$B$4*Steuerungsdaten!$B$10*IFERROR(VLOOKUP(C266,Steuerungsdaten!$B$17:$I$37,8,FALSE),1)*POWER(IF(OR(E266=0,F266=0,E266="",F266=""),1,(E266*F266/1000000)/Steuerungsdaten!$B$6),IFERROR(VLOOKUP(C266,Steuerungsdaten!$B$17:$N$37,13,FALSE),1)-1)),0))</f>
        <v>#VALUE!</v>
      </c>
    </row>
    <row r="267" spans="1:18" x14ac:dyDescent="0.25">
      <c r="A267" s="69">
        <v>5405</v>
      </c>
      <c r="B267" s="70" t="s">
        <v>7</v>
      </c>
      <c r="C267" s="70" t="s">
        <v>278</v>
      </c>
      <c r="D267" s="70" t="s">
        <v>284</v>
      </c>
      <c r="E267" s="71">
        <v>780</v>
      </c>
      <c r="F267" s="71">
        <v>360</v>
      </c>
      <c r="G267" s="72">
        <f>IF(VLOOKUP(C267,Steuerungsdaten!$P$17:$T$39,2,0)="","",MAX(ROUND(VLOOKUP(C267,Steuerungsdaten!$P$17:$T$39,2,0)*Steuerungsdaten!$B$4*Steuerungsdaten!$B$7*IFERROR(VLOOKUP(C267,Steuerungsdaten!$B$17:$C$37,2,FALSE),1)*POWER(IF(OR(E267=0,F267=0,E267="",F267=""),1,(E267*F267/1000000)/Steuerungsdaten!$B$6),IFERROR(VLOOKUP(C267,Steuerungsdaten!$B$17:$K$37,10,FALSE),1)-1),0),Steuerungsdaten!$E$4))</f>
        <v>341</v>
      </c>
      <c r="H267" s="72">
        <f>IF(VLOOKUP(C267,Steuerungsdaten!$P$17:$T$39,3,0)="","",MAX(ROUND(VLOOKUP(C267,Steuerungsdaten!$P$17:$T$39,3,0)*Steuerungsdaten!$B$4*Steuerungsdaten!$B$8*IFERROR(VLOOKUP(C267,Steuerungsdaten!$B$17:$E$37,4,FALSE),1)*POWER(IF(OR(E267=0,F267=0,E267="",F267=""),1,(E267*F267/1000000)/Steuerungsdaten!$B$6),IFERROR(VLOOKUP(C267,Steuerungsdaten!$B$17:$L$37,11,FALSE),1)-1),0),Steuerungsdaten!$E$5))</f>
        <v>405</v>
      </c>
      <c r="I267" s="72">
        <f>IF(VLOOKUP(C267,Steuerungsdaten!$P$17:$T$39,4,0)="","",MAX(ROUND(VLOOKUP(C267,Steuerungsdaten!$P$17:$T$39,4,0)*Steuerungsdaten!$B$4*Steuerungsdaten!$B$9*IFERROR(VLOOKUP(C267,Steuerungsdaten!$B$17:$G$37,6,FALSE),1)*POWER(IF(OR(E267=0,F267=0,E267="",F267=""),1,(E267*F267/1000000)/Steuerungsdaten!$B$6),IFERROR(VLOOKUP(C267,Steuerungsdaten!$B$17:$M$37,12,FALSE),1)-1),0),Steuerungsdaten!$E$6))</f>
        <v>441</v>
      </c>
      <c r="J267" s="72" t="s">
        <v>988</v>
      </c>
      <c r="K267" s="72">
        <f>IFERROR(IF(G267="","",ROUND(G267*Steuerungsdaten!$B$5,0)),"-")</f>
        <v>392</v>
      </c>
      <c r="L267" s="72">
        <f>IFERROR(IF(H267="","",ROUND(H267*Steuerungsdaten!$B$5,0)),"-")</f>
        <v>466</v>
      </c>
      <c r="M267" s="72">
        <f>IFERROR(IF(I267="","",ROUND(I267*Steuerungsdaten!$B$5,0)),"-")</f>
        <v>507</v>
      </c>
      <c r="N267" s="73" t="str">
        <f>IFERROR(IF(J267="","",ROUND(J267*Steuerungsdaten!$B$5,0)),"-")</f>
        <v>-</v>
      </c>
      <c r="O267" s="79">
        <v>356</v>
      </c>
      <c r="P267" s="79">
        <f>IF(H267="","",ROUND(H267/(Steuerungsdaten!$B$4*Steuerungsdaten!$B$8*IFERROR(VLOOKUP(C267,Steuerungsdaten!$B$17:$E$37,4,FALSE),1)*POWER(IF(OR(E267=0,F267=0,E267="",F267=""),1,(E267*F267/1000000)/Steuerungsdaten!$B$6),IFERROR(VLOOKUP(C267,Steuerungsdaten!$B$17:$L$37,11,FALSE),1)-1)),0))</f>
        <v>418</v>
      </c>
      <c r="Q267" s="79">
        <f>IF(I267="","",ROUND(I267/(Steuerungsdaten!$B$4*Steuerungsdaten!$B$9*IFERROR(VLOOKUP(C267,Steuerungsdaten!$B$17:$G$37,6,FALSE),1)*POWER(IF(OR(E267=0,F267=0,E267="",F267=""),1,(E267*F267/1000000)/Steuerungsdaten!$B$6),IFERROR(VLOOKUP(C267,Steuerungsdaten!$B$17:$M$37,12,FALSE),1)-1)),0))</f>
        <v>455</v>
      </c>
      <c r="R267" s="79" t="e">
        <f>IF(J267="","",ROUND(J267/(Steuerungsdaten!$B$4*Steuerungsdaten!$B$10*IFERROR(VLOOKUP(C267,Steuerungsdaten!$B$17:$I$37,8,FALSE),1)*POWER(IF(OR(E267=0,F267=0,E267="",F267=""),1,(E267*F267/1000000)/Steuerungsdaten!$B$6),IFERROR(VLOOKUP(C267,Steuerungsdaten!$B$17:$N$37,13,FALSE),1)-1)),0))</f>
        <v>#VALUE!</v>
      </c>
    </row>
    <row r="268" spans="1:18" x14ac:dyDescent="0.25">
      <c r="A268" s="74">
        <v>5406</v>
      </c>
      <c r="B268" s="75" t="s">
        <v>7</v>
      </c>
      <c r="C268" s="75" t="s">
        <v>278</v>
      </c>
      <c r="D268" s="75" t="s">
        <v>285</v>
      </c>
      <c r="E268" s="76">
        <v>980</v>
      </c>
      <c r="F268" s="76">
        <v>180</v>
      </c>
      <c r="G268" s="77">
        <f>IF(VLOOKUP(C268,Steuerungsdaten!$P$17:$T$39,2,0)="","",MAX(ROUND(VLOOKUP(C268,Steuerungsdaten!$P$17:$T$39,2,0)*Steuerungsdaten!$B$4*Steuerungsdaten!$B$7*IFERROR(VLOOKUP(C268,Steuerungsdaten!$B$17:$C$37,2,FALSE),1)*POWER(IF(OR(E268=0,F268=0,E268="",F268=""),1,(E268*F268/1000000)/Steuerungsdaten!$B$6),IFERROR(VLOOKUP(C268,Steuerungsdaten!$B$17:$K$37,10,FALSE),1)-1),0),Steuerungsdaten!$E$4))</f>
        <v>325</v>
      </c>
      <c r="H268" s="77">
        <f>IF(VLOOKUP(C268,Steuerungsdaten!$P$17:$T$39,3,0)="","",MAX(ROUND(VLOOKUP(C268,Steuerungsdaten!$P$17:$T$39,3,0)*Steuerungsdaten!$B$4*Steuerungsdaten!$B$8*IFERROR(VLOOKUP(C268,Steuerungsdaten!$B$17:$E$37,4,FALSE),1)*POWER(IF(OR(E268=0,F268=0,E268="",F268=""),1,(E268*F268/1000000)/Steuerungsdaten!$B$6),IFERROR(VLOOKUP(C268,Steuerungsdaten!$B$17:$L$37,11,FALSE),1)-1),0),Steuerungsdaten!$E$5))</f>
        <v>386</v>
      </c>
      <c r="I268" s="77">
        <f>IF(VLOOKUP(C268,Steuerungsdaten!$P$17:$T$39,4,0)="","",MAX(ROUND(VLOOKUP(C268,Steuerungsdaten!$P$17:$T$39,4,0)*Steuerungsdaten!$B$4*Steuerungsdaten!$B$9*IFERROR(VLOOKUP(C268,Steuerungsdaten!$B$17:$G$37,6,FALSE),1)*POWER(IF(OR(E268=0,F268=0,E268="",F268=""),1,(E268*F268/1000000)/Steuerungsdaten!$B$6),IFERROR(VLOOKUP(C268,Steuerungsdaten!$B$17:$M$37,12,FALSE),1)-1),0),Steuerungsdaten!$E$6))</f>
        <v>421</v>
      </c>
      <c r="J268" s="77" t="s">
        <v>988</v>
      </c>
      <c r="K268" s="77">
        <f>IFERROR(IF(G268="","",ROUND(G268*Steuerungsdaten!$B$5,0)),"-")</f>
        <v>374</v>
      </c>
      <c r="L268" s="77">
        <f>IFERROR(IF(H268="","",ROUND(H268*Steuerungsdaten!$B$5,0)),"-")</f>
        <v>444</v>
      </c>
      <c r="M268" s="77">
        <f>IFERROR(IF(I268="","",ROUND(I268*Steuerungsdaten!$B$5,0)),"-")</f>
        <v>484</v>
      </c>
      <c r="N268" s="78" t="str">
        <f>IFERROR(IF(J268="","",ROUND(J268*Steuerungsdaten!$B$5,0)),"-")</f>
        <v>-</v>
      </c>
      <c r="O268" s="79">
        <v>348</v>
      </c>
      <c r="P268" s="79">
        <f>IF(H268="","",ROUND(H268/(Steuerungsdaten!$B$4*Steuerungsdaten!$B$8*IFERROR(VLOOKUP(C268,Steuerungsdaten!$B$17:$E$37,4,FALSE),1)*POWER(IF(OR(E268=0,F268=0,E268="",F268=""),1,(E268*F268/1000000)/Steuerungsdaten!$B$6),IFERROR(VLOOKUP(C268,Steuerungsdaten!$B$17:$L$37,11,FALSE),1)-1)),0))</f>
        <v>418</v>
      </c>
      <c r="Q268" s="79">
        <f>IF(I268="","",ROUND(I268/(Steuerungsdaten!$B$4*Steuerungsdaten!$B$9*IFERROR(VLOOKUP(C268,Steuerungsdaten!$B$17:$G$37,6,FALSE),1)*POWER(IF(OR(E268=0,F268=0,E268="",F268=""),1,(E268*F268/1000000)/Steuerungsdaten!$B$6),IFERROR(VLOOKUP(C268,Steuerungsdaten!$B$17:$M$37,12,FALSE),1)-1)),0))</f>
        <v>455</v>
      </c>
      <c r="R268" s="79" t="e">
        <f>IF(J268="","",ROUND(J268/(Steuerungsdaten!$B$4*Steuerungsdaten!$B$10*IFERROR(VLOOKUP(C268,Steuerungsdaten!$B$17:$I$37,8,FALSE),1)*POWER(IF(OR(E268=0,F268=0,E268="",F268=""),1,(E268*F268/1000000)/Steuerungsdaten!$B$6),IFERROR(VLOOKUP(C268,Steuerungsdaten!$B$17:$N$37,13,FALSE),1)-1)),0))</f>
        <v>#VALUE!</v>
      </c>
    </row>
    <row r="269" spans="1:18" x14ac:dyDescent="0.25">
      <c r="A269" s="69">
        <v>5407</v>
      </c>
      <c r="B269" s="70" t="s">
        <v>7</v>
      </c>
      <c r="C269" s="70" t="s">
        <v>278</v>
      </c>
      <c r="D269" s="70" t="s">
        <v>286</v>
      </c>
      <c r="E269" s="71">
        <v>980</v>
      </c>
      <c r="F269" s="71">
        <v>360</v>
      </c>
      <c r="G269" s="72">
        <f>IF(VLOOKUP(C269,Steuerungsdaten!$P$17:$T$39,2,0)="","",MAX(ROUND(VLOOKUP(C269,Steuerungsdaten!$P$17:$T$39,2,0)*Steuerungsdaten!$B$4*Steuerungsdaten!$B$7*IFERROR(VLOOKUP(C269,Steuerungsdaten!$B$17:$C$37,2,FALSE),1)*POWER(IF(OR(E269=0,F269=0,E269="",F269=""),1,(E269*F269/1000000)/Steuerungsdaten!$B$6),IFERROR(VLOOKUP(C269,Steuerungsdaten!$B$17:$K$37,10,FALSE),1)-1),0),Steuerungsdaten!$E$4))</f>
        <v>349</v>
      </c>
      <c r="H269" s="72">
        <f>IF(VLOOKUP(C269,Steuerungsdaten!$P$17:$T$39,3,0)="","",MAX(ROUND(VLOOKUP(C269,Steuerungsdaten!$P$17:$T$39,3,0)*Steuerungsdaten!$B$4*Steuerungsdaten!$B$8*IFERROR(VLOOKUP(C269,Steuerungsdaten!$B$17:$E$37,4,FALSE),1)*POWER(IF(OR(E269=0,F269=0,E269="",F269=""),1,(E269*F269/1000000)/Steuerungsdaten!$B$6),IFERROR(VLOOKUP(C269,Steuerungsdaten!$B$17:$L$37,11,FALSE),1)-1),0),Steuerungsdaten!$E$5))</f>
        <v>414</v>
      </c>
      <c r="I269" s="72">
        <f>IF(VLOOKUP(C269,Steuerungsdaten!$P$17:$T$39,4,0)="","",MAX(ROUND(VLOOKUP(C269,Steuerungsdaten!$P$17:$T$39,4,0)*Steuerungsdaten!$B$4*Steuerungsdaten!$B$9*IFERROR(VLOOKUP(C269,Steuerungsdaten!$B$17:$G$37,6,FALSE),1)*POWER(IF(OR(E269=0,F269=0,E269="",F269=""),1,(E269*F269/1000000)/Steuerungsdaten!$B$6),IFERROR(VLOOKUP(C269,Steuerungsdaten!$B$17:$M$37,12,FALSE),1)-1),0),Steuerungsdaten!$E$6))</f>
        <v>451</v>
      </c>
      <c r="J269" s="72" t="s">
        <v>988</v>
      </c>
      <c r="K269" s="72">
        <f>IFERROR(IF(G269="","",ROUND(G269*Steuerungsdaten!$B$5,0)),"-")</f>
        <v>401</v>
      </c>
      <c r="L269" s="72">
        <f>IFERROR(IF(H269="","",ROUND(H269*Steuerungsdaten!$B$5,0)),"-")</f>
        <v>476</v>
      </c>
      <c r="M269" s="72">
        <f>IFERROR(IF(I269="","",ROUND(I269*Steuerungsdaten!$B$5,0)),"-")</f>
        <v>519</v>
      </c>
      <c r="N269" s="73" t="str">
        <f>IFERROR(IF(J269="","",ROUND(J269*Steuerungsdaten!$B$5,0)),"-")</f>
        <v>-</v>
      </c>
      <c r="O269" s="79">
        <v>429</v>
      </c>
      <c r="P269" s="79">
        <f>IF(H269="","",ROUND(H269/(Steuerungsdaten!$B$4*Steuerungsdaten!$B$8*IFERROR(VLOOKUP(C269,Steuerungsdaten!$B$17:$E$37,4,FALSE),1)*POWER(IF(OR(E269=0,F269=0,E269="",F269=""),1,(E269*F269/1000000)/Steuerungsdaten!$B$6),IFERROR(VLOOKUP(C269,Steuerungsdaten!$B$17:$L$37,11,FALSE),1)-1)),0))</f>
        <v>418</v>
      </c>
      <c r="Q269" s="79">
        <f>IF(I269="","",ROUND(I269/(Steuerungsdaten!$B$4*Steuerungsdaten!$B$9*IFERROR(VLOOKUP(C269,Steuerungsdaten!$B$17:$G$37,6,FALSE),1)*POWER(IF(OR(E269=0,F269=0,E269="",F269=""),1,(E269*F269/1000000)/Steuerungsdaten!$B$6),IFERROR(VLOOKUP(C269,Steuerungsdaten!$B$17:$M$37,12,FALSE),1)-1)),0))</f>
        <v>455</v>
      </c>
      <c r="R269" s="79" t="e">
        <f>IF(J269="","",ROUND(J269/(Steuerungsdaten!$B$4*Steuerungsdaten!$B$10*IFERROR(VLOOKUP(C269,Steuerungsdaten!$B$17:$I$37,8,FALSE),1)*POWER(IF(OR(E269=0,F269=0,E269="",F269=""),1,(E269*F269/1000000)/Steuerungsdaten!$B$6),IFERROR(VLOOKUP(C269,Steuerungsdaten!$B$17:$N$37,13,FALSE),1)-1)),0))</f>
        <v>#VALUE!</v>
      </c>
    </row>
    <row r="270" spans="1:18" ht="21.95" customHeight="1" x14ac:dyDescent="0.25">
      <c r="A270" s="426" t="s">
        <v>287</v>
      </c>
      <c r="B270" s="426"/>
      <c r="C270" s="426"/>
      <c r="D270" s="426"/>
      <c r="E270" s="426"/>
      <c r="F270" s="426"/>
      <c r="G270" s="426"/>
      <c r="H270" s="426"/>
      <c r="I270" s="426"/>
      <c r="J270" s="426"/>
      <c r="K270" s="426" t="str">
        <f>IFERROR(IF(G270="","",ROUND(G270*Steuerungsdaten!$B$5,0)),"-")</f>
        <v/>
      </c>
      <c r="L270" s="426" t="str">
        <f>IFERROR(IF(H270="","",ROUND(H270*Steuerungsdaten!$B$5,0)),"-")</f>
        <v/>
      </c>
      <c r="M270" s="426" t="str">
        <f>IFERROR(IF(I270="","",ROUND(I270*Steuerungsdaten!$B$5,0)),"-")</f>
        <v/>
      </c>
      <c r="N270" s="426" t="str">
        <f>IFERROR(IF(J270="","",ROUND(J270*Steuerungsdaten!$B$5,0)),"-")</f>
        <v/>
      </c>
      <c r="O270" s="79"/>
      <c r="P270" s="79"/>
      <c r="Q270" s="79"/>
      <c r="R270" s="79"/>
    </row>
    <row r="271" spans="1:18" x14ac:dyDescent="0.25">
      <c r="A271" s="64">
        <v>5500</v>
      </c>
      <c r="B271" s="65" t="s">
        <v>7</v>
      </c>
      <c r="C271" s="65" t="s">
        <v>287</v>
      </c>
      <c r="D271" s="65" t="s">
        <v>288</v>
      </c>
      <c r="E271" s="66">
        <v>420</v>
      </c>
      <c r="F271" s="66">
        <v>180</v>
      </c>
      <c r="G271" s="67">
        <f>IF(VLOOKUP(C271,Steuerungsdaten!$P$17:$T$39,2,0)="","",MAX(ROUND(VLOOKUP(C271,Steuerungsdaten!$P$17:$T$39,2,0)*Steuerungsdaten!$B$4*Steuerungsdaten!$B$7*IFERROR(VLOOKUP(C271,Steuerungsdaten!$B$17:$C$37,2,FALSE),1)*POWER(IF(OR(E271=0,F271=0,E271="",F271=""),1,(E271*F271/1000000)/Steuerungsdaten!$B$6),IFERROR(VLOOKUP(C271,Steuerungsdaten!$B$17:$K$37,10,FALSE),1)-1),0),Steuerungsdaten!$E$4))</f>
        <v>299</v>
      </c>
      <c r="H271" s="67">
        <f>IF(VLOOKUP(C271,Steuerungsdaten!$P$17:$T$39,3,0)="","",MAX(ROUND(VLOOKUP(C271,Steuerungsdaten!$P$17:$T$39,3,0)*Steuerungsdaten!$B$4*Steuerungsdaten!$B$8*IFERROR(VLOOKUP(C271,Steuerungsdaten!$B$17:$E$37,4,FALSE),1)*POWER(IF(OR(E271=0,F271=0,E271="",F271=""),1,(E271*F271/1000000)/Steuerungsdaten!$B$6),IFERROR(VLOOKUP(C271,Steuerungsdaten!$B$17:$L$37,11,FALSE),1)-1),0),Steuerungsdaten!$E$5))</f>
        <v>355</v>
      </c>
      <c r="I271" s="67">
        <f>IF(VLOOKUP(C271,Steuerungsdaten!$P$17:$T$39,4,0)="","",MAX(ROUND(VLOOKUP(C271,Steuerungsdaten!$P$17:$T$39,4,0)*Steuerungsdaten!$B$4*Steuerungsdaten!$B$9*IFERROR(VLOOKUP(C271,Steuerungsdaten!$B$17:$G$37,6,FALSE),1)*POWER(IF(OR(E271=0,F271=0,E271="",F271=""),1,(E271*F271/1000000)/Steuerungsdaten!$B$6),IFERROR(VLOOKUP(C271,Steuerungsdaten!$B$17:$M$37,12,FALSE),1)-1),0),Steuerungsdaten!$E$6))</f>
        <v>386</v>
      </c>
      <c r="J271" s="67" t="s">
        <v>988</v>
      </c>
      <c r="K271" s="67">
        <f>IFERROR(IF(G271="","",ROUND(G271*Steuerungsdaten!$B$5,0)),"-")</f>
        <v>344</v>
      </c>
      <c r="L271" s="67">
        <f>IFERROR(IF(H271="","",ROUND(H271*Steuerungsdaten!$B$5,0)),"-")</f>
        <v>408</v>
      </c>
      <c r="M271" s="67">
        <f>IFERROR(IF(I271="","",ROUND(I271*Steuerungsdaten!$B$5,0)),"-")</f>
        <v>444</v>
      </c>
      <c r="N271" s="68" t="str">
        <f>IFERROR(IF(J271="","",ROUND(J271*Steuerungsdaten!$B$5,0)),"-")</f>
        <v>-</v>
      </c>
      <c r="O271" s="79">
        <v>285</v>
      </c>
      <c r="P271" s="79">
        <f>IF(H271="","",ROUND(H271/(Steuerungsdaten!$B$4*Steuerungsdaten!$B$8*IFERROR(VLOOKUP(C271,Steuerungsdaten!$B$17:$E$37,4,FALSE),1)*POWER(IF(OR(E271=0,F271=0,E271="",F271=""),1,(E271*F271/1000000)/Steuerungsdaten!$B$6),IFERROR(VLOOKUP(C271,Steuerungsdaten!$B$17:$L$37,11,FALSE),1)-1)),0))</f>
        <v>418</v>
      </c>
      <c r="Q271" s="79">
        <f>IF(I271="","",ROUND(I271/(Steuerungsdaten!$B$4*Steuerungsdaten!$B$9*IFERROR(VLOOKUP(C271,Steuerungsdaten!$B$17:$G$37,6,FALSE),1)*POWER(IF(OR(E271=0,F271=0,E271="",F271=""),1,(E271*F271/1000000)/Steuerungsdaten!$B$6),IFERROR(VLOOKUP(C271,Steuerungsdaten!$B$17:$M$37,12,FALSE),1)-1)),0))</f>
        <v>454</v>
      </c>
      <c r="R271" s="79" t="e">
        <f>IF(J271="","",ROUND(J271/(Steuerungsdaten!$B$4*Steuerungsdaten!$B$10*IFERROR(VLOOKUP(C271,Steuerungsdaten!$B$17:$I$37,8,FALSE),1)*POWER(IF(OR(E271=0,F271=0,E271="",F271=""),1,(E271*F271/1000000)/Steuerungsdaten!$B$6),IFERROR(VLOOKUP(C271,Steuerungsdaten!$B$17:$N$37,13,FALSE),1)-1)),0))</f>
        <v>#VALUE!</v>
      </c>
    </row>
    <row r="272" spans="1:18" x14ac:dyDescent="0.25">
      <c r="A272" s="69">
        <v>5501</v>
      </c>
      <c r="B272" s="70" t="s">
        <v>7</v>
      </c>
      <c r="C272" s="70" t="s">
        <v>287</v>
      </c>
      <c r="D272" s="70" t="s">
        <v>289</v>
      </c>
      <c r="E272" s="71">
        <v>420</v>
      </c>
      <c r="F272" s="71">
        <v>360</v>
      </c>
      <c r="G272" s="72">
        <f>IF(VLOOKUP(C272,Steuerungsdaten!$P$17:$T$39,2,0)="","",MAX(ROUND(VLOOKUP(C272,Steuerungsdaten!$P$17:$T$39,2,0)*Steuerungsdaten!$B$4*Steuerungsdaten!$B$7*IFERROR(VLOOKUP(C272,Steuerungsdaten!$B$17:$C$37,2,FALSE),1)*POWER(IF(OR(E272=0,F272=0,E272="",F272=""),1,(E272*F272/1000000)/Steuerungsdaten!$B$6),IFERROR(VLOOKUP(C272,Steuerungsdaten!$B$17:$K$37,10,FALSE),1)-1),0),Steuerungsdaten!$E$4))</f>
        <v>320</v>
      </c>
      <c r="H272" s="72">
        <f>IF(VLOOKUP(C272,Steuerungsdaten!$P$17:$T$39,3,0)="","",MAX(ROUND(VLOOKUP(C272,Steuerungsdaten!$P$17:$T$39,3,0)*Steuerungsdaten!$B$4*Steuerungsdaten!$B$8*IFERROR(VLOOKUP(C272,Steuerungsdaten!$B$17:$E$37,4,FALSE),1)*POWER(IF(OR(E272=0,F272=0,E272="",F272=""),1,(E272*F272/1000000)/Steuerungsdaten!$B$6),IFERROR(VLOOKUP(C272,Steuerungsdaten!$B$17:$L$37,11,FALSE),1)-1),0),Steuerungsdaten!$E$5))</f>
        <v>381</v>
      </c>
      <c r="I272" s="72">
        <f>IF(VLOOKUP(C272,Steuerungsdaten!$P$17:$T$39,4,0)="","",MAX(ROUND(VLOOKUP(C272,Steuerungsdaten!$P$17:$T$39,4,0)*Steuerungsdaten!$B$4*Steuerungsdaten!$B$9*IFERROR(VLOOKUP(C272,Steuerungsdaten!$B$17:$G$37,6,FALSE),1)*POWER(IF(OR(E272=0,F272=0,E272="",F272=""),1,(E272*F272/1000000)/Steuerungsdaten!$B$6),IFERROR(VLOOKUP(C272,Steuerungsdaten!$B$17:$M$37,12,FALSE),1)-1),0),Steuerungsdaten!$E$6))</f>
        <v>414</v>
      </c>
      <c r="J272" s="72" t="s">
        <v>988</v>
      </c>
      <c r="K272" s="72">
        <f>IFERROR(IF(G272="","",ROUND(G272*Steuerungsdaten!$B$5,0)),"-")</f>
        <v>368</v>
      </c>
      <c r="L272" s="72">
        <f>IFERROR(IF(H272="","",ROUND(H272*Steuerungsdaten!$B$5,0)),"-")</f>
        <v>438</v>
      </c>
      <c r="M272" s="72">
        <f>IFERROR(IF(I272="","",ROUND(I272*Steuerungsdaten!$B$5,0)),"-")</f>
        <v>476</v>
      </c>
      <c r="N272" s="73" t="str">
        <f>IFERROR(IF(J272="","",ROUND(J272*Steuerungsdaten!$B$5,0)),"-")</f>
        <v>-</v>
      </c>
      <c r="O272" s="79">
        <v>352</v>
      </c>
      <c r="P272" s="79">
        <f>IF(H272="","",ROUND(H272/(Steuerungsdaten!$B$4*Steuerungsdaten!$B$8*IFERROR(VLOOKUP(C272,Steuerungsdaten!$B$17:$E$37,4,FALSE),1)*POWER(IF(OR(E272=0,F272=0,E272="",F272=""),1,(E272*F272/1000000)/Steuerungsdaten!$B$6),IFERROR(VLOOKUP(C272,Steuerungsdaten!$B$17:$L$37,11,FALSE),1)-1)),0))</f>
        <v>419</v>
      </c>
      <c r="Q272" s="79">
        <f>IF(I272="","",ROUND(I272/(Steuerungsdaten!$B$4*Steuerungsdaten!$B$9*IFERROR(VLOOKUP(C272,Steuerungsdaten!$B$17:$G$37,6,FALSE),1)*POWER(IF(OR(E272=0,F272=0,E272="",F272=""),1,(E272*F272/1000000)/Steuerungsdaten!$B$6),IFERROR(VLOOKUP(C272,Steuerungsdaten!$B$17:$M$37,12,FALSE),1)-1)),0))</f>
        <v>455</v>
      </c>
      <c r="R272" s="79" t="e">
        <f>IF(J272="","",ROUND(J272/(Steuerungsdaten!$B$4*Steuerungsdaten!$B$10*IFERROR(VLOOKUP(C272,Steuerungsdaten!$B$17:$I$37,8,FALSE),1)*POWER(IF(OR(E272=0,F272=0,E272="",F272=""),1,(E272*F272/1000000)/Steuerungsdaten!$B$6),IFERROR(VLOOKUP(C272,Steuerungsdaten!$B$17:$N$37,13,FALSE),1)-1)),0))</f>
        <v>#VALUE!</v>
      </c>
    </row>
    <row r="273" spans="1:18" x14ac:dyDescent="0.25">
      <c r="A273" s="74">
        <v>5502</v>
      </c>
      <c r="B273" s="75" t="s">
        <v>7</v>
      </c>
      <c r="C273" s="75" t="s">
        <v>287</v>
      </c>
      <c r="D273" s="75" t="s">
        <v>290</v>
      </c>
      <c r="E273" s="76">
        <v>580</v>
      </c>
      <c r="F273" s="76">
        <v>180</v>
      </c>
      <c r="G273" s="77">
        <f>IF(VLOOKUP(C273,Steuerungsdaten!$P$17:$T$39,2,0)="","",MAX(ROUND(VLOOKUP(C273,Steuerungsdaten!$P$17:$T$39,2,0)*Steuerungsdaten!$B$4*Steuerungsdaten!$B$7*IFERROR(VLOOKUP(C273,Steuerungsdaten!$B$17:$C$37,2,FALSE),1)*POWER(IF(OR(E273=0,F273=0,E273="",F273=""),1,(E273*F273/1000000)/Steuerungsdaten!$B$6),IFERROR(VLOOKUP(C273,Steuerungsdaten!$B$17:$K$37,10,FALSE),1)-1),0),Steuerungsdaten!$E$4))</f>
        <v>309</v>
      </c>
      <c r="H273" s="77">
        <f>IF(VLOOKUP(C273,Steuerungsdaten!$P$17:$T$39,3,0)="","",MAX(ROUND(VLOOKUP(C273,Steuerungsdaten!$P$17:$T$39,3,0)*Steuerungsdaten!$B$4*Steuerungsdaten!$B$8*IFERROR(VLOOKUP(C273,Steuerungsdaten!$B$17:$E$37,4,FALSE),1)*POWER(IF(OR(E273=0,F273=0,E273="",F273=""),1,(E273*F273/1000000)/Steuerungsdaten!$B$6),IFERROR(VLOOKUP(C273,Steuerungsdaten!$B$17:$L$37,11,FALSE),1)-1),0),Steuerungsdaten!$E$5))</f>
        <v>367</v>
      </c>
      <c r="I273" s="77">
        <f>IF(VLOOKUP(C273,Steuerungsdaten!$P$17:$T$39,4,0)="","",MAX(ROUND(VLOOKUP(C273,Steuerungsdaten!$P$17:$T$39,4,0)*Steuerungsdaten!$B$4*Steuerungsdaten!$B$9*IFERROR(VLOOKUP(C273,Steuerungsdaten!$B$17:$G$37,6,FALSE),1)*POWER(IF(OR(E273=0,F273=0,E273="",F273=""),1,(E273*F273/1000000)/Steuerungsdaten!$B$6),IFERROR(VLOOKUP(C273,Steuerungsdaten!$B$17:$M$37,12,FALSE),1)-1),0),Steuerungsdaten!$E$6))</f>
        <v>399</v>
      </c>
      <c r="J273" s="77" t="s">
        <v>988</v>
      </c>
      <c r="K273" s="77">
        <f>IFERROR(IF(G273="","",ROUND(G273*Steuerungsdaten!$B$5,0)),"-")</f>
        <v>355</v>
      </c>
      <c r="L273" s="77">
        <f>IFERROR(IF(H273="","",ROUND(H273*Steuerungsdaten!$B$5,0)),"-")</f>
        <v>422</v>
      </c>
      <c r="M273" s="77">
        <f>IFERROR(IF(I273="","",ROUND(I273*Steuerungsdaten!$B$5,0)),"-")</f>
        <v>459</v>
      </c>
      <c r="N273" s="78" t="str">
        <f>IFERROR(IF(J273="","",ROUND(J273*Steuerungsdaten!$B$5,0)),"-")</f>
        <v>-</v>
      </c>
      <c r="O273" s="79">
        <v>298</v>
      </c>
      <c r="P273" s="79">
        <f>IF(H273="","",ROUND(H273/(Steuerungsdaten!$B$4*Steuerungsdaten!$B$8*IFERROR(VLOOKUP(C273,Steuerungsdaten!$B$17:$E$37,4,FALSE),1)*POWER(IF(OR(E273=0,F273=0,E273="",F273=""),1,(E273*F273/1000000)/Steuerungsdaten!$B$6),IFERROR(VLOOKUP(C273,Steuerungsdaten!$B$17:$L$37,11,FALSE),1)-1)),0))</f>
        <v>418</v>
      </c>
      <c r="Q273" s="79">
        <f>IF(I273="","",ROUND(I273/(Steuerungsdaten!$B$4*Steuerungsdaten!$B$9*IFERROR(VLOOKUP(C273,Steuerungsdaten!$B$17:$G$37,6,FALSE),1)*POWER(IF(OR(E273=0,F273=0,E273="",F273=""),1,(E273*F273/1000000)/Steuerungsdaten!$B$6),IFERROR(VLOOKUP(C273,Steuerungsdaten!$B$17:$M$37,12,FALSE),1)-1)),0))</f>
        <v>455</v>
      </c>
      <c r="R273" s="79" t="e">
        <f>IF(J273="","",ROUND(J273/(Steuerungsdaten!$B$4*Steuerungsdaten!$B$10*IFERROR(VLOOKUP(C273,Steuerungsdaten!$B$17:$I$37,8,FALSE),1)*POWER(IF(OR(E273=0,F273=0,E273="",F273=""),1,(E273*F273/1000000)/Steuerungsdaten!$B$6),IFERROR(VLOOKUP(C273,Steuerungsdaten!$B$17:$N$37,13,FALSE),1)-1)),0))</f>
        <v>#VALUE!</v>
      </c>
    </row>
    <row r="274" spans="1:18" x14ac:dyDescent="0.25">
      <c r="A274" s="69">
        <v>5503</v>
      </c>
      <c r="B274" s="70" t="s">
        <v>7</v>
      </c>
      <c r="C274" s="70" t="s">
        <v>287</v>
      </c>
      <c r="D274" s="70" t="s">
        <v>291</v>
      </c>
      <c r="E274" s="71">
        <v>580</v>
      </c>
      <c r="F274" s="71">
        <v>360</v>
      </c>
      <c r="G274" s="72">
        <f>IF(VLOOKUP(C274,Steuerungsdaten!$P$17:$T$39,2,0)="","",MAX(ROUND(VLOOKUP(C274,Steuerungsdaten!$P$17:$T$39,2,0)*Steuerungsdaten!$B$4*Steuerungsdaten!$B$7*IFERROR(VLOOKUP(C274,Steuerungsdaten!$B$17:$C$37,2,FALSE),1)*POWER(IF(OR(E274=0,F274=0,E274="",F274=""),1,(E274*F274/1000000)/Steuerungsdaten!$B$6),IFERROR(VLOOKUP(C274,Steuerungsdaten!$B$17:$K$37,10,FALSE),1)-1),0),Steuerungsdaten!$E$4))</f>
        <v>331</v>
      </c>
      <c r="H274" s="72">
        <f>IF(VLOOKUP(C274,Steuerungsdaten!$P$17:$T$39,3,0)="","",MAX(ROUND(VLOOKUP(C274,Steuerungsdaten!$P$17:$T$39,3,0)*Steuerungsdaten!$B$4*Steuerungsdaten!$B$8*IFERROR(VLOOKUP(C274,Steuerungsdaten!$B$17:$E$37,4,FALSE),1)*POWER(IF(OR(E274=0,F274=0,E274="",F274=""),1,(E274*F274/1000000)/Steuerungsdaten!$B$6),IFERROR(VLOOKUP(C274,Steuerungsdaten!$B$17:$L$37,11,FALSE),1)-1),0),Steuerungsdaten!$E$5))</f>
        <v>393</v>
      </c>
      <c r="I274" s="72">
        <f>IF(VLOOKUP(C274,Steuerungsdaten!$P$17:$T$39,4,0)="","",MAX(ROUND(VLOOKUP(C274,Steuerungsdaten!$P$17:$T$39,4,0)*Steuerungsdaten!$B$4*Steuerungsdaten!$B$9*IFERROR(VLOOKUP(C274,Steuerungsdaten!$B$17:$G$37,6,FALSE),1)*POWER(IF(OR(E274=0,F274=0,E274="",F274=""),1,(E274*F274/1000000)/Steuerungsdaten!$B$6),IFERROR(VLOOKUP(C274,Steuerungsdaten!$B$17:$M$37,12,FALSE),1)-1),0),Steuerungsdaten!$E$6))</f>
        <v>428</v>
      </c>
      <c r="J274" s="72" t="s">
        <v>988</v>
      </c>
      <c r="K274" s="72">
        <f>IFERROR(IF(G274="","",ROUND(G274*Steuerungsdaten!$B$5,0)),"-")</f>
        <v>381</v>
      </c>
      <c r="L274" s="72">
        <f>IFERROR(IF(H274="","",ROUND(H274*Steuerungsdaten!$B$5,0)),"-")</f>
        <v>452</v>
      </c>
      <c r="M274" s="72">
        <f>IFERROR(IF(I274="","",ROUND(I274*Steuerungsdaten!$B$5,0)),"-")</f>
        <v>492</v>
      </c>
      <c r="N274" s="73" t="str">
        <f>IFERROR(IF(J274="","",ROUND(J274*Steuerungsdaten!$B$5,0)),"-")</f>
        <v>-</v>
      </c>
      <c r="O274" s="79">
        <v>353</v>
      </c>
      <c r="P274" s="79">
        <f>IF(H274="","",ROUND(H274/(Steuerungsdaten!$B$4*Steuerungsdaten!$B$8*IFERROR(VLOOKUP(C274,Steuerungsdaten!$B$17:$E$37,4,FALSE),1)*POWER(IF(OR(E274=0,F274=0,E274="",F274=""),1,(E274*F274/1000000)/Steuerungsdaten!$B$6),IFERROR(VLOOKUP(C274,Steuerungsdaten!$B$17:$L$37,11,FALSE),1)-1)),0))</f>
        <v>418</v>
      </c>
      <c r="Q274" s="79">
        <f>IF(I274="","",ROUND(I274/(Steuerungsdaten!$B$4*Steuerungsdaten!$B$9*IFERROR(VLOOKUP(C274,Steuerungsdaten!$B$17:$G$37,6,FALSE),1)*POWER(IF(OR(E274=0,F274=0,E274="",F274=""),1,(E274*F274/1000000)/Steuerungsdaten!$B$6),IFERROR(VLOOKUP(C274,Steuerungsdaten!$B$17:$M$37,12,FALSE),1)-1)),0))</f>
        <v>455</v>
      </c>
      <c r="R274" s="79" t="e">
        <f>IF(J274="","",ROUND(J274/(Steuerungsdaten!$B$4*Steuerungsdaten!$B$10*IFERROR(VLOOKUP(C274,Steuerungsdaten!$B$17:$I$37,8,FALSE),1)*POWER(IF(OR(E274=0,F274=0,E274="",F274=""),1,(E274*F274/1000000)/Steuerungsdaten!$B$6),IFERROR(VLOOKUP(C274,Steuerungsdaten!$B$17:$N$37,13,FALSE),1)-1)),0))</f>
        <v>#VALUE!</v>
      </c>
    </row>
    <row r="275" spans="1:18" x14ac:dyDescent="0.25">
      <c r="A275" s="74">
        <v>5504</v>
      </c>
      <c r="B275" s="75" t="s">
        <v>7</v>
      </c>
      <c r="C275" s="75" t="s">
        <v>287</v>
      </c>
      <c r="D275" s="75" t="s">
        <v>292</v>
      </c>
      <c r="E275" s="76">
        <v>780</v>
      </c>
      <c r="F275" s="76">
        <v>180</v>
      </c>
      <c r="G275" s="77">
        <f>IF(VLOOKUP(C275,Steuerungsdaten!$P$17:$T$39,2,0)="","",MAX(ROUND(VLOOKUP(C275,Steuerungsdaten!$P$17:$T$39,2,0)*Steuerungsdaten!$B$4*Steuerungsdaten!$B$7*IFERROR(VLOOKUP(C275,Steuerungsdaten!$B$17:$C$37,2,FALSE),1)*POWER(IF(OR(E275=0,F275=0,E275="",F275=""),1,(E275*F275/1000000)/Steuerungsdaten!$B$6),IFERROR(VLOOKUP(C275,Steuerungsdaten!$B$17:$K$37,10,FALSE),1)-1),0),Steuerungsdaten!$E$4))</f>
        <v>318</v>
      </c>
      <c r="H275" s="77">
        <f>IF(VLOOKUP(C275,Steuerungsdaten!$P$17:$T$39,3,0)="","",MAX(ROUND(VLOOKUP(C275,Steuerungsdaten!$P$17:$T$39,3,0)*Steuerungsdaten!$B$4*Steuerungsdaten!$B$8*IFERROR(VLOOKUP(C275,Steuerungsdaten!$B$17:$E$37,4,FALSE),1)*POWER(IF(OR(E275=0,F275=0,E275="",F275=""),1,(E275*F275/1000000)/Steuerungsdaten!$B$6),IFERROR(VLOOKUP(C275,Steuerungsdaten!$B$17:$L$37,11,FALSE),1)-1),0),Steuerungsdaten!$E$5))</f>
        <v>378</v>
      </c>
      <c r="I275" s="77">
        <f>IF(VLOOKUP(C275,Steuerungsdaten!$P$17:$T$39,4,0)="","",MAX(ROUND(VLOOKUP(C275,Steuerungsdaten!$P$17:$T$39,4,0)*Steuerungsdaten!$B$4*Steuerungsdaten!$B$9*IFERROR(VLOOKUP(C275,Steuerungsdaten!$B$17:$G$37,6,FALSE),1)*POWER(IF(OR(E275=0,F275=0,E275="",F275=""),1,(E275*F275/1000000)/Steuerungsdaten!$B$6),IFERROR(VLOOKUP(C275,Steuerungsdaten!$B$17:$M$37,12,FALSE),1)-1),0),Steuerungsdaten!$E$6))</f>
        <v>411</v>
      </c>
      <c r="J275" s="77" t="s">
        <v>988</v>
      </c>
      <c r="K275" s="77">
        <f>IFERROR(IF(G275="","",ROUND(G275*Steuerungsdaten!$B$5,0)),"-")</f>
        <v>366</v>
      </c>
      <c r="L275" s="77">
        <f>IFERROR(IF(H275="","",ROUND(H275*Steuerungsdaten!$B$5,0)),"-")</f>
        <v>435</v>
      </c>
      <c r="M275" s="77">
        <f>IFERROR(IF(I275="","",ROUND(I275*Steuerungsdaten!$B$5,0)),"-")</f>
        <v>473</v>
      </c>
      <c r="N275" s="78" t="str">
        <f>IFERROR(IF(J275="","",ROUND(J275*Steuerungsdaten!$B$5,0)),"-")</f>
        <v>-</v>
      </c>
      <c r="O275" s="79">
        <v>309</v>
      </c>
      <c r="P275" s="79">
        <f>IF(H275="","",ROUND(H275/(Steuerungsdaten!$B$4*Steuerungsdaten!$B$8*IFERROR(VLOOKUP(C275,Steuerungsdaten!$B$17:$E$37,4,FALSE),1)*POWER(IF(OR(E275=0,F275=0,E275="",F275=""),1,(E275*F275/1000000)/Steuerungsdaten!$B$6),IFERROR(VLOOKUP(C275,Steuerungsdaten!$B$17:$L$37,11,FALSE),1)-1)),0))</f>
        <v>418</v>
      </c>
      <c r="Q275" s="79">
        <f>IF(I275="","",ROUND(I275/(Steuerungsdaten!$B$4*Steuerungsdaten!$B$9*IFERROR(VLOOKUP(C275,Steuerungsdaten!$B$17:$G$37,6,FALSE),1)*POWER(IF(OR(E275=0,F275=0,E275="",F275=""),1,(E275*F275/1000000)/Steuerungsdaten!$B$6),IFERROR(VLOOKUP(C275,Steuerungsdaten!$B$17:$M$37,12,FALSE),1)-1)),0))</f>
        <v>455</v>
      </c>
      <c r="R275" s="79" t="e">
        <f>IF(J275="","",ROUND(J275/(Steuerungsdaten!$B$4*Steuerungsdaten!$B$10*IFERROR(VLOOKUP(C275,Steuerungsdaten!$B$17:$I$37,8,FALSE),1)*POWER(IF(OR(E275=0,F275=0,E275="",F275=""),1,(E275*F275/1000000)/Steuerungsdaten!$B$6),IFERROR(VLOOKUP(C275,Steuerungsdaten!$B$17:$N$37,13,FALSE),1)-1)),0))</f>
        <v>#VALUE!</v>
      </c>
    </row>
    <row r="276" spans="1:18" x14ac:dyDescent="0.25">
      <c r="A276" s="69">
        <v>5505</v>
      </c>
      <c r="B276" s="70" t="s">
        <v>7</v>
      </c>
      <c r="C276" s="70" t="s">
        <v>287</v>
      </c>
      <c r="D276" s="70" t="s">
        <v>293</v>
      </c>
      <c r="E276" s="71">
        <v>780</v>
      </c>
      <c r="F276" s="71">
        <v>360</v>
      </c>
      <c r="G276" s="72">
        <f>IF(VLOOKUP(C276,Steuerungsdaten!$P$17:$T$39,2,0)="","",MAX(ROUND(VLOOKUP(C276,Steuerungsdaten!$P$17:$T$39,2,0)*Steuerungsdaten!$B$4*Steuerungsdaten!$B$7*IFERROR(VLOOKUP(C276,Steuerungsdaten!$B$17:$C$37,2,FALSE),1)*POWER(IF(OR(E276=0,F276=0,E276="",F276=""),1,(E276*F276/1000000)/Steuerungsdaten!$B$6),IFERROR(VLOOKUP(C276,Steuerungsdaten!$B$17:$K$37,10,FALSE),1)-1),0),Steuerungsdaten!$E$4))</f>
        <v>341</v>
      </c>
      <c r="H276" s="72">
        <f>IF(VLOOKUP(C276,Steuerungsdaten!$P$17:$T$39,3,0)="","",MAX(ROUND(VLOOKUP(C276,Steuerungsdaten!$P$17:$T$39,3,0)*Steuerungsdaten!$B$4*Steuerungsdaten!$B$8*IFERROR(VLOOKUP(C276,Steuerungsdaten!$B$17:$E$37,4,FALSE),1)*POWER(IF(OR(E276=0,F276=0,E276="",F276=""),1,(E276*F276/1000000)/Steuerungsdaten!$B$6),IFERROR(VLOOKUP(C276,Steuerungsdaten!$B$17:$L$37,11,FALSE),1)-1),0),Steuerungsdaten!$E$5))</f>
        <v>405</v>
      </c>
      <c r="I276" s="72">
        <f>IF(VLOOKUP(C276,Steuerungsdaten!$P$17:$T$39,4,0)="","",MAX(ROUND(VLOOKUP(C276,Steuerungsdaten!$P$17:$T$39,4,0)*Steuerungsdaten!$B$4*Steuerungsdaten!$B$9*IFERROR(VLOOKUP(C276,Steuerungsdaten!$B$17:$G$37,6,FALSE),1)*POWER(IF(OR(E276=0,F276=0,E276="",F276=""),1,(E276*F276/1000000)/Steuerungsdaten!$B$6),IFERROR(VLOOKUP(C276,Steuerungsdaten!$B$17:$M$37,12,FALSE),1)-1),0),Steuerungsdaten!$E$6))</f>
        <v>441</v>
      </c>
      <c r="J276" s="72" t="s">
        <v>988</v>
      </c>
      <c r="K276" s="72">
        <f>IFERROR(IF(G276="","",ROUND(G276*Steuerungsdaten!$B$5,0)),"-")</f>
        <v>392</v>
      </c>
      <c r="L276" s="72">
        <f>IFERROR(IF(H276="","",ROUND(H276*Steuerungsdaten!$B$5,0)),"-")</f>
        <v>466</v>
      </c>
      <c r="M276" s="72">
        <f>IFERROR(IF(I276="","",ROUND(I276*Steuerungsdaten!$B$5,0)),"-")</f>
        <v>507</v>
      </c>
      <c r="N276" s="73" t="str">
        <f>IFERROR(IF(J276="","",ROUND(J276*Steuerungsdaten!$B$5,0)),"-")</f>
        <v>-</v>
      </c>
      <c r="O276" s="79">
        <v>356</v>
      </c>
      <c r="P276" s="79">
        <f>IF(H276="","",ROUND(H276/(Steuerungsdaten!$B$4*Steuerungsdaten!$B$8*IFERROR(VLOOKUP(C276,Steuerungsdaten!$B$17:$E$37,4,FALSE),1)*POWER(IF(OR(E276=0,F276=0,E276="",F276=""),1,(E276*F276/1000000)/Steuerungsdaten!$B$6),IFERROR(VLOOKUP(C276,Steuerungsdaten!$B$17:$L$37,11,FALSE),1)-1)),0))</f>
        <v>418</v>
      </c>
      <c r="Q276" s="79">
        <f>IF(I276="","",ROUND(I276/(Steuerungsdaten!$B$4*Steuerungsdaten!$B$9*IFERROR(VLOOKUP(C276,Steuerungsdaten!$B$17:$G$37,6,FALSE),1)*POWER(IF(OR(E276=0,F276=0,E276="",F276=""),1,(E276*F276/1000000)/Steuerungsdaten!$B$6),IFERROR(VLOOKUP(C276,Steuerungsdaten!$B$17:$M$37,12,FALSE),1)-1)),0))</f>
        <v>455</v>
      </c>
      <c r="R276" s="79" t="e">
        <f>IF(J276="","",ROUND(J276/(Steuerungsdaten!$B$4*Steuerungsdaten!$B$10*IFERROR(VLOOKUP(C276,Steuerungsdaten!$B$17:$I$37,8,FALSE),1)*POWER(IF(OR(E276=0,F276=0,E276="",F276=""),1,(E276*F276/1000000)/Steuerungsdaten!$B$6),IFERROR(VLOOKUP(C276,Steuerungsdaten!$B$17:$N$37,13,FALSE),1)-1)),0))</f>
        <v>#VALUE!</v>
      </c>
    </row>
    <row r="277" spans="1:18" x14ac:dyDescent="0.25">
      <c r="A277" s="74">
        <v>5506</v>
      </c>
      <c r="B277" s="75" t="s">
        <v>7</v>
      </c>
      <c r="C277" s="75" t="s">
        <v>287</v>
      </c>
      <c r="D277" s="75" t="s">
        <v>294</v>
      </c>
      <c r="E277" s="76">
        <v>980</v>
      </c>
      <c r="F277" s="76">
        <v>180</v>
      </c>
      <c r="G277" s="77">
        <f>IF(VLOOKUP(C277,Steuerungsdaten!$P$17:$T$39,2,0)="","",MAX(ROUND(VLOOKUP(C277,Steuerungsdaten!$P$17:$T$39,2,0)*Steuerungsdaten!$B$4*Steuerungsdaten!$B$7*IFERROR(VLOOKUP(C277,Steuerungsdaten!$B$17:$C$37,2,FALSE),1)*POWER(IF(OR(E277=0,F277=0,E277="",F277=""),1,(E277*F277/1000000)/Steuerungsdaten!$B$6),IFERROR(VLOOKUP(C277,Steuerungsdaten!$B$17:$K$37,10,FALSE),1)-1),0),Steuerungsdaten!$E$4))</f>
        <v>325</v>
      </c>
      <c r="H277" s="77">
        <f>IF(VLOOKUP(C277,Steuerungsdaten!$P$17:$T$39,3,0)="","",MAX(ROUND(VLOOKUP(C277,Steuerungsdaten!$P$17:$T$39,3,0)*Steuerungsdaten!$B$4*Steuerungsdaten!$B$8*IFERROR(VLOOKUP(C277,Steuerungsdaten!$B$17:$E$37,4,FALSE),1)*POWER(IF(OR(E277=0,F277=0,E277="",F277=""),1,(E277*F277/1000000)/Steuerungsdaten!$B$6),IFERROR(VLOOKUP(C277,Steuerungsdaten!$B$17:$L$37,11,FALSE),1)-1),0),Steuerungsdaten!$E$5))</f>
        <v>386</v>
      </c>
      <c r="I277" s="77">
        <f>IF(VLOOKUP(C277,Steuerungsdaten!$P$17:$T$39,4,0)="","",MAX(ROUND(VLOOKUP(C277,Steuerungsdaten!$P$17:$T$39,4,0)*Steuerungsdaten!$B$4*Steuerungsdaten!$B$9*IFERROR(VLOOKUP(C277,Steuerungsdaten!$B$17:$G$37,6,FALSE),1)*POWER(IF(OR(E277=0,F277=0,E277="",F277=""),1,(E277*F277/1000000)/Steuerungsdaten!$B$6),IFERROR(VLOOKUP(C277,Steuerungsdaten!$B$17:$M$37,12,FALSE),1)-1),0),Steuerungsdaten!$E$6))</f>
        <v>421</v>
      </c>
      <c r="J277" s="77" t="s">
        <v>988</v>
      </c>
      <c r="K277" s="77">
        <f>IFERROR(IF(G277="","",ROUND(G277*Steuerungsdaten!$B$5,0)),"-")</f>
        <v>374</v>
      </c>
      <c r="L277" s="77">
        <f>IFERROR(IF(H277="","",ROUND(H277*Steuerungsdaten!$B$5,0)),"-")</f>
        <v>444</v>
      </c>
      <c r="M277" s="77">
        <f>IFERROR(IF(I277="","",ROUND(I277*Steuerungsdaten!$B$5,0)),"-")</f>
        <v>484</v>
      </c>
      <c r="N277" s="78" t="str">
        <f>IFERROR(IF(J277="","",ROUND(J277*Steuerungsdaten!$B$5,0)),"-")</f>
        <v>-</v>
      </c>
      <c r="O277" s="79">
        <v>348</v>
      </c>
      <c r="P277" s="79">
        <f>IF(H277="","",ROUND(H277/(Steuerungsdaten!$B$4*Steuerungsdaten!$B$8*IFERROR(VLOOKUP(C277,Steuerungsdaten!$B$17:$E$37,4,FALSE),1)*POWER(IF(OR(E277=0,F277=0,E277="",F277=""),1,(E277*F277/1000000)/Steuerungsdaten!$B$6),IFERROR(VLOOKUP(C277,Steuerungsdaten!$B$17:$L$37,11,FALSE),1)-1)),0))</f>
        <v>418</v>
      </c>
      <c r="Q277" s="79">
        <f>IF(I277="","",ROUND(I277/(Steuerungsdaten!$B$4*Steuerungsdaten!$B$9*IFERROR(VLOOKUP(C277,Steuerungsdaten!$B$17:$G$37,6,FALSE),1)*POWER(IF(OR(E277=0,F277=0,E277="",F277=""),1,(E277*F277/1000000)/Steuerungsdaten!$B$6),IFERROR(VLOOKUP(C277,Steuerungsdaten!$B$17:$M$37,12,FALSE),1)-1)),0))</f>
        <v>455</v>
      </c>
      <c r="R277" s="79" t="e">
        <f>IF(J277="","",ROUND(J277/(Steuerungsdaten!$B$4*Steuerungsdaten!$B$10*IFERROR(VLOOKUP(C277,Steuerungsdaten!$B$17:$I$37,8,FALSE),1)*POWER(IF(OR(E277=0,F277=0,E277="",F277=""),1,(E277*F277/1000000)/Steuerungsdaten!$B$6),IFERROR(VLOOKUP(C277,Steuerungsdaten!$B$17:$N$37,13,FALSE),1)-1)),0))</f>
        <v>#VALUE!</v>
      </c>
    </row>
    <row r="278" spans="1:18" x14ac:dyDescent="0.25">
      <c r="A278" s="69">
        <v>5507</v>
      </c>
      <c r="B278" s="70" t="s">
        <v>7</v>
      </c>
      <c r="C278" s="70" t="s">
        <v>287</v>
      </c>
      <c r="D278" s="70" t="s">
        <v>295</v>
      </c>
      <c r="E278" s="71">
        <v>980</v>
      </c>
      <c r="F278" s="71">
        <v>360</v>
      </c>
      <c r="G278" s="72">
        <f>IF(VLOOKUP(C278,Steuerungsdaten!$P$17:$T$39,2,0)="","",MAX(ROUND(VLOOKUP(C278,Steuerungsdaten!$P$17:$T$39,2,0)*Steuerungsdaten!$B$4*Steuerungsdaten!$B$7*IFERROR(VLOOKUP(C278,Steuerungsdaten!$B$17:$C$37,2,FALSE),1)*POWER(IF(OR(E278=0,F278=0,E278="",F278=""),1,(E278*F278/1000000)/Steuerungsdaten!$B$6),IFERROR(VLOOKUP(C278,Steuerungsdaten!$B$17:$K$37,10,FALSE),1)-1),0),Steuerungsdaten!$E$4))</f>
        <v>349</v>
      </c>
      <c r="H278" s="72">
        <f>IF(VLOOKUP(C278,Steuerungsdaten!$P$17:$T$39,3,0)="","",MAX(ROUND(VLOOKUP(C278,Steuerungsdaten!$P$17:$T$39,3,0)*Steuerungsdaten!$B$4*Steuerungsdaten!$B$8*IFERROR(VLOOKUP(C278,Steuerungsdaten!$B$17:$E$37,4,FALSE),1)*POWER(IF(OR(E278=0,F278=0,E278="",F278=""),1,(E278*F278/1000000)/Steuerungsdaten!$B$6),IFERROR(VLOOKUP(C278,Steuerungsdaten!$B$17:$L$37,11,FALSE),1)-1),0),Steuerungsdaten!$E$5))</f>
        <v>414</v>
      </c>
      <c r="I278" s="72">
        <f>IF(VLOOKUP(C278,Steuerungsdaten!$P$17:$T$39,4,0)="","",MAX(ROUND(VLOOKUP(C278,Steuerungsdaten!$P$17:$T$39,4,0)*Steuerungsdaten!$B$4*Steuerungsdaten!$B$9*IFERROR(VLOOKUP(C278,Steuerungsdaten!$B$17:$G$37,6,FALSE),1)*POWER(IF(OR(E278=0,F278=0,E278="",F278=""),1,(E278*F278/1000000)/Steuerungsdaten!$B$6),IFERROR(VLOOKUP(C278,Steuerungsdaten!$B$17:$M$37,12,FALSE),1)-1),0),Steuerungsdaten!$E$6))</f>
        <v>451</v>
      </c>
      <c r="J278" s="72" t="s">
        <v>988</v>
      </c>
      <c r="K278" s="72">
        <f>IFERROR(IF(G278="","",ROUND(G278*Steuerungsdaten!$B$5,0)),"-")</f>
        <v>401</v>
      </c>
      <c r="L278" s="72">
        <f>IFERROR(IF(H278="","",ROUND(H278*Steuerungsdaten!$B$5,0)),"-")</f>
        <v>476</v>
      </c>
      <c r="M278" s="72">
        <f>IFERROR(IF(I278="","",ROUND(I278*Steuerungsdaten!$B$5,0)),"-")</f>
        <v>519</v>
      </c>
      <c r="N278" s="73" t="str">
        <f>IFERROR(IF(J278="","",ROUND(J278*Steuerungsdaten!$B$5,0)),"-")</f>
        <v>-</v>
      </c>
      <c r="O278" s="79">
        <v>429</v>
      </c>
      <c r="P278" s="79">
        <f>IF(H278="","",ROUND(H278/(Steuerungsdaten!$B$4*Steuerungsdaten!$B$8*IFERROR(VLOOKUP(C278,Steuerungsdaten!$B$17:$E$37,4,FALSE),1)*POWER(IF(OR(E278=0,F278=0,E278="",F278=""),1,(E278*F278/1000000)/Steuerungsdaten!$B$6),IFERROR(VLOOKUP(C278,Steuerungsdaten!$B$17:$L$37,11,FALSE),1)-1)),0))</f>
        <v>418</v>
      </c>
      <c r="Q278" s="79">
        <f>IF(I278="","",ROUND(I278/(Steuerungsdaten!$B$4*Steuerungsdaten!$B$9*IFERROR(VLOOKUP(C278,Steuerungsdaten!$B$17:$G$37,6,FALSE),1)*POWER(IF(OR(E278=0,F278=0,E278="",F278=""),1,(E278*F278/1000000)/Steuerungsdaten!$B$6),IFERROR(VLOOKUP(C278,Steuerungsdaten!$B$17:$M$37,12,FALSE),1)-1)),0))</f>
        <v>455</v>
      </c>
      <c r="R278" s="79" t="e">
        <f>IF(J278="","",ROUND(J278/(Steuerungsdaten!$B$4*Steuerungsdaten!$B$10*IFERROR(VLOOKUP(C278,Steuerungsdaten!$B$17:$I$37,8,FALSE),1)*POWER(IF(OR(E278=0,F278=0,E278="",F278=""),1,(E278*F278/1000000)/Steuerungsdaten!$B$6),IFERROR(VLOOKUP(C278,Steuerungsdaten!$B$17:$N$37,13,FALSE),1)-1)),0))</f>
        <v>#VALUE!</v>
      </c>
    </row>
    <row r="279" spans="1:18" ht="21.95" customHeight="1" x14ac:dyDescent="0.25">
      <c r="A279" s="426" t="s">
        <v>296</v>
      </c>
      <c r="B279" s="426"/>
      <c r="C279" s="426"/>
      <c r="D279" s="426"/>
      <c r="E279" s="426"/>
      <c r="F279" s="426"/>
      <c r="G279" s="426"/>
      <c r="H279" s="426"/>
      <c r="I279" s="426"/>
      <c r="J279" s="426"/>
      <c r="K279" s="426" t="str">
        <f>IFERROR(IF(G279="","",ROUND(G279*Steuerungsdaten!$B$5,0)),"-")</f>
        <v/>
      </c>
      <c r="L279" s="426" t="str">
        <f>IFERROR(IF(H279="","",ROUND(H279*Steuerungsdaten!$B$5,0)),"-")</f>
        <v/>
      </c>
      <c r="M279" s="426" t="str">
        <f>IFERROR(IF(I279="","",ROUND(I279*Steuerungsdaten!$B$5,0)),"-")</f>
        <v/>
      </c>
      <c r="N279" s="426" t="str">
        <f>IFERROR(IF(J279="","",ROUND(J279*Steuerungsdaten!$B$5,0)),"-")</f>
        <v/>
      </c>
      <c r="O279" s="79"/>
      <c r="P279" s="79"/>
      <c r="Q279" s="79"/>
      <c r="R279" s="79"/>
    </row>
    <row r="280" spans="1:18" x14ac:dyDescent="0.25">
      <c r="A280" s="64">
        <v>1000</v>
      </c>
      <c r="B280" s="65" t="s">
        <v>296</v>
      </c>
      <c r="C280" s="65" t="s">
        <v>390</v>
      </c>
      <c r="D280" s="65" t="s">
        <v>297</v>
      </c>
      <c r="E280" s="66"/>
      <c r="F280" s="66"/>
      <c r="G280" s="67">
        <v>6</v>
      </c>
      <c r="H280" s="67">
        <v>6</v>
      </c>
      <c r="I280" s="67">
        <v>6</v>
      </c>
      <c r="J280" s="67">
        <v>6</v>
      </c>
      <c r="K280" s="67">
        <f>IFERROR(IF(G280="","",ROUND(G280*Steuerungsdaten!$B$5,0)),"-")</f>
        <v>7</v>
      </c>
      <c r="L280" s="67">
        <f>IFERROR(IF(H280="","",ROUND(H280*Steuerungsdaten!$B$5,0)),"-")</f>
        <v>7</v>
      </c>
      <c r="M280" s="67">
        <f>IFERROR(IF(I280="","",ROUND(I280*Steuerungsdaten!$B$5,0)),"-")</f>
        <v>7</v>
      </c>
      <c r="N280" s="68">
        <f>IFERROR(IF(J280="","",ROUND(J280*Steuerungsdaten!$B$5,0)),"-")</f>
        <v>7</v>
      </c>
      <c r="O280" s="79">
        <v>6</v>
      </c>
      <c r="P280" s="79">
        <f>IF(H280="","",ROUND(H280/(Steuerungsdaten!$B$4*Steuerungsdaten!$B$8*IFERROR(VLOOKUP(C280,Steuerungsdaten!$B$17:$E$37,4,FALSE),1)*POWER(IF(OR(E280=0,F280=0,E280="",F280=""),1,(E280*F280/1000000)/Steuerungsdaten!$B$6),IFERROR(VLOOKUP(C280,Steuerungsdaten!$B$17:$L$37,11,FALSE),1)-1)),0))</f>
        <v>5</v>
      </c>
      <c r="Q280" s="79">
        <f>IF(I280="","",ROUND(I280/(Steuerungsdaten!$B$4*Steuerungsdaten!$B$9*IFERROR(VLOOKUP(C280,Steuerungsdaten!$B$17:$G$37,6,FALSE),1)*POWER(IF(OR(E280=0,F280=0,E280="",F280=""),1,(E280*F280/1000000)/Steuerungsdaten!$B$6),IFERROR(VLOOKUP(C280,Steuerungsdaten!$B$17:$M$37,12,FALSE),1)-1)),0))</f>
        <v>5</v>
      </c>
      <c r="R280" s="79">
        <f>IF(J280="","",ROUND(J280/(Steuerungsdaten!$B$4*Steuerungsdaten!$B$10*IFERROR(VLOOKUP(C280,Steuerungsdaten!$B$17:$I$37,8,FALSE),1)*POWER(IF(OR(E280=0,F280=0,E280="",F280=""),1,(E280*F280/1000000)/Steuerungsdaten!$B$6),IFERROR(VLOOKUP(C280,Steuerungsdaten!$B$17:$N$37,13,FALSE),1)-1)),0))</f>
        <v>5</v>
      </c>
    </row>
    <row r="281" spans="1:18" x14ac:dyDescent="0.25">
      <c r="A281" s="69">
        <v>1001</v>
      </c>
      <c r="B281" s="70" t="s">
        <v>296</v>
      </c>
      <c r="C281" s="70" t="s">
        <v>390</v>
      </c>
      <c r="D281" s="70" t="s">
        <v>297</v>
      </c>
      <c r="E281" s="71"/>
      <c r="F281" s="71"/>
      <c r="G281" s="72">
        <v>6</v>
      </c>
      <c r="H281" s="72">
        <v>6</v>
      </c>
      <c r="I281" s="72">
        <v>6</v>
      </c>
      <c r="J281" s="72">
        <v>6</v>
      </c>
      <c r="K281" s="72">
        <f>IFERROR(IF(G281="","",ROUND(G281*Steuerungsdaten!$B$5,0)),"-")</f>
        <v>7</v>
      </c>
      <c r="L281" s="72">
        <f>IFERROR(IF(H281="","",ROUND(H281*Steuerungsdaten!$B$5,0)),"-")</f>
        <v>7</v>
      </c>
      <c r="M281" s="72">
        <f>IFERROR(IF(I281="","",ROUND(I281*Steuerungsdaten!$B$5,0)),"-")</f>
        <v>7</v>
      </c>
      <c r="N281" s="73">
        <f>IFERROR(IF(J281="","",ROUND(J281*Steuerungsdaten!$B$5,0)),"-")</f>
        <v>7</v>
      </c>
      <c r="O281" s="79">
        <v>6</v>
      </c>
      <c r="P281" s="79">
        <f>IF(H281="","",ROUND(H281/(Steuerungsdaten!$B$4*Steuerungsdaten!$B$8*IFERROR(VLOOKUP(C281,Steuerungsdaten!$B$17:$E$37,4,FALSE),1)*POWER(IF(OR(E281=0,F281=0,E281="",F281=""),1,(E281*F281/1000000)/Steuerungsdaten!$B$6),IFERROR(VLOOKUP(C281,Steuerungsdaten!$B$17:$L$37,11,FALSE),1)-1)),0))</f>
        <v>5</v>
      </c>
      <c r="Q281" s="79">
        <f>IF(I281="","",ROUND(I281/(Steuerungsdaten!$B$4*Steuerungsdaten!$B$9*IFERROR(VLOOKUP(C281,Steuerungsdaten!$B$17:$G$37,6,FALSE),1)*POWER(IF(OR(E281=0,F281=0,E281="",F281=""),1,(E281*F281/1000000)/Steuerungsdaten!$B$6),IFERROR(VLOOKUP(C281,Steuerungsdaten!$B$17:$M$37,12,FALSE),1)-1)),0))</f>
        <v>5</v>
      </c>
      <c r="R281" s="79">
        <f>IF(J281="","",ROUND(J281/(Steuerungsdaten!$B$4*Steuerungsdaten!$B$10*IFERROR(VLOOKUP(C281,Steuerungsdaten!$B$17:$I$37,8,FALSE),1)*POWER(IF(OR(E281=0,F281=0,E281="",F281=""),1,(E281*F281/1000000)/Steuerungsdaten!$B$6),IFERROR(VLOOKUP(C281,Steuerungsdaten!$B$17:$N$37,13,FALSE),1)-1)),0))</f>
        <v>5</v>
      </c>
    </row>
    <row r="282" spans="1:18" x14ac:dyDescent="0.25">
      <c r="A282" s="74">
        <v>1002</v>
      </c>
      <c r="B282" s="75" t="s">
        <v>296</v>
      </c>
      <c r="C282" s="75" t="s">
        <v>390</v>
      </c>
      <c r="D282" s="75" t="s">
        <v>297</v>
      </c>
      <c r="E282" s="76"/>
      <c r="F282" s="76"/>
      <c r="G282" s="77">
        <v>6</v>
      </c>
      <c r="H282" s="77">
        <v>6</v>
      </c>
      <c r="I282" s="77">
        <v>6</v>
      </c>
      <c r="J282" s="77">
        <v>6</v>
      </c>
      <c r="K282" s="77">
        <f>IFERROR(IF(G282="","",ROUND(G282*Steuerungsdaten!$B$5,0)),"-")</f>
        <v>7</v>
      </c>
      <c r="L282" s="77">
        <f>IFERROR(IF(H282="","",ROUND(H282*Steuerungsdaten!$B$5,0)),"-")</f>
        <v>7</v>
      </c>
      <c r="M282" s="77">
        <f>IFERROR(IF(I282="","",ROUND(I282*Steuerungsdaten!$B$5,0)),"-")</f>
        <v>7</v>
      </c>
      <c r="N282" s="78">
        <f>IFERROR(IF(J282="","",ROUND(J282*Steuerungsdaten!$B$5,0)),"-")</f>
        <v>7</v>
      </c>
      <c r="O282" s="79">
        <v>6</v>
      </c>
      <c r="P282" s="79">
        <f>IF(H282="","",ROUND(H282/(Steuerungsdaten!$B$4*Steuerungsdaten!$B$8*IFERROR(VLOOKUP(C282,Steuerungsdaten!$B$17:$E$37,4,FALSE),1)*POWER(IF(OR(E282=0,F282=0,E282="",F282=""),1,(E282*F282/1000000)/Steuerungsdaten!$B$6),IFERROR(VLOOKUP(C282,Steuerungsdaten!$B$17:$L$37,11,FALSE),1)-1)),0))</f>
        <v>5</v>
      </c>
      <c r="Q282" s="79">
        <f>IF(I282="","",ROUND(I282/(Steuerungsdaten!$B$4*Steuerungsdaten!$B$9*IFERROR(VLOOKUP(C282,Steuerungsdaten!$B$17:$G$37,6,FALSE),1)*POWER(IF(OR(E282=0,F282=0,E282="",F282=""),1,(E282*F282/1000000)/Steuerungsdaten!$B$6),IFERROR(VLOOKUP(C282,Steuerungsdaten!$B$17:$M$37,12,FALSE),1)-1)),0))</f>
        <v>5</v>
      </c>
      <c r="R282" s="79">
        <f>IF(J282="","",ROUND(J282/(Steuerungsdaten!$B$4*Steuerungsdaten!$B$10*IFERROR(VLOOKUP(C282,Steuerungsdaten!$B$17:$I$37,8,FALSE),1)*POWER(IF(OR(E282=0,F282=0,E282="",F282=""),1,(E282*F282/1000000)/Steuerungsdaten!$B$6),IFERROR(VLOOKUP(C282,Steuerungsdaten!$B$17:$N$37,13,FALSE),1)-1)),0))</f>
        <v>5</v>
      </c>
    </row>
    <row r="283" spans="1:18" x14ac:dyDescent="0.25">
      <c r="A283" s="69">
        <v>1100</v>
      </c>
      <c r="B283" s="70" t="s">
        <v>296</v>
      </c>
      <c r="C283" s="70" t="s">
        <v>390</v>
      </c>
      <c r="D283" s="70" t="s">
        <v>298</v>
      </c>
      <c r="E283" s="71"/>
      <c r="F283" s="71"/>
      <c r="G283" s="72">
        <v>6</v>
      </c>
      <c r="H283" s="72">
        <v>6</v>
      </c>
      <c r="I283" s="72">
        <v>6</v>
      </c>
      <c r="J283" s="72">
        <v>6</v>
      </c>
      <c r="K283" s="72">
        <f>IFERROR(IF(G283="","",ROUND(G283*Steuerungsdaten!$B$5,0)),"-")</f>
        <v>7</v>
      </c>
      <c r="L283" s="72">
        <f>IFERROR(IF(H283="","",ROUND(H283*Steuerungsdaten!$B$5,0)),"-")</f>
        <v>7</v>
      </c>
      <c r="M283" s="72">
        <f>IFERROR(IF(I283="","",ROUND(I283*Steuerungsdaten!$B$5,0)),"-")</f>
        <v>7</v>
      </c>
      <c r="N283" s="73">
        <f>IFERROR(IF(J283="","",ROUND(J283*Steuerungsdaten!$B$5,0)),"-")</f>
        <v>7</v>
      </c>
      <c r="O283" s="79">
        <v>6</v>
      </c>
      <c r="P283" s="79">
        <f>IF(H283="","",ROUND(H283/(Steuerungsdaten!$B$4*Steuerungsdaten!$B$8*IFERROR(VLOOKUP(C283,Steuerungsdaten!$B$17:$E$37,4,FALSE),1)*POWER(IF(OR(E283=0,F283=0,E283="",F283=""),1,(E283*F283/1000000)/Steuerungsdaten!$B$6),IFERROR(VLOOKUP(C283,Steuerungsdaten!$B$17:$L$37,11,FALSE),1)-1)),0))</f>
        <v>5</v>
      </c>
      <c r="Q283" s="79">
        <f>IF(I283="","",ROUND(I283/(Steuerungsdaten!$B$4*Steuerungsdaten!$B$9*IFERROR(VLOOKUP(C283,Steuerungsdaten!$B$17:$G$37,6,FALSE),1)*POWER(IF(OR(E283=0,F283=0,E283="",F283=""),1,(E283*F283/1000000)/Steuerungsdaten!$B$6),IFERROR(VLOOKUP(C283,Steuerungsdaten!$B$17:$M$37,12,FALSE),1)-1)),0))</f>
        <v>5</v>
      </c>
      <c r="R283" s="79">
        <f>IF(J283="","",ROUND(J283/(Steuerungsdaten!$B$4*Steuerungsdaten!$B$10*IFERROR(VLOOKUP(C283,Steuerungsdaten!$B$17:$I$37,8,FALSE),1)*POWER(IF(OR(E283=0,F283=0,E283="",F283=""),1,(E283*F283/1000000)/Steuerungsdaten!$B$6),IFERROR(VLOOKUP(C283,Steuerungsdaten!$B$17:$N$37,13,FALSE),1)-1)),0))</f>
        <v>5</v>
      </c>
    </row>
    <row r="284" spans="1:18" x14ac:dyDescent="0.25">
      <c r="A284" s="74">
        <v>1101</v>
      </c>
      <c r="B284" s="75" t="s">
        <v>296</v>
      </c>
      <c r="C284" s="75" t="s">
        <v>390</v>
      </c>
      <c r="D284" s="75" t="s">
        <v>298</v>
      </c>
      <c r="E284" s="76"/>
      <c r="F284" s="76"/>
      <c r="G284" s="77">
        <v>6</v>
      </c>
      <c r="H284" s="77">
        <v>6</v>
      </c>
      <c r="I284" s="77">
        <v>6</v>
      </c>
      <c r="J284" s="77">
        <v>6</v>
      </c>
      <c r="K284" s="77">
        <f>IFERROR(IF(G284="","",ROUND(G284*Steuerungsdaten!$B$5,0)),"-")</f>
        <v>7</v>
      </c>
      <c r="L284" s="77">
        <f>IFERROR(IF(H284="","",ROUND(H284*Steuerungsdaten!$B$5,0)),"-")</f>
        <v>7</v>
      </c>
      <c r="M284" s="77">
        <f>IFERROR(IF(I284="","",ROUND(I284*Steuerungsdaten!$B$5,0)),"-")</f>
        <v>7</v>
      </c>
      <c r="N284" s="78">
        <f>IFERROR(IF(J284="","",ROUND(J284*Steuerungsdaten!$B$5,0)),"-")</f>
        <v>7</v>
      </c>
      <c r="O284" s="79">
        <v>6</v>
      </c>
      <c r="P284" s="79">
        <f>IF(H284="","",ROUND(H284/(Steuerungsdaten!$B$4*Steuerungsdaten!$B$8*IFERROR(VLOOKUP(C284,Steuerungsdaten!$B$17:$E$37,4,FALSE),1)*POWER(IF(OR(E284=0,F284=0,E284="",F284=""),1,(E284*F284/1000000)/Steuerungsdaten!$B$6),IFERROR(VLOOKUP(C284,Steuerungsdaten!$B$17:$L$37,11,FALSE),1)-1)),0))</f>
        <v>5</v>
      </c>
      <c r="Q284" s="79">
        <f>IF(I284="","",ROUND(I284/(Steuerungsdaten!$B$4*Steuerungsdaten!$B$9*IFERROR(VLOOKUP(C284,Steuerungsdaten!$B$17:$G$37,6,FALSE),1)*POWER(IF(OR(E284=0,F284=0,E284="",F284=""),1,(E284*F284/1000000)/Steuerungsdaten!$B$6),IFERROR(VLOOKUP(C284,Steuerungsdaten!$B$17:$M$37,12,FALSE),1)-1)),0))</f>
        <v>5</v>
      </c>
      <c r="R284" s="79">
        <f>IF(J284="","",ROUND(J284/(Steuerungsdaten!$B$4*Steuerungsdaten!$B$10*IFERROR(VLOOKUP(C284,Steuerungsdaten!$B$17:$I$37,8,FALSE),1)*POWER(IF(OR(E284=0,F284=0,E284="",F284=""),1,(E284*F284/1000000)/Steuerungsdaten!$B$6),IFERROR(VLOOKUP(C284,Steuerungsdaten!$B$17:$N$37,13,FALSE),1)-1)),0))</f>
        <v>5</v>
      </c>
    </row>
    <row r="285" spans="1:18" x14ac:dyDescent="0.25">
      <c r="A285" s="69">
        <v>1102</v>
      </c>
      <c r="B285" s="70" t="s">
        <v>296</v>
      </c>
      <c r="C285" s="70" t="s">
        <v>390</v>
      </c>
      <c r="D285" s="70" t="s">
        <v>298</v>
      </c>
      <c r="E285" s="71"/>
      <c r="F285" s="71"/>
      <c r="G285" s="72">
        <v>6</v>
      </c>
      <c r="H285" s="72">
        <v>6</v>
      </c>
      <c r="I285" s="72">
        <v>6</v>
      </c>
      <c r="J285" s="72">
        <v>6</v>
      </c>
      <c r="K285" s="72">
        <f>IFERROR(IF(G285="","",ROUND(G285*Steuerungsdaten!$B$5,0)),"-")</f>
        <v>7</v>
      </c>
      <c r="L285" s="72">
        <f>IFERROR(IF(H285="","",ROUND(H285*Steuerungsdaten!$B$5,0)),"-")</f>
        <v>7</v>
      </c>
      <c r="M285" s="72">
        <f>IFERROR(IF(I285="","",ROUND(I285*Steuerungsdaten!$B$5,0)),"-")</f>
        <v>7</v>
      </c>
      <c r="N285" s="73">
        <f>IFERROR(IF(J285="","",ROUND(J285*Steuerungsdaten!$B$5,0)),"-")</f>
        <v>7</v>
      </c>
      <c r="O285" s="79">
        <v>6</v>
      </c>
      <c r="P285" s="79">
        <f>IF(H285="","",ROUND(H285/(Steuerungsdaten!$B$4*Steuerungsdaten!$B$8*IFERROR(VLOOKUP(C285,Steuerungsdaten!$B$17:$E$37,4,FALSE),1)*POWER(IF(OR(E285=0,F285=0,E285="",F285=""),1,(E285*F285/1000000)/Steuerungsdaten!$B$6),IFERROR(VLOOKUP(C285,Steuerungsdaten!$B$17:$L$37,11,FALSE),1)-1)),0))</f>
        <v>5</v>
      </c>
      <c r="Q285" s="79">
        <f>IF(I285="","",ROUND(I285/(Steuerungsdaten!$B$4*Steuerungsdaten!$B$9*IFERROR(VLOOKUP(C285,Steuerungsdaten!$B$17:$G$37,6,FALSE),1)*POWER(IF(OR(E285=0,F285=0,E285="",F285=""),1,(E285*F285/1000000)/Steuerungsdaten!$B$6),IFERROR(VLOOKUP(C285,Steuerungsdaten!$B$17:$M$37,12,FALSE),1)-1)),0))</f>
        <v>5</v>
      </c>
      <c r="R285" s="79">
        <f>IF(J285="","",ROUND(J285/(Steuerungsdaten!$B$4*Steuerungsdaten!$B$10*IFERROR(VLOOKUP(C285,Steuerungsdaten!$B$17:$I$37,8,FALSE),1)*POWER(IF(OR(E285=0,F285=0,E285="",F285=""),1,(E285*F285/1000000)/Steuerungsdaten!$B$6),IFERROR(VLOOKUP(C285,Steuerungsdaten!$B$17:$N$37,13,FALSE),1)-1)),0))</f>
        <v>5</v>
      </c>
    </row>
    <row r="286" spans="1:18" x14ac:dyDescent="0.25">
      <c r="A286" s="74">
        <v>2000</v>
      </c>
      <c r="B286" s="75" t="s">
        <v>296</v>
      </c>
      <c r="C286" s="75" t="s">
        <v>299</v>
      </c>
      <c r="D286" s="75" t="s">
        <v>300</v>
      </c>
      <c r="E286" s="76"/>
      <c r="F286" s="76"/>
      <c r="G286" s="77">
        <v>80</v>
      </c>
      <c r="H286" s="77">
        <v>80</v>
      </c>
      <c r="I286" s="77">
        <v>80</v>
      </c>
      <c r="J286" s="77">
        <v>80</v>
      </c>
      <c r="K286" s="77">
        <f>IFERROR(IF(G286="","",ROUND(G286*Steuerungsdaten!$B$5,0)),"-")</f>
        <v>92</v>
      </c>
      <c r="L286" s="77">
        <f>IFERROR(IF(H286="","",ROUND(H286*Steuerungsdaten!$B$5,0)),"-")</f>
        <v>92</v>
      </c>
      <c r="M286" s="77">
        <f>IFERROR(IF(I286="","",ROUND(I286*Steuerungsdaten!$B$5,0)),"-")</f>
        <v>92</v>
      </c>
      <c r="N286" s="78">
        <f>IFERROR(IF(J286="","",ROUND(J286*Steuerungsdaten!$B$5,0)),"-")</f>
        <v>92</v>
      </c>
      <c r="O286" s="79">
        <v>80</v>
      </c>
      <c r="P286" s="79">
        <f>IF(H286="","",ROUND(H286/(Steuerungsdaten!$B$4*Steuerungsdaten!$B$8*IFERROR(VLOOKUP(C286,Steuerungsdaten!$B$17:$E$37,4,FALSE),1)*POWER(IF(OR(E286=0,F286=0,E286="",F286=""),1,(E286*F286/1000000)/Steuerungsdaten!$B$6),IFERROR(VLOOKUP(C286,Steuerungsdaten!$B$17:$L$37,11,FALSE),1)-1)),0))</f>
        <v>97</v>
      </c>
      <c r="Q286" s="79">
        <f>IF(I286="","",ROUND(I286/(Steuerungsdaten!$B$4*Steuerungsdaten!$B$9*IFERROR(VLOOKUP(C286,Steuerungsdaten!$B$17:$G$37,6,FALSE),1)*POWER(IF(OR(E286=0,F286=0,E286="",F286=""),1,(E286*F286/1000000)/Steuerungsdaten!$B$6),IFERROR(VLOOKUP(C286,Steuerungsdaten!$B$17:$M$37,12,FALSE),1)-1)),0))</f>
        <v>97</v>
      </c>
      <c r="R286" s="79">
        <f>IF(J286="","",ROUND(J286/(Steuerungsdaten!$B$4*Steuerungsdaten!$B$10*IFERROR(VLOOKUP(C286,Steuerungsdaten!$B$17:$I$37,8,FALSE),1)*POWER(IF(OR(E286=0,F286=0,E286="",F286=""),1,(E286*F286/1000000)/Steuerungsdaten!$B$6),IFERROR(VLOOKUP(C286,Steuerungsdaten!$B$17:$N$37,13,FALSE),1)-1)),0))</f>
        <v>89</v>
      </c>
    </row>
    <row r="287" spans="1:18" x14ac:dyDescent="0.25">
      <c r="A287" s="69">
        <v>2001</v>
      </c>
      <c r="B287" s="70" t="s">
        <v>296</v>
      </c>
      <c r="C287" s="70" t="s">
        <v>299</v>
      </c>
      <c r="D287" s="70" t="s">
        <v>300</v>
      </c>
      <c r="E287" s="71"/>
      <c r="F287" s="71"/>
      <c r="G287" s="72">
        <v>40</v>
      </c>
      <c r="H287" s="72">
        <v>40</v>
      </c>
      <c r="I287" s="72">
        <v>40</v>
      </c>
      <c r="J287" s="72">
        <v>40</v>
      </c>
      <c r="K287" s="72">
        <f>IFERROR(IF(G287="","",ROUND(G287*Steuerungsdaten!$B$5,0)),"-")</f>
        <v>46</v>
      </c>
      <c r="L287" s="72">
        <f>IFERROR(IF(H287="","",ROUND(H287*Steuerungsdaten!$B$5,0)),"-")</f>
        <v>46</v>
      </c>
      <c r="M287" s="72">
        <f>IFERROR(IF(I287="","",ROUND(I287*Steuerungsdaten!$B$5,0)),"-")</f>
        <v>46</v>
      </c>
      <c r="N287" s="73">
        <f>IFERROR(IF(J287="","",ROUND(J287*Steuerungsdaten!$B$5,0)),"-")</f>
        <v>46</v>
      </c>
      <c r="O287" s="79">
        <v>40</v>
      </c>
      <c r="P287" s="79">
        <f>IF(H287="","",ROUND(H287/(Steuerungsdaten!$B$4*Steuerungsdaten!$B$8*IFERROR(VLOOKUP(C287,Steuerungsdaten!$B$17:$E$37,4,FALSE),1)*POWER(IF(OR(E287=0,F287=0,E287="",F287=""),1,(E287*F287/1000000)/Steuerungsdaten!$B$6),IFERROR(VLOOKUP(C287,Steuerungsdaten!$B$17:$L$37,11,FALSE),1)-1)),0))</f>
        <v>48</v>
      </c>
      <c r="Q287" s="79">
        <f>IF(I287="","",ROUND(I287/(Steuerungsdaten!$B$4*Steuerungsdaten!$B$9*IFERROR(VLOOKUP(C287,Steuerungsdaten!$B$17:$G$37,6,FALSE),1)*POWER(IF(OR(E287=0,F287=0,E287="",F287=""),1,(E287*F287/1000000)/Steuerungsdaten!$B$6),IFERROR(VLOOKUP(C287,Steuerungsdaten!$B$17:$M$37,12,FALSE),1)-1)),0))</f>
        <v>48</v>
      </c>
      <c r="R287" s="79">
        <f>IF(J287="","",ROUND(J287/(Steuerungsdaten!$B$4*Steuerungsdaten!$B$10*IFERROR(VLOOKUP(C287,Steuerungsdaten!$B$17:$I$37,8,FALSE),1)*POWER(IF(OR(E287=0,F287=0,E287="",F287=""),1,(E287*F287/1000000)/Steuerungsdaten!$B$6),IFERROR(VLOOKUP(C287,Steuerungsdaten!$B$17:$N$37,13,FALSE),1)-1)),0))</f>
        <v>44</v>
      </c>
    </row>
    <row r="288" spans="1:18" x14ac:dyDescent="0.25">
      <c r="A288" s="74">
        <v>2005</v>
      </c>
      <c r="B288" s="75" t="s">
        <v>296</v>
      </c>
      <c r="C288" s="75" t="s">
        <v>299</v>
      </c>
      <c r="D288" s="75" t="s">
        <v>301</v>
      </c>
      <c r="E288" s="76"/>
      <c r="F288" s="76"/>
      <c r="G288" s="77">
        <v>20</v>
      </c>
      <c r="H288" s="77">
        <v>20</v>
      </c>
      <c r="I288" s="77">
        <v>20</v>
      </c>
      <c r="J288" s="77">
        <v>20</v>
      </c>
      <c r="K288" s="77">
        <f>IFERROR(IF(G288="","",ROUND(G288*Steuerungsdaten!$B$5,0)),"-")</f>
        <v>23</v>
      </c>
      <c r="L288" s="77">
        <f>IFERROR(IF(H288="","",ROUND(H288*Steuerungsdaten!$B$5,0)),"-")</f>
        <v>23</v>
      </c>
      <c r="M288" s="77">
        <f>IFERROR(IF(I288="","",ROUND(I288*Steuerungsdaten!$B$5,0)),"-")</f>
        <v>23</v>
      </c>
      <c r="N288" s="78">
        <f>IFERROR(IF(J288="","",ROUND(J288*Steuerungsdaten!$B$5,0)),"-")</f>
        <v>23</v>
      </c>
      <c r="O288" s="79">
        <v>20</v>
      </c>
      <c r="P288" s="79">
        <f>IF(H288="","",ROUND(H288/(Steuerungsdaten!$B$4*Steuerungsdaten!$B$8*IFERROR(VLOOKUP(C288,Steuerungsdaten!$B$17:$E$37,4,FALSE),1)*POWER(IF(OR(E288=0,F288=0,E288="",F288=""),1,(E288*F288/1000000)/Steuerungsdaten!$B$6),IFERROR(VLOOKUP(C288,Steuerungsdaten!$B$17:$L$37,11,FALSE),1)-1)),0))</f>
        <v>24</v>
      </c>
      <c r="Q288" s="79">
        <f>IF(I288="","",ROUND(I288/(Steuerungsdaten!$B$4*Steuerungsdaten!$B$9*IFERROR(VLOOKUP(C288,Steuerungsdaten!$B$17:$G$37,6,FALSE),1)*POWER(IF(OR(E288=0,F288=0,E288="",F288=""),1,(E288*F288/1000000)/Steuerungsdaten!$B$6),IFERROR(VLOOKUP(C288,Steuerungsdaten!$B$17:$M$37,12,FALSE),1)-1)),0))</f>
        <v>24</v>
      </c>
      <c r="R288" s="79">
        <f>IF(J288="","",ROUND(J288/(Steuerungsdaten!$B$4*Steuerungsdaten!$B$10*IFERROR(VLOOKUP(C288,Steuerungsdaten!$B$17:$I$37,8,FALSE),1)*POWER(IF(OR(E288=0,F288=0,E288="",F288=""),1,(E288*F288/1000000)/Steuerungsdaten!$B$6),IFERROR(VLOOKUP(C288,Steuerungsdaten!$B$17:$N$37,13,FALSE),1)-1)),0))</f>
        <v>22</v>
      </c>
    </row>
    <row r="289" spans="1:18" x14ac:dyDescent="0.25">
      <c r="A289" s="69">
        <v>2010</v>
      </c>
      <c r="B289" s="70" t="s">
        <v>296</v>
      </c>
      <c r="C289" s="70" t="s">
        <v>299</v>
      </c>
      <c r="D289" s="70" t="s">
        <v>302</v>
      </c>
      <c r="E289" s="71"/>
      <c r="F289" s="71"/>
      <c r="G289" s="72">
        <v>20</v>
      </c>
      <c r="H289" s="72">
        <v>20</v>
      </c>
      <c r="I289" s="72">
        <v>20</v>
      </c>
      <c r="J289" s="72">
        <v>20</v>
      </c>
      <c r="K289" s="72">
        <f>IFERROR(IF(G289="","",ROUND(G289*Steuerungsdaten!$B$5,0)),"-")</f>
        <v>23</v>
      </c>
      <c r="L289" s="72">
        <f>IFERROR(IF(H289="","",ROUND(H289*Steuerungsdaten!$B$5,0)),"-")</f>
        <v>23</v>
      </c>
      <c r="M289" s="72">
        <f>IFERROR(IF(I289="","",ROUND(I289*Steuerungsdaten!$B$5,0)),"-")</f>
        <v>23</v>
      </c>
      <c r="N289" s="73">
        <f>IFERROR(IF(J289="","",ROUND(J289*Steuerungsdaten!$B$5,0)),"-")</f>
        <v>23</v>
      </c>
      <c r="O289" s="79">
        <v>20</v>
      </c>
      <c r="P289" s="79">
        <f>IF(H289="","",ROUND(H289/(Steuerungsdaten!$B$4*Steuerungsdaten!$B$8*IFERROR(VLOOKUP(C289,Steuerungsdaten!$B$17:$E$37,4,FALSE),1)*POWER(IF(OR(E289=0,F289=0,E289="",F289=""),1,(E289*F289/1000000)/Steuerungsdaten!$B$6),IFERROR(VLOOKUP(C289,Steuerungsdaten!$B$17:$L$37,11,FALSE),1)-1)),0))</f>
        <v>24</v>
      </c>
      <c r="Q289" s="79">
        <f>IF(I289="","",ROUND(I289/(Steuerungsdaten!$B$4*Steuerungsdaten!$B$9*IFERROR(VLOOKUP(C289,Steuerungsdaten!$B$17:$G$37,6,FALSE),1)*POWER(IF(OR(E289=0,F289=0,E289="",F289=""),1,(E289*F289/1000000)/Steuerungsdaten!$B$6),IFERROR(VLOOKUP(C289,Steuerungsdaten!$B$17:$M$37,12,FALSE),1)-1)),0))</f>
        <v>24</v>
      </c>
      <c r="R289" s="79">
        <f>IF(J289="","",ROUND(J289/(Steuerungsdaten!$B$4*Steuerungsdaten!$B$10*IFERROR(VLOOKUP(C289,Steuerungsdaten!$B$17:$I$37,8,FALSE),1)*POWER(IF(OR(E289=0,F289=0,E289="",F289=""),1,(E289*F289/1000000)/Steuerungsdaten!$B$6),IFERROR(VLOOKUP(C289,Steuerungsdaten!$B$17:$N$37,13,FALSE),1)-1)),0))</f>
        <v>22</v>
      </c>
    </row>
    <row r="290" spans="1:18" x14ac:dyDescent="0.25">
      <c r="A290" s="74">
        <v>2015</v>
      </c>
      <c r="B290" s="75" t="s">
        <v>296</v>
      </c>
      <c r="C290" s="75" t="s">
        <v>299</v>
      </c>
      <c r="D290" s="75" t="s">
        <v>303</v>
      </c>
      <c r="E290" s="76"/>
      <c r="F290" s="76"/>
      <c r="G290" s="77">
        <v>20</v>
      </c>
      <c r="H290" s="77">
        <v>20</v>
      </c>
      <c r="I290" s="77">
        <v>20</v>
      </c>
      <c r="J290" s="77">
        <v>20</v>
      </c>
      <c r="K290" s="77">
        <f>IFERROR(IF(G290="","",ROUND(G290*Steuerungsdaten!$B$5,0)),"-")</f>
        <v>23</v>
      </c>
      <c r="L290" s="77">
        <f>IFERROR(IF(H290="","",ROUND(H290*Steuerungsdaten!$B$5,0)),"-")</f>
        <v>23</v>
      </c>
      <c r="M290" s="77">
        <f>IFERROR(IF(I290="","",ROUND(I290*Steuerungsdaten!$B$5,0)),"-")</f>
        <v>23</v>
      </c>
      <c r="N290" s="78">
        <f>IFERROR(IF(J290="","",ROUND(J290*Steuerungsdaten!$B$5,0)),"-")</f>
        <v>23</v>
      </c>
      <c r="O290" s="79">
        <v>20</v>
      </c>
      <c r="P290" s="79">
        <f>IF(H290="","",ROUND(H290/(Steuerungsdaten!$B$4*Steuerungsdaten!$B$8*IFERROR(VLOOKUP(C290,Steuerungsdaten!$B$17:$E$37,4,FALSE),1)*POWER(IF(OR(E290=0,F290=0,E290="",F290=""),1,(E290*F290/1000000)/Steuerungsdaten!$B$6),IFERROR(VLOOKUP(C290,Steuerungsdaten!$B$17:$L$37,11,FALSE),1)-1)),0))</f>
        <v>24</v>
      </c>
      <c r="Q290" s="79">
        <f>IF(I290="","",ROUND(I290/(Steuerungsdaten!$B$4*Steuerungsdaten!$B$9*IFERROR(VLOOKUP(C290,Steuerungsdaten!$B$17:$G$37,6,FALSE),1)*POWER(IF(OR(E290=0,F290=0,E290="",F290=""),1,(E290*F290/1000000)/Steuerungsdaten!$B$6),IFERROR(VLOOKUP(C290,Steuerungsdaten!$B$17:$M$37,12,FALSE),1)-1)),0))</f>
        <v>24</v>
      </c>
      <c r="R290" s="79">
        <f>IF(J290="","",ROUND(J290/(Steuerungsdaten!$B$4*Steuerungsdaten!$B$10*IFERROR(VLOOKUP(C290,Steuerungsdaten!$B$17:$I$37,8,FALSE),1)*POWER(IF(OR(E290=0,F290=0,E290="",F290=""),1,(E290*F290/1000000)/Steuerungsdaten!$B$6),IFERROR(VLOOKUP(C290,Steuerungsdaten!$B$17:$N$37,13,FALSE),1)-1)),0))</f>
        <v>22</v>
      </c>
    </row>
    <row r="291" spans="1:18" x14ac:dyDescent="0.25">
      <c r="A291" s="69">
        <v>2020</v>
      </c>
      <c r="B291" s="70" t="s">
        <v>296</v>
      </c>
      <c r="C291" s="70" t="s">
        <v>299</v>
      </c>
      <c r="D291" s="70" t="s">
        <v>304</v>
      </c>
      <c r="E291" s="71"/>
      <c r="F291" s="71"/>
      <c r="G291" s="72">
        <v>22</v>
      </c>
      <c r="H291" s="72">
        <v>22</v>
      </c>
      <c r="I291" s="72">
        <v>22</v>
      </c>
      <c r="J291" s="72">
        <v>22</v>
      </c>
      <c r="K291" s="72">
        <f>IFERROR(IF(G291="","",ROUND(G291*Steuerungsdaten!$B$5,0)),"-")</f>
        <v>25</v>
      </c>
      <c r="L291" s="72">
        <f>IFERROR(IF(H291="","",ROUND(H291*Steuerungsdaten!$B$5,0)),"-")</f>
        <v>25</v>
      </c>
      <c r="M291" s="72">
        <f>IFERROR(IF(I291="","",ROUND(I291*Steuerungsdaten!$B$5,0)),"-")</f>
        <v>25</v>
      </c>
      <c r="N291" s="73">
        <f>IFERROR(IF(J291="","",ROUND(J291*Steuerungsdaten!$B$5,0)),"-")</f>
        <v>25</v>
      </c>
      <c r="O291" s="79">
        <v>22</v>
      </c>
      <c r="P291" s="79">
        <f>IF(H291="","",ROUND(H291/(Steuerungsdaten!$B$4*Steuerungsdaten!$B$8*IFERROR(VLOOKUP(C291,Steuerungsdaten!$B$17:$E$37,4,FALSE),1)*POWER(IF(OR(E291=0,F291=0,E291="",F291=""),1,(E291*F291/1000000)/Steuerungsdaten!$B$6),IFERROR(VLOOKUP(C291,Steuerungsdaten!$B$17:$L$37,11,FALSE),1)-1)),0))</f>
        <v>27</v>
      </c>
      <c r="Q291" s="79">
        <f>IF(I291="","",ROUND(I291/(Steuerungsdaten!$B$4*Steuerungsdaten!$B$9*IFERROR(VLOOKUP(C291,Steuerungsdaten!$B$17:$G$37,6,FALSE),1)*POWER(IF(OR(E291=0,F291=0,E291="",F291=""),1,(E291*F291/1000000)/Steuerungsdaten!$B$6),IFERROR(VLOOKUP(C291,Steuerungsdaten!$B$17:$M$37,12,FALSE),1)-1)),0))</f>
        <v>27</v>
      </c>
      <c r="R291" s="79">
        <f>IF(J291="","",ROUND(J291/(Steuerungsdaten!$B$4*Steuerungsdaten!$B$10*IFERROR(VLOOKUP(C291,Steuerungsdaten!$B$17:$I$37,8,FALSE),1)*POWER(IF(OR(E291=0,F291=0,E291="",F291=""),1,(E291*F291/1000000)/Steuerungsdaten!$B$6),IFERROR(VLOOKUP(C291,Steuerungsdaten!$B$17:$N$37,13,FALSE),1)-1)),0))</f>
        <v>24</v>
      </c>
    </row>
    <row r="292" spans="1:18" x14ac:dyDescent="0.25">
      <c r="A292" s="74">
        <v>2021</v>
      </c>
      <c r="B292" s="75" t="s">
        <v>296</v>
      </c>
      <c r="C292" s="75" t="s">
        <v>299</v>
      </c>
      <c r="D292" s="75" t="s">
        <v>305</v>
      </c>
      <c r="E292" s="76"/>
      <c r="F292" s="76"/>
      <c r="G292" s="77">
        <v>22</v>
      </c>
      <c r="H292" s="77">
        <v>22</v>
      </c>
      <c r="I292" s="77">
        <v>22</v>
      </c>
      <c r="J292" s="77">
        <v>22</v>
      </c>
      <c r="K292" s="77">
        <f>IFERROR(IF(G292="","",ROUND(G292*Steuerungsdaten!$B$5,0)),"-")</f>
        <v>25</v>
      </c>
      <c r="L292" s="77">
        <f>IFERROR(IF(H292="","",ROUND(H292*Steuerungsdaten!$B$5,0)),"-")</f>
        <v>25</v>
      </c>
      <c r="M292" s="77">
        <f>IFERROR(IF(I292="","",ROUND(I292*Steuerungsdaten!$B$5,0)),"-")</f>
        <v>25</v>
      </c>
      <c r="N292" s="78">
        <f>IFERROR(IF(J292="","",ROUND(J292*Steuerungsdaten!$B$5,0)),"-")</f>
        <v>25</v>
      </c>
      <c r="O292" s="79">
        <v>22</v>
      </c>
      <c r="P292" s="79">
        <f>IF(H292="","",ROUND(H292/(Steuerungsdaten!$B$4*Steuerungsdaten!$B$8*IFERROR(VLOOKUP(C292,Steuerungsdaten!$B$17:$E$37,4,FALSE),1)*POWER(IF(OR(E292=0,F292=0,E292="",F292=""),1,(E292*F292/1000000)/Steuerungsdaten!$B$6),IFERROR(VLOOKUP(C292,Steuerungsdaten!$B$17:$L$37,11,FALSE),1)-1)),0))</f>
        <v>27</v>
      </c>
      <c r="Q292" s="79">
        <f>IF(I292="","",ROUND(I292/(Steuerungsdaten!$B$4*Steuerungsdaten!$B$9*IFERROR(VLOOKUP(C292,Steuerungsdaten!$B$17:$G$37,6,FALSE),1)*POWER(IF(OR(E292=0,F292=0,E292="",F292=""),1,(E292*F292/1000000)/Steuerungsdaten!$B$6),IFERROR(VLOOKUP(C292,Steuerungsdaten!$B$17:$M$37,12,FALSE),1)-1)),0))</f>
        <v>27</v>
      </c>
      <c r="R292" s="79">
        <f>IF(J292="","",ROUND(J292/(Steuerungsdaten!$B$4*Steuerungsdaten!$B$10*IFERROR(VLOOKUP(C292,Steuerungsdaten!$B$17:$I$37,8,FALSE),1)*POWER(IF(OR(E292=0,F292=0,E292="",F292=""),1,(E292*F292/1000000)/Steuerungsdaten!$B$6),IFERROR(VLOOKUP(C292,Steuerungsdaten!$B$17:$N$37,13,FALSE),1)-1)),0))</f>
        <v>24</v>
      </c>
    </row>
    <row r="293" spans="1:18" x14ac:dyDescent="0.25">
      <c r="A293" s="69">
        <v>2025</v>
      </c>
      <c r="B293" s="70" t="s">
        <v>296</v>
      </c>
      <c r="C293" s="70" t="s">
        <v>299</v>
      </c>
      <c r="D293" s="70" t="s">
        <v>306</v>
      </c>
      <c r="E293" s="71"/>
      <c r="F293" s="71"/>
      <c r="G293" s="72">
        <v>25</v>
      </c>
      <c r="H293" s="72">
        <v>25</v>
      </c>
      <c r="I293" s="72">
        <v>25</v>
      </c>
      <c r="J293" s="72">
        <v>25</v>
      </c>
      <c r="K293" s="72">
        <f>IFERROR(IF(G293="","",ROUND(G293*Steuerungsdaten!$B$5,0)),"-")</f>
        <v>29</v>
      </c>
      <c r="L293" s="72">
        <f>IFERROR(IF(H293="","",ROUND(H293*Steuerungsdaten!$B$5,0)),"-")</f>
        <v>29</v>
      </c>
      <c r="M293" s="72">
        <f>IFERROR(IF(I293="","",ROUND(I293*Steuerungsdaten!$B$5,0)),"-")</f>
        <v>29</v>
      </c>
      <c r="N293" s="73">
        <f>IFERROR(IF(J293="","",ROUND(J293*Steuerungsdaten!$B$5,0)),"-")</f>
        <v>29</v>
      </c>
      <c r="O293" s="79">
        <v>25</v>
      </c>
      <c r="P293" s="79">
        <f>IF(H293="","",ROUND(H293/(Steuerungsdaten!$B$4*Steuerungsdaten!$B$8*IFERROR(VLOOKUP(C293,Steuerungsdaten!$B$17:$E$37,4,FALSE),1)*POWER(IF(OR(E293=0,F293=0,E293="",F293=""),1,(E293*F293/1000000)/Steuerungsdaten!$B$6),IFERROR(VLOOKUP(C293,Steuerungsdaten!$B$17:$L$37,11,FALSE),1)-1)),0))</f>
        <v>30</v>
      </c>
      <c r="Q293" s="79">
        <f>IF(I293="","",ROUND(I293/(Steuerungsdaten!$B$4*Steuerungsdaten!$B$9*IFERROR(VLOOKUP(C293,Steuerungsdaten!$B$17:$G$37,6,FALSE),1)*POWER(IF(OR(E293=0,F293=0,E293="",F293=""),1,(E293*F293/1000000)/Steuerungsdaten!$B$6),IFERROR(VLOOKUP(C293,Steuerungsdaten!$B$17:$M$37,12,FALSE),1)-1)),0))</f>
        <v>30</v>
      </c>
      <c r="R293" s="79">
        <f>IF(J293="","",ROUND(J293/(Steuerungsdaten!$B$4*Steuerungsdaten!$B$10*IFERROR(VLOOKUP(C293,Steuerungsdaten!$B$17:$I$37,8,FALSE),1)*POWER(IF(OR(E293=0,F293=0,E293="",F293=""),1,(E293*F293/1000000)/Steuerungsdaten!$B$6),IFERROR(VLOOKUP(C293,Steuerungsdaten!$B$17:$N$37,13,FALSE),1)-1)),0))</f>
        <v>28</v>
      </c>
    </row>
    <row r="294" spans="1:18" x14ac:dyDescent="0.25">
      <c r="A294" s="74">
        <v>2030</v>
      </c>
      <c r="B294" s="75" t="s">
        <v>296</v>
      </c>
      <c r="C294" s="75" t="s">
        <v>299</v>
      </c>
      <c r="D294" s="75" t="s">
        <v>307</v>
      </c>
      <c r="E294" s="76"/>
      <c r="F294" s="76"/>
      <c r="G294" s="77">
        <v>25</v>
      </c>
      <c r="H294" s="77">
        <v>25</v>
      </c>
      <c r="I294" s="77">
        <v>25</v>
      </c>
      <c r="J294" s="77">
        <v>25</v>
      </c>
      <c r="K294" s="77">
        <f>IFERROR(IF(G294="","",ROUND(G294*Steuerungsdaten!$B$5,0)),"-")</f>
        <v>29</v>
      </c>
      <c r="L294" s="77">
        <f>IFERROR(IF(H294="","",ROUND(H294*Steuerungsdaten!$B$5,0)),"-")</f>
        <v>29</v>
      </c>
      <c r="M294" s="77">
        <f>IFERROR(IF(I294="","",ROUND(I294*Steuerungsdaten!$B$5,0)),"-")</f>
        <v>29</v>
      </c>
      <c r="N294" s="78">
        <f>IFERROR(IF(J294="","",ROUND(J294*Steuerungsdaten!$B$5,0)),"-")</f>
        <v>29</v>
      </c>
      <c r="O294" s="79">
        <v>25</v>
      </c>
      <c r="P294" s="79">
        <f>IF(H294="","",ROUND(H294/(Steuerungsdaten!$B$4*Steuerungsdaten!$B$8*IFERROR(VLOOKUP(C294,Steuerungsdaten!$B$17:$E$37,4,FALSE),1)*POWER(IF(OR(E294=0,F294=0,E294="",F294=""),1,(E294*F294/1000000)/Steuerungsdaten!$B$6),IFERROR(VLOOKUP(C294,Steuerungsdaten!$B$17:$L$37,11,FALSE),1)-1)),0))</f>
        <v>30</v>
      </c>
      <c r="Q294" s="79">
        <f>IF(I294="","",ROUND(I294/(Steuerungsdaten!$B$4*Steuerungsdaten!$B$9*IFERROR(VLOOKUP(C294,Steuerungsdaten!$B$17:$G$37,6,FALSE),1)*POWER(IF(OR(E294=0,F294=0,E294="",F294=""),1,(E294*F294/1000000)/Steuerungsdaten!$B$6),IFERROR(VLOOKUP(C294,Steuerungsdaten!$B$17:$M$37,12,FALSE),1)-1)),0))</f>
        <v>30</v>
      </c>
      <c r="R294" s="79">
        <f>IF(J294="","",ROUND(J294/(Steuerungsdaten!$B$4*Steuerungsdaten!$B$10*IFERROR(VLOOKUP(C294,Steuerungsdaten!$B$17:$I$37,8,FALSE),1)*POWER(IF(OR(E294=0,F294=0,E294="",F294=""),1,(E294*F294/1000000)/Steuerungsdaten!$B$6),IFERROR(VLOOKUP(C294,Steuerungsdaten!$B$17:$N$37,13,FALSE),1)-1)),0))</f>
        <v>28</v>
      </c>
    </row>
    <row r="295" spans="1:18" x14ac:dyDescent="0.25">
      <c r="A295" s="69">
        <v>2035</v>
      </c>
      <c r="B295" s="70" t="s">
        <v>296</v>
      </c>
      <c r="C295" s="70" t="s">
        <v>299</v>
      </c>
      <c r="D295" s="70" t="s">
        <v>308</v>
      </c>
      <c r="E295" s="71"/>
      <c r="F295" s="71"/>
      <c r="G295" s="72">
        <v>27</v>
      </c>
      <c r="H295" s="72">
        <v>27</v>
      </c>
      <c r="I295" s="72">
        <v>27</v>
      </c>
      <c r="J295" s="72">
        <v>27</v>
      </c>
      <c r="K295" s="72">
        <f>IFERROR(IF(G295="","",ROUND(G295*Steuerungsdaten!$B$5,0)),"-")</f>
        <v>31</v>
      </c>
      <c r="L295" s="72">
        <f>IFERROR(IF(H295="","",ROUND(H295*Steuerungsdaten!$B$5,0)),"-")</f>
        <v>31</v>
      </c>
      <c r="M295" s="72">
        <f>IFERROR(IF(I295="","",ROUND(I295*Steuerungsdaten!$B$5,0)),"-")</f>
        <v>31</v>
      </c>
      <c r="N295" s="73">
        <f>IFERROR(IF(J295="","",ROUND(J295*Steuerungsdaten!$B$5,0)),"-")</f>
        <v>31</v>
      </c>
      <c r="O295" s="79">
        <v>27</v>
      </c>
      <c r="P295" s="79">
        <f>IF(H295="","",ROUND(H295/(Steuerungsdaten!$B$4*Steuerungsdaten!$B$8*IFERROR(VLOOKUP(C295,Steuerungsdaten!$B$17:$E$37,4,FALSE),1)*POWER(IF(OR(E295=0,F295=0,E295="",F295=""),1,(E295*F295/1000000)/Steuerungsdaten!$B$6),IFERROR(VLOOKUP(C295,Steuerungsdaten!$B$17:$L$37,11,FALSE),1)-1)),0))</f>
        <v>33</v>
      </c>
      <c r="Q295" s="79">
        <f>IF(I295="","",ROUND(I295/(Steuerungsdaten!$B$4*Steuerungsdaten!$B$9*IFERROR(VLOOKUP(C295,Steuerungsdaten!$B$17:$G$37,6,FALSE),1)*POWER(IF(OR(E295=0,F295=0,E295="",F295=""),1,(E295*F295/1000000)/Steuerungsdaten!$B$6),IFERROR(VLOOKUP(C295,Steuerungsdaten!$B$17:$M$37,12,FALSE),1)-1)),0))</f>
        <v>33</v>
      </c>
      <c r="R295" s="79">
        <f>IF(J295="","",ROUND(J295/(Steuerungsdaten!$B$4*Steuerungsdaten!$B$10*IFERROR(VLOOKUP(C295,Steuerungsdaten!$B$17:$I$37,8,FALSE),1)*POWER(IF(OR(E295=0,F295=0,E295="",F295=""),1,(E295*F295/1000000)/Steuerungsdaten!$B$6),IFERROR(VLOOKUP(C295,Steuerungsdaten!$B$17:$N$37,13,FALSE),1)-1)),0))</f>
        <v>30</v>
      </c>
    </row>
    <row r="296" spans="1:18" x14ac:dyDescent="0.25">
      <c r="A296" s="74">
        <v>2040</v>
      </c>
      <c r="B296" s="75" t="s">
        <v>296</v>
      </c>
      <c r="C296" s="75" t="s">
        <v>299</v>
      </c>
      <c r="D296" s="75" t="s">
        <v>309</v>
      </c>
      <c r="E296" s="76"/>
      <c r="F296" s="76"/>
      <c r="G296" s="77">
        <v>29</v>
      </c>
      <c r="H296" s="77">
        <v>29</v>
      </c>
      <c r="I296" s="77">
        <v>29</v>
      </c>
      <c r="J296" s="77">
        <v>29</v>
      </c>
      <c r="K296" s="77">
        <f>IFERROR(IF(G296="","",ROUND(G296*Steuerungsdaten!$B$5,0)),"-")</f>
        <v>33</v>
      </c>
      <c r="L296" s="77">
        <f>IFERROR(IF(H296="","",ROUND(H296*Steuerungsdaten!$B$5,0)),"-")</f>
        <v>33</v>
      </c>
      <c r="M296" s="77">
        <f>IFERROR(IF(I296="","",ROUND(I296*Steuerungsdaten!$B$5,0)),"-")</f>
        <v>33</v>
      </c>
      <c r="N296" s="78">
        <f>IFERROR(IF(J296="","",ROUND(J296*Steuerungsdaten!$B$5,0)),"-")</f>
        <v>33</v>
      </c>
      <c r="O296" s="79">
        <v>29</v>
      </c>
      <c r="P296" s="79">
        <f>IF(H296="","",ROUND(H296/(Steuerungsdaten!$B$4*Steuerungsdaten!$B$8*IFERROR(VLOOKUP(C296,Steuerungsdaten!$B$17:$E$37,4,FALSE),1)*POWER(IF(OR(E296=0,F296=0,E296="",F296=""),1,(E296*F296/1000000)/Steuerungsdaten!$B$6),IFERROR(VLOOKUP(C296,Steuerungsdaten!$B$17:$L$37,11,FALSE),1)-1)),0))</f>
        <v>35</v>
      </c>
      <c r="Q296" s="79">
        <f>IF(I296="","",ROUND(I296/(Steuerungsdaten!$B$4*Steuerungsdaten!$B$9*IFERROR(VLOOKUP(C296,Steuerungsdaten!$B$17:$G$37,6,FALSE),1)*POWER(IF(OR(E296=0,F296=0,E296="",F296=""),1,(E296*F296/1000000)/Steuerungsdaten!$B$6),IFERROR(VLOOKUP(C296,Steuerungsdaten!$B$17:$M$37,12,FALSE),1)-1)),0))</f>
        <v>35</v>
      </c>
      <c r="R296" s="79">
        <f>IF(J296="","",ROUND(J296/(Steuerungsdaten!$B$4*Steuerungsdaten!$B$10*IFERROR(VLOOKUP(C296,Steuerungsdaten!$B$17:$I$37,8,FALSE),1)*POWER(IF(OR(E296=0,F296=0,E296="",F296=""),1,(E296*F296/1000000)/Steuerungsdaten!$B$6),IFERROR(VLOOKUP(C296,Steuerungsdaten!$B$17:$N$37,13,FALSE),1)-1)),0))</f>
        <v>32</v>
      </c>
    </row>
    <row r="297" spans="1:18" x14ac:dyDescent="0.25">
      <c r="A297" s="69">
        <v>2045</v>
      </c>
      <c r="B297" s="70" t="s">
        <v>296</v>
      </c>
      <c r="C297" s="70" t="s">
        <v>299</v>
      </c>
      <c r="D297" s="70" t="s">
        <v>310</v>
      </c>
      <c r="E297" s="71"/>
      <c r="F297" s="71"/>
      <c r="G297" s="72">
        <v>35</v>
      </c>
      <c r="H297" s="72">
        <v>35</v>
      </c>
      <c r="I297" s="72">
        <v>35</v>
      </c>
      <c r="J297" s="72">
        <v>35</v>
      </c>
      <c r="K297" s="72">
        <f>IFERROR(IF(G297="","",ROUND(G297*Steuerungsdaten!$B$5,0)),"-")</f>
        <v>40</v>
      </c>
      <c r="L297" s="72">
        <f>IFERROR(IF(H297="","",ROUND(H297*Steuerungsdaten!$B$5,0)),"-")</f>
        <v>40</v>
      </c>
      <c r="M297" s="72">
        <f>IFERROR(IF(I297="","",ROUND(I297*Steuerungsdaten!$B$5,0)),"-")</f>
        <v>40</v>
      </c>
      <c r="N297" s="73">
        <f>IFERROR(IF(J297="","",ROUND(J297*Steuerungsdaten!$B$5,0)),"-")</f>
        <v>40</v>
      </c>
      <c r="O297" s="79">
        <v>35</v>
      </c>
      <c r="P297" s="79">
        <f>IF(H297="","",ROUND(H297/(Steuerungsdaten!$B$4*Steuerungsdaten!$B$8*IFERROR(VLOOKUP(C297,Steuerungsdaten!$B$17:$E$37,4,FALSE),1)*POWER(IF(OR(E297=0,F297=0,E297="",F297=""),1,(E297*F297/1000000)/Steuerungsdaten!$B$6),IFERROR(VLOOKUP(C297,Steuerungsdaten!$B$17:$L$37,11,FALSE),1)-1)),0))</f>
        <v>42</v>
      </c>
      <c r="Q297" s="79">
        <f>IF(I297="","",ROUND(I297/(Steuerungsdaten!$B$4*Steuerungsdaten!$B$9*IFERROR(VLOOKUP(C297,Steuerungsdaten!$B$17:$G$37,6,FALSE),1)*POWER(IF(OR(E297=0,F297=0,E297="",F297=""),1,(E297*F297/1000000)/Steuerungsdaten!$B$6),IFERROR(VLOOKUP(C297,Steuerungsdaten!$B$17:$M$37,12,FALSE),1)-1)),0))</f>
        <v>42</v>
      </c>
      <c r="R297" s="79">
        <f>IF(J297="","",ROUND(J297/(Steuerungsdaten!$B$4*Steuerungsdaten!$B$10*IFERROR(VLOOKUP(C297,Steuerungsdaten!$B$17:$I$37,8,FALSE),1)*POWER(IF(OR(E297=0,F297=0,E297="",F297=""),1,(E297*F297/1000000)/Steuerungsdaten!$B$6),IFERROR(VLOOKUP(C297,Steuerungsdaten!$B$17:$N$37,13,FALSE),1)-1)),0))</f>
        <v>39</v>
      </c>
    </row>
    <row r="298" spans="1:18" x14ac:dyDescent="0.25">
      <c r="A298" s="74">
        <v>2050</v>
      </c>
      <c r="B298" s="75" t="s">
        <v>296</v>
      </c>
      <c r="C298" s="75" t="s">
        <v>299</v>
      </c>
      <c r="D298" s="75" t="s">
        <v>311</v>
      </c>
      <c r="E298" s="76"/>
      <c r="F298" s="76"/>
      <c r="G298" s="77">
        <v>39</v>
      </c>
      <c r="H298" s="77">
        <v>39</v>
      </c>
      <c r="I298" s="77">
        <v>39</v>
      </c>
      <c r="J298" s="77">
        <v>39</v>
      </c>
      <c r="K298" s="77">
        <f>IFERROR(IF(G298="","",ROUND(G298*Steuerungsdaten!$B$5,0)),"-")</f>
        <v>45</v>
      </c>
      <c r="L298" s="77">
        <f>IFERROR(IF(H298="","",ROUND(H298*Steuerungsdaten!$B$5,0)),"-")</f>
        <v>45</v>
      </c>
      <c r="M298" s="77">
        <f>IFERROR(IF(I298="","",ROUND(I298*Steuerungsdaten!$B$5,0)),"-")</f>
        <v>45</v>
      </c>
      <c r="N298" s="78">
        <f>IFERROR(IF(J298="","",ROUND(J298*Steuerungsdaten!$B$5,0)),"-")</f>
        <v>45</v>
      </c>
      <c r="O298" s="79">
        <v>39</v>
      </c>
      <c r="P298" s="79">
        <f>IF(H298="","",ROUND(H298/(Steuerungsdaten!$B$4*Steuerungsdaten!$B$8*IFERROR(VLOOKUP(C298,Steuerungsdaten!$B$17:$E$37,4,FALSE),1)*POWER(IF(OR(E298=0,F298=0,E298="",F298=""),1,(E298*F298/1000000)/Steuerungsdaten!$B$6),IFERROR(VLOOKUP(C298,Steuerungsdaten!$B$17:$L$37,11,FALSE),1)-1)),0))</f>
        <v>47</v>
      </c>
      <c r="Q298" s="79">
        <f>IF(I298="","",ROUND(I298/(Steuerungsdaten!$B$4*Steuerungsdaten!$B$9*IFERROR(VLOOKUP(C298,Steuerungsdaten!$B$17:$G$37,6,FALSE),1)*POWER(IF(OR(E298=0,F298=0,E298="",F298=""),1,(E298*F298/1000000)/Steuerungsdaten!$B$6),IFERROR(VLOOKUP(C298,Steuerungsdaten!$B$17:$M$37,12,FALSE),1)-1)),0))</f>
        <v>47</v>
      </c>
      <c r="R298" s="79">
        <f>IF(J298="","",ROUND(J298/(Steuerungsdaten!$B$4*Steuerungsdaten!$B$10*IFERROR(VLOOKUP(C298,Steuerungsdaten!$B$17:$I$37,8,FALSE),1)*POWER(IF(OR(E298=0,F298=0,E298="",F298=""),1,(E298*F298/1000000)/Steuerungsdaten!$B$6),IFERROR(VLOOKUP(C298,Steuerungsdaten!$B$17:$N$37,13,FALSE),1)-1)),0))</f>
        <v>43</v>
      </c>
    </row>
    <row r="299" spans="1:18" x14ac:dyDescent="0.25">
      <c r="A299" s="69">
        <v>2300</v>
      </c>
      <c r="B299" s="70" t="s">
        <v>296</v>
      </c>
      <c r="C299" s="70" t="s">
        <v>299</v>
      </c>
      <c r="D299" s="70" t="s">
        <v>312</v>
      </c>
      <c r="E299" s="71"/>
      <c r="F299" s="71"/>
      <c r="G299" s="72">
        <v>100</v>
      </c>
      <c r="H299" s="72">
        <v>100</v>
      </c>
      <c r="I299" s="72">
        <v>100</v>
      </c>
      <c r="J299" s="72">
        <v>100</v>
      </c>
      <c r="K299" s="72">
        <f>IFERROR(IF(G299="","",ROUND(G299*Steuerungsdaten!$B$5,0)),"-")</f>
        <v>115</v>
      </c>
      <c r="L299" s="72">
        <f>IFERROR(IF(H299="","",ROUND(H299*Steuerungsdaten!$B$5,0)),"-")</f>
        <v>115</v>
      </c>
      <c r="M299" s="72">
        <f>IFERROR(IF(I299="","",ROUND(I299*Steuerungsdaten!$B$5,0)),"-")</f>
        <v>115</v>
      </c>
      <c r="N299" s="73">
        <f>IFERROR(IF(J299="","",ROUND(J299*Steuerungsdaten!$B$5,0)),"-")</f>
        <v>115</v>
      </c>
      <c r="O299" s="79">
        <v>100</v>
      </c>
      <c r="P299" s="79">
        <f>IF(H299="","",ROUND(H299/(Steuerungsdaten!$B$4*Steuerungsdaten!$B$8*IFERROR(VLOOKUP(C299,Steuerungsdaten!$B$17:$E$37,4,FALSE),1)*POWER(IF(OR(E299=0,F299=0,E299="",F299=""),1,(E299*F299/1000000)/Steuerungsdaten!$B$6),IFERROR(VLOOKUP(C299,Steuerungsdaten!$B$17:$L$37,11,FALSE),1)-1)),0))</f>
        <v>121</v>
      </c>
      <c r="Q299" s="79">
        <f>IF(I299="","",ROUND(I299/(Steuerungsdaten!$B$4*Steuerungsdaten!$B$9*IFERROR(VLOOKUP(C299,Steuerungsdaten!$B$17:$G$37,6,FALSE),1)*POWER(IF(OR(E299=0,F299=0,E299="",F299=""),1,(E299*F299/1000000)/Steuerungsdaten!$B$6),IFERROR(VLOOKUP(C299,Steuerungsdaten!$B$17:$M$37,12,FALSE),1)-1)),0))</f>
        <v>121</v>
      </c>
      <c r="R299" s="79">
        <f>IF(J299="","",ROUND(J299/(Steuerungsdaten!$B$4*Steuerungsdaten!$B$10*IFERROR(VLOOKUP(C299,Steuerungsdaten!$B$17:$I$37,8,FALSE),1)*POWER(IF(OR(E299=0,F299=0,E299="",F299=""),1,(E299*F299/1000000)/Steuerungsdaten!$B$6),IFERROR(VLOOKUP(C299,Steuerungsdaten!$B$17:$N$37,13,FALSE),1)-1)),0))</f>
        <v>111</v>
      </c>
    </row>
    <row r="300" spans="1:18" x14ac:dyDescent="0.25">
      <c r="A300" s="74">
        <v>8140</v>
      </c>
      <c r="B300" s="75" t="s">
        <v>296</v>
      </c>
      <c r="C300" s="75" t="s">
        <v>313</v>
      </c>
      <c r="D300" s="75" t="s">
        <v>314</v>
      </c>
      <c r="E300" s="76"/>
      <c r="F300" s="76"/>
      <c r="G300" s="77">
        <v>180</v>
      </c>
      <c r="H300" s="77">
        <v>180</v>
      </c>
      <c r="I300" s="77">
        <v>180</v>
      </c>
      <c r="J300" s="77">
        <v>180</v>
      </c>
      <c r="K300" s="77">
        <f>IFERROR(IF(G300="","",ROUND(G300*Steuerungsdaten!$B$5,0)),"-")</f>
        <v>207</v>
      </c>
      <c r="L300" s="77">
        <f>IFERROR(IF(H300="","",ROUND(H300*Steuerungsdaten!$B$5,0)),"-")</f>
        <v>207</v>
      </c>
      <c r="M300" s="77">
        <f>IFERROR(IF(I300="","",ROUND(I300*Steuerungsdaten!$B$5,0)),"-")</f>
        <v>207</v>
      </c>
      <c r="N300" s="78">
        <f>IFERROR(IF(J300="","",ROUND(J300*Steuerungsdaten!$B$5,0)),"-")</f>
        <v>207</v>
      </c>
      <c r="O300" s="79">
        <v>180</v>
      </c>
      <c r="P300" s="79">
        <f>IF(H300="","",ROUND(H300/(Steuerungsdaten!$B$4*Steuerungsdaten!$B$8*IFERROR(VLOOKUP(C300,Steuerungsdaten!$B$17:$E$37,4,FALSE),1)*POWER(IF(OR(E300=0,F300=0,E300="",F300=""),1,(E300*F300/1000000)/Steuerungsdaten!$B$6),IFERROR(VLOOKUP(C300,Steuerungsdaten!$B$17:$L$37,11,FALSE),1)-1)),0))</f>
        <v>205</v>
      </c>
      <c r="Q300" s="79">
        <f>IF(I300="","",ROUND(I300/(Steuerungsdaten!$B$4*Steuerungsdaten!$B$9*IFERROR(VLOOKUP(C300,Steuerungsdaten!$B$17:$G$37,6,FALSE),1)*POWER(IF(OR(E300=0,F300=0,E300="",F300=""),1,(E300*F300/1000000)/Steuerungsdaten!$B$6),IFERROR(VLOOKUP(C300,Steuerungsdaten!$B$17:$M$37,12,FALSE),1)-1)),0))</f>
        <v>205</v>
      </c>
      <c r="R300" s="79">
        <f>IF(J300="","",ROUND(J300/(Steuerungsdaten!$B$4*Steuerungsdaten!$B$10*IFERROR(VLOOKUP(C300,Steuerungsdaten!$B$17:$I$37,8,FALSE),1)*POWER(IF(OR(E300=0,F300=0,E300="",F300=""),1,(E300*F300/1000000)/Steuerungsdaten!$B$6),IFERROR(VLOOKUP(C300,Steuerungsdaten!$B$17:$N$37,13,FALSE),1)-1)),0))</f>
        <v>188</v>
      </c>
    </row>
    <row r="301" spans="1:18" x14ac:dyDescent="0.25">
      <c r="A301" s="69">
        <v>8300</v>
      </c>
      <c r="B301" s="70" t="s">
        <v>296</v>
      </c>
      <c r="C301" s="70" t="s">
        <v>315</v>
      </c>
      <c r="D301" s="70" t="s">
        <v>316</v>
      </c>
      <c r="E301" s="71"/>
      <c r="F301" s="71"/>
      <c r="G301" s="72">
        <v>25</v>
      </c>
      <c r="H301" s="72">
        <v>25</v>
      </c>
      <c r="I301" s="72">
        <v>25</v>
      </c>
      <c r="J301" s="72">
        <v>25</v>
      </c>
      <c r="K301" s="72">
        <f>IFERROR(IF(G301="","",ROUND(G301*Steuerungsdaten!$B$5,0)),"-")</f>
        <v>29</v>
      </c>
      <c r="L301" s="72">
        <f>IFERROR(IF(H301="","",ROUND(H301*Steuerungsdaten!$B$5,0)),"-")</f>
        <v>29</v>
      </c>
      <c r="M301" s="72">
        <f>IFERROR(IF(I301="","",ROUND(I301*Steuerungsdaten!$B$5,0)),"-")</f>
        <v>29</v>
      </c>
      <c r="N301" s="73">
        <f>IFERROR(IF(J301="","",ROUND(J301*Steuerungsdaten!$B$5,0)),"-")</f>
        <v>29</v>
      </c>
      <c r="O301" s="79">
        <v>25</v>
      </c>
      <c r="P301" s="79">
        <f>IF(H301="","",ROUND(H301/(Steuerungsdaten!$B$4*Steuerungsdaten!$B$8*IFERROR(VLOOKUP(C301,Steuerungsdaten!$B$17:$E$37,4,FALSE),1)*POWER(IF(OR(E301=0,F301=0,E301="",F301=""),1,(E301*F301/1000000)/Steuerungsdaten!$B$6),IFERROR(VLOOKUP(C301,Steuerungsdaten!$B$17:$L$37,11,FALSE),1)-1)),0))</f>
        <v>28</v>
      </c>
      <c r="Q301" s="79">
        <f>IF(I301="","",ROUND(I301/(Steuerungsdaten!$B$4*Steuerungsdaten!$B$9*IFERROR(VLOOKUP(C301,Steuerungsdaten!$B$17:$G$37,6,FALSE),1)*POWER(IF(OR(E301=0,F301=0,E301="",F301=""),1,(E301*F301/1000000)/Steuerungsdaten!$B$6),IFERROR(VLOOKUP(C301,Steuerungsdaten!$B$17:$M$37,12,FALSE),1)-1)),0))</f>
        <v>28</v>
      </c>
      <c r="R301" s="79">
        <f>IF(J301="","",ROUND(J301/(Steuerungsdaten!$B$4*Steuerungsdaten!$B$10*IFERROR(VLOOKUP(C301,Steuerungsdaten!$B$17:$I$37,8,FALSE),1)*POWER(IF(OR(E301=0,F301=0,E301="",F301=""),1,(E301*F301/1000000)/Steuerungsdaten!$B$6),IFERROR(VLOOKUP(C301,Steuerungsdaten!$B$17:$N$37,13,FALSE),1)-1)),0))</f>
        <v>26</v>
      </c>
    </row>
    <row r="302" spans="1:18" x14ac:dyDescent="0.25">
      <c r="A302" s="74">
        <v>8301</v>
      </c>
      <c r="B302" s="75" t="s">
        <v>296</v>
      </c>
      <c r="C302" s="75" t="s">
        <v>315</v>
      </c>
      <c r="D302" s="75" t="s">
        <v>317</v>
      </c>
      <c r="E302" s="76"/>
      <c r="F302" s="76"/>
      <c r="G302" s="77">
        <v>29</v>
      </c>
      <c r="H302" s="77">
        <v>29</v>
      </c>
      <c r="I302" s="77">
        <v>29</v>
      </c>
      <c r="J302" s="77">
        <v>29</v>
      </c>
      <c r="K302" s="77">
        <f>IFERROR(IF(G302="","",ROUND(G302*Steuerungsdaten!$B$5,0)),"-")</f>
        <v>33</v>
      </c>
      <c r="L302" s="77">
        <f>IFERROR(IF(H302="","",ROUND(H302*Steuerungsdaten!$B$5,0)),"-")</f>
        <v>33</v>
      </c>
      <c r="M302" s="77">
        <f>IFERROR(IF(I302="","",ROUND(I302*Steuerungsdaten!$B$5,0)),"-")</f>
        <v>33</v>
      </c>
      <c r="N302" s="78">
        <f>IFERROR(IF(J302="","",ROUND(J302*Steuerungsdaten!$B$5,0)),"-")</f>
        <v>33</v>
      </c>
      <c r="O302" s="79">
        <v>29</v>
      </c>
      <c r="P302" s="79">
        <f>IF(H302="","",ROUND(H302/(Steuerungsdaten!$B$4*Steuerungsdaten!$B$8*IFERROR(VLOOKUP(C302,Steuerungsdaten!$B$17:$E$37,4,FALSE),1)*POWER(IF(OR(E302=0,F302=0,E302="",F302=""),1,(E302*F302/1000000)/Steuerungsdaten!$B$6),IFERROR(VLOOKUP(C302,Steuerungsdaten!$B$17:$L$37,11,FALSE),1)-1)),0))</f>
        <v>33</v>
      </c>
      <c r="Q302" s="79">
        <f>IF(I302="","",ROUND(I302/(Steuerungsdaten!$B$4*Steuerungsdaten!$B$9*IFERROR(VLOOKUP(C302,Steuerungsdaten!$B$17:$G$37,6,FALSE),1)*POWER(IF(OR(E302=0,F302=0,E302="",F302=""),1,(E302*F302/1000000)/Steuerungsdaten!$B$6),IFERROR(VLOOKUP(C302,Steuerungsdaten!$B$17:$M$37,12,FALSE),1)-1)),0))</f>
        <v>33</v>
      </c>
      <c r="R302" s="79">
        <f>IF(J302="","",ROUND(J302/(Steuerungsdaten!$B$4*Steuerungsdaten!$B$10*IFERROR(VLOOKUP(C302,Steuerungsdaten!$B$17:$I$37,8,FALSE),1)*POWER(IF(OR(E302=0,F302=0,E302="",F302=""),1,(E302*F302/1000000)/Steuerungsdaten!$B$6),IFERROR(VLOOKUP(C302,Steuerungsdaten!$B$17:$N$37,13,FALSE),1)-1)),0))</f>
        <v>30</v>
      </c>
    </row>
    <row r="303" spans="1:18" x14ac:dyDescent="0.25">
      <c r="A303" s="69">
        <v>8302</v>
      </c>
      <c r="B303" s="70" t="s">
        <v>296</v>
      </c>
      <c r="C303" s="70" t="s">
        <v>315</v>
      </c>
      <c r="D303" s="70" t="s">
        <v>318</v>
      </c>
      <c r="E303" s="71"/>
      <c r="F303" s="71"/>
      <c r="G303" s="72">
        <v>17</v>
      </c>
      <c r="H303" s="72">
        <v>17</v>
      </c>
      <c r="I303" s="72">
        <v>17</v>
      </c>
      <c r="J303" s="72">
        <v>17</v>
      </c>
      <c r="K303" s="72">
        <f>IFERROR(IF(G303="","",ROUND(G303*Steuerungsdaten!$B$5,0)),"-")</f>
        <v>20</v>
      </c>
      <c r="L303" s="72">
        <f>IFERROR(IF(H303="","",ROUND(H303*Steuerungsdaten!$B$5,0)),"-")</f>
        <v>20</v>
      </c>
      <c r="M303" s="72">
        <f>IFERROR(IF(I303="","",ROUND(I303*Steuerungsdaten!$B$5,0)),"-")</f>
        <v>20</v>
      </c>
      <c r="N303" s="73">
        <f>IFERROR(IF(J303="","",ROUND(J303*Steuerungsdaten!$B$5,0)),"-")</f>
        <v>20</v>
      </c>
      <c r="O303" s="79">
        <v>17</v>
      </c>
      <c r="P303" s="79">
        <f>IF(H303="","",ROUND(H303/(Steuerungsdaten!$B$4*Steuerungsdaten!$B$8*IFERROR(VLOOKUP(C303,Steuerungsdaten!$B$17:$E$37,4,FALSE),1)*POWER(IF(OR(E303=0,F303=0,E303="",F303=""),1,(E303*F303/1000000)/Steuerungsdaten!$B$6),IFERROR(VLOOKUP(C303,Steuerungsdaten!$B$17:$L$37,11,FALSE),1)-1)),0))</f>
        <v>19</v>
      </c>
      <c r="Q303" s="79">
        <f>IF(I303="","",ROUND(I303/(Steuerungsdaten!$B$4*Steuerungsdaten!$B$9*IFERROR(VLOOKUP(C303,Steuerungsdaten!$B$17:$G$37,6,FALSE),1)*POWER(IF(OR(E303=0,F303=0,E303="",F303=""),1,(E303*F303/1000000)/Steuerungsdaten!$B$6),IFERROR(VLOOKUP(C303,Steuerungsdaten!$B$17:$M$37,12,FALSE),1)-1)),0))</f>
        <v>19</v>
      </c>
      <c r="R303" s="79">
        <f>IF(J303="","",ROUND(J303/(Steuerungsdaten!$B$4*Steuerungsdaten!$B$10*IFERROR(VLOOKUP(C303,Steuerungsdaten!$B$17:$I$37,8,FALSE),1)*POWER(IF(OR(E303=0,F303=0,E303="",F303=""),1,(E303*F303/1000000)/Steuerungsdaten!$B$6),IFERROR(VLOOKUP(C303,Steuerungsdaten!$B$17:$N$37,13,FALSE),1)-1)),0))</f>
        <v>18</v>
      </c>
    </row>
    <row r="304" spans="1:18" x14ac:dyDescent="0.25">
      <c r="A304" s="74">
        <v>8303</v>
      </c>
      <c r="B304" s="75" t="s">
        <v>296</v>
      </c>
      <c r="C304" s="75" t="s">
        <v>315</v>
      </c>
      <c r="D304" s="75" t="s">
        <v>319</v>
      </c>
      <c r="E304" s="76"/>
      <c r="F304" s="76"/>
      <c r="G304" s="77">
        <v>10</v>
      </c>
      <c r="H304" s="77">
        <v>10</v>
      </c>
      <c r="I304" s="77">
        <v>10</v>
      </c>
      <c r="J304" s="77">
        <v>10</v>
      </c>
      <c r="K304" s="77">
        <f>IFERROR(IF(G304="","",ROUND(G304*Steuerungsdaten!$B$5,0)),"-")</f>
        <v>12</v>
      </c>
      <c r="L304" s="77">
        <f>IFERROR(IF(H304="","",ROUND(H304*Steuerungsdaten!$B$5,0)),"-")</f>
        <v>12</v>
      </c>
      <c r="M304" s="77">
        <f>IFERROR(IF(I304="","",ROUND(I304*Steuerungsdaten!$B$5,0)),"-")</f>
        <v>12</v>
      </c>
      <c r="N304" s="78">
        <f>IFERROR(IF(J304="","",ROUND(J304*Steuerungsdaten!$B$5,0)),"-")</f>
        <v>12</v>
      </c>
      <c r="O304" s="79">
        <v>10</v>
      </c>
      <c r="P304" s="79">
        <f>IF(H304="","",ROUND(H304/(Steuerungsdaten!$B$4*Steuerungsdaten!$B$8*IFERROR(VLOOKUP(C304,Steuerungsdaten!$B$17:$E$37,4,FALSE),1)*POWER(IF(OR(E304=0,F304=0,E304="",F304=""),1,(E304*F304/1000000)/Steuerungsdaten!$B$6),IFERROR(VLOOKUP(C304,Steuerungsdaten!$B$17:$L$37,11,FALSE),1)-1)),0))</f>
        <v>11</v>
      </c>
      <c r="Q304" s="79">
        <f>IF(I304="","",ROUND(I304/(Steuerungsdaten!$B$4*Steuerungsdaten!$B$9*IFERROR(VLOOKUP(C304,Steuerungsdaten!$B$17:$G$37,6,FALSE),1)*POWER(IF(OR(E304=0,F304=0,E304="",F304=""),1,(E304*F304/1000000)/Steuerungsdaten!$B$6),IFERROR(VLOOKUP(C304,Steuerungsdaten!$B$17:$M$37,12,FALSE),1)-1)),0))</f>
        <v>11</v>
      </c>
      <c r="R304" s="79">
        <f>IF(J304="","",ROUND(J304/(Steuerungsdaten!$B$4*Steuerungsdaten!$B$10*IFERROR(VLOOKUP(C304,Steuerungsdaten!$B$17:$I$37,8,FALSE),1)*POWER(IF(OR(E304=0,F304=0,E304="",F304=""),1,(E304*F304/1000000)/Steuerungsdaten!$B$6),IFERROR(VLOOKUP(C304,Steuerungsdaten!$B$17:$N$37,13,FALSE),1)-1)),0))</f>
        <v>10</v>
      </c>
    </row>
    <row r="305" spans="1:18" x14ac:dyDescent="0.25">
      <c r="A305" s="69">
        <v>8304</v>
      </c>
      <c r="B305" s="70" t="s">
        <v>296</v>
      </c>
      <c r="C305" s="70" t="s">
        <v>315</v>
      </c>
      <c r="D305" s="70" t="s">
        <v>320</v>
      </c>
      <c r="E305" s="71"/>
      <c r="F305" s="71"/>
      <c r="G305" s="72">
        <v>29</v>
      </c>
      <c r="H305" s="72">
        <v>29</v>
      </c>
      <c r="I305" s="72">
        <v>29</v>
      </c>
      <c r="J305" s="72">
        <v>29</v>
      </c>
      <c r="K305" s="72">
        <f>IFERROR(IF(G305="","",ROUND(G305*Steuerungsdaten!$B$5,0)),"-")</f>
        <v>33</v>
      </c>
      <c r="L305" s="72">
        <f>IFERROR(IF(H305="","",ROUND(H305*Steuerungsdaten!$B$5,0)),"-")</f>
        <v>33</v>
      </c>
      <c r="M305" s="72">
        <f>IFERROR(IF(I305="","",ROUND(I305*Steuerungsdaten!$B$5,0)),"-")</f>
        <v>33</v>
      </c>
      <c r="N305" s="73">
        <f>IFERROR(IF(J305="","",ROUND(J305*Steuerungsdaten!$B$5,0)),"-")</f>
        <v>33</v>
      </c>
      <c r="O305" s="79">
        <v>29</v>
      </c>
      <c r="P305" s="79">
        <f>IF(H305="","",ROUND(H305/(Steuerungsdaten!$B$4*Steuerungsdaten!$B$8*IFERROR(VLOOKUP(C305,Steuerungsdaten!$B$17:$E$37,4,FALSE),1)*POWER(IF(OR(E305=0,F305=0,E305="",F305=""),1,(E305*F305/1000000)/Steuerungsdaten!$B$6),IFERROR(VLOOKUP(C305,Steuerungsdaten!$B$17:$L$37,11,FALSE),1)-1)),0))</f>
        <v>33</v>
      </c>
      <c r="Q305" s="79">
        <f>IF(I305="","",ROUND(I305/(Steuerungsdaten!$B$4*Steuerungsdaten!$B$9*IFERROR(VLOOKUP(C305,Steuerungsdaten!$B$17:$G$37,6,FALSE),1)*POWER(IF(OR(E305=0,F305=0,E305="",F305=""),1,(E305*F305/1000000)/Steuerungsdaten!$B$6),IFERROR(VLOOKUP(C305,Steuerungsdaten!$B$17:$M$37,12,FALSE),1)-1)),0))</f>
        <v>33</v>
      </c>
      <c r="R305" s="79">
        <f>IF(J305="","",ROUND(J305/(Steuerungsdaten!$B$4*Steuerungsdaten!$B$10*IFERROR(VLOOKUP(C305,Steuerungsdaten!$B$17:$I$37,8,FALSE),1)*POWER(IF(OR(E305=0,F305=0,E305="",F305=""),1,(E305*F305/1000000)/Steuerungsdaten!$B$6),IFERROR(VLOOKUP(C305,Steuerungsdaten!$B$17:$N$37,13,FALSE),1)-1)),0))</f>
        <v>30</v>
      </c>
    </row>
    <row r="306" spans="1:18" x14ac:dyDescent="0.25">
      <c r="A306" s="74">
        <v>8305</v>
      </c>
      <c r="B306" s="75" t="s">
        <v>296</v>
      </c>
      <c r="C306" s="75" t="s">
        <v>315</v>
      </c>
      <c r="D306" s="75" t="s">
        <v>321</v>
      </c>
      <c r="E306" s="76"/>
      <c r="F306" s="76"/>
      <c r="G306" s="77">
        <v>41</v>
      </c>
      <c r="H306" s="77">
        <v>41</v>
      </c>
      <c r="I306" s="77">
        <v>41</v>
      </c>
      <c r="J306" s="77">
        <v>41</v>
      </c>
      <c r="K306" s="77">
        <f>IFERROR(IF(G306="","",ROUND(G306*Steuerungsdaten!$B$5,0)),"-")</f>
        <v>47</v>
      </c>
      <c r="L306" s="77">
        <f>IFERROR(IF(H306="","",ROUND(H306*Steuerungsdaten!$B$5,0)),"-")</f>
        <v>47</v>
      </c>
      <c r="M306" s="77">
        <f>IFERROR(IF(I306="","",ROUND(I306*Steuerungsdaten!$B$5,0)),"-")</f>
        <v>47</v>
      </c>
      <c r="N306" s="78">
        <f>IFERROR(IF(J306="","",ROUND(J306*Steuerungsdaten!$B$5,0)),"-")</f>
        <v>47</v>
      </c>
      <c r="O306" s="79">
        <v>41</v>
      </c>
      <c r="P306" s="79">
        <f>IF(H306="","",ROUND(H306/(Steuerungsdaten!$B$4*Steuerungsdaten!$B$8*IFERROR(VLOOKUP(C306,Steuerungsdaten!$B$17:$E$37,4,FALSE),1)*POWER(IF(OR(E306=0,F306=0,E306="",F306=""),1,(E306*F306/1000000)/Steuerungsdaten!$B$6),IFERROR(VLOOKUP(C306,Steuerungsdaten!$B$17:$L$37,11,FALSE),1)-1)),0))</f>
        <v>47</v>
      </c>
      <c r="Q306" s="79">
        <f>IF(I306="","",ROUND(I306/(Steuerungsdaten!$B$4*Steuerungsdaten!$B$9*IFERROR(VLOOKUP(C306,Steuerungsdaten!$B$17:$G$37,6,FALSE),1)*POWER(IF(OR(E306=0,F306=0,E306="",F306=""),1,(E306*F306/1000000)/Steuerungsdaten!$B$6),IFERROR(VLOOKUP(C306,Steuerungsdaten!$B$17:$M$37,12,FALSE),1)-1)),0))</f>
        <v>47</v>
      </c>
      <c r="R306" s="79">
        <f>IF(J306="","",ROUND(J306/(Steuerungsdaten!$B$4*Steuerungsdaten!$B$10*IFERROR(VLOOKUP(C306,Steuerungsdaten!$B$17:$I$37,8,FALSE),1)*POWER(IF(OR(E306=0,F306=0,E306="",F306=""),1,(E306*F306/1000000)/Steuerungsdaten!$B$6),IFERROR(VLOOKUP(C306,Steuerungsdaten!$B$17:$N$37,13,FALSE),1)-1)),0))</f>
        <v>43</v>
      </c>
    </row>
    <row r="307" spans="1:18" x14ac:dyDescent="0.25">
      <c r="A307" s="69">
        <v>8306</v>
      </c>
      <c r="B307" s="70" t="s">
        <v>296</v>
      </c>
      <c r="C307" s="70" t="s">
        <v>315</v>
      </c>
      <c r="D307" s="70" t="s">
        <v>322</v>
      </c>
      <c r="E307" s="71"/>
      <c r="F307" s="71"/>
      <c r="G307" s="72">
        <v>19</v>
      </c>
      <c r="H307" s="72">
        <v>19</v>
      </c>
      <c r="I307" s="72">
        <v>19</v>
      </c>
      <c r="J307" s="72">
        <v>19</v>
      </c>
      <c r="K307" s="72">
        <f>IFERROR(IF(G307="","",ROUND(G307*Steuerungsdaten!$B$5,0)),"-")</f>
        <v>22</v>
      </c>
      <c r="L307" s="72">
        <f>IFERROR(IF(H307="","",ROUND(H307*Steuerungsdaten!$B$5,0)),"-")</f>
        <v>22</v>
      </c>
      <c r="M307" s="72">
        <f>IFERROR(IF(I307="","",ROUND(I307*Steuerungsdaten!$B$5,0)),"-")</f>
        <v>22</v>
      </c>
      <c r="N307" s="73">
        <f>IFERROR(IF(J307="","",ROUND(J307*Steuerungsdaten!$B$5,0)),"-")</f>
        <v>22</v>
      </c>
      <c r="O307" s="79">
        <v>19</v>
      </c>
      <c r="P307" s="79">
        <f>IF(H307="","",ROUND(H307/(Steuerungsdaten!$B$4*Steuerungsdaten!$B$8*IFERROR(VLOOKUP(C307,Steuerungsdaten!$B$17:$E$37,4,FALSE),1)*POWER(IF(OR(E307=0,F307=0,E307="",F307=""),1,(E307*F307/1000000)/Steuerungsdaten!$B$6),IFERROR(VLOOKUP(C307,Steuerungsdaten!$B$17:$L$37,11,FALSE),1)-1)),0))</f>
        <v>22</v>
      </c>
      <c r="Q307" s="79">
        <f>IF(I307="","",ROUND(I307/(Steuerungsdaten!$B$4*Steuerungsdaten!$B$9*IFERROR(VLOOKUP(C307,Steuerungsdaten!$B$17:$G$37,6,FALSE),1)*POWER(IF(OR(E307=0,F307=0,E307="",F307=""),1,(E307*F307/1000000)/Steuerungsdaten!$B$6),IFERROR(VLOOKUP(C307,Steuerungsdaten!$B$17:$M$37,12,FALSE),1)-1)),0))</f>
        <v>22</v>
      </c>
      <c r="R307" s="79">
        <f>IF(J307="","",ROUND(J307/(Steuerungsdaten!$B$4*Steuerungsdaten!$B$10*IFERROR(VLOOKUP(C307,Steuerungsdaten!$B$17:$I$37,8,FALSE),1)*POWER(IF(OR(E307=0,F307=0,E307="",F307=""),1,(E307*F307/1000000)/Steuerungsdaten!$B$6),IFERROR(VLOOKUP(C307,Steuerungsdaten!$B$17:$N$37,13,FALSE),1)-1)),0))</f>
        <v>20</v>
      </c>
    </row>
    <row r="308" spans="1:18" x14ac:dyDescent="0.25">
      <c r="A308" s="74">
        <v>8307</v>
      </c>
      <c r="B308" s="75" t="s">
        <v>296</v>
      </c>
      <c r="C308" s="75" t="s">
        <v>315</v>
      </c>
      <c r="D308" s="75" t="s">
        <v>323</v>
      </c>
      <c r="E308" s="76"/>
      <c r="F308" s="76"/>
      <c r="G308" s="77">
        <v>12</v>
      </c>
      <c r="H308" s="77">
        <v>12</v>
      </c>
      <c r="I308" s="77">
        <v>12</v>
      </c>
      <c r="J308" s="77">
        <v>12</v>
      </c>
      <c r="K308" s="77">
        <f>IFERROR(IF(G308="","",ROUND(G308*Steuerungsdaten!$B$5,0)),"-")</f>
        <v>14</v>
      </c>
      <c r="L308" s="77">
        <f>IFERROR(IF(H308="","",ROUND(H308*Steuerungsdaten!$B$5,0)),"-")</f>
        <v>14</v>
      </c>
      <c r="M308" s="77">
        <f>IFERROR(IF(I308="","",ROUND(I308*Steuerungsdaten!$B$5,0)),"-")</f>
        <v>14</v>
      </c>
      <c r="N308" s="78">
        <f>IFERROR(IF(J308="","",ROUND(J308*Steuerungsdaten!$B$5,0)),"-")</f>
        <v>14</v>
      </c>
      <c r="O308" s="79">
        <v>12</v>
      </c>
      <c r="P308" s="79">
        <f>IF(H308="","",ROUND(H308/(Steuerungsdaten!$B$4*Steuerungsdaten!$B$8*IFERROR(VLOOKUP(C308,Steuerungsdaten!$B$17:$E$37,4,FALSE),1)*POWER(IF(OR(E308=0,F308=0,E308="",F308=""),1,(E308*F308/1000000)/Steuerungsdaten!$B$6),IFERROR(VLOOKUP(C308,Steuerungsdaten!$B$17:$L$37,11,FALSE),1)-1)),0))</f>
        <v>14</v>
      </c>
      <c r="Q308" s="79">
        <f>IF(I308="","",ROUND(I308/(Steuerungsdaten!$B$4*Steuerungsdaten!$B$9*IFERROR(VLOOKUP(C308,Steuerungsdaten!$B$17:$G$37,6,FALSE),1)*POWER(IF(OR(E308=0,F308=0,E308="",F308=""),1,(E308*F308/1000000)/Steuerungsdaten!$B$6),IFERROR(VLOOKUP(C308,Steuerungsdaten!$B$17:$M$37,12,FALSE),1)-1)),0))</f>
        <v>14</v>
      </c>
      <c r="R308" s="79">
        <f>IF(J308="","",ROUND(J308/(Steuerungsdaten!$B$4*Steuerungsdaten!$B$10*IFERROR(VLOOKUP(C308,Steuerungsdaten!$B$17:$I$37,8,FALSE),1)*POWER(IF(OR(E308=0,F308=0,E308="",F308=""),1,(E308*F308/1000000)/Steuerungsdaten!$B$6),IFERROR(VLOOKUP(C308,Steuerungsdaten!$B$17:$N$37,13,FALSE),1)-1)),0))</f>
        <v>13</v>
      </c>
    </row>
    <row r="309" spans="1:18" x14ac:dyDescent="0.25">
      <c r="A309" s="69">
        <v>8308</v>
      </c>
      <c r="B309" s="70" t="s">
        <v>296</v>
      </c>
      <c r="C309" s="70" t="s">
        <v>315</v>
      </c>
      <c r="D309" s="70" t="s">
        <v>324</v>
      </c>
      <c r="E309" s="71"/>
      <c r="F309" s="71"/>
      <c r="G309" s="72">
        <v>15</v>
      </c>
      <c r="H309" s="72">
        <v>15</v>
      </c>
      <c r="I309" s="72">
        <v>15</v>
      </c>
      <c r="J309" s="72">
        <v>15</v>
      </c>
      <c r="K309" s="72">
        <f>IFERROR(IF(G309="","",ROUND(G309*Steuerungsdaten!$B$5,0)),"-")</f>
        <v>17</v>
      </c>
      <c r="L309" s="72">
        <f>IFERROR(IF(H309="","",ROUND(H309*Steuerungsdaten!$B$5,0)),"-")</f>
        <v>17</v>
      </c>
      <c r="M309" s="72">
        <f>IFERROR(IF(I309="","",ROUND(I309*Steuerungsdaten!$B$5,0)),"-")</f>
        <v>17</v>
      </c>
      <c r="N309" s="73">
        <f>IFERROR(IF(J309="","",ROUND(J309*Steuerungsdaten!$B$5,0)),"-")</f>
        <v>17</v>
      </c>
      <c r="O309" s="79">
        <v>15</v>
      </c>
      <c r="P309" s="79">
        <f>IF(H309="","",ROUND(H309/(Steuerungsdaten!$B$4*Steuerungsdaten!$B$8*IFERROR(VLOOKUP(C309,Steuerungsdaten!$B$17:$E$37,4,FALSE),1)*POWER(IF(OR(E309=0,F309=0,E309="",F309=""),1,(E309*F309/1000000)/Steuerungsdaten!$B$6),IFERROR(VLOOKUP(C309,Steuerungsdaten!$B$17:$L$37,11,FALSE),1)-1)),0))</f>
        <v>17</v>
      </c>
      <c r="Q309" s="79">
        <f>IF(I309="","",ROUND(I309/(Steuerungsdaten!$B$4*Steuerungsdaten!$B$9*IFERROR(VLOOKUP(C309,Steuerungsdaten!$B$17:$G$37,6,FALSE),1)*POWER(IF(OR(E309=0,F309=0,E309="",F309=""),1,(E309*F309/1000000)/Steuerungsdaten!$B$6),IFERROR(VLOOKUP(C309,Steuerungsdaten!$B$17:$M$37,12,FALSE),1)-1)),0))</f>
        <v>17</v>
      </c>
      <c r="R309" s="79">
        <f>IF(J309="","",ROUND(J309/(Steuerungsdaten!$B$4*Steuerungsdaten!$B$10*IFERROR(VLOOKUP(C309,Steuerungsdaten!$B$17:$I$37,8,FALSE),1)*POWER(IF(OR(E309=0,F309=0,E309="",F309=""),1,(E309*F309/1000000)/Steuerungsdaten!$B$6),IFERROR(VLOOKUP(C309,Steuerungsdaten!$B$17:$N$37,13,FALSE),1)-1)),0))</f>
        <v>16</v>
      </c>
    </row>
    <row r="310" spans="1:18" x14ac:dyDescent="0.25">
      <c r="A310" s="74">
        <v>8309</v>
      </c>
      <c r="B310" s="75" t="s">
        <v>296</v>
      </c>
      <c r="C310" s="75" t="s">
        <v>315</v>
      </c>
      <c r="D310" s="75" t="s">
        <v>325</v>
      </c>
      <c r="E310" s="76"/>
      <c r="F310" s="76"/>
      <c r="G310" s="77">
        <v>18</v>
      </c>
      <c r="H310" s="77">
        <v>18</v>
      </c>
      <c r="I310" s="77">
        <v>18</v>
      </c>
      <c r="J310" s="77">
        <v>18</v>
      </c>
      <c r="K310" s="77">
        <f>IFERROR(IF(G310="","",ROUND(G310*Steuerungsdaten!$B$5,0)),"-")</f>
        <v>21</v>
      </c>
      <c r="L310" s="77">
        <f>IFERROR(IF(H310="","",ROUND(H310*Steuerungsdaten!$B$5,0)),"-")</f>
        <v>21</v>
      </c>
      <c r="M310" s="77">
        <f>IFERROR(IF(I310="","",ROUND(I310*Steuerungsdaten!$B$5,0)),"-")</f>
        <v>21</v>
      </c>
      <c r="N310" s="78">
        <f>IFERROR(IF(J310="","",ROUND(J310*Steuerungsdaten!$B$5,0)),"-")</f>
        <v>21</v>
      </c>
      <c r="O310" s="79">
        <v>18</v>
      </c>
      <c r="P310" s="79">
        <f>IF(H310="","",ROUND(H310/(Steuerungsdaten!$B$4*Steuerungsdaten!$B$8*IFERROR(VLOOKUP(C310,Steuerungsdaten!$B$17:$E$37,4,FALSE),1)*POWER(IF(OR(E310=0,F310=0,E310="",F310=""),1,(E310*F310/1000000)/Steuerungsdaten!$B$6),IFERROR(VLOOKUP(C310,Steuerungsdaten!$B$17:$L$37,11,FALSE),1)-1)),0))</f>
        <v>20</v>
      </c>
      <c r="Q310" s="79">
        <f>IF(I310="","",ROUND(I310/(Steuerungsdaten!$B$4*Steuerungsdaten!$B$9*IFERROR(VLOOKUP(C310,Steuerungsdaten!$B$17:$G$37,6,FALSE),1)*POWER(IF(OR(E310=0,F310=0,E310="",F310=""),1,(E310*F310/1000000)/Steuerungsdaten!$B$6),IFERROR(VLOOKUP(C310,Steuerungsdaten!$B$17:$M$37,12,FALSE),1)-1)),0))</f>
        <v>20</v>
      </c>
      <c r="R310" s="79">
        <f>IF(J310="","",ROUND(J310/(Steuerungsdaten!$B$4*Steuerungsdaten!$B$10*IFERROR(VLOOKUP(C310,Steuerungsdaten!$B$17:$I$37,8,FALSE),1)*POWER(IF(OR(E310=0,F310=0,E310="",F310=""),1,(E310*F310/1000000)/Steuerungsdaten!$B$6),IFERROR(VLOOKUP(C310,Steuerungsdaten!$B$17:$N$37,13,FALSE),1)-1)),0))</f>
        <v>19</v>
      </c>
    </row>
    <row r="311" spans="1:18" x14ac:dyDescent="0.25">
      <c r="A311" s="69">
        <v>8310</v>
      </c>
      <c r="B311" s="70" t="s">
        <v>296</v>
      </c>
      <c r="C311" s="70" t="s">
        <v>315</v>
      </c>
      <c r="D311" s="70" t="s">
        <v>326</v>
      </c>
      <c r="E311" s="71"/>
      <c r="F311" s="71"/>
      <c r="G311" s="72">
        <v>39</v>
      </c>
      <c r="H311" s="72">
        <v>39</v>
      </c>
      <c r="I311" s="72">
        <v>39</v>
      </c>
      <c r="J311" s="72">
        <v>39</v>
      </c>
      <c r="K311" s="72">
        <f>IFERROR(IF(G311="","",ROUND(G311*Steuerungsdaten!$B$5,0)),"-")</f>
        <v>45</v>
      </c>
      <c r="L311" s="72">
        <f>IFERROR(IF(H311="","",ROUND(H311*Steuerungsdaten!$B$5,0)),"-")</f>
        <v>45</v>
      </c>
      <c r="M311" s="72">
        <f>IFERROR(IF(I311="","",ROUND(I311*Steuerungsdaten!$B$5,0)),"-")</f>
        <v>45</v>
      </c>
      <c r="N311" s="73">
        <f>IFERROR(IF(J311="","",ROUND(J311*Steuerungsdaten!$B$5,0)),"-")</f>
        <v>45</v>
      </c>
      <c r="O311" s="79">
        <v>39</v>
      </c>
      <c r="P311" s="79">
        <f>IF(H311="","",ROUND(H311/(Steuerungsdaten!$B$4*Steuerungsdaten!$B$8*IFERROR(VLOOKUP(C311,Steuerungsdaten!$B$17:$E$37,4,FALSE),1)*POWER(IF(OR(E311=0,F311=0,E311="",F311=""),1,(E311*F311/1000000)/Steuerungsdaten!$B$6),IFERROR(VLOOKUP(C311,Steuerungsdaten!$B$17:$L$37,11,FALSE),1)-1)),0))</f>
        <v>44</v>
      </c>
      <c r="Q311" s="79">
        <f>IF(I311="","",ROUND(I311/(Steuerungsdaten!$B$4*Steuerungsdaten!$B$9*IFERROR(VLOOKUP(C311,Steuerungsdaten!$B$17:$G$37,6,FALSE),1)*POWER(IF(OR(E311=0,F311=0,E311="",F311=""),1,(E311*F311/1000000)/Steuerungsdaten!$B$6),IFERROR(VLOOKUP(C311,Steuerungsdaten!$B$17:$M$37,12,FALSE),1)-1)),0))</f>
        <v>44</v>
      </c>
      <c r="R311" s="79">
        <f>IF(J311="","",ROUND(J311/(Steuerungsdaten!$B$4*Steuerungsdaten!$B$10*IFERROR(VLOOKUP(C311,Steuerungsdaten!$B$17:$I$37,8,FALSE),1)*POWER(IF(OR(E311=0,F311=0,E311="",F311=""),1,(E311*F311/1000000)/Steuerungsdaten!$B$6),IFERROR(VLOOKUP(C311,Steuerungsdaten!$B$17:$N$37,13,FALSE),1)-1)),0))</f>
        <v>41</v>
      </c>
    </row>
    <row r="312" spans="1:18" x14ac:dyDescent="0.25">
      <c r="A312" s="74">
        <v>8311</v>
      </c>
      <c r="B312" s="75" t="s">
        <v>296</v>
      </c>
      <c r="C312" s="75" t="s">
        <v>315</v>
      </c>
      <c r="D312" s="75" t="s">
        <v>327</v>
      </c>
      <c r="E312" s="76"/>
      <c r="F312" s="76"/>
      <c r="G312" s="77">
        <v>44</v>
      </c>
      <c r="H312" s="77">
        <v>44</v>
      </c>
      <c r="I312" s="77">
        <v>44</v>
      </c>
      <c r="J312" s="77">
        <v>44</v>
      </c>
      <c r="K312" s="77">
        <f>IFERROR(IF(G312="","",ROUND(G312*Steuerungsdaten!$B$5,0)),"-")</f>
        <v>51</v>
      </c>
      <c r="L312" s="77">
        <f>IFERROR(IF(H312="","",ROUND(H312*Steuerungsdaten!$B$5,0)),"-")</f>
        <v>51</v>
      </c>
      <c r="M312" s="77">
        <f>IFERROR(IF(I312="","",ROUND(I312*Steuerungsdaten!$B$5,0)),"-")</f>
        <v>51</v>
      </c>
      <c r="N312" s="78">
        <f>IFERROR(IF(J312="","",ROUND(J312*Steuerungsdaten!$B$5,0)),"-")</f>
        <v>51</v>
      </c>
      <c r="O312" s="79">
        <v>44</v>
      </c>
      <c r="P312" s="79">
        <f>IF(H312="","",ROUND(H312/(Steuerungsdaten!$B$4*Steuerungsdaten!$B$8*IFERROR(VLOOKUP(C312,Steuerungsdaten!$B$17:$E$37,4,FALSE),1)*POWER(IF(OR(E312=0,F312=0,E312="",F312=""),1,(E312*F312/1000000)/Steuerungsdaten!$B$6),IFERROR(VLOOKUP(C312,Steuerungsdaten!$B$17:$L$37,11,FALSE),1)-1)),0))</f>
        <v>50</v>
      </c>
      <c r="Q312" s="79">
        <f>IF(I312="","",ROUND(I312/(Steuerungsdaten!$B$4*Steuerungsdaten!$B$9*IFERROR(VLOOKUP(C312,Steuerungsdaten!$B$17:$G$37,6,FALSE),1)*POWER(IF(OR(E312=0,F312=0,E312="",F312=""),1,(E312*F312/1000000)/Steuerungsdaten!$B$6),IFERROR(VLOOKUP(C312,Steuerungsdaten!$B$17:$M$37,12,FALSE),1)-1)),0))</f>
        <v>50</v>
      </c>
      <c r="R312" s="79">
        <f>IF(J312="","",ROUND(J312/(Steuerungsdaten!$B$4*Steuerungsdaten!$B$10*IFERROR(VLOOKUP(C312,Steuerungsdaten!$B$17:$I$37,8,FALSE),1)*POWER(IF(OR(E312=0,F312=0,E312="",F312=""),1,(E312*F312/1000000)/Steuerungsdaten!$B$6),IFERROR(VLOOKUP(C312,Steuerungsdaten!$B$17:$N$37,13,FALSE),1)-1)),0))</f>
        <v>46</v>
      </c>
    </row>
    <row r="313" spans="1:18" x14ac:dyDescent="0.25">
      <c r="A313" s="69">
        <v>8312</v>
      </c>
      <c r="B313" s="70" t="s">
        <v>296</v>
      </c>
      <c r="C313" s="70" t="s">
        <v>315</v>
      </c>
      <c r="D313" s="70" t="s">
        <v>328</v>
      </c>
      <c r="E313" s="71"/>
      <c r="F313" s="71"/>
      <c r="G313" s="72">
        <v>38</v>
      </c>
      <c r="H313" s="72">
        <v>38</v>
      </c>
      <c r="I313" s="72">
        <v>38</v>
      </c>
      <c r="J313" s="72">
        <v>38</v>
      </c>
      <c r="K313" s="72">
        <f>IFERROR(IF(G313="","",ROUND(G313*Steuerungsdaten!$B$5,0)),"-")</f>
        <v>44</v>
      </c>
      <c r="L313" s="72">
        <f>IFERROR(IF(H313="","",ROUND(H313*Steuerungsdaten!$B$5,0)),"-")</f>
        <v>44</v>
      </c>
      <c r="M313" s="72">
        <f>IFERROR(IF(I313="","",ROUND(I313*Steuerungsdaten!$B$5,0)),"-")</f>
        <v>44</v>
      </c>
      <c r="N313" s="73">
        <f>IFERROR(IF(J313="","",ROUND(J313*Steuerungsdaten!$B$5,0)),"-")</f>
        <v>44</v>
      </c>
      <c r="O313" s="79">
        <v>38</v>
      </c>
      <c r="P313" s="79">
        <f>IF(H313="","",ROUND(H313/(Steuerungsdaten!$B$4*Steuerungsdaten!$B$8*IFERROR(VLOOKUP(C313,Steuerungsdaten!$B$17:$E$37,4,FALSE),1)*POWER(IF(OR(E313=0,F313=0,E313="",F313=""),1,(E313*F313/1000000)/Steuerungsdaten!$B$6),IFERROR(VLOOKUP(C313,Steuerungsdaten!$B$17:$L$37,11,FALSE),1)-1)),0))</f>
        <v>43</v>
      </c>
      <c r="Q313" s="79">
        <f>IF(I313="","",ROUND(I313/(Steuerungsdaten!$B$4*Steuerungsdaten!$B$9*IFERROR(VLOOKUP(C313,Steuerungsdaten!$B$17:$G$37,6,FALSE),1)*POWER(IF(OR(E313=0,F313=0,E313="",F313=""),1,(E313*F313/1000000)/Steuerungsdaten!$B$6),IFERROR(VLOOKUP(C313,Steuerungsdaten!$B$17:$M$37,12,FALSE),1)-1)),0))</f>
        <v>43</v>
      </c>
      <c r="R313" s="79">
        <f>IF(J313="","",ROUND(J313/(Steuerungsdaten!$B$4*Steuerungsdaten!$B$10*IFERROR(VLOOKUP(C313,Steuerungsdaten!$B$17:$I$37,8,FALSE),1)*POWER(IF(OR(E313=0,F313=0,E313="",F313=""),1,(E313*F313/1000000)/Steuerungsdaten!$B$6),IFERROR(VLOOKUP(C313,Steuerungsdaten!$B$17:$N$37,13,FALSE),1)-1)),0))</f>
        <v>40</v>
      </c>
    </row>
    <row r="314" spans="1:18" x14ac:dyDescent="0.25">
      <c r="A314" s="74">
        <v>8313</v>
      </c>
      <c r="B314" s="75" t="s">
        <v>296</v>
      </c>
      <c r="C314" s="75" t="s">
        <v>315</v>
      </c>
      <c r="D314" s="75" t="s">
        <v>329</v>
      </c>
      <c r="E314" s="76"/>
      <c r="F314" s="76"/>
      <c r="G314" s="77">
        <v>19</v>
      </c>
      <c r="H314" s="77">
        <v>19</v>
      </c>
      <c r="I314" s="77">
        <v>19</v>
      </c>
      <c r="J314" s="77">
        <v>19</v>
      </c>
      <c r="K314" s="77">
        <f>IFERROR(IF(G314="","",ROUND(G314*Steuerungsdaten!$B$5,0)),"-")</f>
        <v>22</v>
      </c>
      <c r="L314" s="77">
        <f>IFERROR(IF(H314="","",ROUND(H314*Steuerungsdaten!$B$5,0)),"-")</f>
        <v>22</v>
      </c>
      <c r="M314" s="77">
        <f>IFERROR(IF(I314="","",ROUND(I314*Steuerungsdaten!$B$5,0)),"-")</f>
        <v>22</v>
      </c>
      <c r="N314" s="78">
        <f>IFERROR(IF(J314="","",ROUND(J314*Steuerungsdaten!$B$5,0)),"-")</f>
        <v>22</v>
      </c>
      <c r="O314" s="79">
        <v>19</v>
      </c>
      <c r="P314" s="79">
        <f>IF(H314="","",ROUND(H314/(Steuerungsdaten!$B$4*Steuerungsdaten!$B$8*IFERROR(VLOOKUP(C314,Steuerungsdaten!$B$17:$E$37,4,FALSE),1)*POWER(IF(OR(E314=0,F314=0,E314="",F314=""),1,(E314*F314/1000000)/Steuerungsdaten!$B$6),IFERROR(VLOOKUP(C314,Steuerungsdaten!$B$17:$L$37,11,FALSE),1)-1)),0))</f>
        <v>22</v>
      </c>
      <c r="Q314" s="79">
        <f>IF(I314="","",ROUND(I314/(Steuerungsdaten!$B$4*Steuerungsdaten!$B$9*IFERROR(VLOOKUP(C314,Steuerungsdaten!$B$17:$G$37,6,FALSE),1)*POWER(IF(OR(E314=0,F314=0,E314="",F314=""),1,(E314*F314/1000000)/Steuerungsdaten!$B$6),IFERROR(VLOOKUP(C314,Steuerungsdaten!$B$17:$M$37,12,FALSE),1)-1)),0))</f>
        <v>22</v>
      </c>
      <c r="R314" s="79">
        <f>IF(J314="","",ROUND(J314/(Steuerungsdaten!$B$4*Steuerungsdaten!$B$10*IFERROR(VLOOKUP(C314,Steuerungsdaten!$B$17:$I$37,8,FALSE),1)*POWER(IF(OR(E314=0,F314=0,E314="",F314=""),1,(E314*F314/1000000)/Steuerungsdaten!$B$6),IFERROR(VLOOKUP(C314,Steuerungsdaten!$B$17:$N$37,13,FALSE),1)-1)),0))</f>
        <v>20</v>
      </c>
    </row>
    <row r="315" spans="1:18" x14ac:dyDescent="0.25">
      <c r="A315" s="69">
        <v>8314</v>
      </c>
      <c r="B315" s="70" t="s">
        <v>296</v>
      </c>
      <c r="C315" s="70" t="s">
        <v>315</v>
      </c>
      <c r="D315" s="70" t="s">
        <v>330</v>
      </c>
      <c r="E315" s="71"/>
      <c r="F315" s="71"/>
      <c r="G315" s="72">
        <v>22</v>
      </c>
      <c r="H315" s="72">
        <v>22</v>
      </c>
      <c r="I315" s="72">
        <v>22</v>
      </c>
      <c r="J315" s="72">
        <v>22</v>
      </c>
      <c r="K315" s="72">
        <f>IFERROR(IF(G315="","",ROUND(G315*Steuerungsdaten!$B$5,0)),"-")</f>
        <v>25</v>
      </c>
      <c r="L315" s="72">
        <f>IFERROR(IF(H315="","",ROUND(H315*Steuerungsdaten!$B$5,0)),"-")</f>
        <v>25</v>
      </c>
      <c r="M315" s="72">
        <f>IFERROR(IF(I315="","",ROUND(I315*Steuerungsdaten!$B$5,0)),"-")</f>
        <v>25</v>
      </c>
      <c r="N315" s="73">
        <f>IFERROR(IF(J315="","",ROUND(J315*Steuerungsdaten!$B$5,0)),"-")</f>
        <v>25</v>
      </c>
      <c r="O315" s="79">
        <v>22</v>
      </c>
      <c r="P315" s="79">
        <f>IF(H315="","",ROUND(H315/(Steuerungsdaten!$B$4*Steuerungsdaten!$B$8*IFERROR(VLOOKUP(C315,Steuerungsdaten!$B$17:$E$37,4,FALSE),1)*POWER(IF(OR(E315=0,F315=0,E315="",F315=""),1,(E315*F315/1000000)/Steuerungsdaten!$B$6),IFERROR(VLOOKUP(C315,Steuerungsdaten!$B$17:$L$37,11,FALSE),1)-1)),0))</f>
        <v>25</v>
      </c>
      <c r="Q315" s="79">
        <f>IF(I315="","",ROUND(I315/(Steuerungsdaten!$B$4*Steuerungsdaten!$B$9*IFERROR(VLOOKUP(C315,Steuerungsdaten!$B$17:$G$37,6,FALSE),1)*POWER(IF(OR(E315=0,F315=0,E315="",F315=""),1,(E315*F315/1000000)/Steuerungsdaten!$B$6),IFERROR(VLOOKUP(C315,Steuerungsdaten!$B$17:$M$37,12,FALSE),1)-1)),0))</f>
        <v>25</v>
      </c>
      <c r="R315" s="79">
        <f>IF(J315="","",ROUND(J315/(Steuerungsdaten!$B$4*Steuerungsdaten!$B$10*IFERROR(VLOOKUP(C315,Steuerungsdaten!$B$17:$I$37,8,FALSE),1)*POWER(IF(OR(E315=0,F315=0,E315="",F315=""),1,(E315*F315/1000000)/Steuerungsdaten!$B$6),IFERROR(VLOOKUP(C315,Steuerungsdaten!$B$17:$N$37,13,FALSE),1)-1)),0))</f>
        <v>23</v>
      </c>
    </row>
    <row r="316" spans="1:18" x14ac:dyDescent="0.25">
      <c r="A316" s="74">
        <v>8315</v>
      </c>
      <c r="B316" s="75" t="s">
        <v>296</v>
      </c>
      <c r="C316" s="75" t="s">
        <v>315</v>
      </c>
      <c r="D316" s="75" t="s">
        <v>331</v>
      </c>
      <c r="E316" s="76"/>
      <c r="F316" s="76"/>
      <c r="G316" s="77">
        <v>29</v>
      </c>
      <c r="H316" s="77">
        <v>29</v>
      </c>
      <c r="I316" s="77">
        <v>29</v>
      </c>
      <c r="J316" s="77">
        <v>29</v>
      </c>
      <c r="K316" s="77">
        <f>IFERROR(IF(G316="","",ROUND(G316*Steuerungsdaten!$B$5,0)),"-")</f>
        <v>33</v>
      </c>
      <c r="L316" s="77">
        <f>IFERROR(IF(H316="","",ROUND(H316*Steuerungsdaten!$B$5,0)),"-")</f>
        <v>33</v>
      </c>
      <c r="M316" s="77">
        <f>IFERROR(IF(I316="","",ROUND(I316*Steuerungsdaten!$B$5,0)),"-")</f>
        <v>33</v>
      </c>
      <c r="N316" s="78">
        <f>IFERROR(IF(J316="","",ROUND(J316*Steuerungsdaten!$B$5,0)),"-")</f>
        <v>33</v>
      </c>
      <c r="O316" s="79">
        <v>29</v>
      </c>
      <c r="P316" s="79">
        <f>IF(H316="","",ROUND(H316/(Steuerungsdaten!$B$4*Steuerungsdaten!$B$8*IFERROR(VLOOKUP(C316,Steuerungsdaten!$B$17:$E$37,4,FALSE),1)*POWER(IF(OR(E316=0,F316=0,E316="",F316=""),1,(E316*F316/1000000)/Steuerungsdaten!$B$6),IFERROR(VLOOKUP(C316,Steuerungsdaten!$B$17:$L$37,11,FALSE),1)-1)),0))</f>
        <v>33</v>
      </c>
      <c r="Q316" s="79">
        <f>IF(I316="","",ROUND(I316/(Steuerungsdaten!$B$4*Steuerungsdaten!$B$9*IFERROR(VLOOKUP(C316,Steuerungsdaten!$B$17:$G$37,6,FALSE),1)*POWER(IF(OR(E316=0,F316=0,E316="",F316=""),1,(E316*F316/1000000)/Steuerungsdaten!$B$6),IFERROR(VLOOKUP(C316,Steuerungsdaten!$B$17:$M$37,12,FALSE),1)-1)),0))</f>
        <v>33</v>
      </c>
      <c r="R316" s="79">
        <f>IF(J316="","",ROUND(J316/(Steuerungsdaten!$B$4*Steuerungsdaten!$B$10*IFERROR(VLOOKUP(C316,Steuerungsdaten!$B$17:$I$37,8,FALSE),1)*POWER(IF(OR(E316=0,F316=0,E316="",F316=""),1,(E316*F316/1000000)/Steuerungsdaten!$B$6),IFERROR(VLOOKUP(C316,Steuerungsdaten!$B$17:$N$37,13,FALSE),1)-1)),0))</f>
        <v>30</v>
      </c>
    </row>
    <row r="317" spans="1:18" x14ac:dyDescent="0.25">
      <c r="A317" s="69">
        <v>8503</v>
      </c>
      <c r="B317" s="70" t="s">
        <v>296</v>
      </c>
      <c r="C317" s="70" t="s">
        <v>332</v>
      </c>
      <c r="D317" s="70" t="s">
        <v>332</v>
      </c>
      <c r="E317" s="71"/>
      <c r="F317" s="71"/>
      <c r="G317" s="72">
        <v>262</v>
      </c>
      <c r="H317" s="72">
        <v>262</v>
      </c>
      <c r="I317" s="72">
        <v>262</v>
      </c>
      <c r="J317" s="72">
        <v>262</v>
      </c>
      <c r="K317" s="72">
        <f>IFERROR(IF(G317="","",ROUND(G317*Steuerungsdaten!$B$5,0)),"-")</f>
        <v>301</v>
      </c>
      <c r="L317" s="72">
        <f>IFERROR(IF(H317="","",ROUND(H317*Steuerungsdaten!$B$5,0)),"-")</f>
        <v>301</v>
      </c>
      <c r="M317" s="72">
        <f>IFERROR(IF(I317="","",ROUND(I317*Steuerungsdaten!$B$5,0)),"-")</f>
        <v>301</v>
      </c>
      <c r="N317" s="73">
        <f>IFERROR(IF(J317="","",ROUND(J317*Steuerungsdaten!$B$5,0)),"-")</f>
        <v>301</v>
      </c>
      <c r="O317" s="79">
        <v>262</v>
      </c>
      <c r="P317" s="79">
        <f>IF(H317="","",ROUND(H317/(Steuerungsdaten!$B$4*Steuerungsdaten!$B$8*IFERROR(VLOOKUP(C317,Steuerungsdaten!$B$17:$E$37,4,FALSE),1)*POWER(IF(OR(E317=0,F317=0,E317="",F317=""),1,(E317*F317/1000000)/Steuerungsdaten!$B$6),IFERROR(VLOOKUP(C317,Steuerungsdaten!$B$17:$L$37,11,FALSE),1)-1)),0))</f>
        <v>238</v>
      </c>
      <c r="Q317" s="79">
        <f>IF(I317="","",ROUND(I317/(Steuerungsdaten!$B$4*Steuerungsdaten!$B$9*IFERROR(VLOOKUP(C317,Steuerungsdaten!$B$17:$G$37,6,FALSE),1)*POWER(IF(OR(E317=0,F317=0,E317="",F317=""),1,(E317*F317/1000000)/Steuerungsdaten!$B$6),IFERROR(VLOOKUP(C317,Steuerungsdaten!$B$17:$M$37,12,FALSE),1)-1)),0))</f>
        <v>238</v>
      </c>
      <c r="R317" s="79">
        <f>IF(J317="","",ROUND(J317/(Steuerungsdaten!$B$4*Steuerungsdaten!$B$10*IFERROR(VLOOKUP(C317,Steuerungsdaten!$B$17:$I$37,8,FALSE),1)*POWER(IF(OR(E317=0,F317=0,E317="",F317=""),1,(E317*F317/1000000)/Steuerungsdaten!$B$6),IFERROR(VLOOKUP(C317,Steuerungsdaten!$B$17:$N$37,13,FALSE),1)-1)),0))</f>
        <v>218</v>
      </c>
    </row>
    <row r="318" spans="1:18" x14ac:dyDescent="0.25">
      <c r="A318" s="74">
        <v>8504</v>
      </c>
      <c r="B318" s="75" t="s">
        <v>296</v>
      </c>
      <c r="C318" s="75" t="s">
        <v>332</v>
      </c>
      <c r="D318" s="75" t="s">
        <v>332</v>
      </c>
      <c r="E318" s="76"/>
      <c r="F318" s="76"/>
      <c r="G318" s="77">
        <v>263</v>
      </c>
      <c r="H318" s="77">
        <v>263</v>
      </c>
      <c r="I318" s="77">
        <v>263</v>
      </c>
      <c r="J318" s="77">
        <v>263</v>
      </c>
      <c r="K318" s="77">
        <f>IFERROR(IF(G318="","",ROUND(G318*Steuerungsdaten!$B$5,0)),"-")</f>
        <v>302</v>
      </c>
      <c r="L318" s="77">
        <f>IFERROR(IF(H318="","",ROUND(H318*Steuerungsdaten!$B$5,0)),"-")</f>
        <v>302</v>
      </c>
      <c r="M318" s="77">
        <f>IFERROR(IF(I318="","",ROUND(I318*Steuerungsdaten!$B$5,0)),"-")</f>
        <v>302</v>
      </c>
      <c r="N318" s="78">
        <f>IFERROR(IF(J318="","",ROUND(J318*Steuerungsdaten!$B$5,0)),"-")</f>
        <v>302</v>
      </c>
      <c r="O318" s="79">
        <v>263</v>
      </c>
      <c r="P318" s="79">
        <f>IF(H318="","",ROUND(H318/(Steuerungsdaten!$B$4*Steuerungsdaten!$B$8*IFERROR(VLOOKUP(C318,Steuerungsdaten!$B$17:$E$37,4,FALSE),1)*POWER(IF(OR(E318=0,F318=0,E318="",F318=""),1,(E318*F318/1000000)/Steuerungsdaten!$B$6),IFERROR(VLOOKUP(C318,Steuerungsdaten!$B$17:$L$37,11,FALSE),1)-1)),0))</f>
        <v>239</v>
      </c>
      <c r="Q318" s="79">
        <f>IF(I318="","",ROUND(I318/(Steuerungsdaten!$B$4*Steuerungsdaten!$B$9*IFERROR(VLOOKUP(C318,Steuerungsdaten!$B$17:$G$37,6,FALSE),1)*POWER(IF(OR(E318=0,F318=0,E318="",F318=""),1,(E318*F318/1000000)/Steuerungsdaten!$B$6),IFERROR(VLOOKUP(C318,Steuerungsdaten!$B$17:$M$37,12,FALSE),1)-1)),0))</f>
        <v>239</v>
      </c>
      <c r="R318" s="79">
        <f>IF(J318="","",ROUND(J318/(Steuerungsdaten!$B$4*Steuerungsdaten!$B$10*IFERROR(VLOOKUP(C318,Steuerungsdaten!$B$17:$I$37,8,FALSE),1)*POWER(IF(OR(E318=0,F318=0,E318="",F318=""),1,(E318*F318/1000000)/Steuerungsdaten!$B$6),IFERROR(VLOOKUP(C318,Steuerungsdaten!$B$17:$N$37,13,FALSE),1)-1)),0))</f>
        <v>219</v>
      </c>
    </row>
    <row r="319" spans="1:18" x14ac:dyDescent="0.25">
      <c r="A319" s="69">
        <v>8505</v>
      </c>
      <c r="B319" s="70" t="s">
        <v>296</v>
      </c>
      <c r="C319" s="70" t="s">
        <v>332</v>
      </c>
      <c r="D319" s="70" t="s">
        <v>332</v>
      </c>
      <c r="E319" s="71"/>
      <c r="F319" s="71"/>
      <c r="G319" s="72">
        <v>265</v>
      </c>
      <c r="H319" s="72">
        <v>265</v>
      </c>
      <c r="I319" s="72">
        <v>265</v>
      </c>
      <c r="J319" s="72">
        <v>265</v>
      </c>
      <c r="K319" s="72">
        <f>IFERROR(IF(G319="","",ROUND(G319*Steuerungsdaten!$B$5,0)),"-")</f>
        <v>305</v>
      </c>
      <c r="L319" s="72">
        <f>IFERROR(IF(H319="","",ROUND(H319*Steuerungsdaten!$B$5,0)),"-")</f>
        <v>305</v>
      </c>
      <c r="M319" s="72">
        <f>IFERROR(IF(I319="","",ROUND(I319*Steuerungsdaten!$B$5,0)),"-")</f>
        <v>305</v>
      </c>
      <c r="N319" s="73">
        <f>IFERROR(IF(J319="","",ROUND(J319*Steuerungsdaten!$B$5,0)),"-")</f>
        <v>305</v>
      </c>
      <c r="O319" s="79">
        <v>265</v>
      </c>
      <c r="P319" s="79">
        <f>IF(H319="","",ROUND(H319/(Steuerungsdaten!$B$4*Steuerungsdaten!$B$8*IFERROR(VLOOKUP(C319,Steuerungsdaten!$B$17:$E$37,4,FALSE),1)*POWER(IF(OR(E319=0,F319=0,E319="",F319=""),1,(E319*F319/1000000)/Steuerungsdaten!$B$6),IFERROR(VLOOKUP(C319,Steuerungsdaten!$B$17:$L$37,11,FALSE),1)-1)),0))</f>
        <v>241</v>
      </c>
      <c r="Q319" s="79">
        <f>IF(I319="","",ROUND(I319/(Steuerungsdaten!$B$4*Steuerungsdaten!$B$9*IFERROR(VLOOKUP(C319,Steuerungsdaten!$B$17:$G$37,6,FALSE),1)*POWER(IF(OR(E319=0,F319=0,E319="",F319=""),1,(E319*F319/1000000)/Steuerungsdaten!$B$6),IFERROR(VLOOKUP(C319,Steuerungsdaten!$B$17:$M$37,12,FALSE),1)-1)),0))</f>
        <v>241</v>
      </c>
      <c r="R319" s="79">
        <f>IF(J319="","",ROUND(J319/(Steuerungsdaten!$B$4*Steuerungsdaten!$B$10*IFERROR(VLOOKUP(C319,Steuerungsdaten!$B$17:$I$37,8,FALSE),1)*POWER(IF(OR(E319=0,F319=0,E319="",F319=""),1,(E319*F319/1000000)/Steuerungsdaten!$B$6),IFERROR(VLOOKUP(C319,Steuerungsdaten!$B$17:$N$37,13,FALSE),1)-1)),0))</f>
        <v>221</v>
      </c>
    </row>
    <row r="320" spans="1:18" x14ac:dyDescent="0.25">
      <c r="A320" s="74">
        <v>8506</v>
      </c>
      <c r="B320" s="75" t="s">
        <v>296</v>
      </c>
      <c r="C320" s="75" t="s">
        <v>332</v>
      </c>
      <c r="D320" s="75" t="s">
        <v>332</v>
      </c>
      <c r="E320" s="76"/>
      <c r="F320" s="76"/>
      <c r="G320" s="77">
        <v>319</v>
      </c>
      <c r="H320" s="77">
        <v>319</v>
      </c>
      <c r="I320" s="77">
        <v>319</v>
      </c>
      <c r="J320" s="77">
        <v>319</v>
      </c>
      <c r="K320" s="77">
        <f>IFERROR(IF(G320="","",ROUND(G320*Steuerungsdaten!$B$5,0)),"-")</f>
        <v>367</v>
      </c>
      <c r="L320" s="77">
        <f>IFERROR(IF(H320="","",ROUND(H320*Steuerungsdaten!$B$5,0)),"-")</f>
        <v>367</v>
      </c>
      <c r="M320" s="77">
        <f>IFERROR(IF(I320="","",ROUND(I320*Steuerungsdaten!$B$5,0)),"-")</f>
        <v>367</v>
      </c>
      <c r="N320" s="78">
        <f>IFERROR(IF(J320="","",ROUND(J320*Steuerungsdaten!$B$5,0)),"-")</f>
        <v>367</v>
      </c>
      <c r="O320" s="79">
        <v>319</v>
      </c>
      <c r="P320" s="79">
        <f>IF(H320="","",ROUND(H320/(Steuerungsdaten!$B$4*Steuerungsdaten!$B$8*IFERROR(VLOOKUP(C320,Steuerungsdaten!$B$17:$E$37,4,FALSE),1)*POWER(IF(OR(E320=0,F320=0,E320="",F320=""),1,(E320*F320/1000000)/Steuerungsdaten!$B$6),IFERROR(VLOOKUP(C320,Steuerungsdaten!$B$17:$L$37,11,FALSE),1)-1)),0))</f>
        <v>290</v>
      </c>
      <c r="Q320" s="79">
        <f>IF(I320="","",ROUND(I320/(Steuerungsdaten!$B$4*Steuerungsdaten!$B$9*IFERROR(VLOOKUP(C320,Steuerungsdaten!$B$17:$G$37,6,FALSE),1)*POWER(IF(OR(E320=0,F320=0,E320="",F320=""),1,(E320*F320/1000000)/Steuerungsdaten!$B$6),IFERROR(VLOOKUP(C320,Steuerungsdaten!$B$17:$M$37,12,FALSE),1)-1)),0))</f>
        <v>290</v>
      </c>
      <c r="R320" s="79">
        <f>IF(J320="","",ROUND(J320/(Steuerungsdaten!$B$4*Steuerungsdaten!$B$10*IFERROR(VLOOKUP(C320,Steuerungsdaten!$B$17:$I$37,8,FALSE),1)*POWER(IF(OR(E320=0,F320=0,E320="",F320=""),1,(E320*F320/1000000)/Steuerungsdaten!$B$6),IFERROR(VLOOKUP(C320,Steuerungsdaten!$B$17:$N$37,13,FALSE),1)-1)),0))</f>
        <v>266</v>
      </c>
    </row>
    <row r="321" spans="1:18" x14ac:dyDescent="0.25">
      <c r="A321" s="69">
        <v>8050</v>
      </c>
      <c r="B321" s="70" t="s">
        <v>296</v>
      </c>
      <c r="C321" s="70" t="s">
        <v>333</v>
      </c>
      <c r="D321" s="70" t="s">
        <v>334</v>
      </c>
      <c r="E321" s="71"/>
      <c r="F321" s="71"/>
      <c r="G321" s="72">
        <v>5</v>
      </c>
      <c r="H321" s="72">
        <v>5</v>
      </c>
      <c r="I321" s="72">
        <v>5</v>
      </c>
      <c r="J321" s="72">
        <v>5</v>
      </c>
      <c r="K321" s="72">
        <f>IFERROR(IF(G321="","",ROUND(G321*Steuerungsdaten!$B$5,0)),"-")</f>
        <v>6</v>
      </c>
      <c r="L321" s="72">
        <f>IFERROR(IF(H321="","",ROUND(H321*Steuerungsdaten!$B$5,0)),"-")</f>
        <v>6</v>
      </c>
      <c r="M321" s="72">
        <f>IFERROR(IF(I321="","",ROUND(I321*Steuerungsdaten!$B$5,0)),"-")</f>
        <v>6</v>
      </c>
      <c r="N321" s="73">
        <f>IFERROR(IF(J321="","",ROUND(J321*Steuerungsdaten!$B$5,0)),"-")</f>
        <v>6</v>
      </c>
      <c r="O321" s="79">
        <v>5</v>
      </c>
      <c r="P321" s="79">
        <f>IF(H321="","",ROUND(H321/(Steuerungsdaten!$B$4*Steuerungsdaten!$B$8*IFERROR(VLOOKUP(C321,Steuerungsdaten!$B$17:$E$37,4,FALSE),1)*POWER(IF(OR(E321=0,F321=0,E321="",F321=""),1,(E321*F321/1000000)/Steuerungsdaten!$B$6),IFERROR(VLOOKUP(C321,Steuerungsdaten!$B$17:$L$37,11,FALSE),1)-1)),0))</f>
        <v>6</v>
      </c>
      <c r="Q321" s="79">
        <f>IF(I321="","",ROUND(I321/(Steuerungsdaten!$B$4*Steuerungsdaten!$B$9*IFERROR(VLOOKUP(C321,Steuerungsdaten!$B$17:$G$37,6,FALSE),1)*POWER(IF(OR(E321=0,F321=0,E321="",F321=""),1,(E321*F321/1000000)/Steuerungsdaten!$B$6),IFERROR(VLOOKUP(C321,Steuerungsdaten!$B$17:$M$37,12,FALSE),1)-1)),0))</f>
        <v>6</v>
      </c>
      <c r="R321" s="79">
        <f>IF(J321="","",ROUND(J321/(Steuerungsdaten!$B$4*Steuerungsdaten!$B$10*IFERROR(VLOOKUP(C321,Steuerungsdaten!$B$17:$I$37,8,FALSE),1)*POWER(IF(OR(E321=0,F321=0,E321="",F321=""),1,(E321*F321/1000000)/Steuerungsdaten!$B$6),IFERROR(VLOOKUP(C321,Steuerungsdaten!$B$17:$N$37,13,FALSE),1)-1)),0))</f>
        <v>5</v>
      </c>
    </row>
    <row r="322" spans="1:18" x14ac:dyDescent="0.25">
      <c r="A322" s="74">
        <v>8051</v>
      </c>
      <c r="B322" s="75" t="s">
        <v>296</v>
      </c>
      <c r="C322" s="75" t="s">
        <v>333</v>
      </c>
      <c r="D322" s="75" t="s">
        <v>335</v>
      </c>
      <c r="E322" s="76"/>
      <c r="F322" s="76"/>
      <c r="G322" s="77">
        <v>5</v>
      </c>
      <c r="H322" s="77">
        <v>5</v>
      </c>
      <c r="I322" s="77">
        <v>5</v>
      </c>
      <c r="J322" s="77">
        <v>5</v>
      </c>
      <c r="K322" s="77">
        <f>IFERROR(IF(G322="","",ROUND(G322*Steuerungsdaten!$B$5,0)),"-")</f>
        <v>6</v>
      </c>
      <c r="L322" s="77">
        <f>IFERROR(IF(H322="","",ROUND(H322*Steuerungsdaten!$B$5,0)),"-")</f>
        <v>6</v>
      </c>
      <c r="M322" s="77">
        <f>IFERROR(IF(I322="","",ROUND(I322*Steuerungsdaten!$B$5,0)),"-")</f>
        <v>6</v>
      </c>
      <c r="N322" s="78">
        <f>IFERROR(IF(J322="","",ROUND(J322*Steuerungsdaten!$B$5,0)),"-")</f>
        <v>6</v>
      </c>
      <c r="O322" s="79">
        <v>5</v>
      </c>
      <c r="P322" s="79">
        <f>IF(H322="","",ROUND(H322/(Steuerungsdaten!$B$4*Steuerungsdaten!$B$8*IFERROR(VLOOKUP(C322,Steuerungsdaten!$B$17:$E$37,4,FALSE),1)*POWER(IF(OR(E322=0,F322=0,E322="",F322=""),1,(E322*F322/1000000)/Steuerungsdaten!$B$6),IFERROR(VLOOKUP(C322,Steuerungsdaten!$B$17:$L$37,11,FALSE),1)-1)),0))</f>
        <v>6</v>
      </c>
      <c r="Q322" s="79">
        <f>IF(I322="","",ROUND(I322/(Steuerungsdaten!$B$4*Steuerungsdaten!$B$9*IFERROR(VLOOKUP(C322,Steuerungsdaten!$B$17:$G$37,6,FALSE),1)*POWER(IF(OR(E322=0,F322=0,E322="",F322=""),1,(E322*F322/1000000)/Steuerungsdaten!$B$6),IFERROR(VLOOKUP(C322,Steuerungsdaten!$B$17:$M$37,12,FALSE),1)-1)),0))</f>
        <v>6</v>
      </c>
      <c r="R322" s="79">
        <f>IF(J322="","",ROUND(J322/(Steuerungsdaten!$B$4*Steuerungsdaten!$B$10*IFERROR(VLOOKUP(C322,Steuerungsdaten!$B$17:$I$37,8,FALSE),1)*POWER(IF(OR(E322=0,F322=0,E322="",F322=""),1,(E322*F322/1000000)/Steuerungsdaten!$B$6),IFERROR(VLOOKUP(C322,Steuerungsdaten!$B$17:$N$37,13,FALSE),1)-1)),0))</f>
        <v>5</v>
      </c>
    </row>
    <row r="323" spans="1:18" x14ac:dyDescent="0.25">
      <c r="A323" s="69">
        <v>8080</v>
      </c>
      <c r="B323" s="70" t="s">
        <v>296</v>
      </c>
      <c r="C323" s="70" t="s">
        <v>333</v>
      </c>
      <c r="D323" s="70" t="s">
        <v>336</v>
      </c>
      <c r="E323" s="71"/>
      <c r="F323" s="71"/>
      <c r="G323" s="72">
        <v>8</v>
      </c>
      <c r="H323" s="72">
        <v>8</v>
      </c>
      <c r="I323" s="72">
        <v>8</v>
      </c>
      <c r="J323" s="72">
        <v>8</v>
      </c>
      <c r="K323" s="72">
        <f>IFERROR(IF(G323="","",ROUND(G323*Steuerungsdaten!$B$5,0)),"-")</f>
        <v>9</v>
      </c>
      <c r="L323" s="72">
        <f>IFERROR(IF(H323="","",ROUND(H323*Steuerungsdaten!$B$5,0)),"-")</f>
        <v>9</v>
      </c>
      <c r="M323" s="72">
        <f>IFERROR(IF(I323="","",ROUND(I323*Steuerungsdaten!$B$5,0)),"-")</f>
        <v>9</v>
      </c>
      <c r="N323" s="73">
        <f>IFERROR(IF(J323="","",ROUND(J323*Steuerungsdaten!$B$5,0)),"-")</f>
        <v>9</v>
      </c>
      <c r="O323" s="79">
        <v>8</v>
      </c>
      <c r="P323" s="79">
        <f>IF(H323="","",ROUND(H323/(Steuerungsdaten!$B$4*Steuerungsdaten!$B$8*IFERROR(VLOOKUP(C323,Steuerungsdaten!$B$17:$E$37,4,FALSE),1)*POWER(IF(OR(E323=0,F323=0,E323="",F323=""),1,(E323*F323/1000000)/Steuerungsdaten!$B$6),IFERROR(VLOOKUP(C323,Steuerungsdaten!$B$17:$L$37,11,FALSE),1)-1)),0))</f>
        <v>9</v>
      </c>
      <c r="Q323" s="79">
        <f>IF(I323="","",ROUND(I323/(Steuerungsdaten!$B$4*Steuerungsdaten!$B$9*IFERROR(VLOOKUP(C323,Steuerungsdaten!$B$17:$G$37,6,FALSE),1)*POWER(IF(OR(E323=0,F323=0,E323="",F323=""),1,(E323*F323/1000000)/Steuerungsdaten!$B$6),IFERROR(VLOOKUP(C323,Steuerungsdaten!$B$17:$M$37,12,FALSE),1)-1)),0))</f>
        <v>9</v>
      </c>
      <c r="R323" s="79">
        <f>IF(J323="","",ROUND(J323/(Steuerungsdaten!$B$4*Steuerungsdaten!$B$10*IFERROR(VLOOKUP(C323,Steuerungsdaten!$B$17:$I$37,8,FALSE),1)*POWER(IF(OR(E323=0,F323=0,E323="",F323=""),1,(E323*F323/1000000)/Steuerungsdaten!$B$6),IFERROR(VLOOKUP(C323,Steuerungsdaten!$B$17:$N$37,13,FALSE),1)-1)),0))</f>
        <v>8</v>
      </c>
    </row>
    <row r="324" spans="1:18" x14ac:dyDescent="0.25">
      <c r="A324" s="74">
        <v>8081</v>
      </c>
      <c r="B324" s="75" t="s">
        <v>296</v>
      </c>
      <c r="C324" s="75" t="s">
        <v>333</v>
      </c>
      <c r="D324" s="75" t="s">
        <v>337</v>
      </c>
      <c r="E324" s="76"/>
      <c r="F324" s="76"/>
      <c r="G324" s="77">
        <v>6</v>
      </c>
      <c r="H324" s="77">
        <v>6</v>
      </c>
      <c r="I324" s="77">
        <v>6</v>
      </c>
      <c r="J324" s="77">
        <v>6</v>
      </c>
      <c r="K324" s="77">
        <f>IFERROR(IF(G324="","",ROUND(G324*Steuerungsdaten!$B$5,0)),"-")</f>
        <v>7</v>
      </c>
      <c r="L324" s="77">
        <f>IFERROR(IF(H324="","",ROUND(H324*Steuerungsdaten!$B$5,0)),"-")</f>
        <v>7</v>
      </c>
      <c r="M324" s="77">
        <f>IFERROR(IF(I324="","",ROUND(I324*Steuerungsdaten!$B$5,0)),"-")</f>
        <v>7</v>
      </c>
      <c r="N324" s="78">
        <f>IFERROR(IF(J324="","",ROUND(J324*Steuerungsdaten!$B$5,0)),"-")</f>
        <v>7</v>
      </c>
      <c r="O324" s="79">
        <v>6</v>
      </c>
      <c r="P324" s="79">
        <f>IF(H324="","",ROUND(H324/(Steuerungsdaten!$B$4*Steuerungsdaten!$B$8*IFERROR(VLOOKUP(C324,Steuerungsdaten!$B$17:$E$37,4,FALSE),1)*POWER(IF(OR(E324=0,F324=0,E324="",F324=""),1,(E324*F324/1000000)/Steuerungsdaten!$B$6),IFERROR(VLOOKUP(C324,Steuerungsdaten!$B$17:$L$37,11,FALSE),1)-1)),0))</f>
        <v>7</v>
      </c>
      <c r="Q324" s="79">
        <f>IF(I324="","",ROUND(I324/(Steuerungsdaten!$B$4*Steuerungsdaten!$B$9*IFERROR(VLOOKUP(C324,Steuerungsdaten!$B$17:$G$37,6,FALSE),1)*POWER(IF(OR(E324=0,F324=0,E324="",F324=""),1,(E324*F324/1000000)/Steuerungsdaten!$B$6),IFERROR(VLOOKUP(C324,Steuerungsdaten!$B$17:$M$37,12,FALSE),1)-1)),0))</f>
        <v>7</v>
      </c>
      <c r="R324" s="79">
        <f>IF(J324="","",ROUND(J324/(Steuerungsdaten!$B$4*Steuerungsdaten!$B$10*IFERROR(VLOOKUP(C324,Steuerungsdaten!$B$17:$I$37,8,FALSE),1)*POWER(IF(OR(E324=0,F324=0,E324="",F324=""),1,(E324*F324/1000000)/Steuerungsdaten!$B$6),IFERROR(VLOOKUP(C324,Steuerungsdaten!$B$17:$N$37,13,FALSE),1)-1)),0))</f>
        <v>6</v>
      </c>
    </row>
    <row r="325" spans="1:18" x14ac:dyDescent="0.25">
      <c r="A325" s="69">
        <v>8152</v>
      </c>
      <c r="B325" s="70" t="s">
        <v>296</v>
      </c>
      <c r="C325" s="70" t="s">
        <v>333</v>
      </c>
      <c r="D325" s="70" t="s">
        <v>338</v>
      </c>
      <c r="E325" s="71"/>
      <c r="F325" s="71"/>
      <c r="G325" s="72">
        <v>70</v>
      </c>
      <c r="H325" s="72">
        <v>70</v>
      </c>
      <c r="I325" s="72">
        <v>70</v>
      </c>
      <c r="J325" s="72">
        <v>70</v>
      </c>
      <c r="K325" s="72">
        <f>IFERROR(IF(G325="","",ROUND(G325*Steuerungsdaten!$B$5,0)),"-")</f>
        <v>81</v>
      </c>
      <c r="L325" s="72">
        <f>IFERROR(IF(H325="","",ROUND(H325*Steuerungsdaten!$B$5,0)),"-")</f>
        <v>81</v>
      </c>
      <c r="M325" s="72">
        <f>IFERROR(IF(I325="","",ROUND(I325*Steuerungsdaten!$B$5,0)),"-")</f>
        <v>81</v>
      </c>
      <c r="N325" s="73">
        <f>IFERROR(IF(J325="","",ROUND(J325*Steuerungsdaten!$B$5,0)),"-")</f>
        <v>81</v>
      </c>
      <c r="O325" s="79">
        <v>70</v>
      </c>
      <c r="P325" s="79">
        <f>IF(H325="","",ROUND(H325/(Steuerungsdaten!$B$4*Steuerungsdaten!$B$8*IFERROR(VLOOKUP(C325,Steuerungsdaten!$B$17:$E$37,4,FALSE),1)*POWER(IF(OR(E325=0,F325=0,E325="",F325=""),1,(E325*F325/1000000)/Steuerungsdaten!$B$6),IFERROR(VLOOKUP(C325,Steuerungsdaten!$B$17:$L$37,11,FALSE),1)-1)),0))</f>
        <v>80</v>
      </c>
      <c r="Q325" s="79">
        <f>IF(I325="","",ROUND(I325/(Steuerungsdaten!$B$4*Steuerungsdaten!$B$9*IFERROR(VLOOKUP(C325,Steuerungsdaten!$B$17:$G$37,6,FALSE),1)*POWER(IF(OR(E325=0,F325=0,E325="",F325=""),1,(E325*F325/1000000)/Steuerungsdaten!$B$6),IFERROR(VLOOKUP(C325,Steuerungsdaten!$B$17:$M$37,12,FALSE),1)-1)),0))</f>
        <v>80</v>
      </c>
      <c r="R325" s="79">
        <f>IF(J325="","",ROUND(J325/(Steuerungsdaten!$B$4*Steuerungsdaten!$B$10*IFERROR(VLOOKUP(C325,Steuerungsdaten!$B$17:$I$37,8,FALSE),1)*POWER(IF(OR(E325=0,F325=0,E325="",F325=""),1,(E325*F325/1000000)/Steuerungsdaten!$B$6),IFERROR(VLOOKUP(C325,Steuerungsdaten!$B$17:$N$37,13,FALSE),1)-1)),0))</f>
        <v>73</v>
      </c>
    </row>
    <row r="326" spans="1:18" x14ac:dyDescent="0.25">
      <c r="A326" s="74">
        <v>8411</v>
      </c>
      <c r="B326" s="75" t="s">
        <v>296</v>
      </c>
      <c r="C326" s="75" t="s">
        <v>339</v>
      </c>
      <c r="D326" s="75" t="s">
        <v>340</v>
      </c>
      <c r="E326" s="76"/>
      <c r="F326" s="76"/>
      <c r="G326" s="77">
        <v>500</v>
      </c>
      <c r="H326" s="77">
        <v>500</v>
      </c>
      <c r="I326" s="77">
        <v>500</v>
      </c>
      <c r="J326" s="77">
        <v>500</v>
      </c>
      <c r="K326" s="77">
        <f>IFERROR(IF(G326="","",ROUND(G326*Steuerungsdaten!$B$5,0)),"-")</f>
        <v>575</v>
      </c>
      <c r="L326" s="77">
        <f>IFERROR(IF(H326="","",ROUND(H326*Steuerungsdaten!$B$5,0)),"-")</f>
        <v>575</v>
      </c>
      <c r="M326" s="77">
        <f>IFERROR(IF(I326="","",ROUND(I326*Steuerungsdaten!$B$5,0)),"-")</f>
        <v>575</v>
      </c>
      <c r="N326" s="78">
        <f>IFERROR(IF(J326="","",ROUND(J326*Steuerungsdaten!$B$5,0)),"-")</f>
        <v>575</v>
      </c>
      <c r="O326" s="79">
        <v>500</v>
      </c>
      <c r="P326" s="79">
        <f>IF(H326="","",ROUND(H326/(Steuerungsdaten!$B$4*Steuerungsdaten!$B$8*IFERROR(VLOOKUP(C326,Steuerungsdaten!$B$17:$E$37,4,FALSE),1)*POWER(IF(OR(E326=0,F326=0,E326="",F326=""),1,(E326*F326/1000000)/Steuerungsdaten!$B$6),IFERROR(VLOOKUP(C326,Steuerungsdaten!$B$17:$L$37,11,FALSE),1)-1)),0))</f>
        <v>568</v>
      </c>
      <c r="Q326" s="79">
        <f>IF(I326="","",ROUND(I326/(Steuerungsdaten!$B$4*Steuerungsdaten!$B$9*IFERROR(VLOOKUP(C326,Steuerungsdaten!$B$17:$G$37,6,FALSE),1)*POWER(IF(OR(E326=0,F326=0,E326="",F326=""),1,(E326*F326/1000000)/Steuerungsdaten!$B$6),IFERROR(VLOOKUP(C326,Steuerungsdaten!$B$17:$M$37,12,FALSE),1)-1)),0))</f>
        <v>568</v>
      </c>
      <c r="R326" s="79">
        <f>IF(J326="","",ROUND(J326/(Steuerungsdaten!$B$4*Steuerungsdaten!$B$10*IFERROR(VLOOKUP(C326,Steuerungsdaten!$B$17:$I$37,8,FALSE),1)*POWER(IF(OR(E326=0,F326=0,E326="",F326=""),1,(E326*F326/1000000)/Steuerungsdaten!$B$6),IFERROR(VLOOKUP(C326,Steuerungsdaten!$B$17:$N$37,13,FALSE),1)-1)),0))</f>
        <v>521</v>
      </c>
    </row>
    <row r="327" spans="1:18" x14ac:dyDescent="0.25">
      <c r="A327" s="120" t="s">
        <v>703</v>
      </c>
      <c r="B327" s="120"/>
      <c r="C327" s="120"/>
      <c r="D327" s="120"/>
      <c r="E327" s="120"/>
      <c r="F327" s="120"/>
      <c r="G327" s="120"/>
      <c r="H327" s="120"/>
      <c r="I327" s="120"/>
      <c r="J327" s="120"/>
      <c r="K327" s="120" t="str">
        <f>IFERROR(IF(G327="","",ROUND(G327*Steuerungsdaten!$B$5,0)),"-")</f>
        <v/>
      </c>
      <c r="L327" s="120" t="str">
        <f>IFERROR(IF(H327="","",ROUND(H327*Steuerungsdaten!$B$5,0)),"-")</f>
        <v/>
      </c>
      <c r="M327" s="120" t="str">
        <f>IFERROR(IF(I327="","",ROUND(I327*Steuerungsdaten!$B$5,0)),"-")</f>
        <v/>
      </c>
      <c r="N327" s="120" t="str">
        <f>IFERROR(IF(J327="","",ROUND(J327*Steuerungsdaten!$B$5,0)),"-")</f>
        <v/>
      </c>
      <c r="O327" s="120"/>
      <c r="P327" s="120"/>
      <c r="Q327" s="120"/>
      <c r="R327" s="120"/>
    </row>
    <row r="328" spans="1:18" x14ac:dyDescent="0.25">
      <c r="A328" s="121" t="s">
        <v>704</v>
      </c>
      <c r="B328" s="121" t="s">
        <v>296</v>
      </c>
      <c r="C328" s="121" t="s">
        <v>699</v>
      </c>
      <c r="D328" s="121" t="s">
        <v>705</v>
      </c>
      <c r="E328" s="121">
        <v>580</v>
      </c>
      <c r="F328" s="121"/>
      <c r="G328" s="122">
        <v>84</v>
      </c>
      <c r="H328" s="122">
        <v>84</v>
      </c>
      <c r="I328" s="122">
        <v>84</v>
      </c>
      <c r="J328" s="122">
        <v>84</v>
      </c>
      <c r="K328" s="122">
        <f>IFERROR(IF(G328="","",ROUND(G328*Steuerungsdaten!$B$5,0)),"-")</f>
        <v>97</v>
      </c>
      <c r="L328" s="122">
        <f>IFERROR(IF(H328="","",ROUND(H328*Steuerungsdaten!$B$5,0)),"-")</f>
        <v>97</v>
      </c>
      <c r="M328" s="122">
        <f>IFERROR(IF(I328="","",ROUND(I328*Steuerungsdaten!$B$5,0)),"-")</f>
        <v>97</v>
      </c>
      <c r="N328" s="122">
        <f>IFERROR(IF(J328="","",ROUND(J328*Steuerungsdaten!$B$5,0)),"-")</f>
        <v>97</v>
      </c>
      <c r="O328" s="79">
        <v>84</v>
      </c>
      <c r="P328">
        <f>IF(H328="","",ROUND(H328/(Steuerungsdaten!$B$4*Steuerungsdaten!$B$8*IFERROR(VLOOKUP(C328,Steuerungsdaten!$B$17:$E$37,4,FALSE),1)*POWER(IF(OR(E328=0,F328=0,E328="",F328=""),1,(E328*F328/1000000)/Steuerungsdaten!$B$6),IFERROR(VLOOKUP(C328,Steuerungsdaten!$B$17:$L$37,11,FALSE),1)-1)),0))</f>
        <v>76</v>
      </c>
      <c r="Q328">
        <f>IF(I328="","",ROUND(I328/(Steuerungsdaten!$B$4*Steuerungsdaten!$B$9*IFERROR(VLOOKUP(C328,Steuerungsdaten!$B$17:$G$37,6,FALSE),1)*POWER(IF(OR(E328=0,F328=0,E328="",F328=""),1,(E328*F328/1000000)/Steuerungsdaten!$B$6),IFERROR(VLOOKUP(C328,Steuerungsdaten!$B$17:$M$37,12,FALSE),1)-1)),0))</f>
        <v>76</v>
      </c>
      <c r="R328">
        <f>IF(J328="","",ROUND(J328/(Steuerungsdaten!$B$4*Steuerungsdaten!$B$10*IFERROR(VLOOKUP(C328,Steuerungsdaten!$B$17:$I$37,8,FALSE),1)*POWER(IF(OR(E328=0,F328=0,E328="",F328=""),1,(E328*F328/1000000)/Steuerungsdaten!$B$6),IFERROR(VLOOKUP(C328,Steuerungsdaten!$B$17:$N$37,13,FALSE),1)-1)),0))</f>
        <v>70</v>
      </c>
    </row>
    <row r="329" spans="1:18" x14ac:dyDescent="0.25">
      <c r="A329" s="123" t="s">
        <v>706</v>
      </c>
      <c r="B329" s="123" t="s">
        <v>296</v>
      </c>
      <c r="C329" s="123" t="s">
        <v>699</v>
      </c>
      <c r="D329" s="123" t="s">
        <v>707</v>
      </c>
      <c r="E329" s="123">
        <v>720</v>
      </c>
      <c r="F329" s="123"/>
      <c r="G329" s="124">
        <v>105</v>
      </c>
      <c r="H329" s="124">
        <v>105</v>
      </c>
      <c r="I329" s="124">
        <v>105</v>
      </c>
      <c r="J329" s="124">
        <v>105</v>
      </c>
      <c r="K329" s="124">
        <f>IFERROR(IF(G329="","",ROUND(G329*Steuerungsdaten!$B$5,0)),"-")</f>
        <v>121</v>
      </c>
      <c r="L329" s="124">
        <f>IFERROR(IF(H329="","",ROUND(H329*Steuerungsdaten!$B$5,0)),"-")</f>
        <v>121</v>
      </c>
      <c r="M329" s="124">
        <f>IFERROR(IF(I329="","",ROUND(I329*Steuerungsdaten!$B$5,0)),"-")</f>
        <v>121</v>
      </c>
      <c r="N329" s="124">
        <f>IFERROR(IF(J329="","",ROUND(J329*Steuerungsdaten!$B$5,0)),"-")</f>
        <v>121</v>
      </c>
      <c r="O329" s="79">
        <v>105</v>
      </c>
      <c r="P329">
        <f>IF(H329="","",ROUND(H329/(Steuerungsdaten!$B$4*Steuerungsdaten!$B$8*IFERROR(VLOOKUP(C329,Steuerungsdaten!$B$17:$E$37,4,FALSE),1)*POWER(IF(OR(E329=0,F329=0,E329="",F329=""),1,(E329*F329/1000000)/Steuerungsdaten!$B$6),IFERROR(VLOOKUP(C329,Steuerungsdaten!$B$17:$L$37,11,FALSE),1)-1)),0))</f>
        <v>95</v>
      </c>
      <c r="Q329">
        <f>IF(I329="","",ROUND(I329/(Steuerungsdaten!$B$4*Steuerungsdaten!$B$9*IFERROR(VLOOKUP(C329,Steuerungsdaten!$B$17:$G$37,6,FALSE),1)*POWER(IF(OR(E329=0,F329=0,E329="",F329=""),1,(E329*F329/1000000)/Steuerungsdaten!$B$6),IFERROR(VLOOKUP(C329,Steuerungsdaten!$B$17:$M$37,12,FALSE),1)-1)),0))</f>
        <v>95</v>
      </c>
      <c r="R329">
        <f>IF(J329="","",ROUND(J329/(Steuerungsdaten!$B$4*Steuerungsdaten!$B$10*IFERROR(VLOOKUP(C329,Steuerungsdaten!$B$17:$I$37,8,FALSE),1)*POWER(IF(OR(E329=0,F329=0,E329="",F329=""),1,(E329*F329/1000000)/Steuerungsdaten!$B$6),IFERROR(VLOOKUP(C329,Steuerungsdaten!$B$17:$N$37,13,FALSE),1)-1)),0))</f>
        <v>88</v>
      </c>
    </row>
    <row r="330" spans="1:18" x14ac:dyDescent="0.25">
      <c r="A330" s="121" t="s">
        <v>708</v>
      </c>
      <c r="B330" s="121" t="s">
        <v>296</v>
      </c>
      <c r="C330" s="121" t="s">
        <v>699</v>
      </c>
      <c r="D330" s="121" t="s">
        <v>709</v>
      </c>
      <c r="E330" s="121">
        <v>750</v>
      </c>
      <c r="F330" s="121"/>
      <c r="G330" s="122">
        <v>105</v>
      </c>
      <c r="H330" s="122">
        <v>105</v>
      </c>
      <c r="I330" s="122">
        <v>105</v>
      </c>
      <c r="J330" s="122">
        <v>105</v>
      </c>
      <c r="K330" s="122">
        <f>IFERROR(IF(G330="","",ROUND(G330*Steuerungsdaten!$B$5,0)),"-")</f>
        <v>121</v>
      </c>
      <c r="L330" s="122">
        <f>IFERROR(IF(H330="","",ROUND(H330*Steuerungsdaten!$B$5,0)),"-")</f>
        <v>121</v>
      </c>
      <c r="M330" s="122">
        <f>IFERROR(IF(I330="","",ROUND(I330*Steuerungsdaten!$B$5,0)),"-")</f>
        <v>121</v>
      </c>
      <c r="N330" s="122">
        <f>IFERROR(IF(J330="","",ROUND(J330*Steuerungsdaten!$B$5,0)),"-")</f>
        <v>121</v>
      </c>
      <c r="O330" s="79">
        <v>105</v>
      </c>
      <c r="P330">
        <f>IF(H330="","",ROUND(H330/(Steuerungsdaten!$B$4*Steuerungsdaten!$B$8*IFERROR(VLOOKUP(C330,Steuerungsdaten!$B$17:$E$37,4,FALSE),1)*POWER(IF(OR(E330=0,F330=0,E330="",F330=""),1,(E330*F330/1000000)/Steuerungsdaten!$B$6),IFERROR(VLOOKUP(C330,Steuerungsdaten!$B$17:$L$37,11,FALSE),1)-1)),0))</f>
        <v>95</v>
      </c>
      <c r="Q330">
        <f>IF(I330="","",ROUND(I330/(Steuerungsdaten!$B$4*Steuerungsdaten!$B$9*IFERROR(VLOOKUP(C330,Steuerungsdaten!$B$17:$G$37,6,FALSE),1)*POWER(IF(OR(E330=0,F330=0,E330="",F330=""),1,(E330*F330/1000000)/Steuerungsdaten!$B$6),IFERROR(VLOOKUP(C330,Steuerungsdaten!$B$17:$M$37,12,FALSE),1)-1)),0))</f>
        <v>95</v>
      </c>
      <c r="R330">
        <f>IF(J330="","",ROUND(J330/(Steuerungsdaten!$B$4*Steuerungsdaten!$B$10*IFERROR(VLOOKUP(C330,Steuerungsdaten!$B$17:$I$37,8,FALSE),1)*POWER(IF(OR(E330=0,F330=0,E330="",F330=""),1,(E330*F330/1000000)/Steuerungsdaten!$B$6),IFERROR(VLOOKUP(C330,Steuerungsdaten!$B$17:$N$37,13,FALSE),1)-1)),0))</f>
        <v>88</v>
      </c>
    </row>
    <row r="331" spans="1:18" x14ac:dyDescent="0.25">
      <c r="A331" s="123" t="s">
        <v>710</v>
      </c>
      <c r="B331" s="123" t="s">
        <v>296</v>
      </c>
      <c r="C331" s="123" t="s">
        <v>699</v>
      </c>
      <c r="D331" s="123" t="s">
        <v>711</v>
      </c>
      <c r="E331" s="123">
        <v>780</v>
      </c>
      <c r="F331" s="123"/>
      <c r="G331" s="124">
        <v>92</v>
      </c>
      <c r="H331" s="124">
        <v>92</v>
      </c>
      <c r="I331" s="124">
        <v>92</v>
      </c>
      <c r="J331" s="124">
        <v>92</v>
      </c>
      <c r="K331" s="124">
        <f>IFERROR(IF(G331="","",ROUND(G331*Steuerungsdaten!$B$5,0)),"-")</f>
        <v>106</v>
      </c>
      <c r="L331" s="124">
        <f>IFERROR(IF(H331="","",ROUND(H331*Steuerungsdaten!$B$5,0)),"-")</f>
        <v>106</v>
      </c>
      <c r="M331" s="124">
        <f>IFERROR(IF(I331="","",ROUND(I331*Steuerungsdaten!$B$5,0)),"-")</f>
        <v>106</v>
      </c>
      <c r="N331" s="124">
        <f>IFERROR(IF(J331="","",ROUND(J331*Steuerungsdaten!$B$5,0)),"-")</f>
        <v>106</v>
      </c>
      <c r="O331" s="79">
        <v>92</v>
      </c>
      <c r="P331">
        <f>IF(H331="","",ROUND(H331/(Steuerungsdaten!$B$4*Steuerungsdaten!$B$8*IFERROR(VLOOKUP(C331,Steuerungsdaten!$B$17:$E$37,4,FALSE),1)*POWER(IF(OR(E331=0,F331=0,E331="",F331=""),1,(E331*F331/1000000)/Steuerungsdaten!$B$6),IFERROR(VLOOKUP(C331,Steuerungsdaten!$B$17:$L$37,11,FALSE),1)-1)),0))</f>
        <v>84</v>
      </c>
      <c r="Q331">
        <f>IF(I331="","",ROUND(I331/(Steuerungsdaten!$B$4*Steuerungsdaten!$B$9*IFERROR(VLOOKUP(C331,Steuerungsdaten!$B$17:$G$37,6,FALSE),1)*POWER(IF(OR(E331=0,F331=0,E331="",F331=""),1,(E331*F331/1000000)/Steuerungsdaten!$B$6),IFERROR(VLOOKUP(C331,Steuerungsdaten!$B$17:$M$37,12,FALSE),1)-1)),0))</f>
        <v>84</v>
      </c>
      <c r="R331">
        <f>IF(J331="","",ROUND(J331/(Steuerungsdaten!$B$4*Steuerungsdaten!$B$10*IFERROR(VLOOKUP(C331,Steuerungsdaten!$B$17:$I$37,8,FALSE),1)*POWER(IF(OR(E331=0,F331=0,E331="",F331=""),1,(E331*F331/1000000)/Steuerungsdaten!$B$6),IFERROR(VLOOKUP(C331,Steuerungsdaten!$B$17:$N$37,13,FALSE),1)-1)),0))</f>
        <v>77</v>
      </c>
    </row>
    <row r="332" spans="1:18" x14ac:dyDescent="0.25">
      <c r="A332" s="121" t="s">
        <v>712</v>
      </c>
      <c r="B332" s="121" t="s">
        <v>296</v>
      </c>
      <c r="C332" s="121" t="s">
        <v>699</v>
      </c>
      <c r="D332" s="121" t="s">
        <v>713</v>
      </c>
      <c r="E332" s="121">
        <v>980</v>
      </c>
      <c r="F332" s="121"/>
      <c r="G332" s="122">
        <v>99</v>
      </c>
      <c r="H332" s="122">
        <v>99</v>
      </c>
      <c r="I332" s="122">
        <v>99</v>
      </c>
      <c r="J332" s="122">
        <v>99</v>
      </c>
      <c r="K332" s="122">
        <f>IFERROR(IF(G332="","",ROUND(G332*Steuerungsdaten!$B$5,0)),"-")</f>
        <v>114</v>
      </c>
      <c r="L332" s="122">
        <f>IFERROR(IF(H332="","",ROUND(H332*Steuerungsdaten!$B$5,0)),"-")</f>
        <v>114</v>
      </c>
      <c r="M332" s="122">
        <f>IFERROR(IF(I332="","",ROUND(I332*Steuerungsdaten!$B$5,0)),"-")</f>
        <v>114</v>
      </c>
      <c r="N332" s="122">
        <f>IFERROR(IF(J332="","",ROUND(J332*Steuerungsdaten!$B$5,0)),"-")</f>
        <v>114</v>
      </c>
      <c r="O332" s="79">
        <v>99</v>
      </c>
      <c r="P332">
        <f>IF(H332="","",ROUND(H332/(Steuerungsdaten!$B$4*Steuerungsdaten!$B$8*IFERROR(VLOOKUP(C332,Steuerungsdaten!$B$17:$E$37,4,FALSE),1)*POWER(IF(OR(E332=0,F332=0,E332="",F332=""),1,(E332*F332/1000000)/Steuerungsdaten!$B$6),IFERROR(VLOOKUP(C332,Steuerungsdaten!$B$17:$L$37,11,FALSE),1)-1)),0))</f>
        <v>90</v>
      </c>
      <c r="Q332">
        <f>IF(I332="","",ROUND(I332/(Steuerungsdaten!$B$4*Steuerungsdaten!$B$9*IFERROR(VLOOKUP(C332,Steuerungsdaten!$B$17:$G$37,6,FALSE),1)*POWER(IF(OR(E332=0,F332=0,E332="",F332=""),1,(E332*F332/1000000)/Steuerungsdaten!$B$6),IFERROR(VLOOKUP(C332,Steuerungsdaten!$B$17:$M$37,12,FALSE),1)-1)),0))</f>
        <v>90</v>
      </c>
      <c r="R332">
        <f>IF(J332="","",ROUND(J332/(Steuerungsdaten!$B$4*Steuerungsdaten!$B$10*IFERROR(VLOOKUP(C332,Steuerungsdaten!$B$17:$I$37,8,FALSE),1)*POWER(IF(OR(E332=0,F332=0,E332="",F332=""),1,(E332*F332/1000000)/Steuerungsdaten!$B$6),IFERROR(VLOOKUP(C332,Steuerungsdaten!$B$17:$N$37,13,FALSE),1)-1)),0))</f>
        <v>83</v>
      </c>
    </row>
    <row r="333" spans="1:18" x14ac:dyDescent="0.25">
      <c r="A333" s="123" t="s">
        <v>714</v>
      </c>
      <c r="B333" s="123" t="s">
        <v>296</v>
      </c>
      <c r="C333" s="123" t="s">
        <v>699</v>
      </c>
      <c r="D333" s="123" t="s">
        <v>715</v>
      </c>
      <c r="E333" s="123">
        <v>1200</v>
      </c>
      <c r="F333" s="123"/>
      <c r="G333" s="124">
        <v>107</v>
      </c>
      <c r="H333" s="124">
        <v>107</v>
      </c>
      <c r="I333" s="124">
        <v>107</v>
      </c>
      <c r="J333" s="124">
        <v>107</v>
      </c>
      <c r="K333" s="124">
        <f>IFERROR(IF(G333="","",ROUND(G333*Steuerungsdaten!$B$5,0)),"-")</f>
        <v>123</v>
      </c>
      <c r="L333" s="124">
        <f>IFERROR(IF(H333="","",ROUND(H333*Steuerungsdaten!$B$5,0)),"-")</f>
        <v>123</v>
      </c>
      <c r="M333" s="124">
        <f>IFERROR(IF(I333="","",ROUND(I333*Steuerungsdaten!$B$5,0)),"-")</f>
        <v>123</v>
      </c>
      <c r="N333" s="124">
        <f>IFERROR(IF(J333="","",ROUND(J333*Steuerungsdaten!$B$5,0)),"-")</f>
        <v>123</v>
      </c>
      <c r="O333" s="79">
        <v>107</v>
      </c>
      <c r="P333">
        <f>IF(H333="","",ROUND(H333/(Steuerungsdaten!$B$4*Steuerungsdaten!$B$8*IFERROR(VLOOKUP(C333,Steuerungsdaten!$B$17:$E$37,4,FALSE),1)*POWER(IF(OR(E333=0,F333=0,E333="",F333=""),1,(E333*F333/1000000)/Steuerungsdaten!$B$6),IFERROR(VLOOKUP(C333,Steuerungsdaten!$B$17:$L$37,11,FALSE),1)-1)),0))</f>
        <v>97</v>
      </c>
      <c r="Q333">
        <f>IF(I333="","",ROUND(I333/(Steuerungsdaten!$B$4*Steuerungsdaten!$B$9*IFERROR(VLOOKUP(C333,Steuerungsdaten!$B$17:$G$37,6,FALSE),1)*POWER(IF(OR(E333=0,F333=0,E333="",F333=""),1,(E333*F333/1000000)/Steuerungsdaten!$B$6),IFERROR(VLOOKUP(C333,Steuerungsdaten!$B$17:$M$37,12,FALSE),1)-1)),0))</f>
        <v>97</v>
      </c>
      <c r="R333">
        <f>IF(J333="","",ROUND(J333/(Steuerungsdaten!$B$4*Steuerungsdaten!$B$10*IFERROR(VLOOKUP(C333,Steuerungsdaten!$B$17:$I$37,8,FALSE),1)*POWER(IF(OR(E333=0,F333=0,E333="",F333=""),1,(E333*F333/1000000)/Steuerungsdaten!$B$6),IFERROR(VLOOKUP(C333,Steuerungsdaten!$B$17:$N$37,13,FALSE),1)-1)),0))</f>
        <v>89</v>
      </c>
    </row>
    <row r="334" spans="1:18" x14ac:dyDescent="0.25">
      <c r="A334" s="121" t="s">
        <v>716</v>
      </c>
      <c r="B334" s="121" t="s">
        <v>296</v>
      </c>
      <c r="C334" s="121" t="s">
        <v>699</v>
      </c>
      <c r="D334" s="121" t="s">
        <v>717</v>
      </c>
      <c r="E334" s="121">
        <v>1360</v>
      </c>
      <c r="F334" s="121"/>
      <c r="G334" s="122">
        <v>115</v>
      </c>
      <c r="H334" s="122">
        <v>115</v>
      </c>
      <c r="I334" s="122">
        <v>115</v>
      </c>
      <c r="J334" s="122">
        <v>115</v>
      </c>
      <c r="K334" s="122">
        <f>IFERROR(IF(G334="","",ROUND(G334*Steuerungsdaten!$B$5,0)),"-")</f>
        <v>132</v>
      </c>
      <c r="L334" s="122">
        <f>IFERROR(IF(H334="","",ROUND(H334*Steuerungsdaten!$B$5,0)),"-")</f>
        <v>132</v>
      </c>
      <c r="M334" s="122">
        <f>IFERROR(IF(I334="","",ROUND(I334*Steuerungsdaten!$B$5,0)),"-")</f>
        <v>132</v>
      </c>
      <c r="N334" s="122">
        <f>IFERROR(IF(J334="","",ROUND(J334*Steuerungsdaten!$B$5,0)),"-")</f>
        <v>132</v>
      </c>
      <c r="O334" s="79">
        <v>115</v>
      </c>
      <c r="P334">
        <f>IF(H334="","",ROUND(H334/(Steuerungsdaten!$B$4*Steuerungsdaten!$B$8*IFERROR(VLOOKUP(C334,Steuerungsdaten!$B$17:$E$37,4,FALSE),1)*POWER(IF(OR(E334=0,F334=0,E334="",F334=""),1,(E334*F334/1000000)/Steuerungsdaten!$B$6),IFERROR(VLOOKUP(C334,Steuerungsdaten!$B$17:$L$37,11,FALSE),1)-1)),0))</f>
        <v>105</v>
      </c>
      <c r="Q334">
        <f>IF(I334="","",ROUND(I334/(Steuerungsdaten!$B$4*Steuerungsdaten!$B$9*IFERROR(VLOOKUP(C334,Steuerungsdaten!$B$17:$G$37,6,FALSE),1)*POWER(IF(OR(E334=0,F334=0,E334="",F334=""),1,(E334*F334/1000000)/Steuerungsdaten!$B$6),IFERROR(VLOOKUP(C334,Steuerungsdaten!$B$17:$M$37,12,FALSE),1)-1)),0))</f>
        <v>105</v>
      </c>
      <c r="R334">
        <f>IF(J334="","",ROUND(J334/(Steuerungsdaten!$B$4*Steuerungsdaten!$B$10*IFERROR(VLOOKUP(C334,Steuerungsdaten!$B$17:$I$37,8,FALSE),1)*POWER(IF(OR(E334=0,F334=0,E334="",F334=""),1,(E334*F334/1000000)/Steuerungsdaten!$B$6),IFERROR(VLOOKUP(C334,Steuerungsdaten!$B$17:$N$37,13,FALSE),1)-1)),0))</f>
        <v>96</v>
      </c>
    </row>
    <row r="335" spans="1:18" x14ac:dyDescent="0.25">
      <c r="A335" s="123" t="s">
        <v>718</v>
      </c>
      <c r="B335" s="123" t="s">
        <v>296</v>
      </c>
      <c r="C335" s="123" t="s">
        <v>699</v>
      </c>
      <c r="D335" s="123" t="s">
        <v>719</v>
      </c>
      <c r="E335" s="123">
        <v>1560</v>
      </c>
      <c r="F335" s="123"/>
      <c r="G335" s="124">
        <v>122</v>
      </c>
      <c r="H335" s="124">
        <v>122</v>
      </c>
      <c r="I335" s="124">
        <v>122</v>
      </c>
      <c r="J335" s="124">
        <v>122</v>
      </c>
      <c r="K335" s="124">
        <f>IFERROR(IF(G335="","",ROUND(G335*Steuerungsdaten!$B$5,0)),"-")</f>
        <v>140</v>
      </c>
      <c r="L335" s="124">
        <f>IFERROR(IF(H335="","",ROUND(H335*Steuerungsdaten!$B$5,0)),"-")</f>
        <v>140</v>
      </c>
      <c r="M335" s="124">
        <f>IFERROR(IF(I335="","",ROUND(I335*Steuerungsdaten!$B$5,0)),"-")</f>
        <v>140</v>
      </c>
      <c r="N335" s="124">
        <f>IFERROR(IF(J335="","",ROUND(J335*Steuerungsdaten!$B$5,0)),"-")</f>
        <v>140</v>
      </c>
      <c r="O335" s="79">
        <v>122</v>
      </c>
      <c r="P335">
        <f>IF(H335="","",ROUND(H335/(Steuerungsdaten!$B$4*Steuerungsdaten!$B$8*IFERROR(VLOOKUP(C335,Steuerungsdaten!$B$17:$E$37,4,FALSE),1)*POWER(IF(OR(E335=0,F335=0,E335="",F335=""),1,(E335*F335/1000000)/Steuerungsdaten!$B$6),IFERROR(VLOOKUP(C335,Steuerungsdaten!$B$17:$L$37,11,FALSE),1)-1)),0))</f>
        <v>111</v>
      </c>
      <c r="Q335">
        <f>IF(I335="","",ROUND(I335/(Steuerungsdaten!$B$4*Steuerungsdaten!$B$9*IFERROR(VLOOKUP(C335,Steuerungsdaten!$B$17:$G$37,6,FALSE),1)*POWER(IF(OR(E335=0,F335=0,E335="",F335=""),1,(E335*F335/1000000)/Steuerungsdaten!$B$6),IFERROR(VLOOKUP(C335,Steuerungsdaten!$B$17:$M$37,12,FALSE),1)-1)),0))</f>
        <v>111</v>
      </c>
      <c r="R335">
        <f>IF(J335="","",ROUND(J335/(Steuerungsdaten!$B$4*Steuerungsdaten!$B$10*IFERROR(VLOOKUP(C335,Steuerungsdaten!$B$17:$I$37,8,FALSE),1)*POWER(IF(OR(E335=0,F335=0,E335="",F335=""),1,(E335*F335/1000000)/Steuerungsdaten!$B$6),IFERROR(VLOOKUP(C335,Steuerungsdaten!$B$17:$N$37,13,FALSE),1)-1)),0))</f>
        <v>102</v>
      </c>
    </row>
    <row r="336" spans="1:18" x14ac:dyDescent="0.25">
      <c r="A336" s="121" t="s">
        <v>720</v>
      </c>
      <c r="B336" s="121" t="s">
        <v>296</v>
      </c>
      <c r="C336" s="121" t="s">
        <v>699</v>
      </c>
      <c r="D336" s="121" t="s">
        <v>721</v>
      </c>
      <c r="E336" s="121">
        <v>1760</v>
      </c>
      <c r="F336" s="121"/>
      <c r="G336" s="122">
        <v>130</v>
      </c>
      <c r="H336" s="122">
        <v>130</v>
      </c>
      <c r="I336" s="122">
        <v>130</v>
      </c>
      <c r="J336" s="122">
        <v>130</v>
      </c>
      <c r="K336" s="122">
        <f>IFERROR(IF(G336="","",ROUND(G336*Steuerungsdaten!$B$5,0)),"-")</f>
        <v>150</v>
      </c>
      <c r="L336" s="122">
        <f>IFERROR(IF(H336="","",ROUND(H336*Steuerungsdaten!$B$5,0)),"-")</f>
        <v>150</v>
      </c>
      <c r="M336" s="122">
        <f>IFERROR(IF(I336="","",ROUND(I336*Steuerungsdaten!$B$5,0)),"-")</f>
        <v>150</v>
      </c>
      <c r="N336" s="122">
        <f>IFERROR(IF(J336="","",ROUND(J336*Steuerungsdaten!$B$5,0)),"-")</f>
        <v>150</v>
      </c>
      <c r="O336" s="79">
        <v>130</v>
      </c>
      <c r="P336">
        <f>IF(H336="","",ROUND(H336/(Steuerungsdaten!$B$4*Steuerungsdaten!$B$8*IFERROR(VLOOKUP(C336,Steuerungsdaten!$B$17:$E$37,4,FALSE),1)*POWER(IF(OR(E336=0,F336=0,E336="",F336=""),1,(E336*F336/1000000)/Steuerungsdaten!$B$6),IFERROR(VLOOKUP(C336,Steuerungsdaten!$B$17:$L$37,11,FALSE),1)-1)),0))</f>
        <v>118</v>
      </c>
      <c r="Q336">
        <f>IF(I336="","",ROUND(I336/(Steuerungsdaten!$B$4*Steuerungsdaten!$B$9*IFERROR(VLOOKUP(C336,Steuerungsdaten!$B$17:$G$37,6,FALSE),1)*POWER(IF(OR(E336=0,F336=0,E336="",F336=""),1,(E336*F336/1000000)/Steuerungsdaten!$B$6),IFERROR(VLOOKUP(C336,Steuerungsdaten!$B$17:$M$37,12,FALSE),1)-1)),0))</f>
        <v>118</v>
      </c>
      <c r="R336">
        <f>IF(J336="","",ROUND(J336/(Steuerungsdaten!$B$4*Steuerungsdaten!$B$10*IFERROR(VLOOKUP(C336,Steuerungsdaten!$B$17:$I$37,8,FALSE),1)*POWER(IF(OR(E336=0,F336=0,E336="",F336=""),1,(E336*F336/1000000)/Steuerungsdaten!$B$6),IFERROR(VLOOKUP(C336,Steuerungsdaten!$B$17:$N$37,13,FALSE),1)-1)),0))</f>
        <v>108</v>
      </c>
    </row>
    <row r="337" spans="1:18" x14ac:dyDescent="0.25">
      <c r="A337" s="123" t="s">
        <v>722</v>
      </c>
      <c r="B337" s="123" t="s">
        <v>296</v>
      </c>
      <c r="C337" s="123" t="s">
        <v>699</v>
      </c>
      <c r="D337" s="123" t="s">
        <v>723</v>
      </c>
      <c r="E337" s="123">
        <v>1960</v>
      </c>
      <c r="F337" s="123"/>
      <c r="G337" s="124">
        <v>138</v>
      </c>
      <c r="H337" s="124">
        <v>138</v>
      </c>
      <c r="I337" s="124">
        <v>138</v>
      </c>
      <c r="J337" s="124">
        <v>138</v>
      </c>
      <c r="K337" s="124">
        <f>IFERROR(IF(G337="","",ROUND(G337*Steuerungsdaten!$B$5,0)),"-")</f>
        <v>159</v>
      </c>
      <c r="L337" s="124">
        <f>IFERROR(IF(H337="","",ROUND(H337*Steuerungsdaten!$B$5,0)),"-")</f>
        <v>159</v>
      </c>
      <c r="M337" s="124">
        <f>IFERROR(IF(I337="","",ROUND(I337*Steuerungsdaten!$B$5,0)),"-")</f>
        <v>159</v>
      </c>
      <c r="N337" s="124">
        <f>IFERROR(IF(J337="","",ROUND(J337*Steuerungsdaten!$B$5,0)),"-")</f>
        <v>159</v>
      </c>
      <c r="O337" s="79">
        <v>138</v>
      </c>
      <c r="P337">
        <f>IF(H337="","",ROUND(H337/(Steuerungsdaten!$B$4*Steuerungsdaten!$B$8*IFERROR(VLOOKUP(C337,Steuerungsdaten!$B$17:$E$37,4,FALSE),1)*POWER(IF(OR(E337=0,F337=0,E337="",F337=""),1,(E337*F337/1000000)/Steuerungsdaten!$B$6),IFERROR(VLOOKUP(C337,Steuerungsdaten!$B$17:$L$37,11,FALSE),1)-1)),0))</f>
        <v>125</v>
      </c>
      <c r="Q337">
        <f>IF(I337="","",ROUND(I337/(Steuerungsdaten!$B$4*Steuerungsdaten!$B$9*IFERROR(VLOOKUP(C337,Steuerungsdaten!$B$17:$G$37,6,FALSE),1)*POWER(IF(OR(E337=0,F337=0,E337="",F337=""),1,(E337*F337/1000000)/Steuerungsdaten!$B$6),IFERROR(VLOOKUP(C337,Steuerungsdaten!$B$17:$M$37,12,FALSE),1)-1)),0))</f>
        <v>125</v>
      </c>
      <c r="R337">
        <f>IF(J337="","",ROUND(J337/(Steuerungsdaten!$B$4*Steuerungsdaten!$B$10*IFERROR(VLOOKUP(C337,Steuerungsdaten!$B$17:$I$37,8,FALSE),1)*POWER(IF(OR(E337=0,F337=0,E337="",F337=""),1,(E337*F337/1000000)/Steuerungsdaten!$B$6),IFERROR(VLOOKUP(C337,Steuerungsdaten!$B$17:$N$37,13,FALSE),1)-1)),0))</f>
        <v>115</v>
      </c>
    </row>
    <row r="338" spans="1:18" x14ac:dyDescent="0.25">
      <c r="A338" s="121" t="s">
        <v>724</v>
      </c>
      <c r="B338" s="121" t="s">
        <v>296</v>
      </c>
      <c r="C338" s="121" t="s">
        <v>699</v>
      </c>
      <c r="D338" s="121" t="s">
        <v>298</v>
      </c>
      <c r="E338" s="121">
        <v>46</v>
      </c>
      <c r="F338" s="121"/>
      <c r="G338" s="122">
        <v>50</v>
      </c>
      <c r="H338" s="122">
        <v>50</v>
      </c>
      <c r="I338" s="122">
        <v>50</v>
      </c>
      <c r="J338" s="122">
        <v>50</v>
      </c>
      <c r="K338" s="122">
        <f>IFERROR(IF(G338="","",ROUND(G338*Steuerungsdaten!$B$5,0)),"-")</f>
        <v>58</v>
      </c>
      <c r="L338" s="122">
        <f>IFERROR(IF(H338="","",ROUND(H338*Steuerungsdaten!$B$5,0)),"-")</f>
        <v>58</v>
      </c>
      <c r="M338" s="122">
        <f>IFERROR(IF(I338="","",ROUND(I338*Steuerungsdaten!$B$5,0)),"-")</f>
        <v>58</v>
      </c>
      <c r="N338" s="122">
        <f>IFERROR(IF(J338="","",ROUND(J338*Steuerungsdaten!$B$5,0)),"-")</f>
        <v>58</v>
      </c>
      <c r="O338" s="79">
        <v>50</v>
      </c>
      <c r="P338">
        <f>IF(H338="","",ROUND(H338/(Steuerungsdaten!$B$4*Steuerungsdaten!$B$8*IFERROR(VLOOKUP(C338,Steuerungsdaten!$B$17:$E$37,4,FALSE),1)*POWER(IF(OR(E338=0,F338=0,E338="",F338=""),1,(E338*F338/1000000)/Steuerungsdaten!$B$6),IFERROR(VLOOKUP(C338,Steuerungsdaten!$B$17:$L$37,11,FALSE),1)-1)),0))</f>
        <v>45</v>
      </c>
      <c r="Q338">
        <f>IF(I338="","",ROUND(I338/(Steuerungsdaten!$B$4*Steuerungsdaten!$B$9*IFERROR(VLOOKUP(C338,Steuerungsdaten!$B$17:$G$37,6,FALSE),1)*POWER(IF(OR(E338=0,F338=0,E338="",F338=""),1,(E338*F338/1000000)/Steuerungsdaten!$B$6),IFERROR(VLOOKUP(C338,Steuerungsdaten!$B$17:$M$37,12,FALSE),1)-1)),0))</f>
        <v>45</v>
      </c>
      <c r="R338">
        <f>IF(J338="","",ROUND(J338/(Steuerungsdaten!$B$4*Steuerungsdaten!$B$10*IFERROR(VLOOKUP(C338,Steuerungsdaten!$B$17:$I$37,8,FALSE),1)*POWER(IF(OR(E338=0,F338=0,E338="",F338=""),1,(E338*F338/1000000)/Steuerungsdaten!$B$6),IFERROR(VLOOKUP(C338,Steuerungsdaten!$B$17:$N$37,13,FALSE),1)-1)),0))</f>
        <v>42</v>
      </c>
    </row>
    <row r="339" spans="1:18" x14ac:dyDescent="0.25">
      <c r="A339" s="123" t="s">
        <v>725</v>
      </c>
      <c r="B339" s="123" t="s">
        <v>296</v>
      </c>
      <c r="C339" s="123" t="s">
        <v>699</v>
      </c>
      <c r="D339" s="123" t="s">
        <v>679</v>
      </c>
      <c r="E339" s="123"/>
      <c r="F339" s="123"/>
      <c r="G339" s="124">
        <v>37</v>
      </c>
      <c r="H339" s="124">
        <v>37</v>
      </c>
      <c r="I339" s="124">
        <v>37</v>
      </c>
      <c r="J339" s="124">
        <v>37</v>
      </c>
      <c r="K339" s="124">
        <f>IFERROR(IF(G339="","",ROUND(G339*Steuerungsdaten!$B$5,0)),"-")</f>
        <v>43</v>
      </c>
      <c r="L339" s="124">
        <f>IFERROR(IF(H339="","",ROUND(H339*Steuerungsdaten!$B$5,0)),"-")</f>
        <v>43</v>
      </c>
      <c r="M339" s="124">
        <f>IFERROR(IF(I339="","",ROUND(I339*Steuerungsdaten!$B$5,0)),"-")</f>
        <v>43</v>
      </c>
      <c r="N339" s="124">
        <f>IFERROR(IF(J339="","",ROUND(J339*Steuerungsdaten!$B$5,0)),"-")</f>
        <v>43</v>
      </c>
      <c r="O339" s="79">
        <v>37</v>
      </c>
      <c r="P339">
        <f>IF(H339="","",ROUND(H339/(Steuerungsdaten!$B$4*Steuerungsdaten!$B$8*IFERROR(VLOOKUP(C339,Steuerungsdaten!$B$17:$E$37,4,FALSE),1)*POWER(IF(OR(E339=0,F339=0,E339="",F339=""),1,(E339*F339/1000000)/Steuerungsdaten!$B$6),IFERROR(VLOOKUP(C339,Steuerungsdaten!$B$17:$L$37,11,FALSE),1)-1)),0))</f>
        <v>34</v>
      </c>
      <c r="Q339">
        <f>IF(I339="","",ROUND(I339/(Steuerungsdaten!$B$4*Steuerungsdaten!$B$9*IFERROR(VLOOKUP(C339,Steuerungsdaten!$B$17:$G$37,6,FALSE),1)*POWER(IF(OR(E339=0,F339=0,E339="",F339=""),1,(E339*F339/1000000)/Steuerungsdaten!$B$6),IFERROR(VLOOKUP(C339,Steuerungsdaten!$B$17:$M$37,12,FALSE),1)-1)),0))</f>
        <v>34</v>
      </c>
      <c r="R339">
        <f>IF(J339="","",ROUND(J339/(Steuerungsdaten!$B$4*Steuerungsdaten!$B$10*IFERROR(VLOOKUP(C339,Steuerungsdaten!$B$17:$I$37,8,FALSE),1)*POWER(IF(OR(E339=0,F339=0,E339="",F339=""),1,(E339*F339/1000000)/Steuerungsdaten!$B$6),IFERROR(VLOOKUP(C339,Steuerungsdaten!$B$17:$N$37,13,FALSE),1)-1)),0))</f>
        <v>31</v>
      </c>
    </row>
    <row r="340" spans="1:18" x14ac:dyDescent="0.25">
      <c r="A340" s="121" t="s">
        <v>669</v>
      </c>
      <c r="B340" s="121" t="s">
        <v>7</v>
      </c>
      <c r="C340" s="121" t="s">
        <v>522</v>
      </c>
      <c r="D340" s="121" t="s">
        <v>726</v>
      </c>
      <c r="E340" s="121">
        <v>1960</v>
      </c>
      <c r="F340" s="121">
        <v>980</v>
      </c>
      <c r="G340" s="122">
        <v>366</v>
      </c>
      <c r="H340" s="122">
        <v>366</v>
      </c>
      <c r="I340" s="122">
        <v>366</v>
      </c>
      <c r="J340" s="122">
        <v>366</v>
      </c>
      <c r="K340" s="122">
        <f>IFERROR(IF(G340="","",ROUND(G340*Steuerungsdaten!$B$5,0)),"-")</f>
        <v>421</v>
      </c>
      <c r="L340" s="122">
        <f>IFERROR(IF(H340="","",ROUND(H340*Steuerungsdaten!$B$5,0)),"-")</f>
        <v>421</v>
      </c>
      <c r="M340" s="122">
        <f>IFERROR(IF(I340="","",ROUND(I340*Steuerungsdaten!$B$5,0)),"-")</f>
        <v>421</v>
      </c>
      <c r="N340" s="122">
        <f>IFERROR(IF(J340="","",ROUND(J340*Steuerungsdaten!$B$5,0)),"-")</f>
        <v>421</v>
      </c>
      <c r="O340" s="79">
        <v>366</v>
      </c>
      <c r="P340" s="125">
        <f>IF(H340="","",ROUND(H340/(Steuerungsdaten!$B$4*Steuerungsdaten!$B$8*IFERROR(VLOOKUP(C340,Steuerungsdaten!$B$17:$E$37,4,FALSE),1)*POWER(IF(OR(E340=0,F340=0,E340="",F340=""),1,(E340*F340/1000000)/Steuerungsdaten!$B$6),IFERROR(VLOOKUP(C340,Steuerungsdaten!$B$17:$L$37,11,FALSE),1)-1)),0))</f>
        <v>333</v>
      </c>
      <c r="Q340" s="125">
        <f>IF(I340="","",ROUND(I340/(Steuerungsdaten!$B$4*Steuerungsdaten!$B$9*IFERROR(VLOOKUP(C340,Steuerungsdaten!$B$17:$G$37,6,FALSE),1)*POWER(IF(OR(E340=0,F340=0,E340="",F340=""),1,(E340*F340/1000000)/Steuerungsdaten!$B$6),IFERROR(VLOOKUP(C340,Steuerungsdaten!$B$17:$M$37,12,FALSE),1)-1)),0))</f>
        <v>333</v>
      </c>
      <c r="R340" s="125">
        <f>IF(J340="","",ROUND(J340/(Steuerungsdaten!$B$4*Steuerungsdaten!$B$10*IFERROR(VLOOKUP(C340,Steuerungsdaten!$B$17:$I$37,8,FALSE),1)*POWER(IF(OR(E340=0,F340=0,E340="",F340=""),1,(E340*F340/1000000)/Steuerungsdaten!$B$6),IFERROR(VLOOKUP(C340,Steuerungsdaten!$B$17:$N$37,13,FALSE),1)-1)),0))</f>
        <v>305</v>
      </c>
    </row>
    <row r="341" spans="1:18" x14ac:dyDescent="0.25">
      <c r="A341" s="123" t="s">
        <v>668</v>
      </c>
      <c r="B341" s="123" t="s">
        <v>7</v>
      </c>
      <c r="C341" s="123" t="s">
        <v>522</v>
      </c>
      <c r="D341" s="123" t="s">
        <v>727</v>
      </c>
      <c r="E341" s="123">
        <v>980</v>
      </c>
      <c r="F341" s="123">
        <v>980</v>
      </c>
      <c r="G341" s="124">
        <v>233</v>
      </c>
      <c r="H341" s="124">
        <v>233</v>
      </c>
      <c r="I341" s="124">
        <v>233</v>
      </c>
      <c r="J341" s="124">
        <v>233</v>
      </c>
      <c r="K341" s="124">
        <f>IFERROR(IF(G341="","",ROUND(G341*Steuerungsdaten!$B$5,0)),"-")</f>
        <v>268</v>
      </c>
      <c r="L341" s="124">
        <f>IFERROR(IF(H341="","",ROUND(H341*Steuerungsdaten!$B$5,0)),"-")</f>
        <v>268</v>
      </c>
      <c r="M341" s="124">
        <f>IFERROR(IF(I341="","",ROUND(I341*Steuerungsdaten!$B$5,0)),"-")</f>
        <v>268</v>
      </c>
      <c r="N341" s="124">
        <f>IFERROR(IF(J341="","",ROUND(J341*Steuerungsdaten!$B$5,0)),"-")</f>
        <v>268</v>
      </c>
      <c r="O341" s="79">
        <v>233</v>
      </c>
      <c r="P341" s="125">
        <f>IF(H341="","",ROUND(H341/(Steuerungsdaten!$B$4*Steuerungsdaten!$B$8*IFERROR(VLOOKUP(C341,Steuerungsdaten!$B$17:$E$37,4,FALSE),1)*POWER(IF(OR(E341=0,F341=0,E341="",F341=""),1,(E341*F341/1000000)/Steuerungsdaten!$B$6),IFERROR(VLOOKUP(C341,Steuerungsdaten!$B$17:$L$37,11,FALSE),1)-1)),0))</f>
        <v>212</v>
      </c>
      <c r="Q341" s="125">
        <f>IF(I341="","",ROUND(I341/(Steuerungsdaten!$B$4*Steuerungsdaten!$B$9*IFERROR(VLOOKUP(C341,Steuerungsdaten!$B$17:$G$37,6,FALSE),1)*POWER(IF(OR(E341=0,F341=0,E341="",F341=""),1,(E341*F341/1000000)/Steuerungsdaten!$B$6),IFERROR(VLOOKUP(C341,Steuerungsdaten!$B$17:$M$37,12,FALSE),1)-1)),0))</f>
        <v>212</v>
      </c>
      <c r="R341" s="125">
        <f>IF(J341="","",ROUND(J341/(Steuerungsdaten!$B$4*Steuerungsdaten!$B$10*IFERROR(VLOOKUP(C341,Steuerungsdaten!$B$17:$I$37,8,FALSE),1)*POWER(IF(OR(E341=0,F341=0,E341="",F341=""),1,(E341*F341/1000000)/Steuerungsdaten!$B$6),IFERROR(VLOOKUP(C341,Steuerungsdaten!$B$17:$N$37,13,FALSE),1)-1)),0))</f>
        <v>194</v>
      </c>
    </row>
    <row r="342" spans="1:18" x14ac:dyDescent="0.25">
      <c r="A342" s="121" t="s">
        <v>667</v>
      </c>
      <c r="B342" s="121" t="s">
        <v>7</v>
      </c>
      <c r="C342" s="121" t="s">
        <v>522</v>
      </c>
      <c r="D342" s="121" t="s">
        <v>728</v>
      </c>
      <c r="E342" s="121">
        <v>1760</v>
      </c>
      <c r="F342" s="121">
        <v>780</v>
      </c>
      <c r="G342" s="122">
        <v>244</v>
      </c>
      <c r="H342" s="122">
        <v>244</v>
      </c>
      <c r="I342" s="122">
        <v>244</v>
      </c>
      <c r="J342" s="122">
        <v>244</v>
      </c>
      <c r="K342" s="122">
        <f>IFERROR(IF(G342="","",ROUND(G342*Steuerungsdaten!$B$5,0)),"-")</f>
        <v>281</v>
      </c>
      <c r="L342" s="122">
        <f>IFERROR(IF(H342="","",ROUND(H342*Steuerungsdaten!$B$5,0)),"-")</f>
        <v>281</v>
      </c>
      <c r="M342" s="122">
        <f>IFERROR(IF(I342="","",ROUND(I342*Steuerungsdaten!$B$5,0)),"-")</f>
        <v>281</v>
      </c>
      <c r="N342" s="122">
        <f>IFERROR(IF(J342="","",ROUND(J342*Steuerungsdaten!$B$5,0)),"-")</f>
        <v>281</v>
      </c>
      <c r="O342" s="79">
        <v>244</v>
      </c>
      <c r="P342" s="125">
        <f>IF(H342="","",ROUND(H342/(Steuerungsdaten!$B$4*Steuerungsdaten!$B$8*IFERROR(VLOOKUP(C342,Steuerungsdaten!$B$17:$E$37,4,FALSE),1)*POWER(IF(OR(E342=0,F342=0,E342="",F342=""),1,(E342*F342/1000000)/Steuerungsdaten!$B$6),IFERROR(VLOOKUP(C342,Steuerungsdaten!$B$17:$L$37,11,FALSE),1)-1)),0))</f>
        <v>222</v>
      </c>
      <c r="Q342" s="125">
        <f>IF(I342="","",ROUND(I342/(Steuerungsdaten!$B$4*Steuerungsdaten!$B$9*IFERROR(VLOOKUP(C342,Steuerungsdaten!$B$17:$G$37,6,FALSE),1)*POWER(IF(OR(E342=0,F342=0,E342="",F342=""),1,(E342*F342/1000000)/Steuerungsdaten!$B$6),IFERROR(VLOOKUP(C342,Steuerungsdaten!$B$17:$M$37,12,FALSE),1)-1)),0))</f>
        <v>222</v>
      </c>
      <c r="R342" s="125">
        <f>IF(J342="","",ROUND(J342/(Steuerungsdaten!$B$4*Steuerungsdaten!$B$10*IFERROR(VLOOKUP(C342,Steuerungsdaten!$B$17:$I$37,8,FALSE),1)*POWER(IF(OR(E342=0,F342=0,E342="",F342=""),1,(E342*F342/1000000)/Steuerungsdaten!$B$6),IFERROR(VLOOKUP(C342,Steuerungsdaten!$B$17:$N$37,13,FALSE),1)-1)),0))</f>
        <v>203</v>
      </c>
    </row>
    <row r="343" spans="1:18" x14ac:dyDescent="0.25">
      <c r="A343" s="123" t="s">
        <v>666</v>
      </c>
      <c r="B343" s="123" t="s">
        <v>7</v>
      </c>
      <c r="C343" s="123" t="s">
        <v>522</v>
      </c>
      <c r="D343" s="123" t="s">
        <v>729</v>
      </c>
      <c r="E343" s="123">
        <v>1560</v>
      </c>
      <c r="F343" s="123">
        <v>780</v>
      </c>
      <c r="G343" s="124">
        <v>221</v>
      </c>
      <c r="H343" s="124">
        <v>221</v>
      </c>
      <c r="I343" s="124">
        <v>221</v>
      </c>
      <c r="J343" s="124">
        <v>221</v>
      </c>
      <c r="K343" s="124">
        <f>IFERROR(IF(G343="","",ROUND(G343*Steuerungsdaten!$B$5,0)),"-")</f>
        <v>254</v>
      </c>
      <c r="L343" s="124">
        <f>IFERROR(IF(H343="","",ROUND(H343*Steuerungsdaten!$B$5,0)),"-")</f>
        <v>254</v>
      </c>
      <c r="M343" s="124">
        <f>IFERROR(IF(I343="","",ROUND(I343*Steuerungsdaten!$B$5,0)),"-")</f>
        <v>254</v>
      </c>
      <c r="N343" s="124">
        <f>IFERROR(IF(J343="","",ROUND(J343*Steuerungsdaten!$B$5,0)),"-")</f>
        <v>254</v>
      </c>
      <c r="O343" s="79">
        <v>221</v>
      </c>
      <c r="P343" s="125">
        <f>IF(H343="","",ROUND(H343/(Steuerungsdaten!$B$4*Steuerungsdaten!$B$8*IFERROR(VLOOKUP(C343,Steuerungsdaten!$B$17:$E$37,4,FALSE),1)*POWER(IF(OR(E343=0,F343=0,E343="",F343=""),1,(E343*F343/1000000)/Steuerungsdaten!$B$6),IFERROR(VLOOKUP(C343,Steuerungsdaten!$B$17:$L$37,11,FALSE),1)-1)),0))</f>
        <v>201</v>
      </c>
      <c r="Q343" s="125">
        <f>IF(I343="","",ROUND(I343/(Steuerungsdaten!$B$4*Steuerungsdaten!$B$9*IFERROR(VLOOKUP(C343,Steuerungsdaten!$B$17:$G$37,6,FALSE),1)*POWER(IF(OR(E343=0,F343=0,E343="",F343=""),1,(E343*F343/1000000)/Steuerungsdaten!$B$6),IFERROR(VLOOKUP(C343,Steuerungsdaten!$B$17:$M$37,12,FALSE),1)-1)),0))</f>
        <v>201</v>
      </c>
      <c r="R343" s="125">
        <f>IF(J343="","",ROUND(J343/(Steuerungsdaten!$B$4*Steuerungsdaten!$B$10*IFERROR(VLOOKUP(C343,Steuerungsdaten!$B$17:$I$37,8,FALSE),1)*POWER(IF(OR(E343=0,F343=0,E343="",F343=""),1,(E343*F343/1000000)/Steuerungsdaten!$B$6),IFERROR(VLOOKUP(C343,Steuerungsdaten!$B$17:$N$37,13,FALSE),1)-1)),0))</f>
        <v>184</v>
      </c>
    </row>
    <row r="344" spans="1:18" x14ac:dyDescent="0.25">
      <c r="A344" s="121" t="s">
        <v>665</v>
      </c>
      <c r="B344" s="121" t="s">
        <v>7</v>
      </c>
      <c r="C344" s="121" t="s">
        <v>522</v>
      </c>
      <c r="D344" s="121" t="s">
        <v>730</v>
      </c>
      <c r="E344" s="121">
        <v>1360</v>
      </c>
      <c r="F344" s="121">
        <v>780</v>
      </c>
      <c r="G344" s="122">
        <v>186</v>
      </c>
      <c r="H344" s="122">
        <v>186</v>
      </c>
      <c r="I344" s="122">
        <v>186</v>
      </c>
      <c r="J344" s="122">
        <v>186</v>
      </c>
      <c r="K344" s="122">
        <f>IFERROR(IF(G344="","",ROUND(G344*Steuerungsdaten!$B$5,0)),"-")</f>
        <v>214</v>
      </c>
      <c r="L344" s="122">
        <f>IFERROR(IF(H344="","",ROUND(H344*Steuerungsdaten!$B$5,0)),"-")</f>
        <v>214</v>
      </c>
      <c r="M344" s="122">
        <f>IFERROR(IF(I344="","",ROUND(I344*Steuerungsdaten!$B$5,0)),"-")</f>
        <v>214</v>
      </c>
      <c r="N344" s="122">
        <f>IFERROR(IF(J344="","",ROUND(J344*Steuerungsdaten!$B$5,0)),"-")</f>
        <v>214</v>
      </c>
      <c r="O344" s="79">
        <v>186</v>
      </c>
      <c r="P344" s="125">
        <f>IF(H344="","",ROUND(H344/(Steuerungsdaten!$B$4*Steuerungsdaten!$B$8*IFERROR(VLOOKUP(C344,Steuerungsdaten!$B$17:$E$37,4,FALSE),1)*POWER(IF(OR(E344=0,F344=0,E344="",F344=""),1,(E344*F344/1000000)/Steuerungsdaten!$B$6),IFERROR(VLOOKUP(C344,Steuerungsdaten!$B$17:$L$37,11,FALSE),1)-1)),0))</f>
        <v>169</v>
      </c>
      <c r="Q344" s="125">
        <f>IF(I344="","",ROUND(I344/(Steuerungsdaten!$B$4*Steuerungsdaten!$B$9*IFERROR(VLOOKUP(C344,Steuerungsdaten!$B$17:$G$37,6,FALSE),1)*POWER(IF(OR(E344=0,F344=0,E344="",F344=""),1,(E344*F344/1000000)/Steuerungsdaten!$B$6),IFERROR(VLOOKUP(C344,Steuerungsdaten!$B$17:$M$37,12,FALSE),1)-1)),0))</f>
        <v>169</v>
      </c>
      <c r="R344" s="125">
        <f>IF(J344="","",ROUND(J344/(Steuerungsdaten!$B$4*Steuerungsdaten!$B$10*IFERROR(VLOOKUP(C344,Steuerungsdaten!$B$17:$I$37,8,FALSE),1)*POWER(IF(OR(E344=0,F344=0,E344="",F344=""),1,(E344*F344/1000000)/Steuerungsdaten!$B$6),IFERROR(VLOOKUP(C344,Steuerungsdaten!$B$17:$N$37,13,FALSE),1)-1)),0))</f>
        <v>155</v>
      </c>
    </row>
    <row r="345" spans="1:18" x14ac:dyDescent="0.25">
      <c r="A345" s="123" t="s">
        <v>664</v>
      </c>
      <c r="B345" s="123" t="s">
        <v>7</v>
      </c>
      <c r="C345" s="123" t="s">
        <v>522</v>
      </c>
      <c r="D345" s="123" t="s">
        <v>731</v>
      </c>
      <c r="E345" s="123">
        <v>1200</v>
      </c>
      <c r="F345" s="123">
        <v>780</v>
      </c>
      <c r="G345" s="124">
        <v>179</v>
      </c>
      <c r="H345" s="124">
        <v>179</v>
      </c>
      <c r="I345" s="124">
        <v>179</v>
      </c>
      <c r="J345" s="124">
        <v>179</v>
      </c>
      <c r="K345" s="124">
        <f>IFERROR(IF(G345="","",ROUND(G345*Steuerungsdaten!$B$5,0)),"-")</f>
        <v>206</v>
      </c>
      <c r="L345" s="124">
        <f>IFERROR(IF(H345="","",ROUND(H345*Steuerungsdaten!$B$5,0)),"-")</f>
        <v>206</v>
      </c>
      <c r="M345" s="124">
        <f>IFERROR(IF(I345="","",ROUND(I345*Steuerungsdaten!$B$5,0)),"-")</f>
        <v>206</v>
      </c>
      <c r="N345" s="124">
        <f>IFERROR(IF(J345="","",ROUND(J345*Steuerungsdaten!$B$5,0)),"-")</f>
        <v>206</v>
      </c>
      <c r="O345" s="79">
        <v>179</v>
      </c>
      <c r="P345" s="125">
        <f>IF(H345="","",ROUND(H345/(Steuerungsdaten!$B$4*Steuerungsdaten!$B$8*IFERROR(VLOOKUP(C345,Steuerungsdaten!$B$17:$E$37,4,FALSE),1)*POWER(IF(OR(E345=0,F345=0,E345="",F345=""),1,(E345*F345/1000000)/Steuerungsdaten!$B$6),IFERROR(VLOOKUP(C345,Steuerungsdaten!$B$17:$L$37,11,FALSE),1)-1)),0))</f>
        <v>163</v>
      </c>
      <c r="Q345" s="125">
        <f>IF(I345="","",ROUND(I345/(Steuerungsdaten!$B$4*Steuerungsdaten!$B$9*IFERROR(VLOOKUP(C345,Steuerungsdaten!$B$17:$G$37,6,FALSE),1)*POWER(IF(OR(E345=0,F345=0,E345="",F345=""),1,(E345*F345/1000000)/Steuerungsdaten!$B$6),IFERROR(VLOOKUP(C345,Steuerungsdaten!$B$17:$M$37,12,FALSE),1)-1)),0))</f>
        <v>163</v>
      </c>
      <c r="R345" s="125">
        <f>IF(J345="","",ROUND(J345/(Steuerungsdaten!$B$4*Steuerungsdaten!$B$10*IFERROR(VLOOKUP(C345,Steuerungsdaten!$B$17:$I$37,8,FALSE),1)*POWER(IF(OR(E345=0,F345=0,E345="",F345=""),1,(E345*F345/1000000)/Steuerungsdaten!$B$6),IFERROR(VLOOKUP(C345,Steuerungsdaten!$B$17:$N$37,13,FALSE),1)-1)),0))</f>
        <v>149</v>
      </c>
    </row>
    <row r="346" spans="1:18" x14ac:dyDescent="0.25">
      <c r="A346" s="121" t="s">
        <v>663</v>
      </c>
      <c r="B346" s="121" t="s">
        <v>7</v>
      </c>
      <c r="C346" s="121" t="s">
        <v>522</v>
      </c>
      <c r="D346" s="121" t="s">
        <v>732</v>
      </c>
      <c r="E346" s="121">
        <v>980</v>
      </c>
      <c r="F346" s="121">
        <v>780</v>
      </c>
      <c r="G346" s="122">
        <v>108</v>
      </c>
      <c r="H346" s="122">
        <v>108</v>
      </c>
      <c r="I346" s="122">
        <v>108</v>
      </c>
      <c r="J346" s="122">
        <v>108</v>
      </c>
      <c r="K346" s="122">
        <f>IFERROR(IF(G346="","",ROUND(G346*Steuerungsdaten!$B$5,0)),"-")</f>
        <v>124</v>
      </c>
      <c r="L346" s="122">
        <f>IFERROR(IF(H346="","",ROUND(H346*Steuerungsdaten!$B$5,0)),"-")</f>
        <v>124</v>
      </c>
      <c r="M346" s="122">
        <f>IFERROR(IF(I346="","",ROUND(I346*Steuerungsdaten!$B$5,0)),"-")</f>
        <v>124</v>
      </c>
      <c r="N346" s="122">
        <f>IFERROR(IF(J346="","",ROUND(J346*Steuerungsdaten!$B$5,0)),"-")</f>
        <v>124</v>
      </c>
      <c r="O346" s="79">
        <v>108</v>
      </c>
      <c r="P346" s="125">
        <f>IF(H346="","",ROUND(H346/(Steuerungsdaten!$B$4*Steuerungsdaten!$B$8*IFERROR(VLOOKUP(C346,Steuerungsdaten!$B$17:$E$37,4,FALSE),1)*POWER(IF(OR(E346=0,F346=0,E346="",F346=""),1,(E346*F346/1000000)/Steuerungsdaten!$B$6),IFERROR(VLOOKUP(C346,Steuerungsdaten!$B$17:$L$37,11,FALSE),1)-1)),0))</f>
        <v>98</v>
      </c>
      <c r="Q346" s="125">
        <f>IF(I346="","",ROUND(I346/(Steuerungsdaten!$B$4*Steuerungsdaten!$B$9*IFERROR(VLOOKUP(C346,Steuerungsdaten!$B$17:$G$37,6,FALSE),1)*POWER(IF(OR(E346=0,F346=0,E346="",F346=""),1,(E346*F346/1000000)/Steuerungsdaten!$B$6),IFERROR(VLOOKUP(C346,Steuerungsdaten!$B$17:$M$37,12,FALSE),1)-1)),0))</f>
        <v>98</v>
      </c>
      <c r="R346" s="125">
        <f>IF(J346="","",ROUND(J346/(Steuerungsdaten!$B$4*Steuerungsdaten!$B$10*IFERROR(VLOOKUP(C346,Steuerungsdaten!$B$17:$I$37,8,FALSE),1)*POWER(IF(OR(E346=0,F346=0,E346="",F346=""),1,(E346*F346/1000000)/Steuerungsdaten!$B$6),IFERROR(VLOOKUP(C346,Steuerungsdaten!$B$17:$N$37,13,FALSE),1)-1)),0))</f>
        <v>90</v>
      </c>
    </row>
    <row r="347" spans="1:18" x14ac:dyDescent="0.25">
      <c r="A347" s="123" t="s">
        <v>662</v>
      </c>
      <c r="B347" s="123" t="s">
        <v>7</v>
      </c>
      <c r="C347" s="123" t="s">
        <v>522</v>
      </c>
      <c r="D347" s="123" t="s">
        <v>733</v>
      </c>
      <c r="E347" s="123">
        <v>780</v>
      </c>
      <c r="F347" s="123">
        <v>780</v>
      </c>
      <c r="G347" s="124">
        <v>107</v>
      </c>
      <c r="H347" s="124">
        <v>107</v>
      </c>
      <c r="I347" s="124">
        <v>107</v>
      </c>
      <c r="J347" s="124">
        <v>107</v>
      </c>
      <c r="K347" s="124">
        <f>IFERROR(IF(G347="","",ROUND(G347*Steuerungsdaten!$B$5,0)),"-")</f>
        <v>123</v>
      </c>
      <c r="L347" s="124">
        <f>IFERROR(IF(H347="","",ROUND(H347*Steuerungsdaten!$B$5,0)),"-")</f>
        <v>123</v>
      </c>
      <c r="M347" s="124">
        <f>IFERROR(IF(I347="","",ROUND(I347*Steuerungsdaten!$B$5,0)),"-")</f>
        <v>123</v>
      </c>
      <c r="N347" s="124">
        <f>IFERROR(IF(J347="","",ROUND(J347*Steuerungsdaten!$B$5,0)),"-")</f>
        <v>123</v>
      </c>
      <c r="O347" s="79">
        <v>107</v>
      </c>
      <c r="P347" s="125">
        <f>IF(H347="","",ROUND(H347/(Steuerungsdaten!$B$4*Steuerungsdaten!$B$8*IFERROR(VLOOKUP(C347,Steuerungsdaten!$B$17:$E$37,4,FALSE),1)*POWER(IF(OR(E347=0,F347=0,E347="",F347=""),1,(E347*F347/1000000)/Steuerungsdaten!$B$6),IFERROR(VLOOKUP(C347,Steuerungsdaten!$B$17:$L$37,11,FALSE),1)-1)),0))</f>
        <v>97</v>
      </c>
      <c r="Q347" s="125">
        <f>IF(I347="","",ROUND(I347/(Steuerungsdaten!$B$4*Steuerungsdaten!$B$9*IFERROR(VLOOKUP(C347,Steuerungsdaten!$B$17:$G$37,6,FALSE),1)*POWER(IF(OR(E347=0,F347=0,E347="",F347=""),1,(E347*F347/1000000)/Steuerungsdaten!$B$6),IFERROR(VLOOKUP(C347,Steuerungsdaten!$B$17:$M$37,12,FALSE),1)-1)),0))</f>
        <v>97</v>
      </c>
      <c r="R347" s="125">
        <f>IF(J347="","",ROUND(J347/(Steuerungsdaten!$B$4*Steuerungsdaten!$B$10*IFERROR(VLOOKUP(C347,Steuerungsdaten!$B$17:$I$37,8,FALSE),1)*POWER(IF(OR(E347=0,F347=0,E347="",F347=""),1,(E347*F347/1000000)/Steuerungsdaten!$B$6),IFERROR(VLOOKUP(C347,Steuerungsdaten!$B$17:$N$37,13,FALSE),1)-1)),0))</f>
        <v>89</v>
      </c>
    </row>
    <row r="348" spans="1:18" x14ac:dyDescent="0.25">
      <c r="A348" s="121" t="s">
        <v>661</v>
      </c>
      <c r="B348" s="121" t="s">
        <v>7</v>
      </c>
      <c r="C348" s="121" t="s">
        <v>522</v>
      </c>
      <c r="D348" s="121" t="s">
        <v>734</v>
      </c>
      <c r="E348" s="121">
        <v>1200</v>
      </c>
      <c r="F348" s="121">
        <v>580</v>
      </c>
      <c r="G348" s="122">
        <v>150</v>
      </c>
      <c r="H348" s="122">
        <v>150</v>
      </c>
      <c r="I348" s="122">
        <v>150</v>
      </c>
      <c r="J348" s="122">
        <v>150</v>
      </c>
      <c r="K348" s="122">
        <f>IFERROR(IF(G348="","",ROUND(G348*Steuerungsdaten!$B$5,0)),"-")</f>
        <v>173</v>
      </c>
      <c r="L348" s="122">
        <f>IFERROR(IF(H348="","",ROUND(H348*Steuerungsdaten!$B$5,0)),"-")</f>
        <v>173</v>
      </c>
      <c r="M348" s="122">
        <f>IFERROR(IF(I348="","",ROUND(I348*Steuerungsdaten!$B$5,0)),"-")</f>
        <v>173</v>
      </c>
      <c r="N348" s="122">
        <f>IFERROR(IF(J348="","",ROUND(J348*Steuerungsdaten!$B$5,0)),"-")</f>
        <v>173</v>
      </c>
      <c r="O348" s="79">
        <v>150</v>
      </c>
      <c r="P348" s="125">
        <f>IF(H348="","",ROUND(H348/(Steuerungsdaten!$B$4*Steuerungsdaten!$B$8*IFERROR(VLOOKUP(C348,Steuerungsdaten!$B$17:$E$37,4,FALSE),1)*POWER(IF(OR(E348=0,F348=0,E348="",F348=""),1,(E348*F348/1000000)/Steuerungsdaten!$B$6),IFERROR(VLOOKUP(C348,Steuerungsdaten!$B$17:$L$37,11,FALSE),1)-1)),0))</f>
        <v>136</v>
      </c>
      <c r="Q348" s="125">
        <f>IF(I348="","",ROUND(I348/(Steuerungsdaten!$B$4*Steuerungsdaten!$B$9*IFERROR(VLOOKUP(C348,Steuerungsdaten!$B$17:$G$37,6,FALSE),1)*POWER(IF(OR(E348=0,F348=0,E348="",F348=""),1,(E348*F348/1000000)/Steuerungsdaten!$B$6),IFERROR(VLOOKUP(C348,Steuerungsdaten!$B$17:$M$37,12,FALSE),1)-1)),0))</f>
        <v>136</v>
      </c>
      <c r="R348" s="125">
        <f>IF(J348="","",ROUND(J348/(Steuerungsdaten!$B$4*Steuerungsdaten!$B$10*IFERROR(VLOOKUP(C348,Steuerungsdaten!$B$17:$I$37,8,FALSE),1)*POWER(IF(OR(E348=0,F348=0,E348="",F348=""),1,(E348*F348/1000000)/Steuerungsdaten!$B$6),IFERROR(VLOOKUP(C348,Steuerungsdaten!$B$17:$N$37,13,FALSE),1)-1)),0))</f>
        <v>125</v>
      </c>
    </row>
    <row r="349" spans="1:18" x14ac:dyDescent="0.25">
      <c r="A349" s="123" t="s">
        <v>660</v>
      </c>
      <c r="B349" s="123" t="s">
        <v>7</v>
      </c>
      <c r="C349" s="123" t="s">
        <v>522</v>
      </c>
      <c r="D349" s="123" t="s">
        <v>735</v>
      </c>
      <c r="E349" s="123">
        <v>980</v>
      </c>
      <c r="F349" s="123">
        <v>580</v>
      </c>
      <c r="G349" s="124">
        <v>105</v>
      </c>
      <c r="H349" s="124">
        <v>105</v>
      </c>
      <c r="I349" s="124">
        <v>105</v>
      </c>
      <c r="J349" s="124">
        <v>105</v>
      </c>
      <c r="K349" s="124">
        <f>IFERROR(IF(G349="","",ROUND(G349*Steuerungsdaten!$B$5,0)),"-")</f>
        <v>121</v>
      </c>
      <c r="L349" s="124">
        <f>IFERROR(IF(H349="","",ROUND(H349*Steuerungsdaten!$B$5,0)),"-")</f>
        <v>121</v>
      </c>
      <c r="M349" s="124">
        <f>IFERROR(IF(I349="","",ROUND(I349*Steuerungsdaten!$B$5,0)),"-")</f>
        <v>121</v>
      </c>
      <c r="N349" s="124">
        <f>IFERROR(IF(J349="","",ROUND(J349*Steuerungsdaten!$B$5,0)),"-")</f>
        <v>121</v>
      </c>
      <c r="O349" s="79">
        <v>105</v>
      </c>
      <c r="P349" s="125">
        <f>IF(H349="","",ROUND(H349/(Steuerungsdaten!$B$4*Steuerungsdaten!$B$8*IFERROR(VLOOKUP(C349,Steuerungsdaten!$B$17:$E$37,4,FALSE),1)*POWER(IF(OR(E349=0,F349=0,E349="",F349=""),1,(E349*F349/1000000)/Steuerungsdaten!$B$6),IFERROR(VLOOKUP(C349,Steuerungsdaten!$B$17:$L$37,11,FALSE),1)-1)),0))</f>
        <v>95</v>
      </c>
      <c r="Q349" s="125">
        <f>IF(I349="","",ROUND(I349/(Steuerungsdaten!$B$4*Steuerungsdaten!$B$9*IFERROR(VLOOKUP(C349,Steuerungsdaten!$B$17:$G$37,6,FALSE),1)*POWER(IF(OR(E349=0,F349=0,E349="",F349=""),1,(E349*F349/1000000)/Steuerungsdaten!$B$6),IFERROR(VLOOKUP(C349,Steuerungsdaten!$B$17:$M$37,12,FALSE),1)-1)),0))</f>
        <v>95</v>
      </c>
      <c r="R349" s="125">
        <f>IF(J349="","",ROUND(J349/(Steuerungsdaten!$B$4*Steuerungsdaten!$B$10*IFERROR(VLOOKUP(C349,Steuerungsdaten!$B$17:$I$37,8,FALSE),1)*POWER(IF(OR(E349=0,F349=0,E349="",F349=""),1,(E349*F349/1000000)/Steuerungsdaten!$B$6),IFERROR(VLOOKUP(C349,Steuerungsdaten!$B$17:$N$37,13,FALSE),1)-1)),0))</f>
        <v>88</v>
      </c>
    </row>
    <row r="350" spans="1:18" x14ac:dyDescent="0.25">
      <c r="A350" s="121" t="s">
        <v>659</v>
      </c>
      <c r="B350" s="121" t="s">
        <v>7</v>
      </c>
      <c r="C350" s="121" t="s">
        <v>522</v>
      </c>
      <c r="D350" s="121" t="s">
        <v>736</v>
      </c>
      <c r="E350" s="121">
        <v>580</v>
      </c>
      <c r="F350" s="121">
        <v>580</v>
      </c>
      <c r="G350" s="122">
        <v>84</v>
      </c>
      <c r="H350" s="122">
        <v>84</v>
      </c>
      <c r="I350" s="122">
        <v>84</v>
      </c>
      <c r="J350" s="122">
        <v>84</v>
      </c>
      <c r="K350" s="122">
        <f>IFERROR(IF(G350="","",ROUND(G350*Steuerungsdaten!$B$5,0)),"-")</f>
        <v>97</v>
      </c>
      <c r="L350" s="122">
        <f>IFERROR(IF(H350="","",ROUND(H350*Steuerungsdaten!$B$5,0)),"-")</f>
        <v>97</v>
      </c>
      <c r="M350" s="122">
        <f>IFERROR(IF(I350="","",ROUND(I350*Steuerungsdaten!$B$5,0)),"-")</f>
        <v>97</v>
      </c>
      <c r="N350" s="122">
        <f>IFERROR(IF(J350="","",ROUND(J350*Steuerungsdaten!$B$5,0)),"-")</f>
        <v>97</v>
      </c>
      <c r="O350" s="79">
        <v>84</v>
      </c>
      <c r="P350" s="125">
        <f>IF(H350="","",ROUND(H350/(Steuerungsdaten!$B$4*Steuerungsdaten!$B$8*IFERROR(VLOOKUP(C350,Steuerungsdaten!$B$17:$E$37,4,FALSE),1)*POWER(IF(OR(E350=0,F350=0,E350="",F350=""),1,(E350*F350/1000000)/Steuerungsdaten!$B$6),IFERROR(VLOOKUP(C350,Steuerungsdaten!$B$17:$L$37,11,FALSE),1)-1)),0))</f>
        <v>76</v>
      </c>
      <c r="Q350" s="125">
        <f>IF(I350="","",ROUND(I350/(Steuerungsdaten!$B$4*Steuerungsdaten!$B$9*IFERROR(VLOOKUP(C350,Steuerungsdaten!$B$17:$G$37,6,FALSE),1)*POWER(IF(OR(E350=0,F350=0,E350="",F350=""),1,(E350*F350/1000000)/Steuerungsdaten!$B$6),IFERROR(VLOOKUP(C350,Steuerungsdaten!$B$17:$M$37,12,FALSE),1)-1)),0))</f>
        <v>76</v>
      </c>
      <c r="R350" s="125">
        <f>IF(J350="","",ROUND(J350/(Steuerungsdaten!$B$4*Steuerungsdaten!$B$10*IFERROR(VLOOKUP(C350,Steuerungsdaten!$B$17:$I$37,8,FALSE),1)*POWER(IF(OR(E350=0,F350=0,E350="",F350=""),1,(E350*F350/1000000)/Steuerungsdaten!$B$6),IFERROR(VLOOKUP(C350,Steuerungsdaten!$B$17:$N$37,13,FALSE),1)-1)),0))</f>
        <v>70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D297-BCF5-4095-999C-FE3BA0217829}">
  <dimension ref="A1:T67"/>
  <sheetViews>
    <sheetView workbookViewId="0">
      <selection activeCell="B8" sqref="B8"/>
    </sheetView>
  </sheetViews>
  <sheetFormatPr baseColWidth="10" defaultRowHeight="15" x14ac:dyDescent="0.25"/>
  <cols>
    <col min="1" max="1" width="22.5703125" bestFit="1" customWidth="1"/>
    <col min="2" max="2" width="34.28515625" customWidth="1"/>
    <col min="3" max="3" width="26.85546875" style="101" customWidth="1"/>
    <col min="4" max="4" width="16.140625" style="101" customWidth="1"/>
    <col min="5" max="10" width="16.140625" customWidth="1"/>
    <col min="11" max="14" width="13.7109375" customWidth="1"/>
    <col min="16" max="16" width="61.85546875" bestFit="1" customWidth="1"/>
  </cols>
  <sheetData>
    <row r="1" spans="1:20" ht="35.1" customHeight="1" x14ac:dyDescent="0.3">
      <c r="A1" s="437" t="s">
        <v>343</v>
      </c>
      <c r="B1" s="437"/>
      <c r="C1" s="437"/>
      <c r="D1" s="437"/>
      <c r="E1" s="437"/>
      <c r="F1" s="437"/>
      <c r="G1" s="437"/>
      <c r="H1" s="437"/>
      <c r="I1" s="437"/>
      <c r="J1" s="437"/>
    </row>
    <row r="3" spans="1:20" ht="15.75" x14ac:dyDescent="0.25">
      <c r="A3" s="438" t="s">
        <v>344</v>
      </c>
      <c r="B3" s="439"/>
      <c r="C3" s="439"/>
      <c r="D3" s="440"/>
      <c r="E3" s="441"/>
      <c r="F3" s="439"/>
      <c r="G3" s="439"/>
      <c r="H3" s="439"/>
      <c r="I3" s="439"/>
      <c r="J3" s="439"/>
    </row>
    <row r="4" spans="1:20" ht="18.75" x14ac:dyDescent="0.3">
      <c r="A4" s="1" t="s">
        <v>342</v>
      </c>
      <c r="B4" s="4">
        <v>1</v>
      </c>
      <c r="C4" s="102" t="s">
        <v>345</v>
      </c>
      <c r="D4" s="283" t="s">
        <v>844</v>
      </c>
      <c r="E4" s="284">
        <v>25</v>
      </c>
    </row>
    <row r="5" spans="1:20" ht="18.75" x14ac:dyDescent="0.3">
      <c r="A5" s="1" t="s">
        <v>15</v>
      </c>
      <c r="B5" s="4">
        <v>1.1499999999999999</v>
      </c>
      <c r="C5" s="102" t="s">
        <v>346</v>
      </c>
      <c r="D5" s="283" t="s">
        <v>845</v>
      </c>
      <c r="E5" s="284">
        <v>103</v>
      </c>
    </row>
    <row r="6" spans="1:20" ht="18.75" x14ac:dyDescent="0.3">
      <c r="A6" s="100" t="s">
        <v>635</v>
      </c>
      <c r="B6" s="4">
        <v>0.35</v>
      </c>
      <c r="C6" s="102" t="s">
        <v>636</v>
      </c>
      <c r="D6" s="283" t="s">
        <v>846</v>
      </c>
      <c r="E6" s="284">
        <v>120</v>
      </c>
    </row>
    <row r="7" spans="1:20" ht="18.75" x14ac:dyDescent="0.3">
      <c r="A7" s="100" t="s">
        <v>631</v>
      </c>
      <c r="B7" s="4">
        <v>1.1000000000000001</v>
      </c>
      <c r="C7" s="102" t="s">
        <v>633</v>
      </c>
      <c r="D7" s="283" t="s">
        <v>847</v>
      </c>
      <c r="E7" s="284">
        <v>145</v>
      </c>
    </row>
    <row r="8" spans="1:20" ht="18.75" x14ac:dyDescent="0.3">
      <c r="A8" s="100" t="s">
        <v>794</v>
      </c>
      <c r="B8" s="4">
        <v>1.1000000000000001</v>
      </c>
      <c r="C8" s="102" t="s">
        <v>795</v>
      </c>
    </row>
    <row r="9" spans="1:20" ht="18.75" x14ac:dyDescent="0.3">
      <c r="A9" s="100" t="s">
        <v>796</v>
      </c>
      <c r="B9" s="4">
        <v>1.1000000000000001</v>
      </c>
      <c r="C9" s="102" t="s">
        <v>797</v>
      </c>
    </row>
    <row r="10" spans="1:20" ht="18.75" x14ac:dyDescent="0.3">
      <c r="A10" s="100" t="s">
        <v>632</v>
      </c>
      <c r="B10" s="4">
        <v>1.2</v>
      </c>
      <c r="C10" s="102" t="s">
        <v>634</v>
      </c>
    </row>
    <row r="12" spans="1:20" ht="15.75" x14ac:dyDescent="0.25">
      <c r="A12" s="438" t="s">
        <v>347</v>
      </c>
      <c r="B12" s="439"/>
      <c r="C12" s="439"/>
      <c r="D12" s="439"/>
      <c r="E12" s="439"/>
      <c r="F12" s="439"/>
      <c r="G12" s="439"/>
      <c r="H12" s="439"/>
      <c r="I12" s="439"/>
      <c r="J12" s="439"/>
    </row>
    <row r="13" spans="1:20" x14ac:dyDescent="0.25">
      <c r="A13" s="5" t="s">
        <v>348</v>
      </c>
      <c r="B13" s="6" t="s">
        <v>798</v>
      </c>
      <c r="C13" s="7" t="s">
        <v>799</v>
      </c>
      <c r="D13" s="8" t="s">
        <v>349</v>
      </c>
    </row>
    <row r="15" spans="1:20" ht="15.75" x14ac:dyDescent="0.25">
      <c r="A15" s="80" t="s">
        <v>350</v>
      </c>
      <c r="B15" s="81"/>
      <c r="C15" s="103"/>
      <c r="D15" s="103"/>
      <c r="E15" s="81"/>
      <c r="F15" s="81"/>
      <c r="G15" s="81"/>
      <c r="H15" s="81"/>
      <c r="I15" s="81"/>
      <c r="J15" s="81"/>
      <c r="P15" s="277" t="s">
        <v>839</v>
      </c>
    </row>
    <row r="16" spans="1:20" ht="35.1" customHeight="1" x14ac:dyDescent="0.25">
      <c r="A16" s="9" t="s">
        <v>4</v>
      </c>
      <c r="B16" s="9" t="s">
        <v>5</v>
      </c>
      <c r="C16" s="9" t="s">
        <v>351</v>
      </c>
      <c r="D16" s="9" t="s">
        <v>352</v>
      </c>
      <c r="E16" s="9" t="s">
        <v>353</v>
      </c>
      <c r="F16" s="9" t="s">
        <v>354</v>
      </c>
      <c r="G16" s="9" t="s">
        <v>355</v>
      </c>
      <c r="H16" s="9" t="s">
        <v>356</v>
      </c>
      <c r="I16" s="9" t="s">
        <v>357</v>
      </c>
      <c r="J16" s="9" t="s">
        <v>358</v>
      </c>
      <c r="K16" s="92" t="s">
        <v>626</v>
      </c>
      <c r="L16" s="92" t="s">
        <v>627</v>
      </c>
      <c r="M16" s="92" t="s">
        <v>628</v>
      </c>
      <c r="N16" s="92" t="s">
        <v>629</v>
      </c>
      <c r="P16" s="278" t="s">
        <v>5</v>
      </c>
      <c r="Q16" s="279" t="s">
        <v>840</v>
      </c>
      <c r="R16" s="280" t="s">
        <v>841</v>
      </c>
      <c r="S16" s="280" t="s">
        <v>842</v>
      </c>
      <c r="T16" s="280" t="s">
        <v>843</v>
      </c>
    </row>
    <row r="17" spans="1:20" x14ac:dyDescent="0.25">
      <c r="A17" t="s">
        <v>7</v>
      </c>
      <c r="B17" s="3" t="s">
        <v>8</v>
      </c>
      <c r="C17" s="97">
        <v>0.8</v>
      </c>
      <c r="D17" s="11">
        <f t="shared" ref="D17:D37" si="0">$B$4*_xlfn.XLOOKUP(A17,A$17:A$37,C$17:C$37,"",0,1)</f>
        <v>0.8</v>
      </c>
      <c r="E17" s="10">
        <v>0.8</v>
      </c>
      <c r="F17" s="11">
        <f t="shared" ref="F17:F37" si="1">$B$4*_xlfn.XLOOKUP(A17,A$17:A$37,E$17:E$37,"",0,1)</f>
        <v>0.8</v>
      </c>
      <c r="G17" s="397">
        <v>0.8</v>
      </c>
      <c r="H17" s="11">
        <f t="shared" ref="H17:H37" si="2">$B$4*_xlfn.XLOOKUP(A17,A$17:A$37,G$17:G$37,"",0,1)</f>
        <v>0.8</v>
      </c>
      <c r="I17" s="10">
        <v>0.8</v>
      </c>
      <c r="J17" s="11">
        <f t="shared" ref="J17:J37" si="3">$B$4*_xlfn.XLOOKUP(A17,A$17:A$37,I$17:I$37,"",0,1)</f>
        <v>0.8</v>
      </c>
      <c r="K17" s="93">
        <v>2</v>
      </c>
      <c r="L17" s="93">
        <v>2</v>
      </c>
      <c r="M17" s="93">
        <v>2</v>
      </c>
      <c r="N17" s="93">
        <v>2</v>
      </c>
      <c r="P17" s="281" t="s">
        <v>8</v>
      </c>
      <c r="Q17" s="282">
        <v>70</v>
      </c>
      <c r="R17" s="282">
        <v>240</v>
      </c>
      <c r="S17" s="282">
        <v>250</v>
      </c>
      <c r="T17" s="282">
        <v>255</v>
      </c>
    </row>
    <row r="18" spans="1:20" x14ac:dyDescent="0.25">
      <c r="A18" t="s">
        <v>7</v>
      </c>
      <c r="B18" s="14" t="s">
        <v>27</v>
      </c>
      <c r="C18" s="98">
        <f>C17</f>
        <v>0.8</v>
      </c>
      <c r="D18" s="16">
        <f t="shared" si="0"/>
        <v>0.8</v>
      </c>
      <c r="E18" s="95">
        <f>E17</f>
        <v>0.8</v>
      </c>
      <c r="F18" s="16">
        <f t="shared" si="1"/>
        <v>0.8</v>
      </c>
      <c r="G18" s="95">
        <f>G17</f>
        <v>0.8</v>
      </c>
      <c r="H18" s="16">
        <f t="shared" si="2"/>
        <v>0.8</v>
      </c>
      <c r="I18" s="95">
        <f>I17</f>
        <v>0.8</v>
      </c>
      <c r="J18" s="16">
        <f t="shared" si="3"/>
        <v>0.8</v>
      </c>
      <c r="K18" s="94">
        <f>+K$17</f>
        <v>2</v>
      </c>
      <c r="L18" s="94">
        <f t="shared" ref="L18:N26" si="4">+L$17</f>
        <v>2</v>
      </c>
      <c r="M18" s="94">
        <f t="shared" si="4"/>
        <v>2</v>
      </c>
      <c r="N18" s="94">
        <f t="shared" si="4"/>
        <v>2</v>
      </c>
      <c r="P18" s="281" t="s">
        <v>27</v>
      </c>
      <c r="Q18" s="401">
        <f>+Q$17</f>
        <v>70</v>
      </c>
      <c r="R18" s="401">
        <f t="shared" ref="R18:T26" si="5">+R$17</f>
        <v>240</v>
      </c>
      <c r="S18" s="401">
        <f t="shared" si="5"/>
        <v>250</v>
      </c>
      <c r="T18" s="401">
        <f t="shared" si="5"/>
        <v>255</v>
      </c>
    </row>
    <row r="19" spans="1:20" x14ac:dyDescent="0.25">
      <c r="A19" t="s">
        <v>7</v>
      </c>
      <c r="B19" s="17" t="s">
        <v>55</v>
      </c>
      <c r="C19" s="98">
        <f>C17</f>
        <v>0.8</v>
      </c>
      <c r="D19" s="18">
        <f t="shared" si="0"/>
        <v>0.8</v>
      </c>
      <c r="E19" s="95">
        <f>E17</f>
        <v>0.8</v>
      </c>
      <c r="F19" s="18">
        <f t="shared" si="1"/>
        <v>0.8</v>
      </c>
      <c r="G19" s="95">
        <f>G17</f>
        <v>0.8</v>
      </c>
      <c r="H19" s="18">
        <f t="shared" si="2"/>
        <v>0.8</v>
      </c>
      <c r="I19" s="95">
        <f>I17</f>
        <v>0.8</v>
      </c>
      <c r="J19" s="18">
        <f t="shared" si="3"/>
        <v>0.8</v>
      </c>
      <c r="K19" s="94">
        <f t="shared" ref="K19:K26" si="6">+K$17</f>
        <v>2</v>
      </c>
      <c r="L19" s="94">
        <f t="shared" si="4"/>
        <v>2</v>
      </c>
      <c r="M19" s="94">
        <f t="shared" si="4"/>
        <v>2</v>
      </c>
      <c r="N19" s="94">
        <f t="shared" si="4"/>
        <v>2</v>
      </c>
      <c r="P19" s="281" t="s">
        <v>55</v>
      </c>
      <c r="Q19" s="401">
        <f t="shared" ref="Q19:Q26" si="7">+Q$17</f>
        <v>70</v>
      </c>
      <c r="R19" s="401">
        <f t="shared" si="5"/>
        <v>240</v>
      </c>
      <c r="S19" s="401">
        <f t="shared" si="5"/>
        <v>250</v>
      </c>
      <c r="T19" s="401">
        <f t="shared" si="5"/>
        <v>255</v>
      </c>
    </row>
    <row r="20" spans="1:20" x14ac:dyDescent="0.25">
      <c r="A20" t="s">
        <v>7</v>
      </c>
      <c r="B20" s="14" t="s">
        <v>78</v>
      </c>
      <c r="C20" s="98">
        <f>C17</f>
        <v>0.8</v>
      </c>
      <c r="D20" s="16">
        <f t="shared" si="0"/>
        <v>0.8</v>
      </c>
      <c r="E20" s="95">
        <f>E17</f>
        <v>0.8</v>
      </c>
      <c r="F20" s="16">
        <f t="shared" si="1"/>
        <v>0.8</v>
      </c>
      <c r="G20" s="95">
        <f>G17</f>
        <v>0.8</v>
      </c>
      <c r="H20" s="16">
        <f t="shared" si="2"/>
        <v>0.8</v>
      </c>
      <c r="I20" s="95">
        <f>I17</f>
        <v>0.8</v>
      </c>
      <c r="J20" s="16">
        <f t="shared" si="3"/>
        <v>0.8</v>
      </c>
      <c r="K20" s="94">
        <f t="shared" si="6"/>
        <v>2</v>
      </c>
      <c r="L20" s="94">
        <f t="shared" si="4"/>
        <v>2</v>
      </c>
      <c r="M20" s="94">
        <f t="shared" si="4"/>
        <v>2</v>
      </c>
      <c r="N20" s="94">
        <f t="shared" si="4"/>
        <v>2</v>
      </c>
      <c r="P20" s="281" t="s">
        <v>78</v>
      </c>
      <c r="Q20" s="401">
        <f t="shared" si="7"/>
        <v>70</v>
      </c>
      <c r="R20" s="401">
        <f t="shared" si="5"/>
        <v>240</v>
      </c>
      <c r="S20" s="401">
        <f t="shared" si="5"/>
        <v>250</v>
      </c>
      <c r="T20" s="401">
        <f t="shared" si="5"/>
        <v>255</v>
      </c>
    </row>
    <row r="21" spans="1:20" x14ac:dyDescent="0.25">
      <c r="A21" t="s">
        <v>7</v>
      </c>
      <c r="B21" s="17" t="s">
        <v>109</v>
      </c>
      <c r="C21" s="98">
        <f>C17</f>
        <v>0.8</v>
      </c>
      <c r="D21" s="18">
        <f t="shared" si="0"/>
        <v>0.8</v>
      </c>
      <c r="E21" s="95">
        <f>E17</f>
        <v>0.8</v>
      </c>
      <c r="F21" s="18">
        <f t="shared" si="1"/>
        <v>0.8</v>
      </c>
      <c r="G21" s="95">
        <f>G17</f>
        <v>0.8</v>
      </c>
      <c r="H21" s="18">
        <f t="shared" si="2"/>
        <v>0.8</v>
      </c>
      <c r="I21" s="95">
        <f>I17</f>
        <v>0.8</v>
      </c>
      <c r="J21" s="18">
        <f t="shared" si="3"/>
        <v>0.8</v>
      </c>
      <c r="K21" s="94">
        <f t="shared" si="6"/>
        <v>2</v>
      </c>
      <c r="L21" s="94">
        <f t="shared" si="4"/>
        <v>2</v>
      </c>
      <c r="M21" s="94">
        <f t="shared" si="4"/>
        <v>2</v>
      </c>
      <c r="N21" s="94">
        <f t="shared" si="4"/>
        <v>2</v>
      </c>
      <c r="P21" s="281" t="s">
        <v>109</v>
      </c>
      <c r="Q21" s="401">
        <f t="shared" si="7"/>
        <v>70</v>
      </c>
      <c r="R21" s="401">
        <f t="shared" si="5"/>
        <v>240</v>
      </c>
      <c r="S21" s="401">
        <f t="shared" si="5"/>
        <v>250</v>
      </c>
      <c r="T21" s="401">
        <f t="shared" si="5"/>
        <v>255</v>
      </c>
    </row>
    <row r="22" spans="1:20" x14ac:dyDescent="0.25">
      <c r="A22" t="s">
        <v>7</v>
      </c>
      <c r="B22" s="14" t="s">
        <v>135</v>
      </c>
      <c r="C22" s="98">
        <f>C17</f>
        <v>0.8</v>
      </c>
      <c r="D22" s="16">
        <f t="shared" si="0"/>
        <v>0.8</v>
      </c>
      <c r="E22" s="95">
        <f>E17</f>
        <v>0.8</v>
      </c>
      <c r="F22" s="16">
        <f t="shared" si="1"/>
        <v>0.8</v>
      </c>
      <c r="G22" s="95">
        <f>G17</f>
        <v>0.8</v>
      </c>
      <c r="H22" s="16">
        <f t="shared" si="2"/>
        <v>0.8</v>
      </c>
      <c r="I22" s="95">
        <f>I17</f>
        <v>0.8</v>
      </c>
      <c r="J22" s="16">
        <f t="shared" si="3"/>
        <v>0.8</v>
      </c>
      <c r="K22" s="94">
        <f t="shared" si="6"/>
        <v>2</v>
      </c>
      <c r="L22" s="94">
        <f t="shared" si="4"/>
        <v>2</v>
      </c>
      <c r="M22" s="94">
        <f t="shared" si="4"/>
        <v>2</v>
      </c>
      <c r="N22" s="94">
        <f t="shared" si="4"/>
        <v>2</v>
      </c>
      <c r="P22" s="281" t="s">
        <v>135</v>
      </c>
      <c r="Q22" s="401">
        <f t="shared" si="7"/>
        <v>70</v>
      </c>
      <c r="R22" s="401">
        <f t="shared" si="5"/>
        <v>240</v>
      </c>
      <c r="S22" s="401">
        <f t="shared" si="5"/>
        <v>250</v>
      </c>
      <c r="T22" s="401">
        <f t="shared" si="5"/>
        <v>255</v>
      </c>
    </row>
    <row r="23" spans="1:20" x14ac:dyDescent="0.25">
      <c r="A23" t="s">
        <v>7</v>
      </c>
      <c r="B23" s="17" t="s">
        <v>154</v>
      </c>
      <c r="C23" s="98">
        <f>C17</f>
        <v>0.8</v>
      </c>
      <c r="D23" s="18">
        <f t="shared" si="0"/>
        <v>0.8</v>
      </c>
      <c r="E23" s="95">
        <f>E17</f>
        <v>0.8</v>
      </c>
      <c r="F23" s="18">
        <f t="shared" si="1"/>
        <v>0.8</v>
      </c>
      <c r="G23" s="95">
        <f>G17</f>
        <v>0.8</v>
      </c>
      <c r="H23" s="18">
        <f t="shared" si="2"/>
        <v>0.8</v>
      </c>
      <c r="I23" s="95">
        <f>I17</f>
        <v>0.8</v>
      </c>
      <c r="J23" s="18">
        <f t="shared" si="3"/>
        <v>0.8</v>
      </c>
      <c r="K23" s="94">
        <f t="shared" si="6"/>
        <v>2</v>
      </c>
      <c r="L23" s="94">
        <f t="shared" si="4"/>
        <v>2</v>
      </c>
      <c r="M23" s="94">
        <f t="shared" si="4"/>
        <v>2</v>
      </c>
      <c r="N23" s="94">
        <f t="shared" si="4"/>
        <v>2</v>
      </c>
      <c r="P23" s="281" t="s">
        <v>154</v>
      </c>
      <c r="Q23" s="401">
        <f t="shared" si="7"/>
        <v>70</v>
      </c>
      <c r="R23" s="401">
        <f t="shared" si="5"/>
        <v>240</v>
      </c>
      <c r="S23" s="401">
        <f t="shared" si="5"/>
        <v>250</v>
      </c>
      <c r="T23" s="401">
        <f t="shared" si="5"/>
        <v>255</v>
      </c>
    </row>
    <row r="24" spans="1:20" x14ac:dyDescent="0.25">
      <c r="A24" t="s">
        <v>7</v>
      </c>
      <c r="B24" s="14" t="s">
        <v>165</v>
      </c>
      <c r="C24" s="98">
        <f>C17</f>
        <v>0.8</v>
      </c>
      <c r="D24" s="16">
        <f t="shared" si="0"/>
        <v>0.8</v>
      </c>
      <c r="E24" s="95">
        <f>E17</f>
        <v>0.8</v>
      </c>
      <c r="F24" s="16">
        <f t="shared" si="1"/>
        <v>0.8</v>
      </c>
      <c r="G24" s="95">
        <f>G17</f>
        <v>0.8</v>
      </c>
      <c r="H24" s="16">
        <f t="shared" si="2"/>
        <v>0.8</v>
      </c>
      <c r="I24" s="95">
        <f>I17</f>
        <v>0.8</v>
      </c>
      <c r="J24" s="16">
        <f t="shared" si="3"/>
        <v>0.8</v>
      </c>
      <c r="K24" s="94">
        <f t="shared" si="6"/>
        <v>2</v>
      </c>
      <c r="L24" s="94">
        <f t="shared" si="4"/>
        <v>2</v>
      </c>
      <c r="M24" s="94">
        <f t="shared" si="4"/>
        <v>2</v>
      </c>
      <c r="N24" s="94">
        <f t="shared" si="4"/>
        <v>2</v>
      </c>
      <c r="P24" s="281" t="s">
        <v>165</v>
      </c>
      <c r="Q24" s="401">
        <f t="shared" si="7"/>
        <v>70</v>
      </c>
      <c r="R24" s="401">
        <f t="shared" si="5"/>
        <v>240</v>
      </c>
      <c r="S24" s="401">
        <f t="shared" si="5"/>
        <v>250</v>
      </c>
      <c r="T24" s="401">
        <f t="shared" si="5"/>
        <v>255</v>
      </c>
    </row>
    <row r="25" spans="1:20" x14ac:dyDescent="0.25">
      <c r="A25" t="s">
        <v>7</v>
      </c>
      <c r="B25" s="17" t="s">
        <v>179</v>
      </c>
      <c r="C25" s="98">
        <f>C17</f>
        <v>0.8</v>
      </c>
      <c r="D25" s="18">
        <f t="shared" si="0"/>
        <v>0.8</v>
      </c>
      <c r="E25" s="95">
        <f>E17</f>
        <v>0.8</v>
      </c>
      <c r="F25" s="18">
        <f t="shared" si="1"/>
        <v>0.8</v>
      </c>
      <c r="G25" s="95">
        <f>G17</f>
        <v>0.8</v>
      </c>
      <c r="H25" s="18">
        <f t="shared" si="2"/>
        <v>0.8</v>
      </c>
      <c r="I25" s="95">
        <f>I17</f>
        <v>0.8</v>
      </c>
      <c r="J25" s="18">
        <f t="shared" si="3"/>
        <v>0.8</v>
      </c>
      <c r="K25" s="94">
        <f t="shared" si="6"/>
        <v>2</v>
      </c>
      <c r="L25" s="94">
        <f t="shared" si="4"/>
        <v>2</v>
      </c>
      <c r="M25" s="94">
        <f t="shared" si="4"/>
        <v>2</v>
      </c>
      <c r="N25" s="94">
        <f t="shared" si="4"/>
        <v>2</v>
      </c>
      <c r="P25" s="281" t="s">
        <v>179</v>
      </c>
      <c r="Q25" s="401">
        <f t="shared" si="7"/>
        <v>70</v>
      </c>
      <c r="R25" s="401">
        <f t="shared" si="5"/>
        <v>240</v>
      </c>
      <c r="S25" s="401">
        <f t="shared" si="5"/>
        <v>250</v>
      </c>
      <c r="T25" s="401">
        <f t="shared" si="5"/>
        <v>255</v>
      </c>
    </row>
    <row r="26" spans="1:20" x14ac:dyDescent="0.25">
      <c r="A26" t="s">
        <v>7</v>
      </c>
      <c r="B26" s="14" t="s">
        <v>193</v>
      </c>
      <c r="C26" s="99">
        <f>C17</f>
        <v>0.8</v>
      </c>
      <c r="D26" s="16">
        <f t="shared" si="0"/>
        <v>0.8</v>
      </c>
      <c r="E26" s="95">
        <f>E17</f>
        <v>0.8</v>
      </c>
      <c r="F26" s="16">
        <f t="shared" si="1"/>
        <v>0.8</v>
      </c>
      <c r="G26" s="95">
        <f>G17</f>
        <v>0.8</v>
      </c>
      <c r="H26" s="16">
        <f t="shared" si="2"/>
        <v>0.8</v>
      </c>
      <c r="I26" s="95">
        <f>I17</f>
        <v>0.8</v>
      </c>
      <c r="J26" s="16">
        <f t="shared" si="3"/>
        <v>0.8</v>
      </c>
      <c r="K26" s="94">
        <f t="shared" si="6"/>
        <v>2</v>
      </c>
      <c r="L26" s="94">
        <f t="shared" si="4"/>
        <v>2</v>
      </c>
      <c r="M26" s="94">
        <f t="shared" si="4"/>
        <v>2</v>
      </c>
      <c r="N26" s="94">
        <f t="shared" si="4"/>
        <v>2</v>
      </c>
      <c r="P26" s="281" t="s">
        <v>193</v>
      </c>
      <c r="Q26" s="401">
        <f t="shared" si="7"/>
        <v>70</v>
      </c>
      <c r="R26" s="401">
        <f t="shared" si="5"/>
        <v>240</v>
      </c>
      <c r="S26" s="401">
        <f t="shared" si="5"/>
        <v>250</v>
      </c>
      <c r="T26" s="401">
        <f t="shared" si="5"/>
        <v>255</v>
      </c>
    </row>
    <row r="27" spans="1:20" x14ac:dyDescent="0.25">
      <c r="A27" t="s">
        <v>1</v>
      </c>
      <c r="B27" s="17" t="s">
        <v>1</v>
      </c>
      <c r="C27" s="15">
        <v>0.88</v>
      </c>
      <c r="D27" s="18">
        <f t="shared" si="0"/>
        <v>0.88</v>
      </c>
      <c r="E27" s="15">
        <v>0.88</v>
      </c>
      <c r="F27" s="18">
        <f t="shared" si="1"/>
        <v>0.88</v>
      </c>
      <c r="G27" s="396">
        <v>0.88</v>
      </c>
      <c r="H27" s="18">
        <f t="shared" si="2"/>
        <v>0.88</v>
      </c>
      <c r="I27" s="15">
        <v>0.88</v>
      </c>
      <c r="J27" s="18">
        <f t="shared" si="3"/>
        <v>0.88</v>
      </c>
      <c r="K27" s="93">
        <v>1.5</v>
      </c>
      <c r="L27" s="93">
        <v>1.5</v>
      </c>
      <c r="M27" s="93">
        <v>1.5</v>
      </c>
      <c r="N27" s="93">
        <v>1.5</v>
      </c>
      <c r="P27" s="281" t="s">
        <v>1</v>
      </c>
      <c r="Q27" s="282">
        <v>230</v>
      </c>
      <c r="R27" s="282">
        <v>380</v>
      </c>
      <c r="S27" s="282">
        <v>400</v>
      </c>
      <c r="T27" s="282">
        <v>495</v>
      </c>
    </row>
    <row r="28" spans="1:20" x14ac:dyDescent="0.25">
      <c r="A28" t="s">
        <v>222</v>
      </c>
      <c r="B28" s="14" t="s">
        <v>222</v>
      </c>
      <c r="C28" s="15">
        <v>0.88</v>
      </c>
      <c r="D28" s="16">
        <f t="shared" si="0"/>
        <v>0.88</v>
      </c>
      <c r="E28" s="396">
        <v>0.88</v>
      </c>
      <c r="F28" s="16">
        <f t="shared" si="1"/>
        <v>0.88</v>
      </c>
      <c r="G28" s="396">
        <v>0.88</v>
      </c>
      <c r="H28" s="16">
        <f t="shared" si="2"/>
        <v>0.88</v>
      </c>
      <c r="I28" s="15">
        <v>0.88</v>
      </c>
      <c r="J28" s="16">
        <f t="shared" si="3"/>
        <v>0.88</v>
      </c>
      <c r="K28" s="93">
        <v>1.5</v>
      </c>
      <c r="L28" s="93">
        <v>1.5</v>
      </c>
      <c r="M28" s="93">
        <v>1.5</v>
      </c>
      <c r="N28" s="93">
        <v>1.5</v>
      </c>
      <c r="P28" s="281" t="s">
        <v>222</v>
      </c>
      <c r="Q28" s="282">
        <v>200</v>
      </c>
      <c r="R28" s="282">
        <v>429</v>
      </c>
      <c r="S28" s="282">
        <v>469</v>
      </c>
      <c r="T28" s="282">
        <v>624</v>
      </c>
    </row>
    <row r="29" spans="1:20" x14ac:dyDescent="0.25">
      <c r="A29" t="s">
        <v>235</v>
      </c>
      <c r="B29" s="17" t="s">
        <v>235</v>
      </c>
      <c r="C29" s="15">
        <v>0.88</v>
      </c>
      <c r="D29" s="18">
        <f t="shared" si="0"/>
        <v>0.88</v>
      </c>
      <c r="E29" s="15">
        <v>0.88</v>
      </c>
      <c r="F29" s="18">
        <f t="shared" si="1"/>
        <v>0.88</v>
      </c>
      <c r="G29" s="396">
        <v>0.88</v>
      </c>
      <c r="H29" s="18">
        <f t="shared" si="2"/>
        <v>0.88</v>
      </c>
      <c r="I29" s="15">
        <v>0.88</v>
      </c>
      <c r="J29" s="18">
        <f t="shared" si="3"/>
        <v>0.88</v>
      </c>
      <c r="K29" s="93">
        <v>1.7</v>
      </c>
      <c r="L29" s="93">
        <v>1.7</v>
      </c>
      <c r="M29" s="93">
        <v>1.7</v>
      </c>
      <c r="N29" s="93">
        <v>1.7</v>
      </c>
      <c r="P29" s="281" t="s">
        <v>235</v>
      </c>
      <c r="Q29" s="282">
        <v>255</v>
      </c>
      <c r="R29" s="282">
        <v>361</v>
      </c>
      <c r="S29" s="282">
        <v>381</v>
      </c>
      <c r="T29" s="282">
        <v>770</v>
      </c>
    </row>
    <row r="30" spans="1:20" x14ac:dyDescent="0.25">
      <c r="A30" t="s">
        <v>2</v>
      </c>
      <c r="B30" s="14" t="s">
        <v>2</v>
      </c>
      <c r="C30" s="15">
        <v>0.9</v>
      </c>
      <c r="D30" s="16">
        <f t="shared" si="0"/>
        <v>0.9</v>
      </c>
      <c r="E30" s="15">
        <v>0.9</v>
      </c>
      <c r="F30" s="16">
        <f t="shared" si="1"/>
        <v>0.9</v>
      </c>
      <c r="G30" s="396">
        <v>0.9</v>
      </c>
      <c r="H30" s="16">
        <f t="shared" si="2"/>
        <v>0.9</v>
      </c>
      <c r="I30" s="15">
        <v>0.9</v>
      </c>
      <c r="J30" s="16">
        <f t="shared" si="3"/>
        <v>0.9</v>
      </c>
      <c r="K30" s="93">
        <v>1.1000000000000001</v>
      </c>
      <c r="L30" s="93">
        <v>1.1000000000000001</v>
      </c>
      <c r="M30" s="93">
        <v>1.1000000000000001</v>
      </c>
      <c r="N30" s="93">
        <v>1.1000000000000001</v>
      </c>
      <c r="P30" s="281" t="s">
        <v>2</v>
      </c>
      <c r="Q30" s="282">
        <v>352</v>
      </c>
      <c r="R30" s="282">
        <v>418</v>
      </c>
      <c r="S30" s="282">
        <v>455</v>
      </c>
      <c r="T30" s="282">
        <v>486</v>
      </c>
    </row>
    <row r="31" spans="1:20" x14ac:dyDescent="0.25">
      <c r="A31" t="s">
        <v>2</v>
      </c>
      <c r="B31" s="17" t="s">
        <v>278</v>
      </c>
      <c r="C31" s="95">
        <f>C30</f>
        <v>0.9</v>
      </c>
      <c r="D31" s="18">
        <f t="shared" si="0"/>
        <v>0.9</v>
      </c>
      <c r="E31" s="95">
        <v>0.9</v>
      </c>
      <c r="F31" s="18">
        <f t="shared" si="1"/>
        <v>0.9</v>
      </c>
      <c r="G31" s="396">
        <v>0.9</v>
      </c>
      <c r="H31" s="18">
        <f t="shared" si="2"/>
        <v>0.9</v>
      </c>
      <c r="I31" s="95">
        <v>0.9</v>
      </c>
      <c r="J31" s="18">
        <f t="shared" si="3"/>
        <v>0.9</v>
      </c>
      <c r="K31" s="94">
        <f>+K$30</f>
        <v>1.1000000000000001</v>
      </c>
      <c r="L31" s="94">
        <f t="shared" ref="L31:N32" si="8">+L$30</f>
        <v>1.1000000000000001</v>
      </c>
      <c r="M31" s="94">
        <f t="shared" si="8"/>
        <v>1.1000000000000001</v>
      </c>
      <c r="N31" s="94">
        <f t="shared" si="8"/>
        <v>1.1000000000000001</v>
      </c>
      <c r="P31" s="281" t="s">
        <v>278</v>
      </c>
      <c r="Q31" s="401">
        <f>+Q$30</f>
        <v>352</v>
      </c>
      <c r="R31" s="401">
        <f t="shared" ref="R31:T32" si="9">+R$30</f>
        <v>418</v>
      </c>
      <c r="S31" s="401">
        <f t="shared" si="9"/>
        <v>455</v>
      </c>
      <c r="T31" s="401">
        <f t="shared" si="9"/>
        <v>486</v>
      </c>
    </row>
    <row r="32" spans="1:20" x14ac:dyDescent="0.25">
      <c r="A32" t="s">
        <v>2</v>
      </c>
      <c r="B32" s="14" t="s">
        <v>287</v>
      </c>
      <c r="C32" s="95">
        <f>C30</f>
        <v>0.9</v>
      </c>
      <c r="D32" s="16">
        <f t="shared" si="0"/>
        <v>0.9</v>
      </c>
      <c r="E32" s="95">
        <v>0.9</v>
      </c>
      <c r="F32" s="16">
        <f t="shared" si="1"/>
        <v>0.9</v>
      </c>
      <c r="G32" s="396">
        <v>0.9</v>
      </c>
      <c r="H32" s="16">
        <f t="shared" si="2"/>
        <v>0.9</v>
      </c>
      <c r="I32" s="95">
        <v>0.9</v>
      </c>
      <c r="J32" s="16">
        <f t="shared" si="3"/>
        <v>0.9</v>
      </c>
      <c r="K32" s="94">
        <f t="shared" ref="K32" si="10">+K$30</f>
        <v>1.1000000000000001</v>
      </c>
      <c r="L32" s="94">
        <f t="shared" si="8"/>
        <v>1.1000000000000001</v>
      </c>
      <c r="M32" s="94">
        <f t="shared" si="8"/>
        <v>1.1000000000000001</v>
      </c>
      <c r="N32" s="94">
        <f t="shared" si="8"/>
        <v>1.1000000000000001</v>
      </c>
      <c r="P32" s="281" t="s">
        <v>287</v>
      </c>
      <c r="Q32" s="401">
        <f t="shared" ref="Q32" si="11">+Q$30</f>
        <v>352</v>
      </c>
      <c r="R32" s="401">
        <f t="shared" si="9"/>
        <v>418</v>
      </c>
      <c r="S32" s="401">
        <f t="shared" si="9"/>
        <v>455</v>
      </c>
      <c r="T32" s="401">
        <f t="shared" si="9"/>
        <v>486</v>
      </c>
    </row>
    <row r="33" spans="1:20" x14ac:dyDescent="0.25">
      <c r="A33" t="s">
        <v>299</v>
      </c>
      <c r="B33" s="17" t="s">
        <v>299</v>
      </c>
      <c r="C33" s="15">
        <v>0.75</v>
      </c>
      <c r="D33" s="18">
        <f t="shared" si="0"/>
        <v>0.75</v>
      </c>
      <c r="E33" s="15">
        <v>0.75</v>
      </c>
      <c r="F33" s="18">
        <f t="shared" si="1"/>
        <v>0.75</v>
      </c>
      <c r="G33" s="396">
        <v>0.75</v>
      </c>
      <c r="H33" s="18">
        <f t="shared" si="2"/>
        <v>0.75</v>
      </c>
      <c r="I33" s="15">
        <v>0.75</v>
      </c>
      <c r="J33" s="18">
        <f t="shared" si="3"/>
        <v>0.75</v>
      </c>
      <c r="K33" s="93">
        <v>1</v>
      </c>
      <c r="L33" s="93">
        <v>1</v>
      </c>
      <c r="M33" s="93">
        <v>1</v>
      </c>
      <c r="N33" s="93">
        <v>1</v>
      </c>
      <c r="P33" s="281" t="s">
        <v>299</v>
      </c>
      <c r="Q33" s="282">
        <v>80</v>
      </c>
      <c r="R33" s="282">
        <v>95</v>
      </c>
      <c r="S33" s="282">
        <v>113</v>
      </c>
      <c r="T33" s="282">
        <v>155</v>
      </c>
    </row>
    <row r="34" spans="1:20" x14ac:dyDescent="0.25">
      <c r="A34" t="s">
        <v>313</v>
      </c>
      <c r="B34" s="14" t="s">
        <v>313</v>
      </c>
      <c r="C34" s="15">
        <v>0.8</v>
      </c>
      <c r="D34" s="16">
        <f t="shared" si="0"/>
        <v>0.8</v>
      </c>
      <c r="E34" s="15">
        <v>0.8</v>
      </c>
      <c r="F34" s="16">
        <f t="shared" si="1"/>
        <v>0.8</v>
      </c>
      <c r="G34" s="396">
        <v>0.8</v>
      </c>
      <c r="H34" s="16">
        <f t="shared" si="2"/>
        <v>0.8</v>
      </c>
      <c r="I34" s="15">
        <v>0.8</v>
      </c>
      <c r="J34" s="16">
        <f t="shared" si="3"/>
        <v>0.8</v>
      </c>
      <c r="K34" s="93">
        <v>1</v>
      </c>
      <c r="L34" s="93">
        <v>1</v>
      </c>
      <c r="M34" s="93">
        <v>1</v>
      </c>
      <c r="N34" s="93">
        <v>1</v>
      </c>
      <c r="P34" s="281" t="s">
        <v>313</v>
      </c>
      <c r="Q34" s="282">
        <v>180</v>
      </c>
      <c r="R34" s="282">
        <v>215</v>
      </c>
      <c r="S34" s="282">
        <v>245</v>
      </c>
      <c r="T34" s="282">
        <v>328</v>
      </c>
    </row>
    <row r="35" spans="1:20" x14ac:dyDescent="0.25">
      <c r="A35" t="s">
        <v>624</v>
      </c>
      <c r="B35" s="17" t="s">
        <v>315</v>
      </c>
      <c r="C35" s="15">
        <v>0.8</v>
      </c>
      <c r="D35" s="18">
        <f t="shared" si="0"/>
        <v>0.8</v>
      </c>
      <c r="E35" s="15">
        <v>0.8</v>
      </c>
      <c r="F35" s="18">
        <f t="shared" si="1"/>
        <v>0.8</v>
      </c>
      <c r="G35" s="396">
        <v>0.8</v>
      </c>
      <c r="H35" s="18">
        <f t="shared" si="2"/>
        <v>0.8</v>
      </c>
      <c r="I35" s="15">
        <v>0.8</v>
      </c>
      <c r="J35" s="18">
        <f t="shared" si="3"/>
        <v>0.8</v>
      </c>
      <c r="K35" s="93">
        <v>1</v>
      </c>
      <c r="L35" s="93">
        <v>1</v>
      </c>
      <c r="M35" s="93">
        <v>1</v>
      </c>
      <c r="N35" s="93">
        <v>1</v>
      </c>
      <c r="P35" s="281" t="s">
        <v>315</v>
      </c>
      <c r="Q35" s="282">
        <v>29</v>
      </c>
      <c r="R35" s="282">
        <v>35</v>
      </c>
      <c r="S35" s="282">
        <v>40</v>
      </c>
      <c r="T35" s="282">
        <v>54</v>
      </c>
    </row>
    <row r="36" spans="1:20" x14ac:dyDescent="0.25">
      <c r="A36" t="s">
        <v>625</v>
      </c>
      <c r="B36" s="17" t="s">
        <v>333</v>
      </c>
      <c r="C36" s="15">
        <v>0.8</v>
      </c>
      <c r="D36" s="18">
        <f t="shared" si="0"/>
        <v>0.8</v>
      </c>
      <c r="E36" s="15">
        <v>0.8</v>
      </c>
      <c r="F36" s="18">
        <f t="shared" si="1"/>
        <v>0.8</v>
      </c>
      <c r="G36" s="396">
        <v>0.8</v>
      </c>
      <c r="H36" s="18">
        <f t="shared" si="2"/>
        <v>0.8</v>
      </c>
      <c r="I36" s="15">
        <v>0.8</v>
      </c>
      <c r="J36" s="18">
        <f t="shared" si="3"/>
        <v>0.8</v>
      </c>
      <c r="K36" s="93">
        <v>1</v>
      </c>
      <c r="L36" s="93">
        <v>1</v>
      </c>
      <c r="M36" s="93">
        <v>1</v>
      </c>
      <c r="N36" s="93">
        <v>1</v>
      </c>
      <c r="P36" s="281" t="s">
        <v>333</v>
      </c>
      <c r="Q36" s="282">
        <v>50</v>
      </c>
      <c r="R36" s="282">
        <v>60</v>
      </c>
      <c r="S36" s="282">
        <v>70</v>
      </c>
      <c r="T36" s="282">
        <v>99</v>
      </c>
    </row>
    <row r="37" spans="1:20" x14ac:dyDescent="0.25">
      <c r="A37" t="s">
        <v>625</v>
      </c>
      <c r="B37" s="12" t="s">
        <v>339</v>
      </c>
      <c r="C37" s="96">
        <f>C36</f>
        <v>0.8</v>
      </c>
      <c r="D37" s="13">
        <f t="shared" si="0"/>
        <v>0.8</v>
      </c>
      <c r="E37" s="96">
        <v>0.8</v>
      </c>
      <c r="F37" s="13">
        <f t="shared" si="1"/>
        <v>0.8</v>
      </c>
      <c r="G37" s="398">
        <v>0.8</v>
      </c>
      <c r="H37" s="13">
        <f t="shared" si="2"/>
        <v>0.8</v>
      </c>
      <c r="I37" s="96">
        <v>0.8</v>
      </c>
      <c r="J37" s="13">
        <f t="shared" si="3"/>
        <v>0.8</v>
      </c>
      <c r="K37" s="94">
        <v>1</v>
      </c>
      <c r="L37" s="94">
        <v>1</v>
      </c>
      <c r="M37" s="94">
        <v>1</v>
      </c>
      <c r="N37" s="94">
        <v>1</v>
      </c>
      <c r="P37" s="281" t="s">
        <v>339</v>
      </c>
      <c r="Q37" s="282">
        <v>30</v>
      </c>
      <c r="R37" s="282">
        <v>36</v>
      </c>
      <c r="S37" s="282">
        <v>42</v>
      </c>
      <c r="T37" s="282">
        <v>56</v>
      </c>
    </row>
    <row r="38" spans="1:20" x14ac:dyDescent="0.25">
      <c r="A38" t="s">
        <v>7</v>
      </c>
      <c r="B38" s="3" t="s">
        <v>522</v>
      </c>
      <c r="C38" s="10">
        <v>0.83299999999999996</v>
      </c>
      <c r="D38" s="130">
        <f>$B$4*_xlfn.XLOOKUP(A38,A$17:A$39,C$17:C$39,"",0,1)</f>
        <v>0.8</v>
      </c>
      <c r="E38" s="129">
        <v>0.83299999999999996</v>
      </c>
      <c r="F38" s="11">
        <f>$B$4*_xlfn.XLOOKUP(A38,A$17:A$39,E$17:E$39,"",0,1)</f>
        <v>0.8</v>
      </c>
      <c r="G38" s="129">
        <v>0.83299999999999996</v>
      </c>
      <c r="H38" s="11">
        <f>$B$4*_xlfn.XLOOKUP(A38,A$17:A$39,G$17:G$39,"",0,1)</f>
        <v>0.8</v>
      </c>
      <c r="I38" s="129">
        <v>0.83299999999999996</v>
      </c>
      <c r="J38" s="11">
        <f>$B$4*_xlfn.XLOOKUP(A38,A$17:A$39,I$17:I$39,"",0,1)</f>
        <v>0.8</v>
      </c>
      <c r="K38" s="93">
        <v>0.5</v>
      </c>
      <c r="L38" s="93">
        <v>0.5</v>
      </c>
      <c r="M38" s="93">
        <v>0.5</v>
      </c>
      <c r="N38" s="93">
        <v>0.5</v>
      </c>
      <c r="P38" s="281" t="s">
        <v>522</v>
      </c>
      <c r="Q38" s="282">
        <v>366</v>
      </c>
      <c r="R38" s="282">
        <v>440</v>
      </c>
      <c r="S38" s="282">
        <v>615</v>
      </c>
      <c r="T38" s="282">
        <v>494</v>
      </c>
    </row>
    <row r="39" spans="1:20" x14ac:dyDescent="0.25">
      <c r="A39" t="s">
        <v>296</v>
      </c>
      <c r="B39" s="131" t="s">
        <v>699</v>
      </c>
      <c r="C39" s="10">
        <v>0.83299999999999996</v>
      </c>
      <c r="D39" s="134">
        <f>$B$4*_xlfn.XLOOKUP(A39,A$17:A$39,C$17:C$39,"",0,1)</f>
        <v>0.83299999999999996</v>
      </c>
      <c r="E39" s="132">
        <v>0.83299999999999996</v>
      </c>
      <c r="F39" s="133">
        <f>$B$4*_xlfn.XLOOKUP(A39,A$17:A$39,E$17:E$39,"",0,1)</f>
        <v>0.83299999999999996</v>
      </c>
      <c r="G39" s="132">
        <v>0.83299999999999996</v>
      </c>
      <c r="H39" s="133">
        <f>$B$4*_xlfn.XLOOKUP(A39,A$17:A$39,G$17:G$39,"",0,1)</f>
        <v>0.83299999999999996</v>
      </c>
      <c r="I39" s="132">
        <v>0.83299999999999996</v>
      </c>
      <c r="J39" s="133">
        <f>$B$4*_xlfn.XLOOKUP(A39,A$17:A$39,I$17:I$39,"",0,1)</f>
        <v>0.83299999999999996</v>
      </c>
      <c r="K39" s="93">
        <v>1</v>
      </c>
      <c r="L39" s="93">
        <v>1</v>
      </c>
      <c r="M39" s="93">
        <v>1</v>
      </c>
      <c r="N39" s="93">
        <v>1</v>
      </c>
      <c r="P39" s="281" t="s">
        <v>699</v>
      </c>
      <c r="Q39" s="282">
        <v>200</v>
      </c>
      <c r="R39" s="282">
        <v>240</v>
      </c>
      <c r="S39" s="282">
        <v>372</v>
      </c>
      <c r="T39" s="282">
        <v>314</v>
      </c>
    </row>
    <row r="40" spans="1:20" x14ac:dyDescent="0.25">
      <c r="B40" s="2" t="s">
        <v>359</v>
      </c>
    </row>
    <row r="41" spans="1:20" x14ac:dyDescent="0.25">
      <c r="B41" s="442" t="s">
        <v>630</v>
      </c>
      <c r="C41" s="442"/>
      <c r="D41" s="442"/>
      <c r="E41" s="442"/>
      <c r="F41" s="442"/>
      <c r="G41" s="442"/>
      <c r="H41" s="442"/>
      <c r="I41" s="442"/>
    </row>
    <row r="42" spans="1:20" x14ac:dyDescent="0.25">
      <c r="B42" s="2" t="s">
        <v>360</v>
      </c>
    </row>
    <row r="43" spans="1:20" x14ac:dyDescent="0.25">
      <c r="B43" s="2" t="s">
        <v>361</v>
      </c>
    </row>
    <row r="44" spans="1:20" x14ac:dyDescent="0.25">
      <c r="B44" s="2" t="s">
        <v>362</v>
      </c>
    </row>
    <row r="45" spans="1:20" x14ac:dyDescent="0.25">
      <c r="B45" s="2" t="s">
        <v>363</v>
      </c>
    </row>
    <row r="47" spans="1:20" x14ac:dyDescent="0.25">
      <c r="A47" s="382" t="s">
        <v>959</v>
      </c>
    </row>
    <row r="48" spans="1:20" x14ac:dyDescent="0.25">
      <c r="A48" s="383" t="s">
        <v>960</v>
      </c>
      <c r="B48" s="384" t="s">
        <v>961</v>
      </c>
      <c r="C48" s="385" t="s">
        <v>962</v>
      </c>
      <c r="D48" s="385" t="s">
        <v>963</v>
      </c>
    </row>
    <row r="49" spans="1:4" x14ac:dyDescent="0.25">
      <c r="A49" s="386" t="s">
        <v>342</v>
      </c>
      <c r="B49" s="387">
        <v>1.2</v>
      </c>
      <c r="C49" s="388">
        <v>1.2</v>
      </c>
      <c r="D49" s="389" t="s">
        <v>964</v>
      </c>
    </row>
    <row r="50" spans="1:4" x14ac:dyDescent="0.25">
      <c r="A50" s="386" t="s">
        <v>631</v>
      </c>
      <c r="B50" s="387">
        <v>1</v>
      </c>
      <c r="C50" s="388">
        <v>1</v>
      </c>
      <c r="D50" s="389" t="s">
        <v>964</v>
      </c>
    </row>
    <row r="51" spans="1:4" x14ac:dyDescent="0.25">
      <c r="A51" s="386" t="s">
        <v>794</v>
      </c>
      <c r="B51" s="387">
        <v>1</v>
      </c>
      <c r="C51" s="388">
        <v>1</v>
      </c>
      <c r="D51" s="389" t="s">
        <v>964</v>
      </c>
    </row>
    <row r="52" spans="1:4" x14ac:dyDescent="0.25">
      <c r="A52" s="386" t="s">
        <v>796</v>
      </c>
      <c r="B52" s="387">
        <v>1.2</v>
      </c>
      <c r="C52" s="390">
        <v>1.1000000000000001</v>
      </c>
      <c r="D52" s="391" t="s">
        <v>965</v>
      </c>
    </row>
    <row r="53" spans="1:4" x14ac:dyDescent="0.25">
      <c r="A53" s="386" t="s">
        <v>632</v>
      </c>
      <c r="B53" s="387">
        <v>1</v>
      </c>
      <c r="C53" s="392">
        <v>1.35</v>
      </c>
      <c r="D53" s="391" t="s">
        <v>966</v>
      </c>
    </row>
    <row r="54" spans="1:4" x14ac:dyDescent="0.25">
      <c r="A54" s="386" t="s">
        <v>844</v>
      </c>
      <c r="B54" s="393">
        <v>27</v>
      </c>
      <c r="C54" s="394">
        <v>27</v>
      </c>
      <c r="D54" s="389" t="s">
        <v>964</v>
      </c>
    </row>
    <row r="55" spans="1:4" x14ac:dyDescent="0.25">
      <c r="A55" s="386" t="s">
        <v>847</v>
      </c>
      <c r="B55" s="393">
        <v>0</v>
      </c>
      <c r="C55" s="395">
        <v>90</v>
      </c>
      <c r="D55" s="391" t="s">
        <v>967</v>
      </c>
    </row>
    <row r="56" spans="1:4" x14ac:dyDescent="0.25">
      <c r="A56" s="386" t="s">
        <v>968</v>
      </c>
      <c r="B56" s="387">
        <v>0.89</v>
      </c>
      <c r="C56" s="390">
        <v>0.82</v>
      </c>
      <c r="D56" s="391" t="s">
        <v>969</v>
      </c>
    </row>
    <row r="61" spans="1:4" x14ac:dyDescent="0.25">
      <c r="A61" s="383" t="s">
        <v>970</v>
      </c>
      <c r="B61" s="383" t="s">
        <v>971</v>
      </c>
      <c r="C61" s="385" t="s">
        <v>972</v>
      </c>
      <c r="D61" s="385" t="s">
        <v>973</v>
      </c>
    </row>
    <row r="62" spans="1:4" x14ac:dyDescent="0.25">
      <c r="A62" t="s">
        <v>974</v>
      </c>
      <c r="B62" s="387">
        <v>0.66</v>
      </c>
      <c r="C62" s="390">
        <v>1.02</v>
      </c>
      <c r="D62" s="101" t="s">
        <v>975</v>
      </c>
    </row>
    <row r="63" spans="1:4" x14ac:dyDescent="0.25">
      <c r="A63" t="s">
        <v>976</v>
      </c>
      <c r="B63" s="387">
        <v>0.69</v>
      </c>
      <c r="C63" s="390">
        <v>0.89</v>
      </c>
      <c r="D63" s="101" t="s">
        <v>977</v>
      </c>
    </row>
    <row r="64" spans="1:4" x14ac:dyDescent="0.25">
      <c r="A64" t="s">
        <v>978</v>
      </c>
      <c r="B64" s="387">
        <v>0.69</v>
      </c>
      <c r="C64" s="390">
        <v>0.9</v>
      </c>
      <c r="D64" s="101" t="s">
        <v>977</v>
      </c>
    </row>
    <row r="65" spans="1:4" x14ac:dyDescent="0.25">
      <c r="A65" t="s">
        <v>979</v>
      </c>
      <c r="B65" s="387">
        <v>0.72</v>
      </c>
      <c r="C65" s="390">
        <v>0.99</v>
      </c>
      <c r="D65" s="101" t="s">
        <v>977</v>
      </c>
    </row>
    <row r="66" spans="1:4" x14ac:dyDescent="0.25">
      <c r="A66" t="s">
        <v>980</v>
      </c>
      <c r="B66" s="387">
        <v>0.72</v>
      </c>
      <c r="C66" s="390">
        <v>0.79</v>
      </c>
      <c r="D66" s="101" t="s">
        <v>981</v>
      </c>
    </row>
    <row r="67" spans="1:4" x14ac:dyDescent="0.25">
      <c r="A67" t="s">
        <v>982</v>
      </c>
      <c r="B67" s="387">
        <v>0.71</v>
      </c>
      <c r="C67" s="390">
        <v>1.05</v>
      </c>
      <c r="D67" s="101" t="s">
        <v>983</v>
      </c>
    </row>
  </sheetData>
  <mergeCells count="4">
    <mergeCell ref="A1:J1"/>
    <mergeCell ref="A3:J3"/>
    <mergeCell ref="A12:J12"/>
    <mergeCell ref="B41:I41"/>
  </mergeCells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4CCF-23E4-4743-96D9-56B7FF724F8A}">
  <dimension ref="A1:S339"/>
  <sheetViews>
    <sheetView workbookViewId="0">
      <selection activeCell="L4" sqref="L4"/>
    </sheetView>
  </sheetViews>
  <sheetFormatPr baseColWidth="10" defaultRowHeight="15" x14ac:dyDescent="0.25"/>
  <cols>
    <col min="1" max="1" width="13.28515625" customWidth="1"/>
    <col min="2" max="2" width="30.42578125" customWidth="1"/>
    <col min="3" max="3" width="11.42578125" customWidth="1"/>
    <col min="4" max="6" width="14.28515625" customWidth="1"/>
    <col min="7" max="7" width="13.28515625" customWidth="1"/>
    <col min="8" max="10" width="14.28515625" customWidth="1"/>
    <col min="11" max="11" width="13.28515625" customWidth="1"/>
    <col min="12" max="14" width="14.28515625" customWidth="1"/>
    <col min="15" max="15" width="13.28515625" customWidth="1"/>
    <col min="16" max="18" width="14.28515625" customWidth="1"/>
    <col min="19" max="19" width="13.28515625" customWidth="1"/>
  </cols>
  <sheetData>
    <row r="1" spans="1:19" ht="27.95" customHeight="1" x14ac:dyDescent="0.3">
      <c r="A1" s="443" t="s">
        <v>848</v>
      </c>
      <c r="B1" s="443"/>
      <c r="C1" s="443"/>
      <c r="D1" s="443"/>
      <c r="E1" s="443"/>
      <c r="F1" s="443"/>
      <c r="G1" s="443"/>
      <c r="H1" s="443"/>
      <c r="I1" s="443"/>
      <c r="J1" s="443"/>
    </row>
    <row r="2" spans="1:19" x14ac:dyDescent="0.25">
      <c r="A2" s="275" t="s">
        <v>849</v>
      </c>
    </row>
    <row r="3" spans="1:19" x14ac:dyDescent="0.25">
      <c r="D3" s="288" t="s">
        <v>850</v>
      </c>
      <c r="H3" s="289" t="s">
        <v>851</v>
      </c>
      <c r="L3" s="290" t="s">
        <v>852</v>
      </c>
      <c r="P3" s="291" t="s">
        <v>853</v>
      </c>
    </row>
    <row r="4" spans="1:19" ht="27.95" customHeight="1" x14ac:dyDescent="0.25">
      <c r="A4" s="276" t="s">
        <v>525</v>
      </c>
      <c r="B4" s="276" t="s">
        <v>6</v>
      </c>
      <c r="C4" s="276" t="s">
        <v>854</v>
      </c>
      <c r="D4" s="280" t="s">
        <v>855</v>
      </c>
      <c r="E4" s="280" t="s">
        <v>856</v>
      </c>
      <c r="F4" s="280" t="s">
        <v>857</v>
      </c>
      <c r="G4" s="280" t="s">
        <v>858</v>
      </c>
      <c r="H4" s="285" t="s">
        <v>859</v>
      </c>
      <c r="I4" s="285" t="s">
        <v>860</v>
      </c>
      <c r="J4" s="285" t="s">
        <v>861</v>
      </c>
      <c r="K4" s="285" t="s">
        <v>862</v>
      </c>
      <c r="L4" s="286" t="s">
        <v>863</v>
      </c>
      <c r="M4" s="286" t="s">
        <v>864</v>
      </c>
      <c r="N4" s="286" t="s">
        <v>865</v>
      </c>
      <c r="O4" s="286" t="s">
        <v>866</v>
      </c>
      <c r="P4" s="287" t="s">
        <v>867</v>
      </c>
      <c r="Q4" s="287" t="s">
        <v>868</v>
      </c>
      <c r="R4" s="287" t="s">
        <v>869</v>
      </c>
      <c r="S4" s="287" t="s">
        <v>870</v>
      </c>
    </row>
    <row r="5" spans="1:19" x14ac:dyDescent="0.25">
      <c r="A5" s="292">
        <v>3000</v>
      </c>
      <c r="B5" s="292" t="s">
        <v>9</v>
      </c>
      <c r="C5" s="293">
        <f>IFERROR(_xlfn.XLOOKUP(A5,Aktiv!$A:$A,Aktiv!$O:$O),"")</f>
        <v>34</v>
      </c>
      <c r="D5" s="293">
        <f>IF(C5="","",ROUND(C5*Steuerungsdaten!$B$4*Steuerungsdaten!$B$7*IFERROR(VLOOKUP(IFERROR(INDEX(Aktiv!$C$6:$C$350,MATCH(A5,Aktiv!$A$6:$A$350,0)),""),Steuerungsdaten!$B$17:$C$37,2,FALSE),1)*POWER(IF(OR(IFERROR(INDEX(Aktiv!$E$6:$E$350,MATCH(A5,Aktiv!$A$6:$A$350,0)),0)=0,IFERROR(INDEX(Aktiv!$F$6:$F$350,MATCH(A5,Aktiv!$A$6:$A$350,0)),0)=0),1,(IFERROR(INDEX(Aktiv!$E$6:$E$350,MATCH(A5,Aktiv!$A$6:$A$350,0)),0)*IFERROR(INDEX(Aktiv!$F$6:$F$350,MATCH(A5,Aktiv!$A$6:$A$350,0)),0)/1000000)/Steuerungsdaten!$B$6),IF(ISNUMBER(MATCH(IFERROR(INDEX(Aktiv!$C$6:$C$350,MATCH(A5,Aktiv!$A$6:$A$350,0)),""),{"Boden","Seite außen","Seite außen SY32","Rücken","Seite innen","Seite innen SY32","Seite innen SY32 DB","Fachboden klein","Fachboden groß","Klappenboden"},0)),1.2,1)-1),0))</f>
        <v>25</v>
      </c>
      <c r="E5" s="293">
        <f>IFERROR(_xlfn.XLOOKUP(A5,Aktiv!$A:$A,Aktiv!$G:$G),"")</f>
        <v>25</v>
      </c>
      <c r="F5" s="294">
        <f t="shared" ref="F5:F68" si="0">IF(OR(D5="",E5=""),"",E5-D5)</f>
        <v>0</v>
      </c>
      <c r="G5" s="295">
        <f t="shared" ref="G5:G68" si="1">IF(OR(D5="",E5="",D5=0),"",(E5-D5)/D5)</f>
        <v>0</v>
      </c>
      <c r="H5" s="293">
        <f>IF(C5="","",ROUND(C5*Steuerungsdaten!$B$4*Steuerungsdaten!$B$8*IFERROR(VLOOKUP(IFERROR(INDEX(Aktiv!$C$6:$C$350,MATCH(A5,Aktiv!$A$6:$A$350,0)),""),Steuerungsdaten!$B$17:$E$37,4,FALSE),1)*POWER(IF(OR(IFERROR(INDEX(Aktiv!$E$6:$E$350,MATCH(A5,Aktiv!$A$6:$A$350,0)),0)=0,IFERROR(INDEX(Aktiv!$F$6:$F$350,MATCH(A5,Aktiv!$A$6:$A$350,0)),0)=0),1,(IFERROR(INDEX(Aktiv!$E$6:$E$350,MATCH(A5,Aktiv!$A$6:$A$350,0)),0)*IFERROR(INDEX(Aktiv!$F$6:$F$350,MATCH(A5,Aktiv!$A$6:$A$350,0)),0)/1000000)/Steuerungsdaten!$B$6),1-1),0))</f>
        <v>30</v>
      </c>
      <c r="I5" s="293">
        <f>IFERROR(_xlfn.XLOOKUP(A5,Aktiv!$A:$A,Aktiv!$H:$H),"")</f>
        <v>103</v>
      </c>
      <c r="J5" s="294">
        <f t="shared" ref="J5:J68" si="2">IF(OR(H5="",I5=""),"",I5-H5)</f>
        <v>73</v>
      </c>
      <c r="K5" s="296">
        <f t="shared" ref="K5:K68" si="3">IF(OR(H5="",I5="",H5=0),"",(I5-H5)/H5)</f>
        <v>2.4333333333333331</v>
      </c>
      <c r="L5" s="297">
        <f>IF(C5="","",ROUND(C5*Steuerungsdaten!$B$4*Steuerungsdaten!$B$9*IFERROR(VLOOKUP(IFERROR(INDEX(Aktiv!$C$6:$C$350,MATCH(A5,Aktiv!$A$6:$A$350,0)),""),Steuerungsdaten!$B$17:$G$37,6,FALSE),1)*POWER(IF(OR(IFERROR(INDEX(Aktiv!$E$6:$E$350,MATCH(A5,Aktiv!$A$6:$A$350,0)),0)=0,IFERROR(INDEX(Aktiv!$F$6:$F$350,MATCH(A5,Aktiv!$A$6:$A$350,0)),0)=0),1,(IFERROR(INDEX(Aktiv!$E$6:$E$350,MATCH(A5,Aktiv!$A$6:$A$350,0)),0)*IFERROR(INDEX(Aktiv!$F$6:$F$350,MATCH(A5,Aktiv!$A$6:$A$350,0)),0)/1000000)/Steuerungsdaten!$B$6),1-1),0))</f>
        <v>30</v>
      </c>
      <c r="M5" s="297">
        <f>IFERROR(_xlfn.XLOOKUP(A5,Aktiv!$A:$A,Aktiv!$I:$I),"")</f>
        <v>120</v>
      </c>
      <c r="N5" s="298">
        <f t="shared" ref="N5:N68" si="4">IF(OR(L5="",M5=""),"",M5-L5)</f>
        <v>90</v>
      </c>
      <c r="O5" s="296">
        <f t="shared" ref="O5:O68" si="5">IF(OR(L5="",M5="",L5=0),"",(M5-L5)/L5)</f>
        <v>3</v>
      </c>
      <c r="P5" s="297">
        <f>IF(C5="","",ROUND(C5*Steuerungsdaten!$B$4*Steuerungsdaten!$B$10*IFERROR(VLOOKUP(IFERROR(INDEX(Aktiv!$C$6:$C$350,MATCH(A5,Aktiv!$A$6:$A$350,0)),""),Steuerungsdaten!$B$17:$I$37,8,FALSE),1)*POWER(IF(OR(IFERROR(INDEX(Aktiv!$E$6:$E$350,MATCH(A5,Aktiv!$A$6:$A$350,0)),0)=0,IFERROR(INDEX(Aktiv!$F$6:$F$350,MATCH(A5,Aktiv!$A$6:$A$350,0)),0)=0),1,(IFERROR(INDEX(Aktiv!$E$6:$E$350,MATCH(A5,Aktiv!$A$6:$A$350,0)),0)*IFERROR(INDEX(Aktiv!$F$6:$F$350,MATCH(A5,Aktiv!$A$6:$A$350,0)),0)/1000000)/Steuerungsdaten!$B$6),1-1),0))</f>
        <v>33</v>
      </c>
      <c r="Q5" s="297">
        <f>IFERROR(_xlfn.XLOOKUP(A5,Aktiv!$A:$A,Aktiv!$J:$J),"")</f>
        <v>145</v>
      </c>
      <c r="R5" s="298">
        <f t="shared" ref="R5:R68" si="6">IF(OR(P5="",Q5=""),"",Q5-P5)</f>
        <v>112</v>
      </c>
      <c r="S5" s="296">
        <f t="shared" ref="S5:S68" si="7">IF(OR(P5="",Q5="",P5=0),"",(Q5-P5)/P5)</f>
        <v>3.393939393939394</v>
      </c>
    </row>
    <row r="6" spans="1:19" x14ac:dyDescent="0.25">
      <c r="A6" s="292">
        <v>3001</v>
      </c>
      <c r="B6" s="292" t="s">
        <v>10</v>
      </c>
      <c r="C6" s="293">
        <f>IFERROR(INDEX(Aktiv!$O$6:$O$350,MATCH(A6,Aktiv!$A$6:$A$350,0)),"")</f>
        <v>34</v>
      </c>
      <c r="D6" s="293">
        <f>IF(C6="","",ROUND(C6*Steuerungsdaten!$B$4*Steuerungsdaten!$B$7*IFERROR(VLOOKUP(IFERROR(INDEX(Aktiv!$C$6:$C$350,MATCH(A6,Aktiv!$A$6:$A$350,0)),""),Steuerungsdaten!$B$17:$C$37,2,FALSE),1)*POWER(IF(OR(IFERROR(INDEX(Aktiv!$E$6:$E$350,MATCH(A6,Aktiv!$A$6:$A$350,0)),0)=0,IFERROR(INDEX(Aktiv!$F$6:$F$350,MATCH(A6,Aktiv!$A$6:$A$350,0)),0)=0),1,(IFERROR(INDEX(Aktiv!$E$6:$E$350,MATCH(A6,Aktiv!$A$6:$A$350,0)),0)*IFERROR(INDEX(Aktiv!$F$6:$F$350,MATCH(A6,Aktiv!$A$6:$A$350,0)),0)/1000000)/Steuerungsdaten!$B$6),IF(ISNUMBER(MATCH(IFERROR(INDEX(Aktiv!$C$6:$C$350,MATCH(A6,Aktiv!$A$6:$A$350,0)),""),{"Boden","Seite außen","Seite außen SY32","Rücken","Seite innen","Seite innen SY32","Seite innen SY32 DB","Fachboden klein","Fachboden groß","Klappenboden"},0)),1.2,1)-1),0))</f>
        <v>25</v>
      </c>
      <c r="E6" s="293">
        <f>IFERROR(INDEX(Aktiv!$G$6:$G$350,MATCH(A6,Aktiv!$A$6:$A$350,0)),"")</f>
        <v>27</v>
      </c>
      <c r="F6" s="294">
        <f t="shared" si="0"/>
        <v>2</v>
      </c>
      <c r="G6" s="295">
        <f t="shared" si="1"/>
        <v>0.08</v>
      </c>
      <c r="H6" s="293">
        <f>IF(C6="","",ROUND(C6*Steuerungsdaten!$B$4*Steuerungsdaten!$B$8*IFERROR(VLOOKUP(IFERROR(INDEX(Aktiv!$C$6:$C$350,MATCH(A6,Aktiv!$A$6:$A$350,0)),""),Steuerungsdaten!$B$17:$E$37,4,FALSE),1)*POWER(IF(OR(IFERROR(INDEX(Aktiv!$E$6:$E$350,MATCH(A6,Aktiv!$A$6:$A$350,0)),0)=0,IFERROR(INDEX(Aktiv!$F$6:$F$350,MATCH(A6,Aktiv!$A$6:$A$350,0)),0)=0),1,(IFERROR(INDEX(Aktiv!$E$6:$E$350,MATCH(A6,Aktiv!$A$6:$A$350,0)),0)*IFERROR(INDEX(Aktiv!$F$6:$F$350,MATCH(A6,Aktiv!$A$6:$A$350,0)),0)/1000000)/Steuerungsdaten!$B$6),1-1),0))</f>
        <v>30</v>
      </c>
      <c r="I6" s="293">
        <f>IFERROR(INDEX(Aktiv!$H$6:$H$350,MATCH(A6,Aktiv!$A$6:$A$350,0)),"")</f>
        <v>103</v>
      </c>
      <c r="J6" s="294">
        <f t="shared" si="2"/>
        <v>73</v>
      </c>
      <c r="K6" s="296">
        <f t="shared" si="3"/>
        <v>2.4333333333333331</v>
      </c>
      <c r="L6" s="297">
        <f>IF(C6="","",ROUND(C6*Steuerungsdaten!$B$4*Steuerungsdaten!$B$9*IFERROR(VLOOKUP(IFERROR(INDEX(Aktiv!$C$6:$C$350,MATCH(A6,Aktiv!$A$6:$A$350,0)),""),Steuerungsdaten!$B$17:$G$37,6,FALSE),1)*POWER(IF(OR(IFERROR(INDEX(Aktiv!$E$6:$E$350,MATCH(A6,Aktiv!$A$6:$A$350,0)),0)=0,IFERROR(INDEX(Aktiv!$F$6:$F$350,MATCH(A6,Aktiv!$A$6:$A$350,0)),0)=0),1,(IFERROR(INDEX(Aktiv!$E$6:$E$350,MATCH(A6,Aktiv!$A$6:$A$350,0)),0)*IFERROR(INDEX(Aktiv!$F$6:$F$350,MATCH(A6,Aktiv!$A$6:$A$350,0)),0)/1000000)/Steuerungsdaten!$B$6),1-1),0))</f>
        <v>30</v>
      </c>
      <c r="M6" s="297">
        <f>IFERROR(INDEX(Aktiv!$I$6:$I$350,MATCH(A6,Aktiv!$A$6:$A$350,0)),"")</f>
        <v>120</v>
      </c>
      <c r="N6" s="298">
        <f t="shared" si="4"/>
        <v>90</v>
      </c>
      <c r="O6" s="296">
        <f t="shared" si="5"/>
        <v>3</v>
      </c>
      <c r="P6" s="297">
        <f>IF(C6="","",ROUND(C6*Steuerungsdaten!$B$4*Steuerungsdaten!$B$10*IFERROR(VLOOKUP(IFERROR(INDEX(Aktiv!$C$6:$C$350,MATCH(A6,Aktiv!$A$6:$A$350,0)),""),Steuerungsdaten!$B$17:$I$37,8,FALSE),1)*POWER(IF(OR(IFERROR(INDEX(Aktiv!$E$6:$E$350,MATCH(A6,Aktiv!$A$6:$A$350,0)),0)=0,IFERROR(INDEX(Aktiv!$F$6:$F$350,MATCH(A6,Aktiv!$A$6:$A$350,0)),0)=0),1,(IFERROR(INDEX(Aktiv!$E$6:$E$350,MATCH(A6,Aktiv!$A$6:$A$350,0)),0)*IFERROR(INDEX(Aktiv!$F$6:$F$350,MATCH(A6,Aktiv!$A$6:$A$350,0)),0)/1000000)/Steuerungsdaten!$B$6),1-1),0))</f>
        <v>33</v>
      </c>
      <c r="Q6" s="297">
        <f>IFERROR(INDEX(Aktiv!$J$6:$J$350,MATCH(A6,Aktiv!$A$6:$A$350,0)),"")</f>
        <v>145</v>
      </c>
      <c r="R6" s="298">
        <f t="shared" si="6"/>
        <v>112</v>
      </c>
      <c r="S6" s="296">
        <f t="shared" si="7"/>
        <v>3.393939393939394</v>
      </c>
    </row>
    <row r="7" spans="1:19" x14ac:dyDescent="0.25">
      <c r="A7" s="292">
        <v>3002</v>
      </c>
      <c r="B7" s="292" t="s">
        <v>11</v>
      </c>
      <c r="C7" s="293">
        <f>IFERROR(INDEX(Aktiv!$O$6:$O$350,MATCH(A7,Aktiv!$A$6:$A$350,0)),"")</f>
        <v>43</v>
      </c>
      <c r="D7" s="293">
        <f>IF(C7="","",ROUND(C7*Steuerungsdaten!$B$4*Steuerungsdaten!$B$7*IFERROR(VLOOKUP(IFERROR(INDEX(Aktiv!$C$6:$C$350,MATCH(A7,Aktiv!$A$6:$A$350,0)),""),Steuerungsdaten!$B$17:$C$37,2,FALSE),1)*POWER(IF(OR(IFERROR(INDEX(Aktiv!$E$6:$E$350,MATCH(A7,Aktiv!$A$6:$A$350,0)),0)=0,IFERROR(INDEX(Aktiv!$F$6:$F$350,MATCH(A7,Aktiv!$A$6:$A$350,0)),0)=0),1,(IFERROR(INDEX(Aktiv!$E$6:$E$350,MATCH(A7,Aktiv!$A$6:$A$350,0)),0)*IFERROR(INDEX(Aktiv!$F$6:$F$350,MATCH(A7,Aktiv!$A$6:$A$350,0)),0)/1000000)/Steuerungsdaten!$B$6),IF(ISNUMBER(MATCH(IFERROR(INDEX(Aktiv!$C$6:$C$350,MATCH(A7,Aktiv!$A$6:$A$350,0)),""),{"Boden","Seite außen","Seite außen SY32","Rücken","Seite innen","Seite innen SY32","Seite innen SY32 DB","Fachboden klein","Fachboden groß","Klappenboden"},0)),1.2,1)-1),0))</f>
        <v>34</v>
      </c>
      <c r="E7" s="293">
        <f>IFERROR(INDEX(Aktiv!$G$6:$G$350,MATCH(A7,Aktiv!$A$6:$A$350,0)),"")</f>
        <v>37</v>
      </c>
      <c r="F7" s="294">
        <f t="shared" si="0"/>
        <v>3</v>
      </c>
      <c r="G7" s="295">
        <f t="shared" si="1"/>
        <v>8.8235294117647065E-2</v>
      </c>
      <c r="H7" s="293">
        <f>IF(C7="","",ROUND(C7*Steuerungsdaten!$B$4*Steuerungsdaten!$B$8*IFERROR(VLOOKUP(IFERROR(INDEX(Aktiv!$C$6:$C$350,MATCH(A7,Aktiv!$A$6:$A$350,0)),""),Steuerungsdaten!$B$17:$E$37,4,FALSE),1)*POWER(IF(OR(IFERROR(INDEX(Aktiv!$E$6:$E$350,MATCH(A7,Aktiv!$A$6:$A$350,0)),0)=0,IFERROR(INDEX(Aktiv!$F$6:$F$350,MATCH(A7,Aktiv!$A$6:$A$350,0)),0)=0),1,(IFERROR(INDEX(Aktiv!$E$6:$E$350,MATCH(A7,Aktiv!$A$6:$A$350,0)),0)*IFERROR(INDEX(Aktiv!$F$6:$F$350,MATCH(A7,Aktiv!$A$6:$A$350,0)),0)/1000000)/Steuerungsdaten!$B$6),1-1),0))</f>
        <v>38</v>
      </c>
      <c r="I7" s="293">
        <f>IFERROR(INDEX(Aktiv!$H$6:$H$350,MATCH(A7,Aktiv!$A$6:$A$350,0)),"")</f>
        <v>126</v>
      </c>
      <c r="J7" s="294">
        <f t="shared" si="2"/>
        <v>88</v>
      </c>
      <c r="K7" s="296">
        <f t="shared" si="3"/>
        <v>2.3157894736842106</v>
      </c>
      <c r="L7" s="297">
        <f>IF(C7="","",ROUND(C7*Steuerungsdaten!$B$4*Steuerungsdaten!$B$9*IFERROR(VLOOKUP(IFERROR(INDEX(Aktiv!$C$6:$C$350,MATCH(A7,Aktiv!$A$6:$A$350,0)),""),Steuerungsdaten!$B$17:$G$37,6,FALSE),1)*POWER(IF(OR(IFERROR(INDEX(Aktiv!$E$6:$E$350,MATCH(A7,Aktiv!$A$6:$A$350,0)),0)=0,IFERROR(INDEX(Aktiv!$F$6:$F$350,MATCH(A7,Aktiv!$A$6:$A$350,0)),0)=0),1,(IFERROR(INDEX(Aktiv!$E$6:$E$350,MATCH(A7,Aktiv!$A$6:$A$350,0)),0)*IFERROR(INDEX(Aktiv!$F$6:$F$350,MATCH(A7,Aktiv!$A$6:$A$350,0)),0)/1000000)/Steuerungsdaten!$B$6),1-1),0))</f>
        <v>38</v>
      </c>
      <c r="M7" s="297">
        <f>IFERROR(INDEX(Aktiv!$I$6:$I$350,MATCH(A7,Aktiv!$A$6:$A$350,0)),"")</f>
        <v>131</v>
      </c>
      <c r="N7" s="298">
        <f t="shared" si="4"/>
        <v>93</v>
      </c>
      <c r="O7" s="296">
        <f t="shared" si="5"/>
        <v>2.4473684210526314</v>
      </c>
      <c r="P7" s="297">
        <f>IF(C7="","",ROUND(C7*Steuerungsdaten!$B$4*Steuerungsdaten!$B$10*IFERROR(VLOOKUP(IFERROR(INDEX(Aktiv!$C$6:$C$350,MATCH(A7,Aktiv!$A$6:$A$350,0)),""),Steuerungsdaten!$B$17:$I$37,8,FALSE),1)*POWER(IF(OR(IFERROR(INDEX(Aktiv!$E$6:$E$350,MATCH(A7,Aktiv!$A$6:$A$350,0)),0)=0,IFERROR(INDEX(Aktiv!$F$6:$F$350,MATCH(A7,Aktiv!$A$6:$A$350,0)),0)=0),1,(IFERROR(INDEX(Aktiv!$E$6:$E$350,MATCH(A7,Aktiv!$A$6:$A$350,0)),0)*IFERROR(INDEX(Aktiv!$F$6:$F$350,MATCH(A7,Aktiv!$A$6:$A$350,0)),0)/1000000)/Steuerungsdaten!$B$6),1-1),0))</f>
        <v>41</v>
      </c>
      <c r="Q7" s="297">
        <f>IFERROR(INDEX(Aktiv!$J$6:$J$350,MATCH(A7,Aktiv!$A$6:$A$350,0)),"")</f>
        <v>146</v>
      </c>
      <c r="R7" s="298">
        <f t="shared" si="6"/>
        <v>105</v>
      </c>
      <c r="S7" s="296">
        <f t="shared" si="7"/>
        <v>2.5609756097560976</v>
      </c>
    </row>
    <row r="8" spans="1:19" x14ac:dyDescent="0.25">
      <c r="A8" s="292">
        <v>3003</v>
      </c>
      <c r="B8" s="292" t="s">
        <v>12</v>
      </c>
      <c r="C8" s="293">
        <f>IFERROR(INDEX(Aktiv!$O$6:$O$350,MATCH(A8,Aktiv!$A$6:$A$350,0)),"")</f>
        <v>56</v>
      </c>
      <c r="D8" s="293">
        <f>IF(C8="","",ROUND(C8*Steuerungsdaten!$B$4*Steuerungsdaten!$B$7*IFERROR(VLOOKUP(IFERROR(INDEX(Aktiv!$C$6:$C$350,MATCH(A8,Aktiv!$A$6:$A$350,0)),""),Steuerungsdaten!$B$17:$C$37,2,FALSE),1)*POWER(IF(OR(IFERROR(INDEX(Aktiv!$E$6:$E$350,MATCH(A8,Aktiv!$A$6:$A$350,0)),0)=0,IFERROR(INDEX(Aktiv!$F$6:$F$350,MATCH(A8,Aktiv!$A$6:$A$350,0)),0)=0),1,(IFERROR(INDEX(Aktiv!$E$6:$E$350,MATCH(A8,Aktiv!$A$6:$A$350,0)),0)*IFERROR(INDEX(Aktiv!$F$6:$F$350,MATCH(A8,Aktiv!$A$6:$A$350,0)),0)/1000000)/Steuerungsdaten!$B$6),IF(ISNUMBER(MATCH(IFERROR(INDEX(Aktiv!$C$6:$C$350,MATCH(A8,Aktiv!$A$6:$A$350,0)),""),{"Boden","Seite außen","Seite außen SY32","Rücken","Seite innen","Seite innen SY32","Seite innen SY32 DB","Fachboden klein","Fachboden groß","Klappenboden"},0)),1.2,1)-1),0))</f>
        <v>47</v>
      </c>
      <c r="E8" s="293">
        <f>IFERROR(INDEX(Aktiv!$G$6:$G$350,MATCH(A8,Aktiv!$A$6:$A$350,0)),"")</f>
        <v>49</v>
      </c>
      <c r="F8" s="294">
        <f t="shared" si="0"/>
        <v>2</v>
      </c>
      <c r="G8" s="295">
        <f t="shared" si="1"/>
        <v>4.2553191489361701E-2</v>
      </c>
      <c r="H8" s="293">
        <f>IF(C8="","",ROUND(C8*Steuerungsdaten!$B$4*Steuerungsdaten!$B$8*IFERROR(VLOOKUP(IFERROR(INDEX(Aktiv!$C$6:$C$350,MATCH(A8,Aktiv!$A$6:$A$350,0)),""),Steuerungsdaten!$B$17:$E$37,4,FALSE),1)*POWER(IF(OR(IFERROR(INDEX(Aktiv!$E$6:$E$350,MATCH(A8,Aktiv!$A$6:$A$350,0)),0)=0,IFERROR(INDEX(Aktiv!$F$6:$F$350,MATCH(A8,Aktiv!$A$6:$A$350,0)),0)=0),1,(IFERROR(INDEX(Aktiv!$E$6:$E$350,MATCH(A8,Aktiv!$A$6:$A$350,0)),0)*IFERROR(INDEX(Aktiv!$F$6:$F$350,MATCH(A8,Aktiv!$A$6:$A$350,0)),0)/1000000)/Steuerungsdaten!$B$6),1-1),0))</f>
        <v>49</v>
      </c>
      <c r="I8" s="293">
        <f>IFERROR(INDEX(Aktiv!$H$6:$H$350,MATCH(A8,Aktiv!$A$6:$A$350,0)),"")</f>
        <v>169</v>
      </c>
      <c r="J8" s="294">
        <f t="shared" si="2"/>
        <v>120</v>
      </c>
      <c r="K8" s="296">
        <f t="shared" si="3"/>
        <v>2.4489795918367347</v>
      </c>
      <c r="L8" s="297">
        <f>IF(C8="","",ROUND(C8*Steuerungsdaten!$B$4*Steuerungsdaten!$B$9*IFERROR(VLOOKUP(IFERROR(INDEX(Aktiv!$C$6:$C$350,MATCH(A8,Aktiv!$A$6:$A$350,0)),""),Steuerungsdaten!$B$17:$G$37,6,FALSE),1)*POWER(IF(OR(IFERROR(INDEX(Aktiv!$E$6:$E$350,MATCH(A8,Aktiv!$A$6:$A$350,0)),0)=0,IFERROR(INDEX(Aktiv!$F$6:$F$350,MATCH(A8,Aktiv!$A$6:$A$350,0)),0)=0),1,(IFERROR(INDEX(Aktiv!$E$6:$E$350,MATCH(A8,Aktiv!$A$6:$A$350,0)),0)*IFERROR(INDEX(Aktiv!$F$6:$F$350,MATCH(A8,Aktiv!$A$6:$A$350,0)),0)/1000000)/Steuerungsdaten!$B$6),1-1),0))</f>
        <v>49</v>
      </c>
      <c r="M8" s="297">
        <f>IFERROR(INDEX(Aktiv!$I$6:$I$350,MATCH(A8,Aktiv!$A$6:$A$350,0)),"")</f>
        <v>177</v>
      </c>
      <c r="N8" s="298">
        <f t="shared" si="4"/>
        <v>128</v>
      </c>
      <c r="O8" s="296">
        <f t="shared" si="5"/>
        <v>2.6122448979591835</v>
      </c>
      <c r="P8" s="297">
        <f>IF(C8="","",ROUND(C8*Steuerungsdaten!$B$4*Steuerungsdaten!$B$10*IFERROR(VLOOKUP(IFERROR(INDEX(Aktiv!$C$6:$C$350,MATCH(A8,Aktiv!$A$6:$A$350,0)),""),Steuerungsdaten!$B$17:$I$37,8,FALSE),1)*POWER(IF(OR(IFERROR(INDEX(Aktiv!$E$6:$E$350,MATCH(A8,Aktiv!$A$6:$A$350,0)),0)=0,IFERROR(INDEX(Aktiv!$F$6:$F$350,MATCH(A8,Aktiv!$A$6:$A$350,0)),0)=0),1,(IFERROR(INDEX(Aktiv!$E$6:$E$350,MATCH(A8,Aktiv!$A$6:$A$350,0)),0)*IFERROR(INDEX(Aktiv!$F$6:$F$350,MATCH(A8,Aktiv!$A$6:$A$350,0)),0)/1000000)/Steuerungsdaten!$B$6),1-1),0))</f>
        <v>54</v>
      </c>
      <c r="Q8" s="297">
        <f>IFERROR(INDEX(Aktiv!$J$6:$J$350,MATCH(A8,Aktiv!$A$6:$A$350,0)),"")</f>
        <v>196</v>
      </c>
      <c r="R8" s="298">
        <f t="shared" si="6"/>
        <v>142</v>
      </c>
      <c r="S8" s="296">
        <f t="shared" si="7"/>
        <v>2.6296296296296298</v>
      </c>
    </row>
    <row r="9" spans="1:19" x14ac:dyDescent="0.25">
      <c r="A9" s="292">
        <v>3004</v>
      </c>
      <c r="B9" s="292" t="s">
        <v>13</v>
      </c>
      <c r="C9" s="293">
        <f>IFERROR(INDEX(Aktiv!$O$6:$O$350,MATCH(A9,Aktiv!$A$6:$A$350,0)),"")</f>
        <v>70</v>
      </c>
      <c r="D9" s="293">
        <f>IF(C9="","",ROUND(C9*Steuerungsdaten!$B$4*Steuerungsdaten!$B$7*IFERROR(VLOOKUP(IFERROR(INDEX(Aktiv!$C$6:$C$350,MATCH(A9,Aktiv!$A$6:$A$350,0)),""),Steuerungsdaten!$B$17:$C$37,2,FALSE),1)*POWER(IF(OR(IFERROR(INDEX(Aktiv!$E$6:$E$350,MATCH(A9,Aktiv!$A$6:$A$350,0)),0)=0,IFERROR(INDEX(Aktiv!$F$6:$F$350,MATCH(A9,Aktiv!$A$6:$A$350,0)),0)=0),1,(IFERROR(INDEX(Aktiv!$E$6:$E$350,MATCH(A9,Aktiv!$A$6:$A$350,0)),0)*IFERROR(INDEX(Aktiv!$F$6:$F$350,MATCH(A9,Aktiv!$A$6:$A$350,0)),0)/1000000)/Steuerungsdaten!$B$6),IF(ISNUMBER(MATCH(IFERROR(INDEX(Aktiv!$C$6:$C$350,MATCH(A9,Aktiv!$A$6:$A$350,0)),""),{"Boden","Seite außen","Seite außen SY32","Rücken","Seite innen","Seite innen SY32","Seite innen SY32 DB","Fachboden klein","Fachboden groß","Klappenboden"},0)),1.2,1)-1),0))</f>
        <v>62</v>
      </c>
      <c r="E9" s="293">
        <f>IFERROR(INDEX(Aktiv!$G$6:$G$350,MATCH(A9,Aktiv!$A$6:$A$350,0)),"")</f>
        <v>62</v>
      </c>
      <c r="F9" s="294">
        <f t="shared" si="0"/>
        <v>0</v>
      </c>
      <c r="G9" s="295">
        <f t="shared" si="1"/>
        <v>0</v>
      </c>
      <c r="H9" s="293">
        <f>IF(C9="","",ROUND(C9*Steuerungsdaten!$B$4*Steuerungsdaten!$B$8*IFERROR(VLOOKUP(IFERROR(INDEX(Aktiv!$C$6:$C$350,MATCH(A9,Aktiv!$A$6:$A$350,0)),""),Steuerungsdaten!$B$17:$E$37,4,FALSE),1)*POWER(IF(OR(IFERROR(INDEX(Aktiv!$E$6:$E$350,MATCH(A9,Aktiv!$A$6:$A$350,0)),0)=0,IFERROR(INDEX(Aktiv!$F$6:$F$350,MATCH(A9,Aktiv!$A$6:$A$350,0)),0)=0),1,(IFERROR(INDEX(Aktiv!$E$6:$E$350,MATCH(A9,Aktiv!$A$6:$A$350,0)),0)*IFERROR(INDEX(Aktiv!$F$6:$F$350,MATCH(A9,Aktiv!$A$6:$A$350,0)),0)/1000000)/Steuerungsdaten!$B$6),1-1),0))</f>
        <v>62</v>
      </c>
      <c r="I9" s="293">
        <f>IFERROR(INDEX(Aktiv!$H$6:$H$350,MATCH(A9,Aktiv!$A$6:$A$350,0)),"")</f>
        <v>213</v>
      </c>
      <c r="J9" s="294">
        <f t="shared" si="2"/>
        <v>151</v>
      </c>
      <c r="K9" s="296">
        <f t="shared" si="3"/>
        <v>2.435483870967742</v>
      </c>
      <c r="L9" s="297">
        <f>IF(C9="","",ROUND(C9*Steuerungsdaten!$B$4*Steuerungsdaten!$B$9*IFERROR(VLOOKUP(IFERROR(INDEX(Aktiv!$C$6:$C$350,MATCH(A9,Aktiv!$A$6:$A$350,0)),""),Steuerungsdaten!$B$17:$G$37,6,FALSE),1)*POWER(IF(OR(IFERROR(INDEX(Aktiv!$E$6:$E$350,MATCH(A9,Aktiv!$A$6:$A$350,0)),0)=0,IFERROR(INDEX(Aktiv!$F$6:$F$350,MATCH(A9,Aktiv!$A$6:$A$350,0)),0)=0),1,(IFERROR(INDEX(Aktiv!$E$6:$E$350,MATCH(A9,Aktiv!$A$6:$A$350,0)),0)*IFERROR(INDEX(Aktiv!$F$6:$F$350,MATCH(A9,Aktiv!$A$6:$A$350,0)),0)/1000000)/Steuerungsdaten!$B$6),1-1),0))</f>
        <v>62</v>
      </c>
      <c r="M9" s="297">
        <f>IFERROR(INDEX(Aktiv!$I$6:$I$350,MATCH(A9,Aktiv!$A$6:$A$350,0)),"")</f>
        <v>222</v>
      </c>
      <c r="N9" s="298">
        <f t="shared" si="4"/>
        <v>160</v>
      </c>
      <c r="O9" s="296">
        <f t="shared" si="5"/>
        <v>2.5806451612903225</v>
      </c>
      <c r="P9" s="297">
        <f>IF(C9="","",ROUND(C9*Steuerungsdaten!$B$4*Steuerungsdaten!$B$10*IFERROR(VLOOKUP(IFERROR(INDEX(Aktiv!$C$6:$C$350,MATCH(A9,Aktiv!$A$6:$A$350,0)),""),Steuerungsdaten!$B$17:$I$37,8,FALSE),1)*POWER(IF(OR(IFERROR(INDEX(Aktiv!$E$6:$E$350,MATCH(A9,Aktiv!$A$6:$A$350,0)),0)=0,IFERROR(INDEX(Aktiv!$F$6:$F$350,MATCH(A9,Aktiv!$A$6:$A$350,0)),0)=0),1,(IFERROR(INDEX(Aktiv!$E$6:$E$350,MATCH(A9,Aktiv!$A$6:$A$350,0)),0)*IFERROR(INDEX(Aktiv!$F$6:$F$350,MATCH(A9,Aktiv!$A$6:$A$350,0)),0)/1000000)/Steuerungsdaten!$B$6),1-1),0))</f>
        <v>67</v>
      </c>
      <c r="Q9" s="297">
        <f>IFERROR(INDEX(Aktiv!$J$6:$J$350,MATCH(A9,Aktiv!$A$6:$A$350,0)),"")</f>
        <v>247</v>
      </c>
      <c r="R9" s="298">
        <f t="shared" si="6"/>
        <v>180</v>
      </c>
      <c r="S9" s="296">
        <f t="shared" si="7"/>
        <v>2.6865671641791047</v>
      </c>
    </row>
    <row r="10" spans="1:19" x14ac:dyDescent="0.25">
      <c r="A10" s="292">
        <v>3005</v>
      </c>
      <c r="B10" s="292" t="s">
        <v>14</v>
      </c>
      <c r="C10" s="293">
        <f>IFERROR(INDEX(Aktiv!$O$6:$O$350,MATCH(A10,Aktiv!$A$6:$A$350,0)),"")</f>
        <v>43</v>
      </c>
      <c r="D10" s="293">
        <f>IF(C10="","",ROUND(C10*Steuerungsdaten!$B$4*Steuerungsdaten!$B$7*IFERROR(VLOOKUP(IFERROR(INDEX(Aktiv!$C$6:$C$350,MATCH(A10,Aktiv!$A$6:$A$350,0)),""),Steuerungsdaten!$B$17:$C$37,2,FALSE),1)*POWER(IF(OR(IFERROR(INDEX(Aktiv!$E$6:$E$350,MATCH(A10,Aktiv!$A$6:$A$350,0)),0)=0,IFERROR(INDEX(Aktiv!$F$6:$F$350,MATCH(A10,Aktiv!$A$6:$A$350,0)),0)=0),1,(IFERROR(INDEX(Aktiv!$E$6:$E$350,MATCH(A10,Aktiv!$A$6:$A$350,0)),0)*IFERROR(INDEX(Aktiv!$F$6:$F$350,MATCH(A10,Aktiv!$A$6:$A$350,0)),0)/1000000)/Steuerungsdaten!$B$6),IF(ISNUMBER(MATCH(IFERROR(INDEX(Aktiv!$C$6:$C$350,MATCH(A10,Aktiv!$A$6:$A$350,0)),""),{"Boden","Seite außen","Seite außen SY32","Rücken","Seite innen","Seite innen SY32","Seite innen SY32 DB","Fachboden klein","Fachboden groß","Klappenboden"},0)),1.2,1)-1),0))</f>
        <v>34</v>
      </c>
      <c r="E10" s="293">
        <f>IFERROR(INDEX(Aktiv!$G$6:$G$350,MATCH(A10,Aktiv!$A$6:$A$350,0)),"")</f>
        <v>37</v>
      </c>
      <c r="F10" s="294">
        <f t="shared" si="0"/>
        <v>3</v>
      </c>
      <c r="G10" s="295">
        <f t="shared" si="1"/>
        <v>8.8235294117647065E-2</v>
      </c>
      <c r="H10" s="293">
        <f>IF(C10="","",ROUND(C10*Steuerungsdaten!$B$4*Steuerungsdaten!$B$8*IFERROR(VLOOKUP(IFERROR(INDEX(Aktiv!$C$6:$C$350,MATCH(A10,Aktiv!$A$6:$A$350,0)),""),Steuerungsdaten!$B$17:$E$37,4,FALSE),1)*POWER(IF(OR(IFERROR(INDEX(Aktiv!$E$6:$E$350,MATCH(A10,Aktiv!$A$6:$A$350,0)),0)=0,IFERROR(INDEX(Aktiv!$F$6:$F$350,MATCH(A10,Aktiv!$A$6:$A$350,0)),0)=0),1,(IFERROR(INDEX(Aktiv!$E$6:$E$350,MATCH(A10,Aktiv!$A$6:$A$350,0)),0)*IFERROR(INDEX(Aktiv!$F$6:$F$350,MATCH(A10,Aktiv!$A$6:$A$350,0)),0)/1000000)/Steuerungsdaten!$B$6),1-1),0))</f>
        <v>38</v>
      </c>
      <c r="I10" s="293">
        <f>IFERROR(INDEX(Aktiv!$H$6:$H$350,MATCH(A10,Aktiv!$A$6:$A$350,0)),"")</f>
        <v>126</v>
      </c>
      <c r="J10" s="294">
        <f t="shared" si="2"/>
        <v>88</v>
      </c>
      <c r="K10" s="296">
        <f t="shared" si="3"/>
        <v>2.3157894736842106</v>
      </c>
      <c r="L10" s="297">
        <f>IF(C10="","",ROUND(C10*Steuerungsdaten!$B$4*Steuerungsdaten!$B$9*IFERROR(VLOOKUP(IFERROR(INDEX(Aktiv!$C$6:$C$350,MATCH(A10,Aktiv!$A$6:$A$350,0)),""),Steuerungsdaten!$B$17:$G$37,6,FALSE),1)*POWER(IF(OR(IFERROR(INDEX(Aktiv!$E$6:$E$350,MATCH(A10,Aktiv!$A$6:$A$350,0)),0)=0,IFERROR(INDEX(Aktiv!$F$6:$F$350,MATCH(A10,Aktiv!$A$6:$A$350,0)),0)=0),1,(IFERROR(INDEX(Aktiv!$E$6:$E$350,MATCH(A10,Aktiv!$A$6:$A$350,0)),0)*IFERROR(INDEX(Aktiv!$F$6:$F$350,MATCH(A10,Aktiv!$A$6:$A$350,0)),0)/1000000)/Steuerungsdaten!$B$6),1-1),0))</f>
        <v>38</v>
      </c>
      <c r="M10" s="297">
        <f>IFERROR(INDEX(Aktiv!$I$6:$I$350,MATCH(A10,Aktiv!$A$6:$A$350,0)),"")</f>
        <v>131</v>
      </c>
      <c r="N10" s="298">
        <f t="shared" si="4"/>
        <v>93</v>
      </c>
      <c r="O10" s="296">
        <f t="shared" si="5"/>
        <v>2.4473684210526314</v>
      </c>
      <c r="P10" s="297">
        <f>IF(C10="","",ROUND(C10*Steuerungsdaten!$B$4*Steuerungsdaten!$B$10*IFERROR(VLOOKUP(IFERROR(INDEX(Aktiv!$C$6:$C$350,MATCH(A10,Aktiv!$A$6:$A$350,0)),""),Steuerungsdaten!$B$17:$I$37,8,FALSE),1)*POWER(IF(OR(IFERROR(INDEX(Aktiv!$E$6:$E$350,MATCH(A10,Aktiv!$A$6:$A$350,0)),0)=0,IFERROR(INDEX(Aktiv!$F$6:$F$350,MATCH(A10,Aktiv!$A$6:$A$350,0)),0)=0),1,(IFERROR(INDEX(Aktiv!$E$6:$E$350,MATCH(A10,Aktiv!$A$6:$A$350,0)),0)*IFERROR(INDEX(Aktiv!$F$6:$F$350,MATCH(A10,Aktiv!$A$6:$A$350,0)),0)/1000000)/Steuerungsdaten!$B$6),1-1),0))</f>
        <v>41</v>
      </c>
      <c r="Q10" s="297">
        <f>IFERROR(INDEX(Aktiv!$J$6:$J$350,MATCH(A10,Aktiv!$A$6:$A$350,0)),"")</f>
        <v>146</v>
      </c>
      <c r="R10" s="298">
        <f t="shared" si="6"/>
        <v>105</v>
      </c>
      <c r="S10" s="296">
        <f t="shared" si="7"/>
        <v>2.5609756097560976</v>
      </c>
    </row>
    <row r="11" spans="1:19" x14ac:dyDescent="0.25">
      <c r="A11" s="292">
        <v>3006</v>
      </c>
      <c r="B11" s="292" t="s">
        <v>16</v>
      </c>
      <c r="C11" s="293">
        <f>IFERROR(INDEX(Aktiv!$O$6:$O$350,MATCH(A11,Aktiv!$A$6:$A$350,0)),"")</f>
        <v>49</v>
      </c>
      <c r="D11" s="293">
        <f>IF(C11="","",ROUND(C11*Steuerungsdaten!$B$4*Steuerungsdaten!$B$7*IFERROR(VLOOKUP(IFERROR(INDEX(Aktiv!$C$6:$C$350,MATCH(A11,Aktiv!$A$6:$A$350,0)),""),Steuerungsdaten!$B$17:$C$37,2,FALSE),1)*POWER(IF(OR(IFERROR(INDEX(Aktiv!$E$6:$E$350,MATCH(A11,Aktiv!$A$6:$A$350,0)),0)=0,IFERROR(INDEX(Aktiv!$F$6:$F$350,MATCH(A11,Aktiv!$A$6:$A$350,0)),0)=0),1,(IFERROR(INDEX(Aktiv!$E$6:$E$350,MATCH(A11,Aktiv!$A$6:$A$350,0)),0)*IFERROR(INDEX(Aktiv!$F$6:$F$350,MATCH(A11,Aktiv!$A$6:$A$350,0)),0)/1000000)/Steuerungsdaten!$B$6),IF(ISNUMBER(MATCH(IFERROR(INDEX(Aktiv!$C$6:$C$350,MATCH(A11,Aktiv!$A$6:$A$350,0)),""),{"Boden","Seite außen","Seite außen SY32","Rücken","Seite innen","Seite innen SY32","Seite innen SY32 DB","Fachboden klein","Fachboden groß","Klappenboden"},0)),1.2,1)-1),0))</f>
        <v>40</v>
      </c>
      <c r="E11" s="293">
        <f>IFERROR(INDEX(Aktiv!$G$6:$G$350,MATCH(A11,Aktiv!$A$6:$A$350,0)),"")</f>
        <v>43</v>
      </c>
      <c r="F11" s="294">
        <f t="shared" si="0"/>
        <v>3</v>
      </c>
      <c r="G11" s="295">
        <f t="shared" si="1"/>
        <v>7.4999999999999997E-2</v>
      </c>
      <c r="H11" s="293">
        <f>IF(C11="","",ROUND(C11*Steuerungsdaten!$B$4*Steuerungsdaten!$B$8*IFERROR(VLOOKUP(IFERROR(INDEX(Aktiv!$C$6:$C$350,MATCH(A11,Aktiv!$A$6:$A$350,0)),""),Steuerungsdaten!$B$17:$E$37,4,FALSE),1)*POWER(IF(OR(IFERROR(INDEX(Aktiv!$E$6:$E$350,MATCH(A11,Aktiv!$A$6:$A$350,0)),0)=0,IFERROR(INDEX(Aktiv!$F$6:$F$350,MATCH(A11,Aktiv!$A$6:$A$350,0)),0)=0),1,(IFERROR(INDEX(Aktiv!$E$6:$E$350,MATCH(A11,Aktiv!$A$6:$A$350,0)),0)*IFERROR(INDEX(Aktiv!$F$6:$F$350,MATCH(A11,Aktiv!$A$6:$A$350,0)),0)/1000000)/Steuerungsdaten!$B$6),1-1),0))</f>
        <v>43</v>
      </c>
      <c r="I11" s="293">
        <f>IFERROR(INDEX(Aktiv!$H$6:$H$350,MATCH(A11,Aktiv!$A$6:$A$350,0)),"")</f>
        <v>147</v>
      </c>
      <c r="J11" s="294">
        <f t="shared" si="2"/>
        <v>104</v>
      </c>
      <c r="K11" s="296">
        <f t="shared" si="3"/>
        <v>2.4186046511627906</v>
      </c>
      <c r="L11" s="297">
        <f>IF(C11="","",ROUND(C11*Steuerungsdaten!$B$4*Steuerungsdaten!$B$9*IFERROR(VLOOKUP(IFERROR(INDEX(Aktiv!$C$6:$C$350,MATCH(A11,Aktiv!$A$6:$A$350,0)),""),Steuerungsdaten!$B$17:$G$37,6,FALSE),1)*POWER(IF(OR(IFERROR(INDEX(Aktiv!$E$6:$E$350,MATCH(A11,Aktiv!$A$6:$A$350,0)),0)=0,IFERROR(INDEX(Aktiv!$F$6:$F$350,MATCH(A11,Aktiv!$A$6:$A$350,0)),0)=0),1,(IFERROR(INDEX(Aktiv!$E$6:$E$350,MATCH(A11,Aktiv!$A$6:$A$350,0)),0)*IFERROR(INDEX(Aktiv!$F$6:$F$350,MATCH(A11,Aktiv!$A$6:$A$350,0)),0)/1000000)/Steuerungsdaten!$B$6),1-1),0))</f>
        <v>43</v>
      </c>
      <c r="M11" s="297">
        <f>IFERROR(INDEX(Aktiv!$I$6:$I$350,MATCH(A11,Aktiv!$A$6:$A$350,0)),"")</f>
        <v>153</v>
      </c>
      <c r="N11" s="298">
        <f t="shared" si="4"/>
        <v>110</v>
      </c>
      <c r="O11" s="296">
        <f t="shared" si="5"/>
        <v>2.558139534883721</v>
      </c>
      <c r="P11" s="297">
        <f>IF(C11="","",ROUND(C11*Steuerungsdaten!$B$4*Steuerungsdaten!$B$10*IFERROR(VLOOKUP(IFERROR(INDEX(Aktiv!$C$6:$C$350,MATCH(A11,Aktiv!$A$6:$A$350,0)),""),Steuerungsdaten!$B$17:$I$37,8,FALSE),1)*POWER(IF(OR(IFERROR(INDEX(Aktiv!$E$6:$E$350,MATCH(A11,Aktiv!$A$6:$A$350,0)),0)=0,IFERROR(INDEX(Aktiv!$F$6:$F$350,MATCH(A11,Aktiv!$A$6:$A$350,0)),0)=0),1,(IFERROR(INDEX(Aktiv!$E$6:$E$350,MATCH(A11,Aktiv!$A$6:$A$350,0)),0)*IFERROR(INDEX(Aktiv!$F$6:$F$350,MATCH(A11,Aktiv!$A$6:$A$350,0)),0)/1000000)/Steuerungsdaten!$B$6),1-1),0))</f>
        <v>47</v>
      </c>
      <c r="Q11" s="297">
        <f>IFERROR(INDEX(Aktiv!$J$6:$J$350,MATCH(A11,Aktiv!$A$6:$A$350,0)),"")</f>
        <v>170</v>
      </c>
      <c r="R11" s="298">
        <f t="shared" si="6"/>
        <v>123</v>
      </c>
      <c r="S11" s="296">
        <f t="shared" si="7"/>
        <v>2.6170212765957448</v>
      </c>
    </row>
    <row r="12" spans="1:19" x14ac:dyDescent="0.25">
      <c r="A12" s="292">
        <v>3007</v>
      </c>
      <c r="B12" s="292" t="s">
        <v>17</v>
      </c>
      <c r="C12" s="293">
        <f>IFERROR(INDEX(Aktiv!$O$6:$O$350,MATCH(A12,Aktiv!$A$6:$A$350,0)),"")</f>
        <v>67</v>
      </c>
      <c r="D12" s="293">
        <f>IF(C12="","",ROUND(C12*Steuerungsdaten!$B$4*Steuerungsdaten!$B$7*IFERROR(VLOOKUP(IFERROR(INDEX(Aktiv!$C$6:$C$350,MATCH(A12,Aktiv!$A$6:$A$350,0)),""),Steuerungsdaten!$B$17:$C$37,2,FALSE),1)*POWER(IF(OR(IFERROR(INDEX(Aktiv!$E$6:$E$350,MATCH(A12,Aktiv!$A$6:$A$350,0)),0)=0,IFERROR(INDEX(Aktiv!$F$6:$F$350,MATCH(A12,Aktiv!$A$6:$A$350,0)),0)=0),1,(IFERROR(INDEX(Aktiv!$E$6:$E$350,MATCH(A12,Aktiv!$A$6:$A$350,0)),0)*IFERROR(INDEX(Aktiv!$F$6:$F$350,MATCH(A12,Aktiv!$A$6:$A$350,0)),0)/1000000)/Steuerungsdaten!$B$6),IF(ISNUMBER(MATCH(IFERROR(INDEX(Aktiv!$C$6:$C$350,MATCH(A12,Aktiv!$A$6:$A$350,0)),""),{"Boden","Seite außen","Seite außen SY32","Rücken","Seite innen","Seite innen SY32","Seite innen SY32 DB","Fachboden klein","Fachboden groß","Klappenboden"},0)),1.2,1)-1),0))</f>
        <v>58</v>
      </c>
      <c r="E12" s="293">
        <f>IFERROR(INDEX(Aktiv!$G$6:$G$350,MATCH(A12,Aktiv!$A$6:$A$350,0)),"")</f>
        <v>59</v>
      </c>
      <c r="F12" s="294">
        <f t="shared" si="0"/>
        <v>1</v>
      </c>
      <c r="G12" s="295">
        <f t="shared" si="1"/>
        <v>1.7241379310344827E-2</v>
      </c>
      <c r="H12" s="293">
        <f>IF(C12="","",ROUND(C12*Steuerungsdaten!$B$4*Steuerungsdaten!$B$8*IFERROR(VLOOKUP(IFERROR(INDEX(Aktiv!$C$6:$C$350,MATCH(A12,Aktiv!$A$6:$A$350,0)),""),Steuerungsdaten!$B$17:$E$37,4,FALSE),1)*POWER(IF(OR(IFERROR(INDEX(Aktiv!$E$6:$E$350,MATCH(A12,Aktiv!$A$6:$A$350,0)),0)=0,IFERROR(INDEX(Aktiv!$F$6:$F$350,MATCH(A12,Aktiv!$A$6:$A$350,0)),0)=0),1,(IFERROR(INDEX(Aktiv!$E$6:$E$350,MATCH(A12,Aktiv!$A$6:$A$350,0)),0)*IFERROR(INDEX(Aktiv!$F$6:$F$350,MATCH(A12,Aktiv!$A$6:$A$350,0)),0)/1000000)/Steuerungsdaten!$B$6),1-1),0))</f>
        <v>59</v>
      </c>
      <c r="I12" s="293">
        <f>IFERROR(INDEX(Aktiv!$H$6:$H$350,MATCH(A12,Aktiv!$A$6:$A$350,0)),"")</f>
        <v>203</v>
      </c>
      <c r="J12" s="294">
        <f t="shared" si="2"/>
        <v>144</v>
      </c>
      <c r="K12" s="296">
        <f t="shared" si="3"/>
        <v>2.4406779661016951</v>
      </c>
      <c r="L12" s="297">
        <f>IF(C12="","",ROUND(C12*Steuerungsdaten!$B$4*Steuerungsdaten!$B$9*IFERROR(VLOOKUP(IFERROR(INDEX(Aktiv!$C$6:$C$350,MATCH(A12,Aktiv!$A$6:$A$350,0)),""),Steuerungsdaten!$B$17:$G$37,6,FALSE),1)*POWER(IF(OR(IFERROR(INDEX(Aktiv!$E$6:$E$350,MATCH(A12,Aktiv!$A$6:$A$350,0)),0)=0,IFERROR(INDEX(Aktiv!$F$6:$F$350,MATCH(A12,Aktiv!$A$6:$A$350,0)),0)=0),1,(IFERROR(INDEX(Aktiv!$E$6:$E$350,MATCH(A12,Aktiv!$A$6:$A$350,0)),0)*IFERROR(INDEX(Aktiv!$F$6:$F$350,MATCH(A12,Aktiv!$A$6:$A$350,0)),0)/1000000)/Steuerungsdaten!$B$6),1-1),0))</f>
        <v>59</v>
      </c>
      <c r="M12" s="297">
        <f>IFERROR(INDEX(Aktiv!$I$6:$I$350,MATCH(A12,Aktiv!$A$6:$A$350,0)),"")</f>
        <v>211</v>
      </c>
      <c r="N12" s="298">
        <f t="shared" si="4"/>
        <v>152</v>
      </c>
      <c r="O12" s="296">
        <f t="shared" si="5"/>
        <v>2.5762711864406778</v>
      </c>
      <c r="P12" s="297">
        <f>IF(C12="","",ROUND(C12*Steuerungsdaten!$B$4*Steuerungsdaten!$B$10*IFERROR(VLOOKUP(IFERROR(INDEX(Aktiv!$C$6:$C$350,MATCH(A12,Aktiv!$A$6:$A$350,0)),""),Steuerungsdaten!$B$17:$I$37,8,FALSE),1)*POWER(IF(OR(IFERROR(INDEX(Aktiv!$E$6:$E$350,MATCH(A12,Aktiv!$A$6:$A$350,0)),0)=0,IFERROR(INDEX(Aktiv!$F$6:$F$350,MATCH(A12,Aktiv!$A$6:$A$350,0)),0)=0),1,(IFERROR(INDEX(Aktiv!$E$6:$E$350,MATCH(A12,Aktiv!$A$6:$A$350,0)),0)*IFERROR(INDEX(Aktiv!$F$6:$F$350,MATCH(A12,Aktiv!$A$6:$A$350,0)),0)/1000000)/Steuerungsdaten!$B$6),1-1),0))</f>
        <v>64</v>
      </c>
      <c r="Q12" s="297">
        <f>IFERROR(INDEX(Aktiv!$J$6:$J$350,MATCH(A12,Aktiv!$A$6:$A$350,0)),"")</f>
        <v>235</v>
      </c>
      <c r="R12" s="298">
        <f t="shared" si="6"/>
        <v>171</v>
      </c>
      <c r="S12" s="296">
        <f t="shared" si="7"/>
        <v>2.671875</v>
      </c>
    </row>
    <row r="13" spans="1:19" x14ac:dyDescent="0.25">
      <c r="A13" s="292">
        <v>3008</v>
      </c>
      <c r="B13" s="292" t="s">
        <v>18</v>
      </c>
      <c r="C13" s="293">
        <f>IFERROR(INDEX(Aktiv!$O$6:$O$350,MATCH(A13,Aktiv!$A$6:$A$350,0)),"")</f>
        <v>87</v>
      </c>
      <c r="D13" s="293">
        <f>IF(C13="","",ROUND(C13*Steuerungsdaten!$B$4*Steuerungsdaten!$B$7*IFERROR(VLOOKUP(IFERROR(INDEX(Aktiv!$C$6:$C$350,MATCH(A13,Aktiv!$A$6:$A$350,0)),""),Steuerungsdaten!$B$17:$C$37,2,FALSE),1)*POWER(IF(OR(IFERROR(INDEX(Aktiv!$E$6:$E$350,MATCH(A13,Aktiv!$A$6:$A$350,0)),0)=0,IFERROR(INDEX(Aktiv!$F$6:$F$350,MATCH(A13,Aktiv!$A$6:$A$350,0)),0)=0),1,(IFERROR(INDEX(Aktiv!$E$6:$E$350,MATCH(A13,Aktiv!$A$6:$A$350,0)),0)*IFERROR(INDEX(Aktiv!$F$6:$F$350,MATCH(A13,Aktiv!$A$6:$A$350,0)),0)/1000000)/Steuerungsdaten!$B$6),IF(ISNUMBER(MATCH(IFERROR(INDEX(Aktiv!$C$6:$C$350,MATCH(A13,Aktiv!$A$6:$A$350,0)),""),{"Boden","Seite außen","Seite außen SY32","Rücken","Seite innen","Seite innen SY32","Seite innen SY32 DB","Fachboden klein","Fachboden groß","Klappenboden"},0)),1.2,1)-1),0))</f>
        <v>81</v>
      </c>
      <c r="E13" s="293">
        <f>IFERROR(INDEX(Aktiv!$G$6:$G$350,MATCH(A13,Aktiv!$A$6:$A$350,0)),"")</f>
        <v>80</v>
      </c>
      <c r="F13" s="294">
        <f t="shared" si="0"/>
        <v>-1</v>
      </c>
      <c r="G13" s="295">
        <f t="shared" si="1"/>
        <v>-1.2345679012345678E-2</v>
      </c>
      <c r="H13" s="293">
        <f>IF(C13="","",ROUND(C13*Steuerungsdaten!$B$4*Steuerungsdaten!$B$8*IFERROR(VLOOKUP(IFERROR(INDEX(Aktiv!$C$6:$C$350,MATCH(A13,Aktiv!$A$6:$A$350,0)),""),Steuerungsdaten!$B$17:$E$37,4,FALSE),1)*POWER(IF(OR(IFERROR(INDEX(Aktiv!$E$6:$E$350,MATCH(A13,Aktiv!$A$6:$A$350,0)),0)=0,IFERROR(INDEX(Aktiv!$F$6:$F$350,MATCH(A13,Aktiv!$A$6:$A$350,0)),0)=0),1,(IFERROR(INDEX(Aktiv!$E$6:$E$350,MATCH(A13,Aktiv!$A$6:$A$350,0)),0)*IFERROR(INDEX(Aktiv!$F$6:$F$350,MATCH(A13,Aktiv!$A$6:$A$350,0)),0)/1000000)/Steuerungsdaten!$B$6),1-1),0))</f>
        <v>77</v>
      </c>
      <c r="I13" s="293">
        <f>IFERROR(INDEX(Aktiv!$H$6:$H$350,MATCH(A13,Aktiv!$A$6:$A$350,0)),"")</f>
        <v>273</v>
      </c>
      <c r="J13" s="294">
        <f t="shared" si="2"/>
        <v>196</v>
      </c>
      <c r="K13" s="296">
        <f t="shared" si="3"/>
        <v>2.5454545454545454</v>
      </c>
      <c r="L13" s="297">
        <f>IF(C13="","",ROUND(C13*Steuerungsdaten!$B$4*Steuerungsdaten!$B$9*IFERROR(VLOOKUP(IFERROR(INDEX(Aktiv!$C$6:$C$350,MATCH(A13,Aktiv!$A$6:$A$350,0)),""),Steuerungsdaten!$B$17:$G$37,6,FALSE),1)*POWER(IF(OR(IFERROR(INDEX(Aktiv!$E$6:$E$350,MATCH(A13,Aktiv!$A$6:$A$350,0)),0)=0,IFERROR(INDEX(Aktiv!$F$6:$F$350,MATCH(A13,Aktiv!$A$6:$A$350,0)),0)=0),1,(IFERROR(INDEX(Aktiv!$E$6:$E$350,MATCH(A13,Aktiv!$A$6:$A$350,0)),0)*IFERROR(INDEX(Aktiv!$F$6:$F$350,MATCH(A13,Aktiv!$A$6:$A$350,0)),0)/1000000)/Steuerungsdaten!$B$6),1-1),0))</f>
        <v>77</v>
      </c>
      <c r="M13" s="297">
        <f>IFERROR(INDEX(Aktiv!$I$6:$I$350,MATCH(A13,Aktiv!$A$6:$A$350,0)),"")</f>
        <v>284</v>
      </c>
      <c r="N13" s="298">
        <f t="shared" si="4"/>
        <v>207</v>
      </c>
      <c r="O13" s="296">
        <f t="shared" si="5"/>
        <v>2.6883116883116882</v>
      </c>
      <c r="P13" s="297">
        <f>IF(C13="","",ROUND(C13*Steuerungsdaten!$B$4*Steuerungsdaten!$B$10*IFERROR(VLOOKUP(IFERROR(INDEX(Aktiv!$C$6:$C$350,MATCH(A13,Aktiv!$A$6:$A$350,0)),""),Steuerungsdaten!$B$17:$I$37,8,FALSE),1)*POWER(IF(OR(IFERROR(INDEX(Aktiv!$E$6:$E$350,MATCH(A13,Aktiv!$A$6:$A$350,0)),0)=0,IFERROR(INDEX(Aktiv!$F$6:$F$350,MATCH(A13,Aktiv!$A$6:$A$350,0)),0)=0),1,(IFERROR(INDEX(Aktiv!$E$6:$E$350,MATCH(A13,Aktiv!$A$6:$A$350,0)),0)*IFERROR(INDEX(Aktiv!$F$6:$F$350,MATCH(A13,Aktiv!$A$6:$A$350,0)),0)/1000000)/Steuerungsdaten!$B$6),1-1),0))</f>
        <v>84</v>
      </c>
      <c r="Q13" s="297">
        <f>IFERROR(INDEX(Aktiv!$J$6:$J$350,MATCH(A13,Aktiv!$A$6:$A$350,0)),"")</f>
        <v>316</v>
      </c>
      <c r="R13" s="298">
        <f t="shared" si="6"/>
        <v>232</v>
      </c>
      <c r="S13" s="296">
        <f t="shared" si="7"/>
        <v>2.7619047619047619</v>
      </c>
    </row>
    <row r="14" spans="1:19" x14ac:dyDescent="0.25">
      <c r="A14" s="292">
        <v>3009</v>
      </c>
      <c r="B14" s="292" t="s">
        <v>19</v>
      </c>
      <c r="C14" s="293">
        <f>IFERROR(INDEX(Aktiv!$O$6:$O$350,MATCH(A14,Aktiv!$A$6:$A$350,0)),"")</f>
        <v>110</v>
      </c>
      <c r="D14" s="293">
        <f>IF(C14="","",ROUND(C14*Steuerungsdaten!$B$4*Steuerungsdaten!$B$7*IFERROR(VLOOKUP(IFERROR(INDEX(Aktiv!$C$6:$C$350,MATCH(A14,Aktiv!$A$6:$A$350,0)),""),Steuerungsdaten!$B$17:$C$37,2,FALSE),1)*POWER(IF(OR(IFERROR(INDEX(Aktiv!$E$6:$E$350,MATCH(A14,Aktiv!$A$6:$A$350,0)),0)=0,IFERROR(INDEX(Aktiv!$F$6:$F$350,MATCH(A14,Aktiv!$A$6:$A$350,0)),0)=0),1,(IFERROR(INDEX(Aktiv!$E$6:$E$350,MATCH(A14,Aktiv!$A$6:$A$350,0)),0)*IFERROR(INDEX(Aktiv!$F$6:$F$350,MATCH(A14,Aktiv!$A$6:$A$350,0)),0)/1000000)/Steuerungsdaten!$B$6),IF(ISNUMBER(MATCH(IFERROR(INDEX(Aktiv!$C$6:$C$350,MATCH(A14,Aktiv!$A$6:$A$350,0)),""),{"Boden","Seite außen","Seite außen SY32","Rücken","Seite innen","Seite innen SY32","Seite innen SY32 DB","Fachboden klein","Fachboden groß","Klappenboden"},0)),1.2,1)-1),0))</f>
        <v>107</v>
      </c>
      <c r="E14" s="293">
        <f>IFERROR(INDEX(Aktiv!$G$6:$G$350,MATCH(A14,Aktiv!$A$6:$A$350,0)),"")</f>
        <v>100</v>
      </c>
      <c r="F14" s="294">
        <f t="shared" si="0"/>
        <v>-7</v>
      </c>
      <c r="G14" s="295">
        <f t="shared" si="1"/>
        <v>-6.5420560747663545E-2</v>
      </c>
      <c r="H14" s="293">
        <f>IF(C14="","",ROUND(C14*Steuerungsdaten!$B$4*Steuerungsdaten!$B$8*IFERROR(VLOOKUP(IFERROR(INDEX(Aktiv!$C$6:$C$350,MATCH(A14,Aktiv!$A$6:$A$350,0)),""),Steuerungsdaten!$B$17:$E$37,4,FALSE),1)*POWER(IF(OR(IFERROR(INDEX(Aktiv!$E$6:$E$350,MATCH(A14,Aktiv!$A$6:$A$350,0)),0)=0,IFERROR(INDEX(Aktiv!$F$6:$F$350,MATCH(A14,Aktiv!$A$6:$A$350,0)),0)=0),1,(IFERROR(INDEX(Aktiv!$E$6:$E$350,MATCH(A14,Aktiv!$A$6:$A$350,0)),0)*IFERROR(INDEX(Aktiv!$F$6:$F$350,MATCH(A14,Aktiv!$A$6:$A$350,0)),0)/1000000)/Steuerungsdaten!$B$6),1-1),0))</f>
        <v>97</v>
      </c>
      <c r="I14" s="293">
        <f>IFERROR(INDEX(Aktiv!$H$6:$H$350,MATCH(A14,Aktiv!$A$6:$A$350,0)),"")</f>
        <v>343</v>
      </c>
      <c r="J14" s="294">
        <f t="shared" si="2"/>
        <v>246</v>
      </c>
      <c r="K14" s="296">
        <f t="shared" si="3"/>
        <v>2.536082474226804</v>
      </c>
      <c r="L14" s="297">
        <f>IF(C14="","",ROUND(C14*Steuerungsdaten!$B$4*Steuerungsdaten!$B$9*IFERROR(VLOOKUP(IFERROR(INDEX(Aktiv!$C$6:$C$350,MATCH(A14,Aktiv!$A$6:$A$350,0)),""),Steuerungsdaten!$B$17:$G$37,6,FALSE),1)*POWER(IF(OR(IFERROR(INDEX(Aktiv!$E$6:$E$350,MATCH(A14,Aktiv!$A$6:$A$350,0)),0)=0,IFERROR(INDEX(Aktiv!$F$6:$F$350,MATCH(A14,Aktiv!$A$6:$A$350,0)),0)=0),1,(IFERROR(INDEX(Aktiv!$E$6:$E$350,MATCH(A14,Aktiv!$A$6:$A$350,0)),0)*IFERROR(INDEX(Aktiv!$F$6:$F$350,MATCH(A14,Aktiv!$A$6:$A$350,0)),0)/1000000)/Steuerungsdaten!$B$6),1-1),0))</f>
        <v>97</v>
      </c>
      <c r="M14" s="297">
        <f>IFERROR(INDEX(Aktiv!$I$6:$I$350,MATCH(A14,Aktiv!$A$6:$A$350,0)),"")</f>
        <v>357</v>
      </c>
      <c r="N14" s="298">
        <f t="shared" si="4"/>
        <v>260</v>
      </c>
      <c r="O14" s="296">
        <f t="shared" si="5"/>
        <v>2.6804123711340204</v>
      </c>
      <c r="P14" s="297">
        <f>IF(C14="","",ROUND(C14*Steuerungsdaten!$B$4*Steuerungsdaten!$B$10*IFERROR(VLOOKUP(IFERROR(INDEX(Aktiv!$C$6:$C$350,MATCH(A14,Aktiv!$A$6:$A$350,0)),""),Steuerungsdaten!$B$17:$I$37,8,FALSE),1)*POWER(IF(OR(IFERROR(INDEX(Aktiv!$E$6:$E$350,MATCH(A14,Aktiv!$A$6:$A$350,0)),0)=0,IFERROR(INDEX(Aktiv!$F$6:$F$350,MATCH(A14,Aktiv!$A$6:$A$350,0)),0)=0),1,(IFERROR(INDEX(Aktiv!$E$6:$E$350,MATCH(A14,Aktiv!$A$6:$A$350,0)),0)*IFERROR(INDEX(Aktiv!$F$6:$F$350,MATCH(A14,Aktiv!$A$6:$A$350,0)),0)/1000000)/Steuerungsdaten!$B$6),1-1),0))</f>
        <v>106</v>
      </c>
      <c r="Q14" s="297">
        <f>IFERROR(INDEX(Aktiv!$J$6:$J$350,MATCH(A14,Aktiv!$A$6:$A$350,0)),"")</f>
        <v>398</v>
      </c>
      <c r="R14" s="298">
        <f t="shared" si="6"/>
        <v>292</v>
      </c>
      <c r="S14" s="296">
        <f t="shared" si="7"/>
        <v>2.7547169811320753</v>
      </c>
    </row>
    <row r="15" spans="1:19" x14ac:dyDescent="0.25">
      <c r="A15" s="292">
        <v>3010</v>
      </c>
      <c r="B15" s="292" t="s">
        <v>20</v>
      </c>
      <c r="C15" s="293">
        <f>IFERROR(INDEX(Aktiv!$O$6:$O$350,MATCH(A15,Aktiv!$A$6:$A$350,0)),"")</f>
        <v>113</v>
      </c>
      <c r="D15" s="293">
        <f>IF(C15="","",ROUND(C15*Steuerungsdaten!$B$4*Steuerungsdaten!$B$7*IFERROR(VLOOKUP(IFERROR(INDEX(Aktiv!$C$6:$C$350,MATCH(A15,Aktiv!$A$6:$A$350,0)),""),Steuerungsdaten!$B$17:$C$37,2,FALSE),1)*POWER(IF(OR(IFERROR(INDEX(Aktiv!$E$6:$E$350,MATCH(A15,Aktiv!$A$6:$A$350,0)),0)=0,IFERROR(INDEX(Aktiv!$F$6:$F$350,MATCH(A15,Aktiv!$A$6:$A$350,0)),0)=0),1,(IFERROR(INDEX(Aktiv!$E$6:$E$350,MATCH(A15,Aktiv!$A$6:$A$350,0)),0)*IFERROR(INDEX(Aktiv!$F$6:$F$350,MATCH(A15,Aktiv!$A$6:$A$350,0)),0)/1000000)/Steuerungsdaten!$B$6),IF(ISNUMBER(MATCH(IFERROR(INDEX(Aktiv!$C$6:$C$350,MATCH(A15,Aktiv!$A$6:$A$350,0)),""),{"Boden","Seite außen","Seite außen SY32","Rücken","Seite innen","Seite innen SY32","Seite innen SY32 DB","Fachboden klein","Fachboden groß","Klappenboden"},0)),1.2,1)-1),0))</f>
        <v>111</v>
      </c>
      <c r="E15" s="293">
        <f>IFERROR(INDEX(Aktiv!$G$6:$G$350,MATCH(A15,Aktiv!$A$6:$A$350,0)),"")</f>
        <v>107</v>
      </c>
      <c r="F15" s="294">
        <f t="shared" si="0"/>
        <v>-4</v>
      </c>
      <c r="G15" s="295">
        <f t="shared" si="1"/>
        <v>-3.6036036036036036E-2</v>
      </c>
      <c r="H15" s="293">
        <f>IF(C15="","",ROUND(C15*Steuerungsdaten!$B$4*Steuerungsdaten!$B$8*IFERROR(VLOOKUP(IFERROR(INDEX(Aktiv!$C$6:$C$350,MATCH(A15,Aktiv!$A$6:$A$350,0)),""),Steuerungsdaten!$B$17:$E$37,4,FALSE),1)*POWER(IF(OR(IFERROR(INDEX(Aktiv!$E$6:$E$350,MATCH(A15,Aktiv!$A$6:$A$350,0)),0)=0,IFERROR(INDEX(Aktiv!$F$6:$F$350,MATCH(A15,Aktiv!$A$6:$A$350,0)),0)=0),1,(IFERROR(INDEX(Aktiv!$E$6:$E$350,MATCH(A15,Aktiv!$A$6:$A$350,0)),0)*IFERROR(INDEX(Aktiv!$F$6:$F$350,MATCH(A15,Aktiv!$A$6:$A$350,0)),0)/1000000)/Steuerungsdaten!$B$6),1-1),0))</f>
        <v>99</v>
      </c>
      <c r="I15" s="293">
        <f>IFERROR(INDEX(Aktiv!$H$6:$H$350,MATCH(A15,Aktiv!$A$6:$A$350,0)),"")</f>
        <v>367</v>
      </c>
      <c r="J15" s="294">
        <f t="shared" si="2"/>
        <v>268</v>
      </c>
      <c r="K15" s="296">
        <f t="shared" si="3"/>
        <v>2.7070707070707072</v>
      </c>
      <c r="L15" s="297">
        <f>IF(C15="","",ROUND(C15*Steuerungsdaten!$B$4*Steuerungsdaten!$B$9*IFERROR(VLOOKUP(IFERROR(INDEX(Aktiv!$C$6:$C$350,MATCH(A15,Aktiv!$A$6:$A$350,0)),""),Steuerungsdaten!$B$17:$G$37,6,FALSE),1)*POWER(IF(OR(IFERROR(INDEX(Aktiv!$E$6:$E$350,MATCH(A15,Aktiv!$A$6:$A$350,0)),0)=0,IFERROR(INDEX(Aktiv!$F$6:$F$350,MATCH(A15,Aktiv!$A$6:$A$350,0)),0)=0),1,(IFERROR(INDEX(Aktiv!$E$6:$E$350,MATCH(A15,Aktiv!$A$6:$A$350,0)),0)*IFERROR(INDEX(Aktiv!$F$6:$F$350,MATCH(A15,Aktiv!$A$6:$A$350,0)),0)/1000000)/Steuerungsdaten!$B$6),1-1),0))</f>
        <v>99</v>
      </c>
      <c r="M15" s="297">
        <f>IFERROR(INDEX(Aktiv!$I$6:$I$350,MATCH(A15,Aktiv!$A$6:$A$350,0)),"")</f>
        <v>382</v>
      </c>
      <c r="N15" s="298">
        <f t="shared" si="4"/>
        <v>283</v>
      </c>
      <c r="O15" s="296">
        <f t="shared" si="5"/>
        <v>2.8585858585858586</v>
      </c>
      <c r="P15" s="297">
        <f>IF(C15="","",ROUND(C15*Steuerungsdaten!$B$4*Steuerungsdaten!$B$10*IFERROR(VLOOKUP(IFERROR(INDEX(Aktiv!$C$6:$C$350,MATCH(A15,Aktiv!$A$6:$A$350,0)),""),Steuerungsdaten!$B$17:$I$37,8,FALSE),1)*POWER(IF(OR(IFERROR(INDEX(Aktiv!$E$6:$E$350,MATCH(A15,Aktiv!$A$6:$A$350,0)),0)=0,IFERROR(INDEX(Aktiv!$F$6:$F$350,MATCH(A15,Aktiv!$A$6:$A$350,0)),0)=0),1,(IFERROR(INDEX(Aktiv!$E$6:$E$350,MATCH(A15,Aktiv!$A$6:$A$350,0)),0)*IFERROR(INDEX(Aktiv!$F$6:$F$350,MATCH(A15,Aktiv!$A$6:$A$350,0)),0)/1000000)/Steuerungsdaten!$B$6),1-1),0))</f>
        <v>108</v>
      </c>
      <c r="Q15" s="297">
        <f>IFERROR(INDEX(Aktiv!$J$6:$J$350,MATCH(A15,Aktiv!$A$6:$A$350,0)),"")</f>
        <v>426</v>
      </c>
      <c r="R15" s="298">
        <f t="shared" si="6"/>
        <v>318</v>
      </c>
      <c r="S15" s="296">
        <f t="shared" si="7"/>
        <v>2.9444444444444446</v>
      </c>
    </row>
    <row r="16" spans="1:19" x14ac:dyDescent="0.25">
      <c r="A16" s="292">
        <v>3011</v>
      </c>
      <c r="B16" s="292" t="s">
        <v>21</v>
      </c>
      <c r="C16" s="293">
        <f>IFERROR(INDEX(Aktiv!$O$6:$O$350,MATCH(A16,Aktiv!$A$6:$A$350,0)),"")</f>
        <v>139</v>
      </c>
      <c r="D16" s="293">
        <f>IF(C16="","",ROUND(C16*Steuerungsdaten!$B$4*Steuerungsdaten!$B$7*IFERROR(VLOOKUP(IFERROR(INDEX(Aktiv!$C$6:$C$350,MATCH(A16,Aktiv!$A$6:$A$350,0)),""),Steuerungsdaten!$B$17:$C$37,2,FALSE),1)*POWER(IF(OR(IFERROR(INDEX(Aktiv!$E$6:$E$350,MATCH(A16,Aktiv!$A$6:$A$350,0)),0)=0,IFERROR(INDEX(Aktiv!$F$6:$F$350,MATCH(A16,Aktiv!$A$6:$A$350,0)),0)=0),1,(IFERROR(INDEX(Aktiv!$E$6:$E$350,MATCH(A16,Aktiv!$A$6:$A$350,0)),0)*IFERROR(INDEX(Aktiv!$F$6:$F$350,MATCH(A16,Aktiv!$A$6:$A$350,0)),0)/1000000)/Steuerungsdaten!$B$6),IF(ISNUMBER(MATCH(IFERROR(INDEX(Aktiv!$C$6:$C$350,MATCH(A16,Aktiv!$A$6:$A$350,0)),""),{"Boden","Seite außen","Seite außen SY32","Rücken","Seite innen","Seite innen SY32","Seite innen SY32 DB","Fachboden klein","Fachboden groß","Klappenboden"},0)),1.2,1)-1),0))</f>
        <v>143</v>
      </c>
      <c r="E16" s="293">
        <f>IFERROR(INDEX(Aktiv!$G$6:$G$350,MATCH(A16,Aktiv!$A$6:$A$350,0)),"")</f>
        <v>135</v>
      </c>
      <c r="F16" s="294">
        <f t="shared" si="0"/>
        <v>-8</v>
      </c>
      <c r="G16" s="295">
        <f t="shared" si="1"/>
        <v>-5.5944055944055944E-2</v>
      </c>
      <c r="H16" s="293">
        <f>IF(C16="","",ROUND(C16*Steuerungsdaten!$B$4*Steuerungsdaten!$B$8*IFERROR(VLOOKUP(IFERROR(INDEX(Aktiv!$C$6:$C$350,MATCH(A16,Aktiv!$A$6:$A$350,0)),""),Steuerungsdaten!$B$17:$E$37,4,FALSE),1)*POWER(IF(OR(IFERROR(INDEX(Aktiv!$E$6:$E$350,MATCH(A16,Aktiv!$A$6:$A$350,0)),0)=0,IFERROR(INDEX(Aktiv!$F$6:$F$350,MATCH(A16,Aktiv!$A$6:$A$350,0)),0)=0),1,(IFERROR(INDEX(Aktiv!$E$6:$E$350,MATCH(A16,Aktiv!$A$6:$A$350,0)),0)*IFERROR(INDEX(Aktiv!$F$6:$F$350,MATCH(A16,Aktiv!$A$6:$A$350,0)),0)/1000000)/Steuerungsdaten!$B$6),1-1),0))</f>
        <v>122</v>
      </c>
      <c r="I16" s="293">
        <f>IFERROR(INDEX(Aktiv!$H$6:$H$350,MATCH(A16,Aktiv!$A$6:$A$350,0)),"")</f>
        <v>461</v>
      </c>
      <c r="J16" s="294">
        <f t="shared" si="2"/>
        <v>339</v>
      </c>
      <c r="K16" s="296">
        <f t="shared" si="3"/>
        <v>2.778688524590164</v>
      </c>
      <c r="L16" s="297">
        <f>IF(C16="","",ROUND(C16*Steuerungsdaten!$B$4*Steuerungsdaten!$B$9*IFERROR(VLOOKUP(IFERROR(INDEX(Aktiv!$C$6:$C$350,MATCH(A16,Aktiv!$A$6:$A$350,0)),""),Steuerungsdaten!$B$17:$G$37,6,FALSE),1)*POWER(IF(OR(IFERROR(INDEX(Aktiv!$E$6:$E$350,MATCH(A16,Aktiv!$A$6:$A$350,0)),0)=0,IFERROR(INDEX(Aktiv!$F$6:$F$350,MATCH(A16,Aktiv!$A$6:$A$350,0)),0)=0),1,(IFERROR(INDEX(Aktiv!$E$6:$E$350,MATCH(A16,Aktiv!$A$6:$A$350,0)),0)*IFERROR(INDEX(Aktiv!$F$6:$F$350,MATCH(A16,Aktiv!$A$6:$A$350,0)),0)/1000000)/Steuerungsdaten!$B$6),1-1),0))</f>
        <v>122</v>
      </c>
      <c r="M16" s="297">
        <f>IFERROR(INDEX(Aktiv!$I$6:$I$350,MATCH(A16,Aktiv!$A$6:$A$350,0)),"")</f>
        <v>480</v>
      </c>
      <c r="N16" s="298">
        <f t="shared" si="4"/>
        <v>358</v>
      </c>
      <c r="O16" s="296">
        <f t="shared" si="5"/>
        <v>2.9344262295081966</v>
      </c>
      <c r="P16" s="297">
        <f>IF(C16="","",ROUND(C16*Steuerungsdaten!$B$4*Steuerungsdaten!$B$10*IFERROR(VLOOKUP(IFERROR(INDEX(Aktiv!$C$6:$C$350,MATCH(A16,Aktiv!$A$6:$A$350,0)),""),Steuerungsdaten!$B$17:$I$37,8,FALSE),1)*POWER(IF(OR(IFERROR(INDEX(Aktiv!$E$6:$E$350,MATCH(A16,Aktiv!$A$6:$A$350,0)),0)=0,IFERROR(INDEX(Aktiv!$F$6:$F$350,MATCH(A16,Aktiv!$A$6:$A$350,0)),0)=0),1,(IFERROR(INDEX(Aktiv!$E$6:$E$350,MATCH(A16,Aktiv!$A$6:$A$350,0)),0)*IFERROR(INDEX(Aktiv!$F$6:$F$350,MATCH(A16,Aktiv!$A$6:$A$350,0)),0)/1000000)/Steuerungsdaten!$B$6),1-1),0))</f>
        <v>133</v>
      </c>
      <c r="Q16" s="297">
        <f>IFERROR(INDEX(Aktiv!$J$6:$J$350,MATCH(A16,Aktiv!$A$6:$A$350,0)),"")</f>
        <v>535</v>
      </c>
      <c r="R16" s="298">
        <f t="shared" si="6"/>
        <v>402</v>
      </c>
      <c r="S16" s="296">
        <f t="shared" si="7"/>
        <v>3.0225563909774436</v>
      </c>
    </row>
    <row r="17" spans="1:19" x14ac:dyDescent="0.25">
      <c r="A17" s="292">
        <v>3012</v>
      </c>
      <c r="B17" s="292" t="s">
        <v>22</v>
      </c>
      <c r="C17" s="293">
        <f>IFERROR(INDEX(Aktiv!$O$6:$O$350,MATCH(A17,Aktiv!$A$6:$A$350,0)),"")</f>
        <v>180</v>
      </c>
      <c r="D17" s="293">
        <f>IF(C17="","",ROUND(C17*Steuerungsdaten!$B$4*Steuerungsdaten!$B$7*IFERROR(VLOOKUP(IFERROR(INDEX(Aktiv!$C$6:$C$350,MATCH(A17,Aktiv!$A$6:$A$350,0)),""),Steuerungsdaten!$B$17:$C$37,2,FALSE),1)*POWER(IF(OR(IFERROR(INDEX(Aktiv!$E$6:$E$350,MATCH(A17,Aktiv!$A$6:$A$350,0)),0)=0,IFERROR(INDEX(Aktiv!$F$6:$F$350,MATCH(A17,Aktiv!$A$6:$A$350,0)),0)=0),1,(IFERROR(INDEX(Aktiv!$E$6:$E$350,MATCH(A17,Aktiv!$A$6:$A$350,0)),0)*IFERROR(INDEX(Aktiv!$F$6:$F$350,MATCH(A17,Aktiv!$A$6:$A$350,0)),0)/1000000)/Steuerungsdaten!$B$6),IF(ISNUMBER(MATCH(IFERROR(INDEX(Aktiv!$C$6:$C$350,MATCH(A17,Aktiv!$A$6:$A$350,0)),""),{"Boden","Seite außen","Seite außen SY32","Rücken","Seite innen","Seite innen SY32","Seite innen SY32 DB","Fachboden klein","Fachboden groß","Klappenboden"},0)),1.2,1)-1),0))</f>
        <v>194</v>
      </c>
      <c r="E17" s="293">
        <f>IFERROR(INDEX(Aktiv!$G$6:$G$350,MATCH(A17,Aktiv!$A$6:$A$350,0)),"")</f>
        <v>169</v>
      </c>
      <c r="F17" s="294">
        <f t="shared" si="0"/>
        <v>-25</v>
      </c>
      <c r="G17" s="295">
        <f t="shared" si="1"/>
        <v>-0.12886597938144329</v>
      </c>
      <c r="H17" s="293">
        <f>IF(C17="","",ROUND(C17*Steuerungsdaten!$B$4*Steuerungsdaten!$B$8*IFERROR(VLOOKUP(IFERROR(INDEX(Aktiv!$C$6:$C$350,MATCH(A17,Aktiv!$A$6:$A$350,0)),""),Steuerungsdaten!$B$17:$E$37,4,FALSE),1)*POWER(IF(OR(IFERROR(INDEX(Aktiv!$E$6:$E$350,MATCH(A17,Aktiv!$A$6:$A$350,0)),0)=0,IFERROR(INDEX(Aktiv!$F$6:$F$350,MATCH(A17,Aktiv!$A$6:$A$350,0)),0)=0),1,(IFERROR(INDEX(Aktiv!$E$6:$E$350,MATCH(A17,Aktiv!$A$6:$A$350,0)),0)*IFERROR(INDEX(Aktiv!$F$6:$F$350,MATCH(A17,Aktiv!$A$6:$A$350,0)),0)/1000000)/Steuerungsdaten!$B$6),1-1),0))</f>
        <v>158</v>
      </c>
      <c r="I17" s="293">
        <f>IFERROR(INDEX(Aktiv!$H$6:$H$350,MATCH(A17,Aktiv!$A$6:$A$350,0)),"")</f>
        <v>580</v>
      </c>
      <c r="J17" s="294">
        <f t="shared" si="2"/>
        <v>422</v>
      </c>
      <c r="K17" s="296">
        <f t="shared" si="3"/>
        <v>2.6708860759493671</v>
      </c>
      <c r="L17" s="297">
        <f>IF(C17="","",ROUND(C17*Steuerungsdaten!$B$4*Steuerungsdaten!$B$9*IFERROR(VLOOKUP(IFERROR(INDEX(Aktiv!$C$6:$C$350,MATCH(A17,Aktiv!$A$6:$A$350,0)),""),Steuerungsdaten!$B$17:$G$37,6,FALSE),1)*POWER(IF(OR(IFERROR(INDEX(Aktiv!$E$6:$E$350,MATCH(A17,Aktiv!$A$6:$A$350,0)),0)=0,IFERROR(INDEX(Aktiv!$F$6:$F$350,MATCH(A17,Aktiv!$A$6:$A$350,0)),0)=0),1,(IFERROR(INDEX(Aktiv!$E$6:$E$350,MATCH(A17,Aktiv!$A$6:$A$350,0)),0)*IFERROR(INDEX(Aktiv!$F$6:$F$350,MATCH(A17,Aktiv!$A$6:$A$350,0)),0)/1000000)/Steuerungsdaten!$B$6),1-1),0))</f>
        <v>158</v>
      </c>
      <c r="M17" s="297">
        <f>IFERROR(INDEX(Aktiv!$I$6:$I$350,MATCH(A17,Aktiv!$A$6:$A$350,0)),"")</f>
        <v>604</v>
      </c>
      <c r="N17" s="298">
        <f t="shared" si="4"/>
        <v>446</v>
      </c>
      <c r="O17" s="296">
        <f t="shared" si="5"/>
        <v>2.8227848101265822</v>
      </c>
      <c r="P17" s="297">
        <f>IF(C17="","",ROUND(C17*Steuerungsdaten!$B$4*Steuerungsdaten!$B$10*IFERROR(VLOOKUP(IFERROR(INDEX(Aktiv!$C$6:$C$350,MATCH(A17,Aktiv!$A$6:$A$350,0)),""),Steuerungsdaten!$B$17:$I$37,8,FALSE),1)*POWER(IF(OR(IFERROR(INDEX(Aktiv!$E$6:$E$350,MATCH(A17,Aktiv!$A$6:$A$350,0)),0)=0,IFERROR(INDEX(Aktiv!$F$6:$F$350,MATCH(A17,Aktiv!$A$6:$A$350,0)),0)=0),1,(IFERROR(INDEX(Aktiv!$E$6:$E$350,MATCH(A17,Aktiv!$A$6:$A$350,0)),0)*IFERROR(INDEX(Aktiv!$F$6:$F$350,MATCH(A17,Aktiv!$A$6:$A$350,0)),0)/1000000)/Steuerungsdaten!$B$6),1-1),0))</f>
        <v>173</v>
      </c>
      <c r="Q17" s="297">
        <f>IFERROR(INDEX(Aktiv!$J$6:$J$350,MATCH(A17,Aktiv!$A$6:$A$350,0)),"")</f>
        <v>672</v>
      </c>
      <c r="R17" s="298">
        <f t="shared" si="6"/>
        <v>499</v>
      </c>
      <c r="S17" s="296">
        <f t="shared" si="7"/>
        <v>2.8843930635838149</v>
      </c>
    </row>
    <row r="18" spans="1:19" x14ac:dyDescent="0.25">
      <c r="A18" s="292">
        <v>3013</v>
      </c>
      <c r="B18" s="292" t="s">
        <v>23</v>
      </c>
      <c r="C18" s="293">
        <f>IFERROR(INDEX(Aktiv!$O$6:$O$350,MATCH(A18,Aktiv!$A$6:$A$350,0)),"")</f>
        <v>71</v>
      </c>
      <c r="D18" s="293">
        <f>IF(C18="","",ROUND(C18*Steuerungsdaten!$B$4*Steuerungsdaten!$B$7*IFERROR(VLOOKUP(IFERROR(INDEX(Aktiv!$C$6:$C$350,MATCH(A18,Aktiv!$A$6:$A$350,0)),""),Steuerungsdaten!$B$17:$C$37,2,FALSE),1)*POWER(IF(OR(IFERROR(INDEX(Aktiv!$E$6:$E$350,MATCH(A18,Aktiv!$A$6:$A$350,0)),0)=0,IFERROR(INDEX(Aktiv!$F$6:$F$350,MATCH(A18,Aktiv!$A$6:$A$350,0)),0)=0),1,(IFERROR(INDEX(Aktiv!$E$6:$E$350,MATCH(A18,Aktiv!$A$6:$A$350,0)),0)*IFERROR(INDEX(Aktiv!$F$6:$F$350,MATCH(A18,Aktiv!$A$6:$A$350,0)),0)/1000000)/Steuerungsdaten!$B$6),IF(ISNUMBER(MATCH(IFERROR(INDEX(Aktiv!$C$6:$C$350,MATCH(A18,Aktiv!$A$6:$A$350,0)),""),{"Boden","Seite außen","Seite außen SY32","Rücken","Seite innen","Seite innen SY32","Seite innen SY32 DB","Fachboden klein","Fachboden groß","Klappenboden"},0)),1.2,1)-1),0))</f>
        <v>62</v>
      </c>
      <c r="E18" s="293">
        <f>IFERROR(INDEX(Aktiv!$G$6:$G$350,MATCH(A18,Aktiv!$A$6:$A$350,0)),"")</f>
        <v>58</v>
      </c>
      <c r="F18" s="294">
        <f t="shared" si="0"/>
        <v>-4</v>
      </c>
      <c r="G18" s="295">
        <f t="shared" si="1"/>
        <v>-6.4516129032258063E-2</v>
      </c>
      <c r="H18" s="293">
        <f>IF(C18="","",ROUND(C18*Steuerungsdaten!$B$4*Steuerungsdaten!$B$8*IFERROR(VLOOKUP(IFERROR(INDEX(Aktiv!$C$6:$C$350,MATCH(A18,Aktiv!$A$6:$A$350,0)),""),Steuerungsdaten!$B$17:$E$37,4,FALSE),1)*POWER(IF(OR(IFERROR(INDEX(Aktiv!$E$6:$E$350,MATCH(A18,Aktiv!$A$6:$A$350,0)),0)=0,IFERROR(INDEX(Aktiv!$F$6:$F$350,MATCH(A18,Aktiv!$A$6:$A$350,0)),0)=0),1,(IFERROR(INDEX(Aktiv!$E$6:$E$350,MATCH(A18,Aktiv!$A$6:$A$350,0)),0)*IFERROR(INDEX(Aktiv!$F$6:$F$350,MATCH(A18,Aktiv!$A$6:$A$350,0)),0)/1000000)/Steuerungsdaten!$B$6),1-1),0))</f>
        <v>62</v>
      </c>
      <c r="I18" s="293">
        <f>IFERROR(INDEX(Aktiv!$H$6:$H$350,MATCH(A18,Aktiv!$A$6:$A$350,0)),"")</f>
        <v>198</v>
      </c>
      <c r="J18" s="294">
        <f t="shared" si="2"/>
        <v>136</v>
      </c>
      <c r="K18" s="296">
        <f t="shared" si="3"/>
        <v>2.193548387096774</v>
      </c>
      <c r="L18" s="297">
        <f>IF(C18="","",ROUND(C18*Steuerungsdaten!$B$4*Steuerungsdaten!$B$9*IFERROR(VLOOKUP(IFERROR(INDEX(Aktiv!$C$6:$C$350,MATCH(A18,Aktiv!$A$6:$A$350,0)),""),Steuerungsdaten!$B$17:$G$37,6,FALSE),1)*POWER(IF(OR(IFERROR(INDEX(Aktiv!$E$6:$E$350,MATCH(A18,Aktiv!$A$6:$A$350,0)),0)=0,IFERROR(INDEX(Aktiv!$F$6:$F$350,MATCH(A18,Aktiv!$A$6:$A$350,0)),0)=0),1,(IFERROR(INDEX(Aktiv!$E$6:$E$350,MATCH(A18,Aktiv!$A$6:$A$350,0)),0)*IFERROR(INDEX(Aktiv!$F$6:$F$350,MATCH(A18,Aktiv!$A$6:$A$350,0)),0)/1000000)/Steuerungsdaten!$B$6),1-1),0))</f>
        <v>62</v>
      </c>
      <c r="M18" s="297">
        <f>IFERROR(INDEX(Aktiv!$I$6:$I$350,MATCH(A18,Aktiv!$A$6:$A$350,0)),"")</f>
        <v>206</v>
      </c>
      <c r="N18" s="298">
        <f t="shared" si="4"/>
        <v>144</v>
      </c>
      <c r="O18" s="296">
        <f t="shared" si="5"/>
        <v>2.3225806451612905</v>
      </c>
      <c r="P18" s="297">
        <f>IF(C18="","",ROUND(C18*Steuerungsdaten!$B$4*Steuerungsdaten!$B$10*IFERROR(VLOOKUP(IFERROR(INDEX(Aktiv!$C$6:$C$350,MATCH(A18,Aktiv!$A$6:$A$350,0)),""),Steuerungsdaten!$B$17:$I$37,8,FALSE),1)*POWER(IF(OR(IFERROR(INDEX(Aktiv!$E$6:$E$350,MATCH(A18,Aktiv!$A$6:$A$350,0)),0)=0,IFERROR(INDEX(Aktiv!$F$6:$F$350,MATCH(A18,Aktiv!$A$6:$A$350,0)),0)=0),1,(IFERROR(INDEX(Aktiv!$E$6:$E$350,MATCH(A18,Aktiv!$A$6:$A$350,0)),0)*IFERROR(INDEX(Aktiv!$F$6:$F$350,MATCH(A18,Aktiv!$A$6:$A$350,0)),0)/1000000)/Steuerungsdaten!$B$6),1-1),0))</f>
        <v>68</v>
      </c>
      <c r="Q18" s="297">
        <f>IFERROR(INDEX(Aktiv!$J$6:$J$350,MATCH(A18,Aktiv!$A$6:$A$350,0)),"")</f>
        <v>229</v>
      </c>
      <c r="R18" s="298">
        <f t="shared" si="6"/>
        <v>161</v>
      </c>
      <c r="S18" s="296">
        <f t="shared" si="7"/>
        <v>2.3676470588235294</v>
      </c>
    </row>
    <row r="19" spans="1:19" x14ac:dyDescent="0.25">
      <c r="A19" s="292">
        <v>3014</v>
      </c>
      <c r="B19" s="292" t="s">
        <v>24</v>
      </c>
      <c r="C19" s="293">
        <f>IFERROR(INDEX(Aktiv!$O$6:$O$350,MATCH(A19,Aktiv!$A$6:$A$350,0)),"")</f>
        <v>88</v>
      </c>
      <c r="D19" s="293">
        <f>IF(C19="","",ROUND(C19*Steuerungsdaten!$B$4*Steuerungsdaten!$B$7*IFERROR(VLOOKUP(IFERROR(INDEX(Aktiv!$C$6:$C$350,MATCH(A19,Aktiv!$A$6:$A$350,0)),""),Steuerungsdaten!$B$17:$C$37,2,FALSE),1)*POWER(IF(OR(IFERROR(INDEX(Aktiv!$E$6:$E$350,MATCH(A19,Aktiv!$A$6:$A$350,0)),0)=0,IFERROR(INDEX(Aktiv!$F$6:$F$350,MATCH(A19,Aktiv!$A$6:$A$350,0)),0)=0),1,(IFERROR(INDEX(Aktiv!$E$6:$E$350,MATCH(A19,Aktiv!$A$6:$A$350,0)),0)*IFERROR(INDEX(Aktiv!$F$6:$F$350,MATCH(A19,Aktiv!$A$6:$A$350,0)),0)/1000000)/Steuerungsdaten!$B$6),IF(ISNUMBER(MATCH(IFERROR(INDEX(Aktiv!$C$6:$C$350,MATCH(A19,Aktiv!$A$6:$A$350,0)),""),{"Boden","Seite außen","Seite außen SY32","Rücken","Seite innen","Seite innen SY32","Seite innen SY32 DB","Fachboden klein","Fachboden groß","Klappenboden"},0)),1.2,1)-1),0))</f>
        <v>80</v>
      </c>
      <c r="E19" s="293">
        <f>IFERROR(INDEX(Aktiv!$G$6:$G$350,MATCH(A19,Aktiv!$A$6:$A$350,0)),"")</f>
        <v>72</v>
      </c>
      <c r="F19" s="294">
        <f t="shared" si="0"/>
        <v>-8</v>
      </c>
      <c r="G19" s="295">
        <f t="shared" si="1"/>
        <v>-0.1</v>
      </c>
      <c r="H19" s="293">
        <f>IF(C19="","",ROUND(C19*Steuerungsdaten!$B$4*Steuerungsdaten!$B$8*IFERROR(VLOOKUP(IFERROR(INDEX(Aktiv!$C$6:$C$350,MATCH(A19,Aktiv!$A$6:$A$350,0)),""),Steuerungsdaten!$B$17:$E$37,4,FALSE),1)*POWER(IF(OR(IFERROR(INDEX(Aktiv!$E$6:$E$350,MATCH(A19,Aktiv!$A$6:$A$350,0)),0)=0,IFERROR(INDEX(Aktiv!$F$6:$F$350,MATCH(A19,Aktiv!$A$6:$A$350,0)),0)=0),1,(IFERROR(INDEX(Aktiv!$E$6:$E$350,MATCH(A19,Aktiv!$A$6:$A$350,0)),0)*IFERROR(INDEX(Aktiv!$F$6:$F$350,MATCH(A19,Aktiv!$A$6:$A$350,0)),0)/1000000)/Steuerungsdaten!$B$6),1-1),0))</f>
        <v>77</v>
      </c>
      <c r="I19" s="293">
        <f>IFERROR(INDEX(Aktiv!$H$6:$H$350,MATCH(A19,Aktiv!$A$6:$A$350,0)),"")</f>
        <v>248</v>
      </c>
      <c r="J19" s="294">
        <f t="shared" si="2"/>
        <v>171</v>
      </c>
      <c r="K19" s="296">
        <f t="shared" si="3"/>
        <v>2.220779220779221</v>
      </c>
      <c r="L19" s="297">
        <f>IF(C19="","",ROUND(C19*Steuerungsdaten!$B$4*Steuerungsdaten!$B$9*IFERROR(VLOOKUP(IFERROR(INDEX(Aktiv!$C$6:$C$350,MATCH(A19,Aktiv!$A$6:$A$350,0)),""),Steuerungsdaten!$B$17:$G$37,6,FALSE),1)*POWER(IF(OR(IFERROR(INDEX(Aktiv!$E$6:$E$350,MATCH(A19,Aktiv!$A$6:$A$350,0)),0)=0,IFERROR(INDEX(Aktiv!$F$6:$F$350,MATCH(A19,Aktiv!$A$6:$A$350,0)),0)=0),1,(IFERROR(INDEX(Aktiv!$E$6:$E$350,MATCH(A19,Aktiv!$A$6:$A$350,0)),0)*IFERROR(INDEX(Aktiv!$F$6:$F$350,MATCH(A19,Aktiv!$A$6:$A$350,0)),0)/1000000)/Steuerungsdaten!$B$6),1-1),0))</f>
        <v>77</v>
      </c>
      <c r="M19" s="297">
        <f>IFERROR(INDEX(Aktiv!$I$6:$I$350,MATCH(A19,Aktiv!$A$6:$A$350,0)),"")</f>
        <v>259</v>
      </c>
      <c r="N19" s="298">
        <f t="shared" si="4"/>
        <v>182</v>
      </c>
      <c r="O19" s="296">
        <f t="shared" si="5"/>
        <v>2.3636363636363638</v>
      </c>
      <c r="P19" s="297">
        <f>IF(C19="","",ROUND(C19*Steuerungsdaten!$B$4*Steuerungsdaten!$B$10*IFERROR(VLOOKUP(IFERROR(INDEX(Aktiv!$C$6:$C$350,MATCH(A19,Aktiv!$A$6:$A$350,0)),""),Steuerungsdaten!$B$17:$I$37,8,FALSE),1)*POWER(IF(OR(IFERROR(INDEX(Aktiv!$E$6:$E$350,MATCH(A19,Aktiv!$A$6:$A$350,0)),0)=0,IFERROR(INDEX(Aktiv!$F$6:$F$350,MATCH(A19,Aktiv!$A$6:$A$350,0)),0)=0),1,(IFERROR(INDEX(Aktiv!$E$6:$E$350,MATCH(A19,Aktiv!$A$6:$A$350,0)),0)*IFERROR(INDEX(Aktiv!$F$6:$F$350,MATCH(A19,Aktiv!$A$6:$A$350,0)),0)/1000000)/Steuerungsdaten!$B$6),1-1),0))</f>
        <v>84</v>
      </c>
      <c r="Q19" s="297">
        <f>IFERROR(INDEX(Aktiv!$J$6:$J$350,MATCH(A19,Aktiv!$A$6:$A$350,0)),"")</f>
        <v>288</v>
      </c>
      <c r="R19" s="298">
        <f t="shared" si="6"/>
        <v>204</v>
      </c>
      <c r="S19" s="296">
        <f t="shared" si="7"/>
        <v>2.4285714285714284</v>
      </c>
    </row>
    <row r="20" spans="1:19" x14ac:dyDescent="0.25">
      <c r="A20" s="292" t="s">
        <v>25</v>
      </c>
      <c r="B20" s="292" t="s">
        <v>26</v>
      </c>
      <c r="C20" s="293">
        <f>IFERROR(INDEX(Aktiv!$O$6:$O$350,MATCH(A20,Aktiv!$A$6:$A$350,0)),"")</f>
        <v>56</v>
      </c>
      <c r="D20" s="293">
        <f>IF(C20="","",ROUND(C20*Steuerungsdaten!$B$4*Steuerungsdaten!$B$7*IFERROR(VLOOKUP(IFERROR(INDEX(Aktiv!$C$6:$C$350,MATCH(A20,Aktiv!$A$6:$A$350,0)),""),Steuerungsdaten!$B$17:$C$37,2,FALSE),1)*POWER(IF(OR(IFERROR(INDEX(Aktiv!$E$6:$E$350,MATCH(A20,Aktiv!$A$6:$A$350,0)),0)=0,IFERROR(INDEX(Aktiv!$F$6:$F$350,MATCH(A20,Aktiv!$A$6:$A$350,0)),0)=0),1,(IFERROR(INDEX(Aktiv!$E$6:$E$350,MATCH(A20,Aktiv!$A$6:$A$350,0)),0)*IFERROR(INDEX(Aktiv!$F$6:$F$350,MATCH(A20,Aktiv!$A$6:$A$350,0)),0)/1000000)/Steuerungsdaten!$B$6),IF(ISNUMBER(MATCH(IFERROR(INDEX(Aktiv!$C$6:$C$350,MATCH(A20,Aktiv!$A$6:$A$350,0)),""),{"Boden","Seite außen","Seite außen SY32","Rücken","Seite innen","Seite innen SY32","Seite innen SY32 DB","Fachboden klein","Fachboden groß","Klappenboden"},0)),1.2,1)-1),0))</f>
        <v>43</v>
      </c>
      <c r="E20" s="293">
        <f>IFERROR(INDEX(Aktiv!$G$6:$G$350,MATCH(A20,Aktiv!$A$6:$A$350,0)),"")</f>
        <v>31</v>
      </c>
      <c r="F20" s="294">
        <f t="shared" si="0"/>
        <v>-12</v>
      </c>
      <c r="G20" s="295">
        <f t="shared" si="1"/>
        <v>-0.27906976744186046</v>
      </c>
      <c r="H20" s="293">
        <f>IF(C20="","",ROUND(C20*Steuerungsdaten!$B$4*Steuerungsdaten!$B$8*IFERROR(VLOOKUP(IFERROR(INDEX(Aktiv!$C$6:$C$350,MATCH(A20,Aktiv!$A$6:$A$350,0)),""),Steuerungsdaten!$B$17:$E$37,4,FALSE),1)*POWER(IF(OR(IFERROR(INDEX(Aktiv!$E$6:$E$350,MATCH(A20,Aktiv!$A$6:$A$350,0)),0)=0,IFERROR(INDEX(Aktiv!$F$6:$F$350,MATCH(A20,Aktiv!$A$6:$A$350,0)),0)=0),1,(IFERROR(INDEX(Aktiv!$E$6:$E$350,MATCH(A20,Aktiv!$A$6:$A$350,0)),0)*IFERROR(INDEX(Aktiv!$F$6:$F$350,MATCH(A20,Aktiv!$A$6:$A$350,0)),0)/1000000)/Steuerungsdaten!$B$6),1-1),0))</f>
        <v>49</v>
      </c>
      <c r="I20" s="293">
        <f>IFERROR(INDEX(Aktiv!$H$6:$H$350,MATCH(A20,Aktiv!$A$6:$A$350,0)),"")</f>
        <v>106</v>
      </c>
      <c r="J20" s="294">
        <f t="shared" si="2"/>
        <v>57</v>
      </c>
      <c r="K20" s="296">
        <f t="shared" si="3"/>
        <v>1.1632653061224489</v>
      </c>
      <c r="L20" s="297">
        <f>IF(C20="","",ROUND(C20*Steuerungsdaten!$B$4*Steuerungsdaten!$B$9*IFERROR(VLOOKUP(IFERROR(INDEX(Aktiv!$C$6:$C$350,MATCH(A20,Aktiv!$A$6:$A$350,0)),""),Steuerungsdaten!$B$17:$G$37,6,FALSE),1)*POWER(IF(OR(IFERROR(INDEX(Aktiv!$E$6:$E$350,MATCH(A20,Aktiv!$A$6:$A$350,0)),0)=0,IFERROR(INDEX(Aktiv!$F$6:$F$350,MATCH(A20,Aktiv!$A$6:$A$350,0)),0)=0),1,(IFERROR(INDEX(Aktiv!$E$6:$E$350,MATCH(A20,Aktiv!$A$6:$A$350,0)),0)*IFERROR(INDEX(Aktiv!$F$6:$F$350,MATCH(A20,Aktiv!$A$6:$A$350,0)),0)/1000000)/Steuerungsdaten!$B$6),1-1),0))</f>
        <v>49</v>
      </c>
      <c r="M20" s="297">
        <f>IFERROR(INDEX(Aktiv!$I$6:$I$350,MATCH(A20,Aktiv!$A$6:$A$350,0)),"")</f>
        <v>120</v>
      </c>
      <c r="N20" s="298">
        <f t="shared" si="4"/>
        <v>71</v>
      </c>
      <c r="O20" s="296">
        <f t="shared" si="5"/>
        <v>1.4489795918367347</v>
      </c>
      <c r="P20" s="297">
        <f>IF(C20="","",ROUND(C20*Steuerungsdaten!$B$4*Steuerungsdaten!$B$10*IFERROR(VLOOKUP(IFERROR(INDEX(Aktiv!$C$6:$C$350,MATCH(A20,Aktiv!$A$6:$A$350,0)),""),Steuerungsdaten!$B$17:$I$37,8,FALSE),1)*POWER(IF(OR(IFERROR(INDEX(Aktiv!$E$6:$E$350,MATCH(A20,Aktiv!$A$6:$A$350,0)),0)=0,IFERROR(INDEX(Aktiv!$F$6:$F$350,MATCH(A20,Aktiv!$A$6:$A$350,0)),0)=0),1,(IFERROR(INDEX(Aktiv!$E$6:$E$350,MATCH(A20,Aktiv!$A$6:$A$350,0)),0)*IFERROR(INDEX(Aktiv!$F$6:$F$350,MATCH(A20,Aktiv!$A$6:$A$350,0)),0)/1000000)/Steuerungsdaten!$B$6),1-1),0))</f>
        <v>54</v>
      </c>
      <c r="Q20" s="297">
        <f>IFERROR(INDEX(Aktiv!$J$6:$J$350,MATCH(A20,Aktiv!$A$6:$A$350,0)),"")</f>
        <v>145</v>
      </c>
      <c r="R20" s="298">
        <f t="shared" si="6"/>
        <v>91</v>
      </c>
      <c r="S20" s="296">
        <f t="shared" si="7"/>
        <v>1.6851851851851851</v>
      </c>
    </row>
    <row r="21" spans="1:19" x14ac:dyDescent="0.25">
      <c r="A21" s="292">
        <v>3100</v>
      </c>
      <c r="B21" s="292" t="s">
        <v>28</v>
      </c>
      <c r="C21" s="293">
        <f>IFERROR(INDEX(Aktiv!$O$6:$O$350,MATCH(A21,Aktiv!$A$6:$A$350,0)),"")</f>
        <v>34</v>
      </c>
      <c r="D21" s="293">
        <f>IF(C21="","",ROUND(C21*Steuerungsdaten!$B$4*Steuerungsdaten!$B$7*IFERROR(VLOOKUP(IFERROR(INDEX(Aktiv!$C$6:$C$350,MATCH(A21,Aktiv!$A$6:$A$350,0)),""),Steuerungsdaten!$B$17:$C$37,2,FALSE),1)*POWER(IF(OR(IFERROR(INDEX(Aktiv!$E$6:$E$350,MATCH(A21,Aktiv!$A$6:$A$350,0)),0)=0,IFERROR(INDEX(Aktiv!$F$6:$F$350,MATCH(A21,Aktiv!$A$6:$A$350,0)),0)=0),1,(IFERROR(INDEX(Aktiv!$E$6:$E$350,MATCH(A21,Aktiv!$A$6:$A$350,0)),0)*IFERROR(INDEX(Aktiv!$F$6:$F$350,MATCH(A21,Aktiv!$A$6:$A$350,0)),0)/1000000)/Steuerungsdaten!$B$6),IF(ISNUMBER(MATCH(IFERROR(INDEX(Aktiv!$C$6:$C$350,MATCH(A21,Aktiv!$A$6:$A$350,0)),""),{"Boden","Seite außen","Seite außen SY32","Rücken","Seite innen","Seite innen SY32","Seite innen SY32 DB","Fachboden klein","Fachboden groß","Klappenboden"},0)),1.2,1)-1),0))</f>
        <v>21</v>
      </c>
      <c r="E21" s="293">
        <f>IFERROR(INDEX(Aktiv!$G$6:$G$350,MATCH(A21,Aktiv!$A$6:$A$350,0)),"")</f>
        <v>25</v>
      </c>
      <c r="F21" s="294">
        <f t="shared" si="0"/>
        <v>4</v>
      </c>
      <c r="G21" s="295">
        <f t="shared" si="1"/>
        <v>0.19047619047619047</v>
      </c>
      <c r="H21" s="293">
        <f>IF(C21="","",ROUND(C21*Steuerungsdaten!$B$4*Steuerungsdaten!$B$8*IFERROR(VLOOKUP(IFERROR(INDEX(Aktiv!$C$6:$C$350,MATCH(A21,Aktiv!$A$6:$A$350,0)),""),Steuerungsdaten!$B$17:$E$37,4,FALSE),1)*POWER(IF(OR(IFERROR(INDEX(Aktiv!$E$6:$E$350,MATCH(A21,Aktiv!$A$6:$A$350,0)),0)=0,IFERROR(INDEX(Aktiv!$F$6:$F$350,MATCH(A21,Aktiv!$A$6:$A$350,0)),0)=0),1,(IFERROR(INDEX(Aktiv!$E$6:$E$350,MATCH(A21,Aktiv!$A$6:$A$350,0)),0)*IFERROR(INDEX(Aktiv!$F$6:$F$350,MATCH(A21,Aktiv!$A$6:$A$350,0)),0)/1000000)/Steuerungsdaten!$B$6),1-1),0))</f>
        <v>30</v>
      </c>
      <c r="I21" s="293">
        <f>IFERROR(INDEX(Aktiv!$H$6:$H$350,MATCH(A21,Aktiv!$A$6:$A$350,0)),"")</f>
        <v>103</v>
      </c>
      <c r="J21" s="294">
        <f t="shared" si="2"/>
        <v>73</v>
      </c>
      <c r="K21" s="296">
        <f t="shared" si="3"/>
        <v>2.4333333333333331</v>
      </c>
      <c r="L21" s="297">
        <f>IF(C21="","",ROUND(C21*Steuerungsdaten!$B$4*Steuerungsdaten!$B$9*IFERROR(VLOOKUP(IFERROR(INDEX(Aktiv!$C$6:$C$350,MATCH(A21,Aktiv!$A$6:$A$350,0)),""),Steuerungsdaten!$B$17:$G$37,6,FALSE),1)*POWER(IF(OR(IFERROR(INDEX(Aktiv!$E$6:$E$350,MATCH(A21,Aktiv!$A$6:$A$350,0)),0)=0,IFERROR(INDEX(Aktiv!$F$6:$F$350,MATCH(A21,Aktiv!$A$6:$A$350,0)),0)=0),1,(IFERROR(INDEX(Aktiv!$E$6:$E$350,MATCH(A21,Aktiv!$A$6:$A$350,0)),0)*IFERROR(INDEX(Aktiv!$F$6:$F$350,MATCH(A21,Aktiv!$A$6:$A$350,0)),0)/1000000)/Steuerungsdaten!$B$6),1-1),0))</f>
        <v>30</v>
      </c>
      <c r="M21" s="297">
        <f>IFERROR(INDEX(Aktiv!$I$6:$I$350,MATCH(A21,Aktiv!$A$6:$A$350,0)),"")</f>
        <v>120</v>
      </c>
      <c r="N21" s="298">
        <f t="shared" si="4"/>
        <v>90</v>
      </c>
      <c r="O21" s="296">
        <f t="shared" si="5"/>
        <v>3</v>
      </c>
      <c r="P21" s="297">
        <f>IF(C21="","",ROUND(C21*Steuerungsdaten!$B$4*Steuerungsdaten!$B$10*IFERROR(VLOOKUP(IFERROR(INDEX(Aktiv!$C$6:$C$350,MATCH(A21,Aktiv!$A$6:$A$350,0)),""),Steuerungsdaten!$B$17:$I$37,8,FALSE),1)*POWER(IF(OR(IFERROR(INDEX(Aktiv!$E$6:$E$350,MATCH(A21,Aktiv!$A$6:$A$350,0)),0)=0,IFERROR(INDEX(Aktiv!$F$6:$F$350,MATCH(A21,Aktiv!$A$6:$A$350,0)),0)=0),1,(IFERROR(INDEX(Aktiv!$E$6:$E$350,MATCH(A21,Aktiv!$A$6:$A$350,0)),0)*IFERROR(INDEX(Aktiv!$F$6:$F$350,MATCH(A21,Aktiv!$A$6:$A$350,0)),0)/1000000)/Steuerungsdaten!$B$6),1-1),0))</f>
        <v>33</v>
      </c>
      <c r="Q21" s="297">
        <f>IFERROR(INDEX(Aktiv!$J$6:$J$350,MATCH(A21,Aktiv!$A$6:$A$350,0)),"")</f>
        <v>145</v>
      </c>
      <c r="R21" s="298">
        <f t="shared" si="6"/>
        <v>112</v>
      </c>
      <c r="S21" s="296">
        <f t="shared" si="7"/>
        <v>3.393939393939394</v>
      </c>
    </row>
    <row r="22" spans="1:19" x14ac:dyDescent="0.25">
      <c r="A22" s="292">
        <v>3101</v>
      </c>
      <c r="B22" s="292" t="s">
        <v>29</v>
      </c>
      <c r="C22" s="293">
        <f>IFERROR(INDEX(Aktiv!$O$6:$O$350,MATCH(A22,Aktiv!$A$6:$A$350,0)),"")</f>
        <v>34</v>
      </c>
      <c r="D22" s="293">
        <f>IF(C22="","",ROUND(C22*Steuerungsdaten!$B$4*Steuerungsdaten!$B$7*IFERROR(VLOOKUP(IFERROR(INDEX(Aktiv!$C$6:$C$350,MATCH(A22,Aktiv!$A$6:$A$350,0)),""),Steuerungsdaten!$B$17:$C$37,2,FALSE),1)*POWER(IF(OR(IFERROR(INDEX(Aktiv!$E$6:$E$350,MATCH(A22,Aktiv!$A$6:$A$350,0)),0)=0,IFERROR(INDEX(Aktiv!$F$6:$F$350,MATCH(A22,Aktiv!$A$6:$A$350,0)),0)=0),1,(IFERROR(INDEX(Aktiv!$E$6:$E$350,MATCH(A22,Aktiv!$A$6:$A$350,0)),0)*IFERROR(INDEX(Aktiv!$F$6:$F$350,MATCH(A22,Aktiv!$A$6:$A$350,0)),0)/1000000)/Steuerungsdaten!$B$6),IF(ISNUMBER(MATCH(IFERROR(INDEX(Aktiv!$C$6:$C$350,MATCH(A22,Aktiv!$A$6:$A$350,0)),""),{"Boden","Seite außen","Seite außen SY32","Rücken","Seite innen","Seite innen SY32","Seite innen SY32 DB","Fachboden klein","Fachboden groß","Klappenboden"},0)),1.2,1)-1),0))</f>
        <v>25</v>
      </c>
      <c r="E22" s="293">
        <f>IFERROR(INDEX(Aktiv!$G$6:$G$350,MATCH(A22,Aktiv!$A$6:$A$350,0)),"")</f>
        <v>25</v>
      </c>
      <c r="F22" s="294">
        <f t="shared" si="0"/>
        <v>0</v>
      </c>
      <c r="G22" s="295">
        <f t="shared" si="1"/>
        <v>0</v>
      </c>
      <c r="H22" s="293">
        <f>IF(C22="","",ROUND(C22*Steuerungsdaten!$B$4*Steuerungsdaten!$B$8*IFERROR(VLOOKUP(IFERROR(INDEX(Aktiv!$C$6:$C$350,MATCH(A22,Aktiv!$A$6:$A$350,0)),""),Steuerungsdaten!$B$17:$E$37,4,FALSE),1)*POWER(IF(OR(IFERROR(INDEX(Aktiv!$E$6:$E$350,MATCH(A22,Aktiv!$A$6:$A$350,0)),0)=0,IFERROR(INDEX(Aktiv!$F$6:$F$350,MATCH(A22,Aktiv!$A$6:$A$350,0)),0)=0),1,(IFERROR(INDEX(Aktiv!$E$6:$E$350,MATCH(A22,Aktiv!$A$6:$A$350,0)),0)*IFERROR(INDEX(Aktiv!$F$6:$F$350,MATCH(A22,Aktiv!$A$6:$A$350,0)),0)/1000000)/Steuerungsdaten!$B$6),1-1),0))</f>
        <v>30</v>
      </c>
      <c r="I22" s="293">
        <f>IFERROR(INDEX(Aktiv!$H$6:$H$350,MATCH(A22,Aktiv!$A$6:$A$350,0)),"")</f>
        <v>103</v>
      </c>
      <c r="J22" s="294">
        <f t="shared" si="2"/>
        <v>73</v>
      </c>
      <c r="K22" s="296">
        <f t="shared" si="3"/>
        <v>2.4333333333333331</v>
      </c>
      <c r="L22" s="297">
        <f>IF(C22="","",ROUND(C22*Steuerungsdaten!$B$4*Steuerungsdaten!$B$9*IFERROR(VLOOKUP(IFERROR(INDEX(Aktiv!$C$6:$C$350,MATCH(A22,Aktiv!$A$6:$A$350,0)),""),Steuerungsdaten!$B$17:$G$37,6,FALSE),1)*POWER(IF(OR(IFERROR(INDEX(Aktiv!$E$6:$E$350,MATCH(A22,Aktiv!$A$6:$A$350,0)),0)=0,IFERROR(INDEX(Aktiv!$F$6:$F$350,MATCH(A22,Aktiv!$A$6:$A$350,0)),0)=0),1,(IFERROR(INDEX(Aktiv!$E$6:$E$350,MATCH(A22,Aktiv!$A$6:$A$350,0)),0)*IFERROR(INDEX(Aktiv!$F$6:$F$350,MATCH(A22,Aktiv!$A$6:$A$350,0)),0)/1000000)/Steuerungsdaten!$B$6),1-1),0))</f>
        <v>30</v>
      </c>
      <c r="M22" s="297">
        <f>IFERROR(INDEX(Aktiv!$I$6:$I$350,MATCH(A22,Aktiv!$A$6:$A$350,0)),"")</f>
        <v>120</v>
      </c>
      <c r="N22" s="298">
        <f t="shared" si="4"/>
        <v>90</v>
      </c>
      <c r="O22" s="296">
        <f t="shared" si="5"/>
        <v>3</v>
      </c>
      <c r="P22" s="297">
        <f>IF(C22="","",ROUND(C22*Steuerungsdaten!$B$4*Steuerungsdaten!$B$10*IFERROR(VLOOKUP(IFERROR(INDEX(Aktiv!$C$6:$C$350,MATCH(A22,Aktiv!$A$6:$A$350,0)),""),Steuerungsdaten!$B$17:$I$37,8,FALSE),1)*POWER(IF(OR(IFERROR(INDEX(Aktiv!$E$6:$E$350,MATCH(A22,Aktiv!$A$6:$A$350,0)),0)=0,IFERROR(INDEX(Aktiv!$F$6:$F$350,MATCH(A22,Aktiv!$A$6:$A$350,0)),0)=0),1,(IFERROR(INDEX(Aktiv!$E$6:$E$350,MATCH(A22,Aktiv!$A$6:$A$350,0)),0)*IFERROR(INDEX(Aktiv!$F$6:$F$350,MATCH(A22,Aktiv!$A$6:$A$350,0)),0)/1000000)/Steuerungsdaten!$B$6),1-1),0))</f>
        <v>33</v>
      </c>
      <c r="Q22" s="297">
        <f>IFERROR(INDEX(Aktiv!$J$6:$J$350,MATCH(A22,Aktiv!$A$6:$A$350,0)),"")</f>
        <v>145</v>
      </c>
      <c r="R22" s="298">
        <f t="shared" si="6"/>
        <v>112</v>
      </c>
      <c r="S22" s="296">
        <f t="shared" si="7"/>
        <v>3.393939393939394</v>
      </c>
    </row>
    <row r="23" spans="1:19" x14ac:dyDescent="0.25">
      <c r="A23" s="292">
        <v>3102</v>
      </c>
      <c r="B23" s="292" t="s">
        <v>30</v>
      </c>
      <c r="C23" s="293">
        <f>IFERROR(INDEX(Aktiv!$O$6:$O$350,MATCH(A23,Aktiv!$A$6:$A$350,0)),"")</f>
        <v>52</v>
      </c>
      <c r="D23" s="293">
        <f>IF(C23="","",ROUND(C23*Steuerungsdaten!$B$4*Steuerungsdaten!$B$7*IFERROR(VLOOKUP(IFERROR(INDEX(Aktiv!$C$6:$C$350,MATCH(A23,Aktiv!$A$6:$A$350,0)),""),Steuerungsdaten!$B$17:$C$37,2,FALSE),1)*POWER(IF(OR(IFERROR(INDEX(Aktiv!$E$6:$E$350,MATCH(A23,Aktiv!$A$6:$A$350,0)),0)=0,IFERROR(INDEX(Aktiv!$F$6:$F$350,MATCH(A23,Aktiv!$A$6:$A$350,0)),0)=0),1,(IFERROR(INDEX(Aktiv!$E$6:$E$350,MATCH(A23,Aktiv!$A$6:$A$350,0)),0)*IFERROR(INDEX(Aktiv!$F$6:$F$350,MATCH(A23,Aktiv!$A$6:$A$350,0)),0)/1000000)/Steuerungsdaten!$B$6),IF(ISNUMBER(MATCH(IFERROR(INDEX(Aktiv!$C$6:$C$350,MATCH(A23,Aktiv!$A$6:$A$350,0)),""),{"Boden","Seite außen","Seite außen SY32","Rücken","Seite innen","Seite innen SY32","Seite innen SY32 DB","Fachboden klein","Fachboden groß","Klappenboden"},0)),1.2,1)-1),0))</f>
        <v>43</v>
      </c>
      <c r="E23" s="293">
        <f>IFERROR(INDEX(Aktiv!$G$6:$G$350,MATCH(A23,Aktiv!$A$6:$A$350,0)),"")</f>
        <v>46</v>
      </c>
      <c r="F23" s="294">
        <f t="shared" si="0"/>
        <v>3</v>
      </c>
      <c r="G23" s="295">
        <f t="shared" si="1"/>
        <v>6.9767441860465115E-2</v>
      </c>
      <c r="H23" s="293">
        <f>IF(C23="","",ROUND(C23*Steuerungsdaten!$B$4*Steuerungsdaten!$B$8*IFERROR(VLOOKUP(IFERROR(INDEX(Aktiv!$C$6:$C$350,MATCH(A23,Aktiv!$A$6:$A$350,0)),""),Steuerungsdaten!$B$17:$E$37,4,FALSE),1)*POWER(IF(OR(IFERROR(INDEX(Aktiv!$E$6:$E$350,MATCH(A23,Aktiv!$A$6:$A$350,0)),0)=0,IFERROR(INDEX(Aktiv!$F$6:$F$350,MATCH(A23,Aktiv!$A$6:$A$350,0)),0)=0),1,(IFERROR(INDEX(Aktiv!$E$6:$E$350,MATCH(A23,Aktiv!$A$6:$A$350,0)),0)*IFERROR(INDEX(Aktiv!$F$6:$F$350,MATCH(A23,Aktiv!$A$6:$A$350,0)),0)/1000000)/Steuerungsdaten!$B$6),1-1),0))</f>
        <v>46</v>
      </c>
      <c r="I23" s="293">
        <f>IFERROR(INDEX(Aktiv!$H$6:$H$350,MATCH(A23,Aktiv!$A$6:$A$350,0)),"")</f>
        <v>156</v>
      </c>
      <c r="J23" s="294">
        <f t="shared" si="2"/>
        <v>110</v>
      </c>
      <c r="K23" s="296">
        <f t="shared" si="3"/>
        <v>2.3913043478260869</v>
      </c>
      <c r="L23" s="297">
        <f>IF(C23="","",ROUND(C23*Steuerungsdaten!$B$4*Steuerungsdaten!$B$9*IFERROR(VLOOKUP(IFERROR(INDEX(Aktiv!$C$6:$C$350,MATCH(A23,Aktiv!$A$6:$A$350,0)),""),Steuerungsdaten!$B$17:$G$37,6,FALSE),1)*POWER(IF(OR(IFERROR(INDEX(Aktiv!$E$6:$E$350,MATCH(A23,Aktiv!$A$6:$A$350,0)),0)=0,IFERROR(INDEX(Aktiv!$F$6:$F$350,MATCH(A23,Aktiv!$A$6:$A$350,0)),0)=0),1,(IFERROR(INDEX(Aktiv!$E$6:$E$350,MATCH(A23,Aktiv!$A$6:$A$350,0)),0)*IFERROR(INDEX(Aktiv!$F$6:$F$350,MATCH(A23,Aktiv!$A$6:$A$350,0)),0)/1000000)/Steuerungsdaten!$B$6),1-1),0))</f>
        <v>46</v>
      </c>
      <c r="M23" s="297">
        <f>IFERROR(INDEX(Aktiv!$I$6:$I$350,MATCH(A23,Aktiv!$A$6:$A$350,0)),"")</f>
        <v>163</v>
      </c>
      <c r="N23" s="298">
        <f t="shared" si="4"/>
        <v>117</v>
      </c>
      <c r="O23" s="296">
        <f t="shared" si="5"/>
        <v>2.5434782608695654</v>
      </c>
      <c r="P23" s="297">
        <f>IF(C23="","",ROUND(C23*Steuerungsdaten!$B$4*Steuerungsdaten!$B$10*IFERROR(VLOOKUP(IFERROR(INDEX(Aktiv!$C$6:$C$350,MATCH(A23,Aktiv!$A$6:$A$350,0)),""),Steuerungsdaten!$B$17:$I$37,8,FALSE),1)*POWER(IF(OR(IFERROR(INDEX(Aktiv!$E$6:$E$350,MATCH(A23,Aktiv!$A$6:$A$350,0)),0)=0,IFERROR(INDEX(Aktiv!$F$6:$F$350,MATCH(A23,Aktiv!$A$6:$A$350,0)),0)=0),1,(IFERROR(INDEX(Aktiv!$E$6:$E$350,MATCH(A23,Aktiv!$A$6:$A$350,0)),0)*IFERROR(INDEX(Aktiv!$F$6:$F$350,MATCH(A23,Aktiv!$A$6:$A$350,0)),0)/1000000)/Steuerungsdaten!$B$6),1-1),0))</f>
        <v>50</v>
      </c>
      <c r="Q23" s="297">
        <f>IFERROR(INDEX(Aktiv!$J$6:$J$350,MATCH(A23,Aktiv!$A$6:$A$350,0)),"")</f>
        <v>181</v>
      </c>
      <c r="R23" s="298">
        <f t="shared" si="6"/>
        <v>131</v>
      </c>
      <c r="S23" s="296">
        <f t="shared" si="7"/>
        <v>2.62</v>
      </c>
    </row>
    <row r="24" spans="1:19" x14ac:dyDescent="0.25">
      <c r="A24" s="292">
        <v>3103</v>
      </c>
      <c r="B24" s="292" t="s">
        <v>31</v>
      </c>
      <c r="C24" s="293">
        <f>IFERROR(INDEX(Aktiv!$O$6:$O$350,MATCH(A24,Aktiv!$A$6:$A$350,0)),"")</f>
        <v>76</v>
      </c>
      <c r="D24" s="293">
        <f>IF(C24="","",ROUND(C24*Steuerungsdaten!$B$4*Steuerungsdaten!$B$7*IFERROR(VLOOKUP(IFERROR(INDEX(Aktiv!$C$6:$C$350,MATCH(A24,Aktiv!$A$6:$A$350,0)),""),Steuerungsdaten!$B$17:$C$37,2,FALSE),1)*POWER(IF(OR(IFERROR(INDEX(Aktiv!$E$6:$E$350,MATCH(A24,Aktiv!$A$6:$A$350,0)),0)=0,IFERROR(INDEX(Aktiv!$F$6:$F$350,MATCH(A24,Aktiv!$A$6:$A$350,0)),0)=0),1,(IFERROR(INDEX(Aktiv!$E$6:$E$350,MATCH(A24,Aktiv!$A$6:$A$350,0)),0)*IFERROR(INDEX(Aktiv!$F$6:$F$350,MATCH(A24,Aktiv!$A$6:$A$350,0)),0)/1000000)/Steuerungsdaten!$B$6),IF(ISNUMBER(MATCH(IFERROR(INDEX(Aktiv!$C$6:$C$350,MATCH(A24,Aktiv!$A$6:$A$350,0)),""),{"Boden","Seite außen","Seite außen SY32","Rücken","Seite innen","Seite innen SY32","Seite innen SY32 DB","Fachboden klein","Fachboden groß","Klappenboden"},0)),1.2,1)-1),0))</f>
        <v>68</v>
      </c>
      <c r="E24" s="293">
        <f>IFERROR(INDEX(Aktiv!$G$6:$G$350,MATCH(A24,Aktiv!$A$6:$A$350,0)),"")</f>
        <v>68</v>
      </c>
      <c r="F24" s="294">
        <f t="shared" si="0"/>
        <v>0</v>
      </c>
      <c r="G24" s="295">
        <f t="shared" si="1"/>
        <v>0</v>
      </c>
      <c r="H24" s="293">
        <f>IF(C24="","",ROUND(C24*Steuerungsdaten!$B$4*Steuerungsdaten!$B$8*IFERROR(VLOOKUP(IFERROR(INDEX(Aktiv!$C$6:$C$350,MATCH(A24,Aktiv!$A$6:$A$350,0)),""),Steuerungsdaten!$B$17:$E$37,4,FALSE),1)*POWER(IF(OR(IFERROR(INDEX(Aktiv!$E$6:$E$350,MATCH(A24,Aktiv!$A$6:$A$350,0)),0)=0,IFERROR(INDEX(Aktiv!$F$6:$F$350,MATCH(A24,Aktiv!$A$6:$A$350,0)),0)=0),1,(IFERROR(INDEX(Aktiv!$E$6:$E$350,MATCH(A24,Aktiv!$A$6:$A$350,0)),0)*IFERROR(INDEX(Aktiv!$F$6:$F$350,MATCH(A24,Aktiv!$A$6:$A$350,0)),0)/1000000)/Steuerungsdaten!$B$6),1-1),0))</f>
        <v>67</v>
      </c>
      <c r="I24" s="293">
        <f>IFERROR(INDEX(Aktiv!$H$6:$H$350,MATCH(A24,Aktiv!$A$6:$A$350,0)),"")</f>
        <v>235</v>
      </c>
      <c r="J24" s="294">
        <f t="shared" si="2"/>
        <v>168</v>
      </c>
      <c r="K24" s="296">
        <f t="shared" si="3"/>
        <v>2.5074626865671643</v>
      </c>
      <c r="L24" s="297">
        <f>IF(C24="","",ROUND(C24*Steuerungsdaten!$B$4*Steuerungsdaten!$B$9*IFERROR(VLOOKUP(IFERROR(INDEX(Aktiv!$C$6:$C$350,MATCH(A24,Aktiv!$A$6:$A$350,0)),""),Steuerungsdaten!$B$17:$G$37,6,FALSE),1)*POWER(IF(OR(IFERROR(INDEX(Aktiv!$E$6:$E$350,MATCH(A24,Aktiv!$A$6:$A$350,0)),0)=0,IFERROR(INDEX(Aktiv!$F$6:$F$350,MATCH(A24,Aktiv!$A$6:$A$350,0)),0)=0),1,(IFERROR(INDEX(Aktiv!$E$6:$E$350,MATCH(A24,Aktiv!$A$6:$A$350,0)),0)*IFERROR(INDEX(Aktiv!$F$6:$F$350,MATCH(A24,Aktiv!$A$6:$A$350,0)),0)/1000000)/Steuerungsdaten!$B$6),1-1),0))</f>
        <v>67</v>
      </c>
      <c r="M24" s="297">
        <f>IFERROR(INDEX(Aktiv!$I$6:$I$350,MATCH(A24,Aktiv!$A$6:$A$350,0)),"")</f>
        <v>244</v>
      </c>
      <c r="N24" s="298">
        <f t="shared" si="4"/>
        <v>177</v>
      </c>
      <c r="O24" s="296">
        <f t="shared" si="5"/>
        <v>2.6417910447761193</v>
      </c>
      <c r="P24" s="297">
        <f>IF(C24="","",ROUND(C24*Steuerungsdaten!$B$4*Steuerungsdaten!$B$10*IFERROR(VLOOKUP(IFERROR(INDEX(Aktiv!$C$6:$C$350,MATCH(A24,Aktiv!$A$6:$A$350,0)),""),Steuerungsdaten!$B$17:$I$37,8,FALSE),1)*POWER(IF(OR(IFERROR(INDEX(Aktiv!$E$6:$E$350,MATCH(A24,Aktiv!$A$6:$A$350,0)),0)=0,IFERROR(INDEX(Aktiv!$F$6:$F$350,MATCH(A24,Aktiv!$A$6:$A$350,0)),0)=0),1,(IFERROR(INDEX(Aktiv!$E$6:$E$350,MATCH(A24,Aktiv!$A$6:$A$350,0)),0)*IFERROR(INDEX(Aktiv!$F$6:$F$350,MATCH(A24,Aktiv!$A$6:$A$350,0)),0)/1000000)/Steuerungsdaten!$B$6),1-1),0))</f>
        <v>73</v>
      </c>
      <c r="Q24" s="297">
        <f>IFERROR(INDEX(Aktiv!$J$6:$J$350,MATCH(A24,Aktiv!$A$6:$A$350,0)),"")</f>
        <v>272</v>
      </c>
      <c r="R24" s="298">
        <f t="shared" si="6"/>
        <v>199</v>
      </c>
      <c r="S24" s="296">
        <f t="shared" si="7"/>
        <v>2.7260273972602738</v>
      </c>
    </row>
    <row r="25" spans="1:19" x14ac:dyDescent="0.25">
      <c r="A25" s="292">
        <v>3104</v>
      </c>
      <c r="B25" s="292" t="s">
        <v>32</v>
      </c>
      <c r="C25" s="293">
        <f>IFERROR(INDEX(Aktiv!$O$6:$O$350,MATCH(A25,Aktiv!$A$6:$A$350,0)),"")</f>
        <v>100</v>
      </c>
      <c r="D25" s="293">
        <f>IF(C25="","",ROUND(C25*Steuerungsdaten!$B$4*Steuerungsdaten!$B$7*IFERROR(VLOOKUP(IFERROR(INDEX(Aktiv!$C$6:$C$350,MATCH(A25,Aktiv!$A$6:$A$350,0)),""),Steuerungsdaten!$B$17:$C$37,2,FALSE),1)*POWER(IF(OR(IFERROR(INDEX(Aktiv!$E$6:$E$350,MATCH(A25,Aktiv!$A$6:$A$350,0)),0)=0,IFERROR(INDEX(Aktiv!$F$6:$F$350,MATCH(A25,Aktiv!$A$6:$A$350,0)),0)=0),1,(IFERROR(INDEX(Aktiv!$E$6:$E$350,MATCH(A25,Aktiv!$A$6:$A$350,0)),0)*IFERROR(INDEX(Aktiv!$F$6:$F$350,MATCH(A25,Aktiv!$A$6:$A$350,0)),0)/1000000)/Steuerungsdaten!$B$6),IF(ISNUMBER(MATCH(IFERROR(INDEX(Aktiv!$C$6:$C$350,MATCH(A25,Aktiv!$A$6:$A$350,0)),""),{"Boden","Seite außen","Seite außen SY32","Rücken","Seite innen","Seite innen SY32","Seite innen SY32 DB","Fachboden klein","Fachboden groß","Klappenboden"},0)),1.2,1)-1),0))</f>
        <v>95</v>
      </c>
      <c r="E25" s="293">
        <f>IFERROR(INDEX(Aktiv!$G$6:$G$350,MATCH(A25,Aktiv!$A$6:$A$350,0)),"")</f>
        <v>91</v>
      </c>
      <c r="F25" s="294">
        <f t="shared" si="0"/>
        <v>-4</v>
      </c>
      <c r="G25" s="295">
        <f t="shared" si="1"/>
        <v>-4.2105263157894736E-2</v>
      </c>
      <c r="H25" s="293">
        <f>IF(C25="","",ROUND(C25*Steuerungsdaten!$B$4*Steuerungsdaten!$B$8*IFERROR(VLOOKUP(IFERROR(INDEX(Aktiv!$C$6:$C$350,MATCH(A25,Aktiv!$A$6:$A$350,0)),""),Steuerungsdaten!$B$17:$E$37,4,FALSE),1)*POWER(IF(OR(IFERROR(INDEX(Aktiv!$E$6:$E$350,MATCH(A25,Aktiv!$A$6:$A$350,0)),0)=0,IFERROR(INDEX(Aktiv!$F$6:$F$350,MATCH(A25,Aktiv!$A$6:$A$350,0)),0)=0),1,(IFERROR(INDEX(Aktiv!$E$6:$E$350,MATCH(A25,Aktiv!$A$6:$A$350,0)),0)*IFERROR(INDEX(Aktiv!$F$6:$F$350,MATCH(A25,Aktiv!$A$6:$A$350,0)),0)/1000000)/Steuerungsdaten!$B$6),1-1),0))</f>
        <v>88</v>
      </c>
      <c r="I25" s="293">
        <f>IFERROR(INDEX(Aktiv!$H$6:$H$350,MATCH(A25,Aktiv!$A$6:$A$350,0)),"")</f>
        <v>313</v>
      </c>
      <c r="J25" s="294">
        <f t="shared" si="2"/>
        <v>225</v>
      </c>
      <c r="K25" s="296">
        <f t="shared" si="3"/>
        <v>2.5568181818181817</v>
      </c>
      <c r="L25" s="297">
        <f>IF(C25="","",ROUND(C25*Steuerungsdaten!$B$4*Steuerungsdaten!$B$9*IFERROR(VLOOKUP(IFERROR(INDEX(Aktiv!$C$6:$C$350,MATCH(A25,Aktiv!$A$6:$A$350,0)),""),Steuerungsdaten!$B$17:$G$37,6,FALSE),1)*POWER(IF(OR(IFERROR(INDEX(Aktiv!$E$6:$E$350,MATCH(A25,Aktiv!$A$6:$A$350,0)),0)=0,IFERROR(INDEX(Aktiv!$F$6:$F$350,MATCH(A25,Aktiv!$A$6:$A$350,0)),0)=0),1,(IFERROR(INDEX(Aktiv!$E$6:$E$350,MATCH(A25,Aktiv!$A$6:$A$350,0)),0)*IFERROR(INDEX(Aktiv!$F$6:$F$350,MATCH(A25,Aktiv!$A$6:$A$350,0)),0)/1000000)/Steuerungsdaten!$B$6),1-1),0))</f>
        <v>88</v>
      </c>
      <c r="M25" s="297">
        <f>IFERROR(INDEX(Aktiv!$I$6:$I$350,MATCH(A25,Aktiv!$A$6:$A$350,0)),"")</f>
        <v>326</v>
      </c>
      <c r="N25" s="298">
        <f t="shared" si="4"/>
        <v>238</v>
      </c>
      <c r="O25" s="296">
        <f t="shared" si="5"/>
        <v>2.7045454545454546</v>
      </c>
      <c r="P25" s="297">
        <f>IF(C25="","",ROUND(C25*Steuerungsdaten!$B$4*Steuerungsdaten!$B$10*IFERROR(VLOOKUP(IFERROR(INDEX(Aktiv!$C$6:$C$350,MATCH(A25,Aktiv!$A$6:$A$350,0)),""),Steuerungsdaten!$B$17:$I$37,8,FALSE),1)*POWER(IF(OR(IFERROR(INDEX(Aktiv!$E$6:$E$350,MATCH(A25,Aktiv!$A$6:$A$350,0)),0)=0,IFERROR(INDEX(Aktiv!$F$6:$F$350,MATCH(A25,Aktiv!$A$6:$A$350,0)),0)=0),1,(IFERROR(INDEX(Aktiv!$E$6:$E$350,MATCH(A25,Aktiv!$A$6:$A$350,0)),0)*IFERROR(INDEX(Aktiv!$F$6:$F$350,MATCH(A25,Aktiv!$A$6:$A$350,0)),0)/1000000)/Steuerungsdaten!$B$6),1-1),0))</f>
        <v>96</v>
      </c>
      <c r="Q25" s="297">
        <f>IFERROR(INDEX(Aktiv!$J$6:$J$350,MATCH(A25,Aktiv!$A$6:$A$350,0)),"")</f>
        <v>363</v>
      </c>
      <c r="R25" s="298">
        <f t="shared" si="6"/>
        <v>267</v>
      </c>
      <c r="S25" s="296">
        <f t="shared" si="7"/>
        <v>2.78125</v>
      </c>
    </row>
    <row r="26" spans="1:19" x14ac:dyDescent="0.25">
      <c r="A26" s="292">
        <v>3105</v>
      </c>
      <c r="B26" s="292" t="s">
        <v>33</v>
      </c>
      <c r="C26" s="293">
        <f>IFERROR(INDEX(Aktiv!$O$6:$O$350,MATCH(A26,Aktiv!$A$6:$A$350,0)),"")</f>
        <v>125</v>
      </c>
      <c r="D26" s="293">
        <f>IF(C26="","",ROUND(C26*Steuerungsdaten!$B$4*Steuerungsdaten!$B$7*IFERROR(VLOOKUP(IFERROR(INDEX(Aktiv!$C$6:$C$350,MATCH(A26,Aktiv!$A$6:$A$350,0)),""),Steuerungsdaten!$B$17:$C$37,2,FALSE),1)*POWER(IF(OR(IFERROR(INDEX(Aktiv!$E$6:$E$350,MATCH(A26,Aktiv!$A$6:$A$350,0)),0)=0,IFERROR(INDEX(Aktiv!$F$6:$F$350,MATCH(A26,Aktiv!$A$6:$A$350,0)),0)=0),1,(IFERROR(INDEX(Aktiv!$E$6:$E$350,MATCH(A26,Aktiv!$A$6:$A$350,0)),0)*IFERROR(INDEX(Aktiv!$F$6:$F$350,MATCH(A26,Aktiv!$A$6:$A$350,0)),0)/1000000)/Steuerungsdaten!$B$6),IF(ISNUMBER(MATCH(IFERROR(INDEX(Aktiv!$C$6:$C$350,MATCH(A26,Aktiv!$A$6:$A$350,0)),""),{"Boden","Seite außen","Seite außen SY32","Rücken","Seite innen","Seite innen SY32","Seite innen SY32 DB","Fachboden klein","Fachboden groß","Klappenboden"},0)),1.2,1)-1),0))</f>
        <v>124</v>
      </c>
      <c r="E26" s="293">
        <f>IFERROR(INDEX(Aktiv!$G$6:$G$350,MATCH(A26,Aktiv!$A$6:$A$350,0)),"")</f>
        <v>114</v>
      </c>
      <c r="F26" s="294">
        <f t="shared" si="0"/>
        <v>-10</v>
      </c>
      <c r="G26" s="295">
        <f t="shared" si="1"/>
        <v>-8.0645161290322578E-2</v>
      </c>
      <c r="H26" s="293">
        <f>IF(C26="","",ROUND(C26*Steuerungsdaten!$B$4*Steuerungsdaten!$B$8*IFERROR(VLOOKUP(IFERROR(INDEX(Aktiv!$C$6:$C$350,MATCH(A26,Aktiv!$A$6:$A$350,0)),""),Steuerungsdaten!$B$17:$E$37,4,FALSE),1)*POWER(IF(OR(IFERROR(INDEX(Aktiv!$E$6:$E$350,MATCH(A26,Aktiv!$A$6:$A$350,0)),0)=0,IFERROR(INDEX(Aktiv!$F$6:$F$350,MATCH(A26,Aktiv!$A$6:$A$350,0)),0)=0),1,(IFERROR(INDEX(Aktiv!$E$6:$E$350,MATCH(A26,Aktiv!$A$6:$A$350,0)),0)*IFERROR(INDEX(Aktiv!$F$6:$F$350,MATCH(A26,Aktiv!$A$6:$A$350,0)),0)/1000000)/Steuerungsdaten!$B$6),1-1),0))</f>
        <v>110</v>
      </c>
      <c r="I26" s="293">
        <f>IFERROR(INDEX(Aktiv!$H$6:$H$350,MATCH(A26,Aktiv!$A$6:$A$350,0)),"")</f>
        <v>391</v>
      </c>
      <c r="J26" s="294">
        <f t="shared" si="2"/>
        <v>281</v>
      </c>
      <c r="K26" s="296">
        <f t="shared" si="3"/>
        <v>2.5545454545454547</v>
      </c>
      <c r="L26" s="297">
        <f>IF(C26="","",ROUND(C26*Steuerungsdaten!$B$4*Steuerungsdaten!$B$9*IFERROR(VLOOKUP(IFERROR(INDEX(Aktiv!$C$6:$C$350,MATCH(A26,Aktiv!$A$6:$A$350,0)),""),Steuerungsdaten!$B$17:$G$37,6,FALSE),1)*POWER(IF(OR(IFERROR(INDEX(Aktiv!$E$6:$E$350,MATCH(A26,Aktiv!$A$6:$A$350,0)),0)=0,IFERROR(INDEX(Aktiv!$F$6:$F$350,MATCH(A26,Aktiv!$A$6:$A$350,0)),0)=0),1,(IFERROR(INDEX(Aktiv!$E$6:$E$350,MATCH(A26,Aktiv!$A$6:$A$350,0)),0)*IFERROR(INDEX(Aktiv!$F$6:$F$350,MATCH(A26,Aktiv!$A$6:$A$350,0)),0)/1000000)/Steuerungsdaten!$B$6),1-1),0))</f>
        <v>110</v>
      </c>
      <c r="M26" s="297">
        <f>IFERROR(INDEX(Aktiv!$I$6:$I$350,MATCH(A26,Aktiv!$A$6:$A$350,0)),"")</f>
        <v>407</v>
      </c>
      <c r="N26" s="298">
        <f t="shared" si="4"/>
        <v>297</v>
      </c>
      <c r="O26" s="296">
        <f t="shared" si="5"/>
        <v>2.7</v>
      </c>
      <c r="P26" s="297">
        <f>IF(C26="","",ROUND(C26*Steuerungsdaten!$B$4*Steuerungsdaten!$B$10*IFERROR(VLOOKUP(IFERROR(INDEX(Aktiv!$C$6:$C$350,MATCH(A26,Aktiv!$A$6:$A$350,0)),""),Steuerungsdaten!$B$17:$I$37,8,FALSE),1)*POWER(IF(OR(IFERROR(INDEX(Aktiv!$E$6:$E$350,MATCH(A26,Aktiv!$A$6:$A$350,0)),0)=0,IFERROR(INDEX(Aktiv!$F$6:$F$350,MATCH(A26,Aktiv!$A$6:$A$350,0)),0)=0),1,(IFERROR(INDEX(Aktiv!$E$6:$E$350,MATCH(A26,Aktiv!$A$6:$A$350,0)),0)*IFERROR(INDEX(Aktiv!$F$6:$F$350,MATCH(A26,Aktiv!$A$6:$A$350,0)),0)/1000000)/Steuerungsdaten!$B$6),1-1),0))</f>
        <v>120</v>
      </c>
      <c r="Q26" s="297">
        <f>IFERROR(INDEX(Aktiv!$J$6:$J$350,MATCH(A26,Aktiv!$A$6:$A$350,0)),"")</f>
        <v>453</v>
      </c>
      <c r="R26" s="298">
        <f t="shared" si="6"/>
        <v>333</v>
      </c>
      <c r="S26" s="296">
        <f t="shared" si="7"/>
        <v>2.7749999999999999</v>
      </c>
    </row>
    <row r="27" spans="1:19" x14ac:dyDescent="0.25">
      <c r="A27" s="292">
        <v>3106</v>
      </c>
      <c r="B27" s="292" t="s">
        <v>34</v>
      </c>
      <c r="C27" s="293">
        <f>IFERROR(INDEX(Aktiv!$O$6:$O$350,MATCH(A27,Aktiv!$A$6:$A$350,0)),"")</f>
        <v>43</v>
      </c>
      <c r="D27" s="293">
        <f>IF(C27="","",ROUND(C27*Steuerungsdaten!$B$4*Steuerungsdaten!$B$7*IFERROR(VLOOKUP(IFERROR(INDEX(Aktiv!$C$6:$C$350,MATCH(A27,Aktiv!$A$6:$A$350,0)),""),Steuerungsdaten!$B$17:$C$37,2,FALSE),1)*POWER(IF(OR(IFERROR(INDEX(Aktiv!$E$6:$E$350,MATCH(A27,Aktiv!$A$6:$A$350,0)),0)=0,IFERROR(INDEX(Aktiv!$F$6:$F$350,MATCH(A27,Aktiv!$A$6:$A$350,0)),0)=0),1,(IFERROR(INDEX(Aktiv!$E$6:$E$350,MATCH(A27,Aktiv!$A$6:$A$350,0)),0)*IFERROR(INDEX(Aktiv!$F$6:$F$350,MATCH(A27,Aktiv!$A$6:$A$350,0)),0)/1000000)/Steuerungsdaten!$B$6),IF(ISNUMBER(MATCH(IFERROR(INDEX(Aktiv!$C$6:$C$350,MATCH(A27,Aktiv!$A$6:$A$350,0)),""),{"Boden","Seite außen","Seite außen SY32","Rücken","Seite innen","Seite innen SY32","Seite innen SY32 DB","Fachboden klein","Fachboden groß","Klappenboden"},0)),1.2,1)-1),0))</f>
        <v>30</v>
      </c>
      <c r="E27" s="293">
        <f>IFERROR(INDEX(Aktiv!$G$6:$G$350,MATCH(A27,Aktiv!$A$6:$A$350,0)),"")</f>
        <v>25</v>
      </c>
      <c r="F27" s="294">
        <f t="shared" si="0"/>
        <v>-5</v>
      </c>
      <c r="G27" s="295">
        <f t="shared" si="1"/>
        <v>-0.16666666666666666</v>
      </c>
      <c r="H27" s="293">
        <f>IF(C27="","",ROUND(C27*Steuerungsdaten!$B$4*Steuerungsdaten!$B$8*IFERROR(VLOOKUP(IFERROR(INDEX(Aktiv!$C$6:$C$350,MATCH(A27,Aktiv!$A$6:$A$350,0)),""),Steuerungsdaten!$B$17:$E$37,4,FALSE),1)*POWER(IF(OR(IFERROR(INDEX(Aktiv!$E$6:$E$350,MATCH(A27,Aktiv!$A$6:$A$350,0)),0)=0,IFERROR(INDEX(Aktiv!$F$6:$F$350,MATCH(A27,Aktiv!$A$6:$A$350,0)),0)=0),1,(IFERROR(INDEX(Aktiv!$E$6:$E$350,MATCH(A27,Aktiv!$A$6:$A$350,0)),0)*IFERROR(INDEX(Aktiv!$F$6:$F$350,MATCH(A27,Aktiv!$A$6:$A$350,0)),0)/1000000)/Steuerungsdaten!$B$6),1-1),0))</f>
        <v>38</v>
      </c>
      <c r="I27" s="293">
        <f>IFERROR(INDEX(Aktiv!$H$6:$H$350,MATCH(A27,Aktiv!$A$6:$A$350,0)),"")</f>
        <v>103</v>
      </c>
      <c r="J27" s="294">
        <f t="shared" si="2"/>
        <v>65</v>
      </c>
      <c r="K27" s="296">
        <f t="shared" si="3"/>
        <v>1.7105263157894737</v>
      </c>
      <c r="L27" s="297">
        <f>IF(C27="","",ROUND(C27*Steuerungsdaten!$B$4*Steuerungsdaten!$B$9*IFERROR(VLOOKUP(IFERROR(INDEX(Aktiv!$C$6:$C$350,MATCH(A27,Aktiv!$A$6:$A$350,0)),""),Steuerungsdaten!$B$17:$G$37,6,FALSE),1)*POWER(IF(OR(IFERROR(INDEX(Aktiv!$E$6:$E$350,MATCH(A27,Aktiv!$A$6:$A$350,0)),0)=0,IFERROR(INDEX(Aktiv!$F$6:$F$350,MATCH(A27,Aktiv!$A$6:$A$350,0)),0)=0),1,(IFERROR(INDEX(Aktiv!$E$6:$E$350,MATCH(A27,Aktiv!$A$6:$A$350,0)),0)*IFERROR(INDEX(Aktiv!$F$6:$F$350,MATCH(A27,Aktiv!$A$6:$A$350,0)),0)/1000000)/Steuerungsdaten!$B$6),1-1),0))</f>
        <v>38</v>
      </c>
      <c r="M27" s="297">
        <f>IFERROR(INDEX(Aktiv!$I$6:$I$350,MATCH(A27,Aktiv!$A$6:$A$350,0)),"")</f>
        <v>120</v>
      </c>
      <c r="N27" s="298">
        <f t="shared" si="4"/>
        <v>82</v>
      </c>
      <c r="O27" s="296">
        <f t="shared" si="5"/>
        <v>2.1578947368421053</v>
      </c>
      <c r="P27" s="297">
        <f>IF(C27="","",ROUND(C27*Steuerungsdaten!$B$4*Steuerungsdaten!$B$10*IFERROR(VLOOKUP(IFERROR(INDEX(Aktiv!$C$6:$C$350,MATCH(A27,Aktiv!$A$6:$A$350,0)),""),Steuerungsdaten!$B$17:$I$37,8,FALSE),1)*POWER(IF(OR(IFERROR(INDEX(Aktiv!$E$6:$E$350,MATCH(A27,Aktiv!$A$6:$A$350,0)),0)=0,IFERROR(INDEX(Aktiv!$F$6:$F$350,MATCH(A27,Aktiv!$A$6:$A$350,0)),0)=0),1,(IFERROR(INDEX(Aktiv!$E$6:$E$350,MATCH(A27,Aktiv!$A$6:$A$350,0)),0)*IFERROR(INDEX(Aktiv!$F$6:$F$350,MATCH(A27,Aktiv!$A$6:$A$350,0)),0)/1000000)/Steuerungsdaten!$B$6),1-1),0))</f>
        <v>41</v>
      </c>
      <c r="Q27" s="297">
        <f>IFERROR(INDEX(Aktiv!$J$6:$J$350,MATCH(A27,Aktiv!$A$6:$A$350,0)),"")</f>
        <v>145</v>
      </c>
      <c r="R27" s="298">
        <f t="shared" si="6"/>
        <v>104</v>
      </c>
      <c r="S27" s="296">
        <f t="shared" si="7"/>
        <v>2.5365853658536586</v>
      </c>
    </row>
    <row r="28" spans="1:19" x14ac:dyDescent="0.25">
      <c r="A28" s="292">
        <v>3107</v>
      </c>
      <c r="B28" s="292" t="s">
        <v>35</v>
      </c>
      <c r="C28" s="293">
        <f>IFERROR(INDEX(Aktiv!$O$6:$O$350,MATCH(A28,Aktiv!$A$6:$A$350,0)),"")</f>
        <v>43</v>
      </c>
      <c r="D28" s="293">
        <f>IF(C28="","",ROUND(C28*Steuerungsdaten!$B$4*Steuerungsdaten!$B$7*IFERROR(VLOOKUP(IFERROR(INDEX(Aktiv!$C$6:$C$350,MATCH(A28,Aktiv!$A$6:$A$350,0)),""),Steuerungsdaten!$B$17:$C$37,2,FALSE),1)*POWER(IF(OR(IFERROR(INDEX(Aktiv!$E$6:$E$350,MATCH(A28,Aktiv!$A$6:$A$350,0)),0)=0,IFERROR(INDEX(Aktiv!$F$6:$F$350,MATCH(A28,Aktiv!$A$6:$A$350,0)),0)=0),1,(IFERROR(INDEX(Aktiv!$E$6:$E$350,MATCH(A28,Aktiv!$A$6:$A$350,0)),0)*IFERROR(INDEX(Aktiv!$F$6:$F$350,MATCH(A28,Aktiv!$A$6:$A$350,0)),0)/1000000)/Steuerungsdaten!$B$6),IF(ISNUMBER(MATCH(IFERROR(INDEX(Aktiv!$C$6:$C$350,MATCH(A28,Aktiv!$A$6:$A$350,0)),""),{"Boden","Seite außen","Seite außen SY32","Rücken","Seite innen","Seite innen SY32","Seite innen SY32 DB","Fachboden klein","Fachboden groß","Klappenboden"},0)),1.2,1)-1),0))</f>
        <v>34</v>
      </c>
      <c r="E28" s="293">
        <f>IFERROR(INDEX(Aktiv!$G$6:$G$350,MATCH(A28,Aktiv!$A$6:$A$350,0)),"")</f>
        <v>37</v>
      </c>
      <c r="F28" s="294">
        <f t="shared" si="0"/>
        <v>3</v>
      </c>
      <c r="G28" s="295">
        <f t="shared" si="1"/>
        <v>8.8235294117647065E-2</v>
      </c>
      <c r="H28" s="293">
        <f>IF(C28="","",ROUND(C28*Steuerungsdaten!$B$4*Steuerungsdaten!$B$8*IFERROR(VLOOKUP(IFERROR(INDEX(Aktiv!$C$6:$C$350,MATCH(A28,Aktiv!$A$6:$A$350,0)),""),Steuerungsdaten!$B$17:$E$37,4,FALSE),1)*POWER(IF(OR(IFERROR(INDEX(Aktiv!$E$6:$E$350,MATCH(A28,Aktiv!$A$6:$A$350,0)),0)=0,IFERROR(INDEX(Aktiv!$F$6:$F$350,MATCH(A28,Aktiv!$A$6:$A$350,0)),0)=0),1,(IFERROR(INDEX(Aktiv!$E$6:$E$350,MATCH(A28,Aktiv!$A$6:$A$350,0)),0)*IFERROR(INDEX(Aktiv!$F$6:$F$350,MATCH(A28,Aktiv!$A$6:$A$350,0)),0)/1000000)/Steuerungsdaten!$B$6),1-1),0))</f>
        <v>38</v>
      </c>
      <c r="I28" s="293">
        <f>IFERROR(INDEX(Aktiv!$H$6:$H$350,MATCH(A28,Aktiv!$A$6:$A$350,0)),"")</f>
        <v>126</v>
      </c>
      <c r="J28" s="294">
        <f t="shared" si="2"/>
        <v>88</v>
      </c>
      <c r="K28" s="296">
        <f t="shared" si="3"/>
        <v>2.3157894736842106</v>
      </c>
      <c r="L28" s="297">
        <f>IF(C28="","",ROUND(C28*Steuerungsdaten!$B$4*Steuerungsdaten!$B$9*IFERROR(VLOOKUP(IFERROR(INDEX(Aktiv!$C$6:$C$350,MATCH(A28,Aktiv!$A$6:$A$350,0)),""),Steuerungsdaten!$B$17:$G$37,6,FALSE),1)*POWER(IF(OR(IFERROR(INDEX(Aktiv!$E$6:$E$350,MATCH(A28,Aktiv!$A$6:$A$350,0)),0)=0,IFERROR(INDEX(Aktiv!$F$6:$F$350,MATCH(A28,Aktiv!$A$6:$A$350,0)),0)=0),1,(IFERROR(INDEX(Aktiv!$E$6:$E$350,MATCH(A28,Aktiv!$A$6:$A$350,0)),0)*IFERROR(INDEX(Aktiv!$F$6:$F$350,MATCH(A28,Aktiv!$A$6:$A$350,0)),0)/1000000)/Steuerungsdaten!$B$6),1-1),0))</f>
        <v>38</v>
      </c>
      <c r="M28" s="297">
        <f>IFERROR(INDEX(Aktiv!$I$6:$I$350,MATCH(A28,Aktiv!$A$6:$A$350,0)),"")</f>
        <v>131</v>
      </c>
      <c r="N28" s="298">
        <f t="shared" si="4"/>
        <v>93</v>
      </c>
      <c r="O28" s="296">
        <f t="shared" si="5"/>
        <v>2.4473684210526314</v>
      </c>
      <c r="P28" s="297">
        <f>IF(C28="","",ROUND(C28*Steuerungsdaten!$B$4*Steuerungsdaten!$B$10*IFERROR(VLOOKUP(IFERROR(INDEX(Aktiv!$C$6:$C$350,MATCH(A28,Aktiv!$A$6:$A$350,0)),""),Steuerungsdaten!$B$17:$I$37,8,FALSE),1)*POWER(IF(OR(IFERROR(INDEX(Aktiv!$E$6:$E$350,MATCH(A28,Aktiv!$A$6:$A$350,0)),0)=0,IFERROR(INDEX(Aktiv!$F$6:$F$350,MATCH(A28,Aktiv!$A$6:$A$350,0)),0)=0),1,(IFERROR(INDEX(Aktiv!$E$6:$E$350,MATCH(A28,Aktiv!$A$6:$A$350,0)),0)*IFERROR(INDEX(Aktiv!$F$6:$F$350,MATCH(A28,Aktiv!$A$6:$A$350,0)),0)/1000000)/Steuerungsdaten!$B$6),1-1),0))</f>
        <v>41</v>
      </c>
      <c r="Q28" s="297">
        <f>IFERROR(INDEX(Aktiv!$J$6:$J$350,MATCH(A28,Aktiv!$A$6:$A$350,0)),"")</f>
        <v>146</v>
      </c>
      <c r="R28" s="298">
        <f t="shared" si="6"/>
        <v>105</v>
      </c>
      <c r="S28" s="296">
        <f t="shared" si="7"/>
        <v>2.5609756097560976</v>
      </c>
    </row>
    <row r="29" spans="1:19" x14ac:dyDescent="0.25">
      <c r="A29" s="292">
        <v>3108</v>
      </c>
      <c r="B29" s="292" t="s">
        <v>36</v>
      </c>
      <c r="C29" s="293">
        <f>IFERROR(INDEX(Aktiv!$O$6:$O$350,MATCH(A29,Aktiv!$A$6:$A$350,0)),"")</f>
        <v>82</v>
      </c>
      <c r="D29" s="293">
        <f>IF(C29="","",ROUND(C29*Steuerungsdaten!$B$4*Steuerungsdaten!$B$7*IFERROR(VLOOKUP(IFERROR(INDEX(Aktiv!$C$6:$C$350,MATCH(A29,Aktiv!$A$6:$A$350,0)),""),Steuerungsdaten!$B$17:$C$37,2,FALSE),1)*POWER(IF(OR(IFERROR(INDEX(Aktiv!$E$6:$E$350,MATCH(A29,Aktiv!$A$6:$A$350,0)),0)=0,IFERROR(INDEX(Aktiv!$F$6:$F$350,MATCH(A29,Aktiv!$A$6:$A$350,0)),0)=0),1,(IFERROR(INDEX(Aktiv!$E$6:$E$350,MATCH(A29,Aktiv!$A$6:$A$350,0)),0)*IFERROR(INDEX(Aktiv!$F$6:$F$350,MATCH(A29,Aktiv!$A$6:$A$350,0)),0)/1000000)/Steuerungsdaten!$B$6),IF(ISNUMBER(MATCH(IFERROR(INDEX(Aktiv!$C$6:$C$350,MATCH(A29,Aktiv!$A$6:$A$350,0)),""),{"Boden","Seite außen","Seite außen SY32","Rücken","Seite innen","Seite innen SY32","Seite innen SY32 DB","Fachboden klein","Fachboden groß","Klappenboden"},0)),1.2,1)-1),0))</f>
        <v>75</v>
      </c>
      <c r="E29" s="293">
        <f>IFERROR(INDEX(Aktiv!$G$6:$G$350,MATCH(A29,Aktiv!$A$6:$A$350,0)),"")</f>
        <v>73</v>
      </c>
      <c r="F29" s="294">
        <f t="shared" si="0"/>
        <v>-2</v>
      </c>
      <c r="G29" s="295">
        <f t="shared" si="1"/>
        <v>-2.6666666666666668E-2</v>
      </c>
      <c r="H29" s="293">
        <f>IF(C29="","",ROUND(C29*Steuerungsdaten!$B$4*Steuerungsdaten!$B$8*IFERROR(VLOOKUP(IFERROR(INDEX(Aktiv!$C$6:$C$350,MATCH(A29,Aktiv!$A$6:$A$350,0)),""),Steuerungsdaten!$B$17:$E$37,4,FALSE),1)*POWER(IF(OR(IFERROR(INDEX(Aktiv!$E$6:$E$350,MATCH(A29,Aktiv!$A$6:$A$350,0)),0)=0,IFERROR(INDEX(Aktiv!$F$6:$F$350,MATCH(A29,Aktiv!$A$6:$A$350,0)),0)=0),1,(IFERROR(INDEX(Aktiv!$E$6:$E$350,MATCH(A29,Aktiv!$A$6:$A$350,0)),0)*IFERROR(INDEX(Aktiv!$F$6:$F$350,MATCH(A29,Aktiv!$A$6:$A$350,0)),0)/1000000)/Steuerungsdaten!$B$6),1-1),0))</f>
        <v>72</v>
      </c>
      <c r="I29" s="293">
        <f>IFERROR(INDEX(Aktiv!$H$6:$H$350,MATCH(A29,Aktiv!$A$6:$A$350,0)),"")</f>
        <v>252</v>
      </c>
      <c r="J29" s="294">
        <f t="shared" si="2"/>
        <v>180</v>
      </c>
      <c r="K29" s="296">
        <f t="shared" si="3"/>
        <v>2.5</v>
      </c>
      <c r="L29" s="297">
        <f>IF(C29="","",ROUND(C29*Steuerungsdaten!$B$4*Steuerungsdaten!$B$9*IFERROR(VLOOKUP(IFERROR(INDEX(Aktiv!$C$6:$C$350,MATCH(A29,Aktiv!$A$6:$A$350,0)),""),Steuerungsdaten!$B$17:$G$37,6,FALSE),1)*POWER(IF(OR(IFERROR(INDEX(Aktiv!$E$6:$E$350,MATCH(A29,Aktiv!$A$6:$A$350,0)),0)=0,IFERROR(INDEX(Aktiv!$F$6:$F$350,MATCH(A29,Aktiv!$A$6:$A$350,0)),0)=0),1,(IFERROR(INDEX(Aktiv!$E$6:$E$350,MATCH(A29,Aktiv!$A$6:$A$350,0)),0)*IFERROR(INDEX(Aktiv!$F$6:$F$350,MATCH(A29,Aktiv!$A$6:$A$350,0)),0)/1000000)/Steuerungsdaten!$B$6),1-1),0))</f>
        <v>72</v>
      </c>
      <c r="M29" s="297">
        <f>IFERROR(INDEX(Aktiv!$I$6:$I$350,MATCH(A29,Aktiv!$A$6:$A$350,0)),"")</f>
        <v>262</v>
      </c>
      <c r="N29" s="298">
        <f t="shared" si="4"/>
        <v>190</v>
      </c>
      <c r="O29" s="296">
        <f t="shared" si="5"/>
        <v>2.6388888888888888</v>
      </c>
      <c r="P29" s="297">
        <f>IF(C29="","",ROUND(C29*Steuerungsdaten!$B$4*Steuerungsdaten!$B$10*IFERROR(VLOOKUP(IFERROR(INDEX(Aktiv!$C$6:$C$350,MATCH(A29,Aktiv!$A$6:$A$350,0)),""),Steuerungsdaten!$B$17:$I$37,8,FALSE),1)*POWER(IF(OR(IFERROR(INDEX(Aktiv!$E$6:$E$350,MATCH(A29,Aktiv!$A$6:$A$350,0)),0)=0,IFERROR(INDEX(Aktiv!$F$6:$F$350,MATCH(A29,Aktiv!$A$6:$A$350,0)),0)=0),1,(IFERROR(INDEX(Aktiv!$E$6:$E$350,MATCH(A29,Aktiv!$A$6:$A$350,0)),0)*IFERROR(INDEX(Aktiv!$F$6:$F$350,MATCH(A29,Aktiv!$A$6:$A$350,0)),0)/1000000)/Steuerungsdaten!$B$6),1-1),0))</f>
        <v>79</v>
      </c>
      <c r="Q29" s="297">
        <f>IFERROR(INDEX(Aktiv!$J$6:$J$350,MATCH(A29,Aktiv!$A$6:$A$350,0)),"")</f>
        <v>292</v>
      </c>
      <c r="R29" s="298">
        <f t="shared" si="6"/>
        <v>213</v>
      </c>
      <c r="S29" s="296">
        <f t="shared" si="7"/>
        <v>2.6962025316455698</v>
      </c>
    </row>
    <row r="30" spans="1:19" x14ac:dyDescent="0.25">
      <c r="A30" s="292">
        <v>3109</v>
      </c>
      <c r="B30" s="292" t="s">
        <v>37</v>
      </c>
      <c r="C30" s="293">
        <f>IFERROR(INDEX(Aktiv!$O$6:$O$350,MATCH(A30,Aktiv!$A$6:$A$350,0)),"")</f>
        <v>119</v>
      </c>
      <c r="D30" s="293">
        <f>IF(C30="","",ROUND(C30*Steuerungsdaten!$B$4*Steuerungsdaten!$B$7*IFERROR(VLOOKUP(IFERROR(INDEX(Aktiv!$C$6:$C$350,MATCH(A30,Aktiv!$A$6:$A$350,0)),""),Steuerungsdaten!$B$17:$C$37,2,FALSE),1)*POWER(IF(OR(IFERROR(INDEX(Aktiv!$E$6:$E$350,MATCH(A30,Aktiv!$A$6:$A$350,0)),0)=0,IFERROR(INDEX(Aktiv!$F$6:$F$350,MATCH(A30,Aktiv!$A$6:$A$350,0)),0)=0),1,(IFERROR(INDEX(Aktiv!$E$6:$E$350,MATCH(A30,Aktiv!$A$6:$A$350,0)),0)*IFERROR(INDEX(Aktiv!$F$6:$F$350,MATCH(A30,Aktiv!$A$6:$A$350,0)),0)/1000000)/Steuerungsdaten!$B$6),IF(ISNUMBER(MATCH(IFERROR(INDEX(Aktiv!$C$6:$C$350,MATCH(A30,Aktiv!$A$6:$A$350,0)),""),{"Boden","Seite außen","Seite außen SY32","Rücken","Seite innen","Seite innen SY32","Seite innen SY32 DB","Fachboden klein","Fachboden groß","Klappenboden"},0)),1.2,1)-1),0))</f>
        <v>118</v>
      </c>
      <c r="E30" s="293">
        <f>IFERROR(INDEX(Aktiv!$G$6:$G$350,MATCH(A30,Aktiv!$A$6:$A$350,0)),"")</f>
        <v>110</v>
      </c>
      <c r="F30" s="294">
        <f t="shared" si="0"/>
        <v>-8</v>
      </c>
      <c r="G30" s="295">
        <f t="shared" si="1"/>
        <v>-6.7796610169491525E-2</v>
      </c>
      <c r="H30" s="293">
        <f>IF(C30="","",ROUND(C30*Steuerungsdaten!$B$4*Steuerungsdaten!$B$8*IFERROR(VLOOKUP(IFERROR(INDEX(Aktiv!$C$6:$C$350,MATCH(A30,Aktiv!$A$6:$A$350,0)),""),Steuerungsdaten!$B$17:$E$37,4,FALSE),1)*POWER(IF(OR(IFERROR(INDEX(Aktiv!$E$6:$E$350,MATCH(A30,Aktiv!$A$6:$A$350,0)),0)=0,IFERROR(INDEX(Aktiv!$F$6:$F$350,MATCH(A30,Aktiv!$A$6:$A$350,0)),0)=0),1,(IFERROR(INDEX(Aktiv!$E$6:$E$350,MATCH(A30,Aktiv!$A$6:$A$350,0)),0)*IFERROR(INDEX(Aktiv!$F$6:$F$350,MATCH(A30,Aktiv!$A$6:$A$350,0)),0)/1000000)/Steuerungsdaten!$B$6),1-1),0))</f>
        <v>105</v>
      </c>
      <c r="I30" s="293">
        <f>IFERROR(INDEX(Aktiv!$H$6:$H$350,MATCH(A30,Aktiv!$A$6:$A$350,0)),"")</f>
        <v>378</v>
      </c>
      <c r="J30" s="294">
        <f t="shared" si="2"/>
        <v>273</v>
      </c>
      <c r="K30" s="296">
        <f t="shared" si="3"/>
        <v>2.6</v>
      </c>
      <c r="L30" s="297">
        <f>IF(C30="","",ROUND(C30*Steuerungsdaten!$B$4*Steuerungsdaten!$B$9*IFERROR(VLOOKUP(IFERROR(INDEX(Aktiv!$C$6:$C$350,MATCH(A30,Aktiv!$A$6:$A$350,0)),""),Steuerungsdaten!$B$17:$G$37,6,FALSE),1)*POWER(IF(OR(IFERROR(INDEX(Aktiv!$E$6:$E$350,MATCH(A30,Aktiv!$A$6:$A$350,0)),0)=0,IFERROR(INDEX(Aktiv!$F$6:$F$350,MATCH(A30,Aktiv!$A$6:$A$350,0)),0)=0),1,(IFERROR(INDEX(Aktiv!$E$6:$E$350,MATCH(A30,Aktiv!$A$6:$A$350,0)),0)*IFERROR(INDEX(Aktiv!$F$6:$F$350,MATCH(A30,Aktiv!$A$6:$A$350,0)),0)/1000000)/Steuerungsdaten!$B$6),1-1),0))</f>
        <v>105</v>
      </c>
      <c r="M30" s="297">
        <f>IFERROR(INDEX(Aktiv!$I$6:$I$350,MATCH(A30,Aktiv!$A$6:$A$350,0)),"")</f>
        <v>394</v>
      </c>
      <c r="N30" s="298">
        <f t="shared" si="4"/>
        <v>289</v>
      </c>
      <c r="O30" s="296">
        <f t="shared" si="5"/>
        <v>2.7523809523809524</v>
      </c>
      <c r="P30" s="297">
        <f>IF(C30="","",ROUND(C30*Steuerungsdaten!$B$4*Steuerungsdaten!$B$10*IFERROR(VLOOKUP(IFERROR(INDEX(Aktiv!$C$6:$C$350,MATCH(A30,Aktiv!$A$6:$A$350,0)),""),Steuerungsdaten!$B$17:$I$37,8,FALSE),1)*POWER(IF(OR(IFERROR(INDEX(Aktiv!$E$6:$E$350,MATCH(A30,Aktiv!$A$6:$A$350,0)),0)=0,IFERROR(INDEX(Aktiv!$F$6:$F$350,MATCH(A30,Aktiv!$A$6:$A$350,0)),0)=0),1,(IFERROR(INDEX(Aktiv!$E$6:$E$350,MATCH(A30,Aktiv!$A$6:$A$350,0)),0)*IFERROR(INDEX(Aktiv!$F$6:$F$350,MATCH(A30,Aktiv!$A$6:$A$350,0)),0)/1000000)/Steuerungsdaten!$B$6),1-1),0))</f>
        <v>114</v>
      </c>
      <c r="Q30" s="297">
        <f>IFERROR(INDEX(Aktiv!$J$6:$J$350,MATCH(A30,Aktiv!$A$6:$A$350,0)),"")</f>
        <v>438</v>
      </c>
      <c r="R30" s="298">
        <f t="shared" si="6"/>
        <v>324</v>
      </c>
      <c r="S30" s="296">
        <f t="shared" si="7"/>
        <v>2.8421052631578947</v>
      </c>
    </row>
    <row r="31" spans="1:19" x14ac:dyDescent="0.25">
      <c r="A31" s="292">
        <v>3110</v>
      </c>
      <c r="B31" s="292" t="s">
        <v>38</v>
      </c>
      <c r="C31" s="293">
        <f>IFERROR(INDEX(Aktiv!$O$6:$O$350,MATCH(A31,Aktiv!$A$6:$A$350,0)),"")</f>
        <v>158</v>
      </c>
      <c r="D31" s="293">
        <f>IF(C31="","",ROUND(C31*Steuerungsdaten!$B$4*Steuerungsdaten!$B$7*IFERROR(VLOOKUP(IFERROR(INDEX(Aktiv!$C$6:$C$350,MATCH(A31,Aktiv!$A$6:$A$350,0)),""),Steuerungsdaten!$B$17:$C$37,2,FALSE),1)*POWER(IF(OR(IFERROR(INDEX(Aktiv!$E$6:$E$350,MATCH(A31,Aktiv!$A$6:$A$350,0)),0)=0,IFERROR(INDEX(Aktiv!$F$6:$F$350,MATCH(A31,Aktiv!$A$6:$A$350,0)),0)=0),1,(IFERROR(INDEX(Aktiv!$E$6:$E$350,MATCH(A31,Aktiv!$A$6:$A$350,0)),0)*IFERROR(INDEX(Aktiv!$F$6:$F$350,MATCH(A31,Aktiv!$A$6:$A$350,0)),0)/1000000)/Steuerungsdaten!$B$6),IF(ISNUMBER(MATCH(IFERROR(INDEX(Aktiv!$C$6:$C$350,MATCH(A31,Aktiv!$A$6:$A$350,0)),""),{"Boden","Seite außen","Seite außen SY32","Rücken","Seite innen","Seite innen SY32","Seite innen SY32 DB","Fachboden klein","Fachboden groß","Klappenboden"},0)),1.2,1)-1),0))</f>
        <v>165</v>
      </c>
      <c r="E31" s="293">
        <f>IFERROR(INDEX(Aktiv!$G$6:$G$350,MATCH(A31,Aktiv!$A$6:$A$350,0)),"")</f>
        <v>147</v>
      </c>
      <c r="F31" s="294">
        <f t="shared" si="0"/>
        <v>-18</v>
      </c>
      <c r="G31" s="295">
        <f t="shared" si="1"/>
        <v>-0.10909090909090909</v>
      </c>
      <c r="H31" s="293">
        <f>IF(C31="","",ROUND(C31*Steuerungsdaten!$B$4*Steuerungsdaten!$B$8*IFERROR(VLOOKUP(IFERROR(INDEX(Aktiv!$C$6:$C$350,MATCH(A31,Aktiv!$A$6:$A$350,0)),""),Steuerungsdaten!$B$17:$E$37,4,FALSE),1)*POWER(IF(OR(IFERROR(INDEX(Aktiv!$E$6:$E$350,MATCH(A31,Aktiv!$A$6:$A$350,0)),0)=0,IFERROR(INDEX(Aktiv!$F$6:$F$350,MATCH(A31,Aktiv!$A$6:$A$350,0)),0)=0),1,(IFERROR(INDEX(Aktiv!$E$6:$E$350,MATCH(A31,Aktiv!$A$6:$A$350,0)),0)*IFERROR(INDEX(Aktiv!$F$6:$F$350,MATCH(A31,Aktiv!$A$6:$A$350,0)),0)/1000000)/Steuerungsdaten!$B$6),1-1),0))</f>
        <v>139</v>
      </c>
      <c r="I31" s="293">
        <f>IFERROR(INDEX(Aktiv!$H$6:$H$350,MATCH(A31,Aktiv!$A$6:$A$350,0)),"")</f>
        <v>504</v>
      </c>
      <c r="J31" s="294">
        <f t="shared" si="2"/>
        <v>365</v>
      </c>
      <c r="K31" s="296">
        <f t="shared" si="3"/>
        <v>2.6258992805755397</v>
      </c>
      <c r="L31" s="297">
        <f>IF(C31="","",ROUND(C31*Steuerungsdaten!$B$4*Steuerungsdaten!$B$9*IFERROR(VLOOKUP(IFERROR(INDEX(Aktiv!$C$6:$C$350,MATCH(A31,Aktiv!$A$6:$A$350,0)),""),Steuerungsdaten!$B$17:$G$37,6,FALSE),1)*POWER(IF(OR(IFERROR(INDEX(Aktiv!$E$6:$E$350,MATCH(A31,Aktiv!$A$6:$A$350,0)),0)=0,IFERROR(INDEX(Aktiv!$F$6:$F$350,MATCH(A31,Aktiv!$A$6:$A$350,0)),0)=0),1,(IFERROR(INDEX(Aktiv!$E$6:$E$350,MATCH(A31,Aktiv!$A$6:$A$350,0)),0)*IFERROR(INDEX(Aktiv!$F$6:$F$350,MATCH(A31,Aktiv!$A$6:$A$350,0)),0)/1000000)/Steuerungsdaten!$B$6),1-1),0))</f>
        <v>139</v>
      </c>
      <c r="M31" s="297">
        <f>IFERROR(INDEX(Aktiv!$I$6:$I$350,MATCH(A31,Aktiv!$A$6:$A$350,0)),"")</f>
        <v>525</v>
      </c>
      <c r="N31" s="298">
        <f t="shared" si="4"/>
        <v>386</v>
      </c>
      <c r="O31" s="296">
        <f t="shared" si="5"/>
        <v>2.7769784172661871</v>
      </c>
      <c r="P31" s="297">
        <f>IF(C31="","",ROUND(C31*Steuerungsdaten!$B$4*Steuerungsdaten!$B$10*IFERROR(VLOOKUP(IFERROR(INDEX(Aktiv!$C$6:$C$350,MATCH(A31,Aktiv!$A$6:$A$350,0)),""),Steuerungsdaten!$B$17:$I$37,8,FALSE),1)*POWER(IF(OR(IFERROR(INDEX(Aktiv!$E$6:$E$350,MATCH(A31,Aktiv!$A$6:$A$350,0)),0)=0,IFERROR(INDEX(Aktiv!$F$6:$F$350,MATCH(A31,Aktiv!$A$6:$A$350,0)),0)=0),1,(IFERROR(INDEX(Aktiv!$E$6:$E$350,MATCH(A31,Aktiv!$A$6:$A$350,0)),0)*IFERROR(INDEX(Aktiv!$F$6:$F$350,MATCH(A31,Aktiv!$A$6:$A$350,0)),0)/1000000)/Steuerungsdaten!$B$6),1-1),0))</f>
        <v>152</v>
      </c>
      <c r="Q31" s="297">
        <f>IFERROR(INDEX(Aktiv!$J$6:$J$350,MATCH(A31,Aktiv!$A$6:$A$350,0)),"")</f>
        <v>584</v>
      </c>
      <c r="R31" s="298">
        <f t="shared" si="6"/>
        <v>432</v>
      </c>
      <c r="S31" s="296">
        <f t="shared" si="7"/>
        <v>2.8421052631578947</v>
      </c>
    </row>
    <row r="32" spans="1:19" x14ac:dyDescent="0.25">
      <c r="A32" s="292">
        <v>3111</v>
      </c>
      <c r="B32" s="292" t="s">
        <v>39</v>
      </c>
      <c r="C32" s="293">
        <f>IFERROR(INDEX(Aktiv!$O$6:$O$350,MATCH(A32,Aktiv!$A$6:$A$350,0)),"")</f>
        <v>197</v>
      </c>
      <c r="D32" s="293">
        <f>IF(C32="","",ROUND(C32*Steuerungsdaten!$B$4*Steuerungsdaten!$B$7*IFERROR(VLOOKUP(IFERROR(INDEX(Aktiv!$C$6:$C$350,MATCH(A32,Aktiv!$A$6:$A$350,0)),""),Steuerungsdaten!$B$17:$C$37,2,FALSE),1)*POWER(IF(OR(IFERROR(INDEX(Aktiv!$E$6:$E$350,MATCH(A32,Aktiv!$A$6:$A$350,0)),0)=0,IFERROR(INDEX(Aktiv!$F$6:$F$350,MATCH(A32,Aktiv!$A$6:$A$350,0)),0)=0),1,(IFERROR(INDEX(Aktiv!$E$6:$E$350,MATCH(A32,Aktiv!$A$6:$A$350,0)),0)*IFERROR(INDEX(Aktiv!$F$6:$F$350,MATCH(A32,Aktiv!$A$6:$A$350,0)),0)/1000000)/Steuerungsdaten!$B$6),IF(ISNUMBER(MATCH(IFERROR(INDEX(Aktiv!$C$6:$C$350,MATCH(A32,Aktiv!$A$6:$A$350,0)),""),{"Boden","Seite außen","Seite außen SY32","Rücken","Seite innen","Seite innen SY32","Seite innen SY32 DB","Fachboden klein","Fachboden groß","Klappenboden"},0)),1.2,1)-1),0))</f>
        <v>216</v>
      </c>
      <c r="E32" s="293">
        <f>IFERROR(INDEX(Aktiv!$G$6:$G$350,MATCH(A32,Aktiv!$A$6:$A$350,0)),"")</f>
        <v>184</v>
      </c>
      <c r="F32" s="294">
        <f t="shared" si="0"/>
        <v>-32</v>
      </c>
      <c r="G32" s="295">
        <f t="shared" si="1"/>
        <v>-0.14814814814814814</v>
      </c>
      <c r="H32" s="293">
        <f>IF(C32="","",ROUND(C32*Steuerungsdaten!$B$4*Steuerungsdaten!$B$8*IFERROR(VLOOKUP(IFERROR(INDEX(Aktiv!$C$6:$C$350,MATCH(A32,Aktiv!$A$6:$A$350,0)),""),Steuerungsdaten!$B$17:$E$37,4,FALSE),1)*POWER(IF(OR(IFERROR(INDEX(Aktiv!$E$6:$E$350,MATCH(A32,Aktiv!$A$6:$A$350,0)),0)=0,IFERROR(INDEX(Aktiv!$F$6:$F$350,MATCH(A32,Aktiv!$A$6:$A$350,0)),0)=0),1,(IFERROR(INDEX(Aktiv!$E$6:$E$350,MATCH(A32,Aktiv!$A$6:$A$350,0)),0)*IFERROR(INDEX(Aktiv!$F$6:$F$350,MATCH(A32,Aktiv!$A$6:$A$350,0)),0)/1000000)/Steuerungsdaten!$B$6),1-1),0))</f>
        <v>173</v>
      </c>
      <c r="I32" s="293">
        <f>IFERROR(INDEX(Aktiv!$H$6:$H$350,MATCH(A32,Aktiv!$A$6:$A$350,0)),"")</f>
        <v>630</v>
      </c>
      <c r="J32" s="294">
        <f t="shared" si="2"/>
        <v>457</v>
      </c>
      <c r="K32" s="296">
        <f t="shared" si="3"/>
        <v>2.6416184971098264</v>
      </c>
      <c r="L32" s="297">
        <f>IF(C32="","",ROUND(C32*Steuerungsdaten!$B$4*Steuerungsdaten!$B$9*IFERROR(VLOOKUP(IFERROR(INDEX(Aktiv!$C$6:$C$350,MATCH(A32,Aktiv!$A$6:$A$350,0)),""),Steuerungsdaten!$B$17:$G$37,6,FALSE),1)*POWER(IF(OR(IFERROR(INDEX(Aktiv!$E$6:$E$350,MATCH(A32,Aktiv!$A$6:$A$350,0)),0)=0,IFERROR(INDEX(Aktiv!$F$6:$F$350,MATCH(A32,Aktiv!$A$6:$A$350,0)),0)=0),1,(IFERROR(INDEX(Aktiv!$E$6:$E$350,MATCH(A32,Aktiv!$A$6:$A$350,0)),0)*IFERROR(INDEX(Aktiv!$F$6:$F$350,MATCH(A32,Aktiv!$A$6:$A$350,0)),0)/1000000)/Steuerungsdaten!$B$6),1-1),0))</f>
        <v>173</v>
      </c>
      <c r="M32" s="297">
        <f>IFERROR(INDEX(Aktiv!$I$6:$I$350,MATCH(A32,Aktiv!$A$6:$A$350,0)),"")</f>
        <v>656</v>
      </c>
      <c r="N32" s="298">
        <f t="shared" si="4"/>
        <v>483</v>
      </c>
      <c r="O32" s="296">
        <f t="shared" si="5"/>
        <v>2.7919075144508669</v>
      </c>
      <c r="P32" s="297">
        <f>IF(C32="","",ROUND(C32*Steuerungsdaten!$B$4*Steuerungsdaten!$B$10*IFERROR(VLOOKUP(IFERROR(INDEX(Aktiv!$C$6:$C$350,MATCH(A32,Aktiv!$A$6:$A$350,0)),""),Steuerungsdaten!$B$17:$I$37,8,FALSE),1)*POWER(IF(OR(IFERROR(INDEX(Aktiv!$E$6:$E$350,MATCH(A32,Aktiv!$A$6:$A$350,0)),0)=0,IFERROR(INDEX(Aktiv!$F$6:$F$350,MATCH(A32,Aktiv!$A$6:$A$350,0)),0)=0),1,(IFERROR(INDEX(Aktiv!$E$6:$E$350,MATCH(A32,Aktiv!$A$6:$A$350,0)),0)*IFERROR(INDEX(Aktiv!$F$6:$F$350,MATCH(A32,Aktiv!$A$6:$A$350,0)),0)/1000000)/Steuerungsdaten!$B$6),1-1),0))</f>
        <v>189</v>
      </c>
      <c r="Q32" s="297">
        <f>IFERROR(INDEX(Aktiv!$J$6:$J$350,MATCH(A32,Aktiv!$A$6:$A$350,0)),"")</f>
        <v>730</v>
      </c>
      <c r="R32" s="298">
        <f t="shared" si="6"/>
        <v>541</v>
      </c>
      <c r="S32" s="296">
        <f t="shared" si="7"/>
        <v>2.8624338624338623</v>
      </c>
    </row>
    <row r="33" spans="1:19" x14ac:dyDescent="0.25">
      <c r="A33" s="292">
        <v>3112</v>
      </c>
      <c r="B33" s="292" t="s">
        <v>40</v>
      </c>
      <c r="C33" s="293">
        <f>IFERROR(INDEX(Aktiv!$O$6:$O$350,MATCH(A33,Aktiv!$A$6:$A$350,0)),"")</f>
        <v>56</v>
      </c>
      <c r="D33" s="293">
        <f>IF(C33="","",ROUND(C33*Steuerungsdaten!$B$4*Steuerungsdaten!$B$7*IFERROR(VLOOKUP(IFERROR(INDEX(Aktiv!$C$6:$C$350,MATCH(A33,Aktiv!$A$6:$A$350,0)),""),Steuerungsdaten!$B$17:$C$37,2,FALSE),1)*POWER(IF(OR(IFERROR(INDEX(Aktiv!$E$6:$E$350,MATCH(A33,Aktiv!$A$6:$A$350,0)),0)=0,IFERROR(INDEX(Aktiv!$F$6:$F$350,MATCH(A33,Aktiv!$A$6:$A$350,0)),0)=0),1,(IFERROR(INDEX(Aktiv!$E$6:$E$350,MATCH(A33,Aktiv!$A$6:$A$350,0)),0)*IFERROR(INDEX(Aktiv!$F$6:$F$350,MATCH(A33,Aktiv!$A$6:$A$350,0)),0)/1000000)/Steuerungsdaten!$B$6),IF(ISNUMBER(MATCH(IFERROR(INDEX(Aktiv!$C$6:$C$350,MATCH(A33,Aktiv!$A$6:$A$350,0)),""),{"Boden","Seite außen","Seite außen SY32","Rücken","Seite innen","Seite innen SY32","Seite innen SY32 DB","Fachboden klein","Fachboden groß","Klappenboden"},0)),1.2,1)-1),0))</f>
        <v>41</v>
      </c>
      <c r="E33" s="293">
        <f>IFERROR(INDEX(Aktiv!$G$6:$G$350,MATCH(A33,Aktiv!$A$6:$A$350,0)),"")</f>
        <v>25</v>
      </c>
      <c r="F33" s="294">
        <f t="shared" si="0"/>
        <v>-16</v>
      </c>
      <c r="G33" s="295">
        <f t="shared" si="1"/>
        <v>-0.3902439024390244</v>
      </c>
      <c r="H33" s="293">
        <f>IF(C33="","",ROUND(C33*Steuerungsdaten!$B$4*Steuerungsdaten!$B$8*IFERROR(VLOOKUP(IFERROR(INDEX(Aktiv!$C$6:$C$350,MATCH(A33,Aktiv!$A$6:$A$350,0)),""),Steuerungsdaten!$B$17:$E$37,4,FALSE),1)*POWER(IF(OR(IFERROR(INDEX(Aktiv!$E$6:$E$350,MATCH(A33,Aktiv!$A$6:$A$350,0)),0)=0,IFERROR(INDEX(Aktiv!$F$6:$F$350,MATCH(A33,Aktiv!$A$6:$A$350,0)),0)=0),1,(IFERROR(INDEX(Aktiv!$E$6:$E$350,MATCH(A33,Aktiv!$A$6:$A$350,0)),0)*IFERROR(INDEX(Aktiv!$F$6:$F$350,MATCH(A33,Aktiv!$A$6:$A$350,0)),0)/1000000)/Steuerungsdaten!$B$6),1-1),0))</f>
        <v>49</v>
      </c>
      <c r="I33" s="293">
        <f>IFERROR(INDEX(Aktiv!$H$6:$H$350,MATCH(A33,Aktiv!$A$6:$A$350,0)),"")</f>
        <v>103</v>
      </c>
      <c r="J33" s="294">
        <f t="shared" si="2"/>
        <v>54</v>
      </c>
      <c r="K33" s="296">
        <f t="shared" si="3"/>
        <v>1.1020408163265305</v>
      </c>
      <c r="L33" s="297">
        <f>IF(C33="","",ROUND(C33*Steuerungsdaten!$B$4*Steuerungsdaten!$B$9*IFERROR(VLOOKUP(IFERROR(INDEX(Aktiv!$C$6:$C$350,MATCH(A33,Aktiv!$A$6:$A$350,0)),""),Steuerungsdaten!$B$17:$G$37,6,FALSE),1)*POWER(IF(OR(IFERROR(INDEX(Aktiv!$E$6:$E$350,MATCH(A33,Aktiv!$A$6:$A$350,0)),0)=0,IFERROR(INDEX(Aktiv!$F$6:$F$350,MATCH(A33,Aktiv!$A$6:$A$350,0)),0)=0),1,(IFERROR(INDEX(Aktiv!$E$6:$E$350,MATCH(A33,Aktiv!$A$6:$A$350,0)),0)*IFERROR(INDEX(Aktiv!$F$6:$F$350,MATCH(A33,Aktiv!$A$6:$A$350,0)),0)/1000000)/Steuerungsdaten!$B$6),1-1),0))</f>
        <v>49</v>
      </c>
      <c r="M33" s="297">
        <f>IFERROR(INDEX(Aktiv!$I$6:$I$350,MATCH(A33,Aktiv!$A$6:$A$350,0)),"")</f>
        <v>120</v>
      </c>
      <c r="N33" s="298">
        <f t="shared" si="4"/>
        <v>71</v>
      </c>
      <c r="O33" s="296">
        <f t="shared" si="5"/>
        <v>1.4489795918367347</v>
      </c>
      <c r="P33" s="297">
        <f>IF(C33="","",ROUND(C33*Steuerungsdaten!$B$4*Steuerungsdaten!$B$10*IFERROR(VLOOKUP(IFERROR(INDEX(Aktiv!$C$6:$C$350,MATCH(A33,Aktiv!$A$6:$A$350,0)),""),Steuerungsdaten!$B$17:$I$37,8,FALSE),1)*POWER(IF(OR(IFERROR(INDEX(Aktiv!$E$6:$E$350,MATCH(A33,Aktiv!$A$6:$A$350,0)),0)=0,IFERROR(INDEX(Aktiv!$F$6:$F$350,MATCH(A33,Aktiv!$A$6:$A$350,0)),0)=0),1,(IFERROR(INDEX(Aktiv!$E$6:$E$350,MATCH(A33,Aktiv!$A$6:$A$350,0)),0)*IFERROR(INDEX(Aktiv!$F$6:$F$350,MATCH(A33,Aktiv!$A$6:$A$350,0)),0)/1000000)/Steuerungsdaten!$B$6),1-1),0))</f>
        <v>54</v>
      </c>
      <c r="Q33" s="297">
        <f>IFERROR(INDEX(Aktiv!$J$6:$J$350,MATCH(A33,Aktiv!$A$6:$A$350,0)),"")</f>
        <v>145</v>
      </c>
      <c r="R33" s="298">
        <f t="shared" si="6"/>
        <v>91</v>
      </c>
      <c r="S33" s="296">
        <f t="shared" si="7"/>
        <v>1.6851851851851851</v>
      </c>
    </row>
    <row r="34" spans="1:19" x14ac:dyDescent="0.25">
      <c r="A34" s="292">
        <v>3113</v>
      </c>
      <c r="B34" s="292" t="s">
        <v>41</v>
      </c>
      <c r="C34" s="293">
        <f>IFERROR(INDEX(Aktiv!$O$6:$O$350,MATCH(A34,Aktiv!$A$6:$A$350,0)),"")</f>
        <v>70</v>
      </c>
      <c r="D34" s="293">
        <f>IF(C34="","",ROUND(C34*Steuerungsdaten!$B$4*Steuerungsdaten!$B$7*IFERROR(VLOOKUP(IFERROR(INDEX(Aktiv!$C$6:$C$350,MATCH(A34,Aktiv!$A$6:$A$350,0)),""),Steuerungsdaten!$B$17:$C$37,2,FALSE),1)*POWER(IF(OR(IFERROR(INDEX(Aktiv!$E$6:$E$350,MATCH(A34,Aktiv!$A$6:$A$350,0)),0)=0,IFERROR(INDEX(Aktiv!$F$6:$F$350,MATCH(A34,Aktiv!$A$6:$A$350,0)),0)=0),1,(IFERROR(INDEX(Aktiv!$E$6:$E$350,MATCH(A34,Aktiv!$A$6:$A$350,0)),0)*IFERROR(INDEX(Aktiv!$F$6:$F$350,MATCH(A34,Aktiv!$A$6:$A$350,0)),0)/1000000)/Steuerungsdaten!$B$6),IF(ISNUMBER(MATCH(IFERROR(INDEX(Aktiv!$C$6:$C$350,MATCH(A34,Aktiv!$A$6:$A$350,0)),""),{"Boden","Seite außen","Seite außen SY32","Rücken","Seite innen","Seite innen SY32","Seite innen SY32 DB","Fachboden klein","Fachboden groß","Klappenboden"},0)),1.2,1)-1),0))</f>
        <v>54</v>
      </c>
      <c r="E34" s="293">
        <f>IFERROR(INDEX(Aktiv!$G$6:$G$350,MATCH(A34,Aktiv!$A$6:$A$350,0)),"")</f>
        <v>31</v>
      </c>
      <c r="F34" s="294">
        <f t="shared" si="0"/>
        <v>-23</v>
      </c>
      <c r="G34" s="295">
        <f t="shared" si="1"/>
        <v>-0.42592592592592593</v>
      </c>
      <c r="H34" s="293">
        <f>IF(C34="","",ROUND(C34*Steuerungsdaten!$B$4*Steuerungsdaten!$B$8*IFERROR(VLOOKUP(IFERROR(INDEX(Aktiv!$C$6:$C$350,MATCH(A34,Aktiv!$A$6:$A$350,0)),""),Steuerungsdaten!$B$17:$E$37,4,FALSE),1)*POWER(IF(OR(IFERROR(INDEX(Aktiv!$E$6:$E$350,MATCH(A34,Aktiv!$A$6:$A$350,0)),0)=0,IFERROR(INDEX(Aktiv!$F$6:$F$350,MATCH(A34,Aktiv!$A$6:$A$350,0)),0)=0),1,(IFERROR(INDEX(Aktiv!$E$6:$E$350,MATCH(A34,Aktiv!$A$6:$A$350,0)),0)*IFERROR(INDEX(Aktiv!$F$6:$F$350,MATCH(A34,Aktiv!$A$6:$A$350,0)),0)/1000000)/Steuerungsdaten!$B$6),1-1),0))</f>
        <v>62</v>
      </c>
      <c r="I34" s="293">
        <f>IFERROR(INDEX(Aktiv!$H$6:$H$350,MATCH(A34,Aktiv!$A$6:$A$350,0)),"")</f>
        <v>106</v>
      </c>
      <c r="J34" s="294">
        <f t="shared" si="2"/>
        <v>44</v>
      </c>
      <c r="K34" s="296">
        <f t="shared" si="3"/>
        <v>0.70967741935483875</v>
      </c>
      <c r="L34" s="297">
        <f>IF(C34="","",ROUND(C34*Steuerungsdaten!$B$4*Steuerungsdaten!$B$9*IFERROR(VLOOKUP(IFERROR(INDEX(Aktiv!$C$6:$C$350,MATCH(A34,Aktiv!$A$6:$A$350,0)),""),Steuerungsdaten!$B$17:$G$37,6,FALSE),1)*POWER(IF(OR(IFERROR(INDEX(Aktiv!$E$6:$E$350,MATCH(A34,Aktiv!$A$6:$A$350,0)),0)=0,IFERROR(INDEX(Aktiv!$F$6:$F$350,MATCH(A34,Aktiv!$A$6:$A$350,0)),0)=0),1,(IFERROR(INDEX(Aktiv!$E$6:$E$350,MATCH(A34,Aktiv!$A$6:$A$350,0)),0)*IFERROR(INDEX(Aktiv!$F$6:$F$350,MATCH(A34,Aktiv!$A$6:$A$350,0)),0)/1000000)/Steuerungsdaten!$B$6),1-1),0))</f>
        <v>62</v>
      </c>
      <c r="M34" s="297">
        <f>IFERROR(INDEX(Aktiv!$I$6:$I$350,MATCH(A34,Aktiv!$A$6:$A$350,0)),"")</f>
        <v>120</v>
      </c>
      <c r="N34" s="298">
        <f t="shared" si="4"/>
        <v>58</v>
      </c>
      <c r="O34" s="296">
        <f t="shared" si="5"/>
        <v>0.93548387096774188</v>
      </c>
      <c r="P34" s="297">
        <f>IF(C34="","",ROUND(C34*Steuerungsdaten!$B$4*Steuerungsdaten!$B$10*IFERROR(VLOOKUP(IFERROR(INDEX(Aktiv!$C$6:$C$350,MATCH(A34,Aktiv!$A$6:$A$350,0)),""),Steuerungsdaten!$B$17:$I$37,8,FALSE),1)*POWER(IF(OR(IFERROR(INDEX(Aktiv!$E$6:$E$350,MATCH(A34,Aktiv!$A$6:$A$350,0)),0)=0,IFERROR(INDEX(Aktiv!$F$6:$F$350,MATCH(A34,Aktiv!$A$6:$A$350,0)),0)=0),1,(IFERROR(INDEX(Aktiv!$E$6:$E$350,MATCH(A34,Aktiv!$A$6:$A$350,0)),0)*IFERROR(INDEX(Aktiv!$F$6:$F$350,MATCH(A34,Aktiv!$A$6:$A$350,0)),0)/1000000)/Steuerungsdaten!$B$6),1-1),0))</f>
        <v>67</v>
      </c>
      <c r="Q34" s="297">
        <f>IFERROR(INDEX(Aktiv!$J$6:$J$350,MATCH(A34,Aktiv!$A$6:$A$350,0)),"")</f>
        <v>145</v>
      </c>
      <c r="R34" s="298">
        <f t="shared" si="6"/>
        <v>78</v>
      </c>
      <c r="S34" s="296">
        <f t="shared" si="7"/>
        <v>1.164179104477612</v>
      </c>
    </row>
    <row r="35" spans="1:19" x14ac:dyDescent="0.25">
      <c r="A35" s="292">
        <v>3114</v>
      </c>
      <c r="B35" s="292" t="s">
        <v>42</v>
      </c>
      <c r="C35" s="293">
        <f>IFERROR(INDEX(Aktiv!$O$6:$O$350,MATCH(A35,Aktiv!$A$6:$A$350,0)),"")</f>
        <v>56</v>
      </c>
      <c r="D35" s="293">
        <f>IF(C35="","",ROUND(C35*Steuerungsdaten!$B$4*Steuerungsdaten!$B$7*IFERROR(VLOOKUP(IFERROR(INDEX(Aktiv!$C$6:$C$350,MATCH(A35,Aktiv!$A$6:$A$350,0)),""),Steuerungsdaten!$B$17:$C$37,2,FALSE),1)*POWER(IF(OR(IFERROR(INDEX(Aktiv!$E$6:$E$350,MATCH(A35,Aktiv!$A$6:$A$350,0)),0)=0,IFERROR(INDEX(Aktiv!$F$6:$F$350,MATCH(A35,Aktiv!$A$6:$A$350,0)),0)=0),1,(IFERROR(INDEX(Aktiv!$E$6:$E$350,MATCH(A35,Aktiv!$A$6:$A$350,0)),0)*IFERROR(INDEX(Aktiv!$F$6:$F$350,MATCH(A35,Aktiv!$A$6:$A$350,0)),0)/1000000)/Steuerungsdaten!$B$6),IF(ISNUMBER(MATCH(IFERROR(INDEX(Aktiv!$C$6:$C$350,MATCH(A35,Aktiv!$A$6:$A$350,0)),""),{"Boden","Seite außen","Seite außen SY32","Rücken","Seite innen","Seite innen SY32","Seite innen SY32 DB","Fachboden klein","Fachboden groß","Klappenboden"},0)),1.2,1)-1),0))</f>
        <v>47</v>
      </c>
      <c r="E35" s="293">
        <f>IFERROR(INDEX(Aktiv!$G$6:$G$350,MATCH(A35,Aktiv!$A$6:$A$350,0)),"")</f>
        <v>49</v>
      </c>
      <c r="F35" s="294">
        <f t="shared" si="0"/>
        <v>2</v>
      </c>
      <c r="G35" s="295">
        <f t="shared" si="1"/>
        <v>4.2553191489361701E-2</v>
      </c>
      <c r="H35" s="293">
        <f>IF(C35="","",ROUND(C35*Steuerungsdaten!$B$4*Steuerungsdaten!$B$8*IFERROR(VLOOKUP(IFERROR(INDEX(Aktiv!$C$6:$C$350,MATCH(A35,Aktiv!$A$6:$A$350,0)),""),Steuerungsdaten!$B$17:$E$37,4,FALSE),1)*POWER(IF(OR(IFERROR(INDEX(Aktiv!$E$6:$E$350,MATCH(A35,Aktiv!$A$6:$A$350,0)),0)=0,IFERROR(INDEX(Aktiv!$F$6:$F$350,MATCH(A35,Aktiv!$A$6:$A$350,0)),0)=0),1,(IFERROR(INDEX(Aktiv!$E$6:$E$350,MATCH(A35,Aktiv!$A$6:$A$350,0)),0)*IFERROR(INDEX(Aktiv!$F$6:$F$350,MATCH(A35,Aktiv!$A$6:$A$350,0)),0)/1000000)/Steuerungsdaten!$B$6),1-1),0))</f>
        <v>49</v>
      </c>
      <c r="I35" s="293">
        <f>IFERROR(INDEX(Aktiv!$H$6:$H$350,MATCH(A35,Aktiv!$A$6:$A$350,0)),"")</f>
        <v>169</v>
      </c>
      <c r="J35" s="294">
        <f t="shared" si="2"/>
        <v>120</v>
      </c>
      <c r="K35" s="296">
        <f t="shared" si="3"/>
        <v>2.4489795918367347</v>
      </c>
      <c r="L35" s="297">
        <f>IF(C35="","",ROUND(C35*Steuerungsdaten!$B$4*Steuerungsdaten!$B$9*IFERROR(VLOOKUP(IFERROR(INDEX(Aktiv!$C$6:$C$350,MATCH(A35,Aktiv!$A$6:$A$350,0)),""),Steuerungsdaten!$B$17:$G$37,6,FALSE),1)*POWER(IF(OR(IFERROR(INDEX(Aktiv!$E$6:$E$350,MATCH(A35,Aktiv!$A$6:$A$350,0)),0)=0,IFERROR(INDEX(Aktiv!$F$6:$F$350,MATCH(A35,Aktiv!$A$6:$A$350,0)),0)=0),1,(IFERROR(INDEX(Aktiv!$E$6:$E$350,MATCH(A35,Aktiv!$A$6:$A$350,0)),0)*IFERROR(INDEX(Aktiv!$F$6:$F$350,MATCH(A35,Aktiv!$A$6:$A$350,0)),0)/1000000)/Steuerungsdaten!$B$6),1-1),0))</f>
        <v>49</v>
      </c>
      <c r="M35" s="297">
        <f>IFERROR(INDEX(Aktiv!$I$6:$I$350,MATCH(A35,Aktiv!$A$6:$A$350,0)),"")</f>
        <v>177</v>
      </c>
      <c r="N35" s="298">
        <f t="shared" si="4"/>
        <v>128</v>
      </c>
      <c r="O35" s="296">
        <f t="shared" si="5"/>
        <v>2.6122448979591835</v>
      </c>
      <c r="P35" s="297">
        <f>IF(C35="","",ROUND(C35*Steuerungsdaten!$B$4*Steuerungsdaten!$B$10*IFERROR(VLOOKUP(IFERROR(INDEX(Aktiv!$C$6:$C$350,MATCH(A35,Aktiv!$A$6:$A$350,0)),""),Steuerungsdaten!$B$17:$I$37,8,FALSE),1)*POWER(IF(OR(IFERROR(INDEX(Aktiv!$E$6:$E$350,MATCH(A35,Aktiv!$A$6:$A$350,0)),0)=0,IFERROR(INDEX(Aktiv!$F$6:$F$350,MATCH(A35,Aktiv!$A$6:$A$350,0)),0)=0),1,(IFERROR(INDEX(Aktiv!$E$6:$E$350,MATCH(A35,Aktiv!$A$6:$A$350,0)),0)*IFERROR(INDEX(Aktiv!$F$6:$F$350,MATCH(A35,Aktiv!$A$6:$A$350,0)),0)/1000000)/Steuerungsdaten!$B$6),1-1),0))</f>
        <v>54</v>
      </c>
      <c r="Q35" s="297">
        <f>IFERROR(INDEX(Aktiv!$J$6:$J$350,MATCH(A35,Aktiv!$A$6:$A$350,0)),"")</f>
        <v>196</v>
      </c>
      <c r="R35" s="298">
        <f t="shared" si="6"/>
        <v>142</v>
      </c>
      <c r="S35" s="296">
        <f t="shared" si="7"/>
        <v>2.6296296296296298</v>
      </c>
    </row>
    <row r="36" spans="1:19" x14ac:dyDescent="0.25">
      <c r="A36" s="292">
        <v>3115</v>
      </c>
      <c r="B36" s="292" t="s">
        <v>43</v>
      </c>
      <c r="C36" s="293">
        <f>IFERROR(INDEX(Aktiv!$O$6:$O$350,MATCH(A36,Aktiv!$A$6:$A$350,0)),"")</f>
        <v>70</v>
      </c>
      <c r="D36" s="293">
        <f>IF(C36="","",ROUND(C36*Steuerungsdaten!$B$4*Steuerungsdaten!$B$7*IFERROR(VLOOKUP(IFERROR(INDEX(Aktiv!$C$6:$C$350,MATCH(A36,Aktiv!$A$6:$A$350,0)),""),Steuerungsdaten!$B$17:$C$37,2,FALSE),1)*POWER(IF(OR(IFERROR(INDEX(Aktiv!$E$6:$E$350,MATCH(A36,Aktiv!$A$6:$A$350,0)),0)=0,IFERROR(INDEX(Aktiv!$F$6:$F$350,MATCH(A36,Aktiv!$A$6:$A$350,0)),0)=0),1,(IFERROR(INDEX(Aktiv!$E$6:$E$350,MATCH(A36,Aktiv!$A$6:$A$350,0)),0)*IFERROR(INDEX(Aktiv!$F$6:$F$350,MATCH(A36,Aktiv!$A$6:$A$350,0)),0)/1000000)/Steuerungsdaten!$B$6),IF(ISNUMBER(MATCH(IFERROR(INDEX(Aktiv!$C$6:$C$350,MATCH(A36,Aktiv!$A$6:$A$350,0)),""),{"Boden","Seite außen","Seite außen SY32","Rücken","Seite innen","Seite innen SY32","Seite innen SY32 DB","Fachboden klein","Fachboden groß","Klappenboden"},0)),1.2,1)-1),0))</f>
        <v>62</v>
      </c>
      <c r="E36" s="293">
        <f>IFERROR(INDEX(Aktiv!$G$6:$G$350,MATCH(A36,Aktiv!$A$6:$A$350,0)),"")</f>
        <v>62</v>
      </c>
      <c r="F36" s="294">
        <f t="shared" si="0"/>
        <v>0</v>
      </c>
      <c r="G36" s="295">
        <f t="shared" si="1"/>
        <v>0</v>
      </c>
      <c r="H36" s="293">
        <f>IF(C36="","",ROUND(C36*Steuerungsdaten!$B$4*Steuerungsdaten!$B$8*IFERROR(VLOOKUP(IFERROR(INDEX(Aktiv!$C$6:$C$350,MATCH(A36,Aktiv!$A$6:$A$350,0)),""),Steuerungsdaten!$B$17:$E$37,4,FALSE),1)*POWER(IF(OR(IFERROR(INDEX(Aktiv!$E$6:$E$350,MATCH(A36,Aktiv!$A$6:$A$350,0)),0)=0,IFERROR(INDEX(Aktiv!$F$6:$F$350,MATCH(A36,Aktiv!$A$6:$A$350,0)),0)=0),1,(IFERROR(INDEX(Aktiv!$E$6:$E$350,MATCH(A36,Aktiv!$A$6:$A$350,0)),0)*IFERROR(INDEX(Aktiv!$F$6:$F$350,MATCH(A36,Aktiv!$A$6:$A$350,0)),0)/1000000)/Steuerungsdaten!$B$6),1-1),0))</f>
        <v>62</v>
      </c>
      <c r="I36" s="293">
        <f>IFERROR(INDEX(Aktiv!$H$6:$H$350,MATCH(A36,Aktiv!$A$6:$A$350,0)),"")</f>
        <v>213</v>
      </c>
      <c r="J36" s="294">
        <f t="shared" si="2"/>
        <v>151</v>
      </c>
      <c r="K36" s="296">
        <f t="shared" si="3"/>
        <v>2.435483870967742</v>
      </c>
      <c r="L36" s="297">
        <f>IF(C36="","",ROUND(C36*Steuerungsdaten!$B$4*Steuerungsdaten!$B$9*IFERROR(VLOOKUP(IFERROR(INDEX(Aktiv!$C$6:$C$350,MATCH(A36,Aktiv!$A$6:$A$350,0)),""),Steuerungsdaten!$B$17:$G$37,6,FALSE),1)*POWER(IF(OR(IFERROR(INDEX(Aktiv!$E$6:$E$350,MATCH(A36,Aktiv!$A$6:$A$350,0)),0)=0,IFERROR(INDEX(Aktiv!$F$6:$F$350,MATCH(A36,Aktiv!$A$6:$A$350,0)),0)=0),1,(IFERROR(INDEX(Aktiv!$E$6:$E$350,MATCH(A36,Aktiv!$A$6:$A$350,0)),0)*IFERROR(INDEX(Aktiv!$F$6:$F$350,MATCH(A36,Aktiv!$A$6:$A$350,0)),0)/1000000)/Steuerungsdaten!$B$6),1-1),0))</f>
        <v>62</v>
      </c>
      <c r="M36" s="297">
        <f>IFERROR(INDEX(Aktiv!$I$6:$I$350,MATCH(A36,Aktiv!$A$6:$A$350,0)),"")</f>
        <v>222</v>
      </c>
      <c r="N36" s="298">
        <f t="shared" si="4"/>
        <v>160</v>
      </c>
      <c r="O36" s="296">
        <f t="shared" si="5"/>
        <v>2.5806451612903225</v>
      </c>
      <c r="P36" s="297">
        <f>IF(C36="","",ROUND(C36*Steuerungsdaten!$B$4*Steuerungsdaten!$B$10*IFERROR(VLOOKUP(IFERROR(INDEX(Aktiv!$C$6:$C$350,MATCH(A36,Aktiv!$A$6:$A$350,0)),""),Steuerungsdaten!$B$17:$I$37,8,FALSE),1)*POWER(IF(OR(IFERROR(INDEX(Aktiv!$E$6:$E$350,MATCH(A36,Aktiv!$A$6:$A$350,0)),0)=0,IFERROR(INDEX(Aktiv!$F$6:$F$350,MATCH(A36,Aktiv!$A$6:$A$350,0)),0)=0),1,(IFERROR(INDEX(Aktiv!$E$6:$E$350,MATCH(A36,Aktiv!$A$6:$A$350,0)),0)*IFERROR(INDEX(Aktiv!$F$6:$F$350,MATCH(A36,Aktiv!$A$6:$A$350,0)),0)/1000000)/Steuerungsdaten!$B$6),1-1),0))</f>
        <v>67</v>
      </c>
      <c r="Q36" s="297">
        <f>IFERROR(INDEX(Aktiv!$J$6:$J$350,MATCH(A36,Aktiv!$A$6:$A$350,0)),"")</f>
        <v>247</v>
      </c>
      <c r="R36" s="298">
        <f t="shared" si="6"/>
        <v>180</v>
      </c>
      <c r="S36" s="296">
        <f t="shared" si="7"/>
        <v>2.6865671641791047</v>
      </c>
    </row>
    <row r="37" spans="1:19" x14ac:dyDescent="0.25">
      <c r="A37" s="292">
        <v>3116</v>
      </c>
      <c r="B37" s="292" t="s">
        <v>44</v>
      </c>
      <c r="C37" s="293">
        <f>IFERROR(INDEX(Aktiv!$O$6:$O$350,MATCH(A37,Aktiv!$A$6:$A$350,0)),"")</f>
        <v>107</v>
      </c>
      <c r="D37" s="293">
        <f>IF(C37="","",ROUND(C37*Steuerungsdaten!$B$4*Steuerungsdaten!$B$7*IFERROR(VLOOKUP(IFERROR(INDEX(Aktiv!$C$6:$C$350,MATCH(A37,Aktiv!$A$6:$A$350,0)),""),Steuerungsdaten!$B$17:$C$37,2,FALSE),1)*POWER(IF(OR(IFERROR(INDEX(Aktiv!$E$6:$E$350,MATCH(A37,Aktiv!$A$6:$A$350,0)),0)=0,IFERROR(INDEX(Aktiv!$F$6:$F$350,MATCH(A37,Aktiv!$A$6:$A$350,0)),0)=0),1,(IFERROR(INDEX(Aktiv!$E$6:$E$350,MATCH(A37,Aktiv!$A$6:$A$350,0)),0)*IFERROR(INDEX(Aktiv!$F$6:$F$350,MATCH(A37,Aktiv!$A$6:$A$350,0)),0)/1000000)/Steuerungsdaten!$B$6),IF(ISNUMBER(MATCH(IFERROR(INDEX(Aktiv!$C$6:$C$350,MATCH(A37,Aktiv!$A$6:$A$350,0)),""),{"Boden","Seite außen","Seite außen SY32","Rücken","Seite innen","Seite innen SY32","Seite innen SY32 DB","Fachboden klein","Fachboden groß","Klappenboden"},0)),1.2,1)-1),0))</f>
        <v>103</v>
      </c>
      <c r="E37" s="293">
        <f>IFERROR(INDEX(Aktiv!$G$6:$G$350,MATCH(A37,Aktiv!$A$6:$A$350,0)),"")</f>
        <v>99</v>
      </c>
      <c r="F37" s="294">
        <f t="shared" si="0"/>
        <v>-4</v>
      </c>
      <c r="G37" s="295">
        <f t="shared" si="1"/>
        <v>-3.8834951456310676E-2</v>
      </c>
      <c r="H37" s="293">
        <f>IF(C37="","",ROUND(C37*Steuerungsdaten!$B$4*Steuerungsdaten!$B$8*IFERROR(VLOOKUP(IFERROR(INDEX(Aktiv!$C$6:$C$350,MATCH(A37,Aktiv!$A$6:$A$350,0)),""),Steuerungsdaten!$B$17:$E$37,4,FALSE),1)*POWER(IF(OR(IFERROR(INDEX(Aktiv!$E$6:$E$350,MATCH(A37,Aktiv!$A$6:$A$350,0)),0)=0,IFERROR(INDEX(Aktiv!$F$6:$F$350,MATCH(A37,Aktiv!$A$6:$A$350,0)),0)=0),1,(IFERROR(INDEX(Aktiv!$E$6:$E$350,MATCH(A37,Aktiv!$A$6:$A$350,0)),0)*IFERROR(INDEX(Aktiv!$F$6:$F$350,MATCH(A37,Aktiv!$A$6:$A$350,0)),0)/1000000)/Steuerungsdaten!$B$6),1-1),0))</f>
        <v>94</v>
      </c>
      <c r="I37" s="293">
        <f>IFERROR(INDEX(Aktiv!$H$6:$H$350,MATCH(A37,Aktiv!$A$6:$A$350,0)),"")</f>
        <v>339</v>
      </c>
      <c r="J37" s="294">
        <f t="shared" si="2"/>
        <v>245</v>
      </c>
      <c r="K37" s="296">
        <f t="shared" si="3"/>
        <v>2.6063829787234041</v>
      </c>
      <c r="L37" s="297">
        <f>IF(C37="","",ROUND(C37*Steuerungsdaten!$B$4*Steuerungsdaten!$B$9*IFERROR(VLOOKUP(IFERROR(INDEX(Aktiv!$C$6:$C$350,MATCH(A37,Aktiv!$A$6:$A$350,0)),""),Steuerungsdaten!$B$17:$G$37,6,FALSE),1)*POWER(IF(OR(IFERROR(INDEX(Aktiv!$E$6:$E$350,MATCH(A37,Aktiv!$A$6:$A$350,0)),0)=0,IFERROR(INDEX(Aktiv!$F$6:$F$350,MATCH(A37,Aktiv!$A$6:$A$350,0)),0)=0),1,(IFERROR(INDEX(Aktiv!$E$6:$E$350,MATCH(A37,Aktiv!$A$6:$A$350,0)),0)*IFERROR(INDEX(Aktiv!$F$6:$F$350,MATCH(A37,Aktiv!$A$6:$A$350,0)),0)/1000000)/Steuerungsdaten!$B$6),1-1),0))</f>
        <v>94</v>
      </c>
      <c r="M37" s="297">
        <f>IFERROR(INDEX(Aktiv!$I$6:$I$350,MATCH(A37,Aktiv!$A$6:$A$350,0)),"")</f>
        <v>353</v>
      </c>
      <c r="N37" s="298">
        <f t="shared" si="4"/>
        <v>259</v>
      </c>
      <c r="O37" s="296">
        <f t="shared" si="5"/>
        <v>2.7553191489361701</v>
      </c>
      <c r="P37" s="297">
        <f>IF(C37="","",ROUND(C37*Steuerungsdaten!$B$4*Steuerungsdaten!$B$10*IFERROR(VLOOKUP(IFERROR(INDEX(Aktiv!$C$6:$C$350,MATCH(A37,Aktiv!$A$6:$A$350,0)),""),Steuerungsdaten!$B$17:$I$37,8,FALSE),1)*POWER(IF(OR(IFERROR(INDEX(Aktiv!$E$6:$E$350,MATCH(A37,Aktiv!$A$6:$A$350,0)),0)=0,IFERROR(INDEX(Aktiv!$F$6:$F$350,MATCH(A37,Aktiv!$A$6:$A$350,0)),0)=0),1,(IFERROR(INDEX(Aktiv!$E$6:$E$350,MATCH(A37,Aktiv!$A$6:$A$350,0)),0)*IFERROR(INDEX(Aktiv!$F$6:$F$350,MATCH(A37,Aktiv!$A$6:$A$350,0)),0)/1000000)/Steuerungsdaten!$B$6),1-1),0))</f>
        <v>103</v>
      </c>
      <c r="Q37" s="297">
        <f>IFERROR(INDEX(Aktiv!$J$6:$J$350,MATCH(A37,Aktiv!$A$6:$A$350,0)),"")</f>
        <v>393</v>
      </c>
      <c r="R37" s="298">
        <f t="shared" si="6"/>
        <v>290</v>
      </c>
      <c r="S37" s="296">
        <f t="shared" si="7"/>
        <v>2.8155339805825244</v>
      </c>
    </row>
    <row r="38" spans="1:19" x14ac:dyDescent="0.25">
      <c r="A38" s="292">
        <v>3117</v>
      </c>
      <c r="B38" s="292" t="s">
        <v>45</v>
      </c>
      <c r="C38" s="293">
        <f>IFERROR(INDEX(Aktiv!$O$6:$O$350,MATCH(A38,Aktiv!$A$6:$A$350,0)),"")</f>
        <v>134</v>
      </c>
      <c r="D38" s="293">
        <f>IF(C38="","",ROUND(C38*Steuerungsdaten!$B$4*Steuerungsdaten!$B$7*IFERROR(VLOOKUP(IFERROR(INDEX(Aktiv!$C$6:$C$350,MATCH(A38,Aktiv!$A$6:$A$350,0)),""),Steuerungsdaten!$B$17:$C$37,2,FALSE),1)*POWER(IF(OR(IFERROR(INDEX(Aktiv!$E$6:$E$350,MATCH(A38,Aktiv!$A$6:$A$350,0)),0)=0,IFERROR(INDEX(Aktiv!$F$6:$F$350,MATCH(A38,Aktiv!$A$6:$A$350,0)),0)=0),1,(IFERROR(INDEX(Aktiv!$E$6:$E$350,MATCH(A38,Aktiv!$A$6:$A$350,0)),0)*IFERROR(INDEX(Aktiv!$F$6:$F$350,MATCH(A38,Aktiv!$A$6:$A$350,0)),0)/1000000)/Steuerungsdaten!$B$6),IF(ISNUMBER(MATCH(IFERROR(INDEX(Aktiv!$C$6:$C$350,MATCH(A38,Aktiv!$A$6:$A$350,0)),""),{"Boden","Seite außen","Seite außen SY32","Rücken","Seite innen","Seite innen SY32","Seite innen SY32 DB","Fachboden klein","Fachboden groß","Klappenboden"},0)),1.2,1)-1),0))</f>
        <v>136</v>
      </c>
      <c r="E38" s="293">
        <f>IFERROR(INDEX(Aktiv!$G$6:$G$350,MATCH(A38,Aktiv!$A$6:$A$350,0)),"")</f>
        <v>124</v>
      </c>
      <c r="F38" s="294">
        <f t="shared" si="0"/>
        <v>-12</v>
      </c>
      <c r="G38" s="295">
        <f t="shared" si="1"/>
        <v>-8.8235294117647065E-2</v>
      </c>
      <c r="H38" s="293">
        <f>IF(C38="","",ROUND(C38*Steuerungsdaten!$B$4*Steuerungsdaten!$B$8*IFERROR(VLOOKUP(IFERROR(INDEX(Aktiv!$C$6:$C$350,MATCH(A38,Aktiv!$A$6:$A$350,0)),""),Steuerungsdaten!$B$17:$E$37,4,FALSE),1)*POWER(IF(OR(IFERROR(INDEX(Aktiv!$E$6:$E$350,MATCH(A38,Aktiv!$A$6:$A$350,0)),0)=0,IFERROR(INDEX(Aktiv!$F$6:$F$350,MATCH(A38,Aktiv!$A$6:$A$350,0)),0)=0),1,(IFERROR(INDEX(Aktiv!$E$6:$E$350,MATCH(A38,Aktiv!$A$6:$A$350,0)),0)*IFERROR(INDEX(Aktiv!$F$6:$F$350,MATCH(A38,Aktiv!$A$6:$A$350,0)),0)/1000000)/Steuerungsdaten!$B$6),1-1),0))</f>
        <v>118</v>
      </c>
      <c r="I38" s="293">
        <f>IFERROR(INDEX(Aktiv!$H$6:$H$350,MATCH(A38,Aktiv!$A$6:$A$350,0)),"")</f>
        <v>426</v>
      </c>
      <c r="J38" s="294">
        <f t="shared" si="2"/>
        <v>308</v>
      </c>
      <c r="K38" s="296">
        <f t="shared" si="3"/>
        <v>2.6101694915254239</v>
      </c>
      <c r="L38" s="297">
        <f>IF(C38="","",ROUND(C38*Steuerungsdaten!$B$4*Steuerungsdaten!$B$9*IFERROR(VLOOKUP(IFERROR(INDEX(Aktiv!$C$6:$C$350,MATCH(A38,Aktiv!$A$6:$A$350,0)),""),Steuerungsdaten!$B$17:$G$37,6,FALSE),1)*POWER(IF(OR(IFERROR(INDEX(Aktiv!$E$6:$E$350,MATCH(A38,Aktiv!$A$6:$A$350,0)),0)=0,IFERROR(INDEX(Aktiv!$F$6:$F$350,MATCH(A38,Aktiv!$A$6:$A$350,0)),0)=0),1,(IFERROR(INDEX(Aktiv!$E$6:$E$350,MATCH(A38,Aktiv!$A$6:$A$350,0)),0)*IFERROR(INDEX(Aktiv!$F$6:$F$350,MATCH(A38,Aktiv!$A$6:$A$350,0)),0)/1000000)/Steuerungsdaten!$B$6),1-1),0))</f>
        <v>118</v>
      </c>
      <c r="M38" s="297">
        <f>IFERROR(INDEX(Aktiv!$I$6:$I$350,MATCH(A38,Aktiv!$A$6:$A$350,0)),"")</f>
        <v>444</v>
      </c>
      <c r="N38" s="298">
        <f t="shared" si="4"/>
        <v>326</v>
      </c>
      <c r="O38" s="296">
        <f t="shared" si="5"/>
        <v>2.7627118644067798</v>
      </c>
      <c r="P38" s="297">
        <f>IF(C38="","",ROUND(C38*Steuerungsdaten!$B$4*Steuerungsdaten!$B$10*IFERROR(VLOOKUP(IFERROR(INDEX(Aktiv!$C$6:$C$350,MATCH(A38,Aktiv!$A$6:$A$350,0)),""),Steuerungsdaten!$B$17:$I$37,8,FALSE),1)*POWER(IF(OR(IFERROR(INDEX(Aktiv!$E$6:$E$350,MATCH(A38,Aktiv!$A$6:$A$350,0)),0)=0,IFERROR(INDEX(Aktiv!$F$6:$F$350,MATCH(A38,Aktiv!$A$6:$A$350,0)),0)=0),1,(IFERROR(INDEX(Aktiv!$E$6:$E$350,MATCH(A38,Aktiv!$A$6:$A$350,0)),0)*IFERROR(INDEX(Aktiv!$F$6:$F$350,MATCH(A38,Aktiv!$A$6:$A$350,0)),0)/1000000)/Steuerungsdaten!$B$6),1-1),0))</f>
        <v>129</v>
      </c>
      <c r="Q38" s="297">
        <f>IFERROR(INDEX(Aktiv!$J$6:$J$350,MATCH(A38,Aktiv!$A$6:$A$350,0)),"")</f>
        <v>494</v>
      </c>
      <c r="R38" s="298">
        <f t="shared" si="6"/>
        <v>365</v>
      </c>
      <c r="S38" s="296">
        <f t="shared" si="7"/>
        <v>2.8294573643410854</v>
      </c>
    </row>
    <row r="39" spans="1:19" x14ac:dyDescent="0.25">
      <c r="A39" s="292">
        <v>3118</v>
      </c>
      <c r="B39" s="292" t="s">
        <v>46</v>
      </c>
      <c r="C39" s="293">
        <f>IFERROR(INDEX(Aktiv!$O$6:$O$350,MATCH(A39,Aktiv!$A$6:$A$350,0)),"")</f>
        <v>161</v>
      </c>
      <c r="D39" s="293">
        <f>IF(C39="","",ROUND(C39*Steuerungsdaten!$B$4*Steuerungsdaten!$B$7*IFERROR(VLOOKUP(IFERROR(INDEX(Aktiv!$C$6:$C$350,MATCH(A39,Aktiv!$A$6:$A$350,0)),""),Steuerungsdaten!$B$17:$C$37,2,FALSE),1)*POWER(IF(OR(IFERROR(INDEX(Aktiv!$E$6:$E$350,MATCH(A39,Aktiv!$A$6:$A$350,0)),0)=0,IFERROR(INDEX(Aktiv!$F$6:$F$350,MATCH(A39,Aktiv!$A$6:$A$350,0)),0)=0),1,(IFERROR(INDEX(Aktiv!$E$6:$E$350,MATCH(A39,Aktiv!$A$6:$A$350,0)),0)*IFERROR(INDEX(Aktiv!$F$6:$F$350,MATCH(A39,Aktiv!$A$6:$A$350,0)),0)/1000000)/Steuerungsdaten!$B$6),IF(ISNUMBER(MATCH(IFERROR(INDEX(Aktiv!$C$6:$C$350,MATCH(A39,Aktiv!$A$6:$A$350,0)),""),{"Boden","Seite außen","Seite außen SY32","Rücken","Seite innen","Seite innen SY32","Seite innen SY32 DB","Fachboden klein","Fachboden groß","Klappenboden"},0)),1.2,1)-1),0))</f>
        <v>169</v>
      </c>
      <c r="E39" s="293">
        <f>IFERROR(INDEX(Aktiv!$G$6:$G$350,MATCH(A39,Aktiv!$A$6:$A$350,0)),"")</f>
        <v>148</v>
      </c>
      <c r="F39" s="294">
        <f t="shared" si="0"/>
        <v>-21</v>
      </c>
      <c r="G39" s="295">
        <f t="shared" si="1"/>
        <v>-0.1242603550295858</v>
      </c>
      <c r="H39" s="293">
        <f>IF(C39="","",ROUND(C39*Steuerungsdaten!$B$4*Steuerungsdaten!$B$8*IFERROR(VLOOKUP(IFERROR(INDEX(Aktiv!$C$6:$C$350,MATCH(A39,Aktiv!$A$6:$A$350,0)),""),Steuerungsdaten!$B$17:$E$37,4,FALSE),1)*POWER(IF(OR(IFERROR(INDEX(Aktiv!$E$6:$E$350,MATCH(A39,Aktiv!$A$6:$A$350,0)),0)=0,IFERROR(INDEX(Aktiv!$F$6:$F$350,MATCH(A39,Aktiv!$A$6:$A$350,0)),0)=0),1,(IFERROR(INDEX(Aktiv!$E$6:$E$350,MATCH(A39,Aktiv!$A$6:$A$350,0)),0)*IFERROR(INDEX(Aktiv!$F$6:$F$350,MATCH(A39,Aktiv!$A$6:$A$350,0)),0)/1000000)/Steuerungsdaten!$B$6),1-1),0))</f>
        <v>142</v>
      </c>
      <c r="I39" s="293">
        <f>IFERROR(INDEX(Aktiv!$H$6:$H$350,MATCH(A39,Aktiv!$A$6:$A$350,0)),"")</f>
        <v>508</v>
      </c>
      <c r="J39" s="294">
        <f t="shared" si="2"/>
        <v>366</v>
      </c>
      <c r="K39" s="296">
        <f t="shared" si="3"/>
        <v>2.5774647887323945</v>
      </c>
      <c r="L39" s="297">
        <f>IF(C39="","",ROUND(C39*Steuerungsdaten!$B$4*Steuerungsdaten!$B$9*IFERROR(VLOOKUP(IFERROR(INDEX(Aktiv!$C$6:$C$350,MATCH(A39,Aktiv!$A$6:$A$350,0)),""),Steuerungsdaten!$B$17:$G$37,6,FALSE),1)*POWER(IF(OR(IFERROR(INDEX(Aktiv!$E$6:$E$350,MATCH(A39,Aktiv!$A$6:$A$350,0)),0)=0,IFERROR(INDEX(Aktiv!$F$6:$F$350,MATCH(A39,Aktiv!$A$6:$A$350,0)),0)=0),1,(IFERROR(INDEX(Aktiv!$E$6:$E$350,MATCH(A39,Aktiv!$A$6:$A$350,0)),0)*IFERROR(INDEX(Aktiv!$F$6:$F$350,MATCH(A39,Aktiv!$A$6:$A$350,0)),0)/1000000)/Steuerungsdaten!$B$6),1-1),0))</f>
        <v>142</v>
      </c>
      <c r="M39" s="297">
        <f>IFERROR(INDEX(Aktiv!$I$6:$I$350,MATCH(A39,Aktiv!$A$6:$A$350,0)),"")</f>
        <v>530</v>
      </c>
      <c r="N39" s="298">
        <f t="shared" si="4"/>
        <v>388</v>
      </c>
      <c r="O39" s="296">
        <f t="shared" si="5"/>
        <v>2.732394366197183</v>
      </c>
      <c r="P39" s="297">
        <f>IF(C39="","",ROUND(C39*Steuerungsdaten!$B$4*Steuerungsdaten!$B$10*IFERROR(VLOOKUP(IFERROR(INDEX(Aktiv!$C$6:$C$350,MATCH(A39,Aktiv!$A$6:$A$350,0)),""),Steuerungsdaten!$B$17:$I$37,8,FALSE),1)*POWER(IF(OR(IFERROR(INDEX(Aktiv!$E$6:$E$350,MATCH(A39,Aktiv!$A$6:$A$350,0)),0)=0,IFERROR(INDEX(Aktiv!$F$6:$F$350,MATCH(A39,Aktiv!$A$6:$A$350,0)),0)=0),1,(IFERROR(INDEX(Aktiv!$E$6:$E$350,MATCH(A39,Aktiv!$A$6:$A$350,0)),0)*IFERROR(INDEX(Aktiv!$F$6:$F$350,MATCH(A39,Aktiv!$A$6:$A$350,0)),0)/1000000)/Steuerungsdaten!$B$6),1-1),0))</f>
        <v>155</v>
      </c>
      <c r="Q39" s="297" t="str">
        <f>IFERROR(INDEX(Aktiv!$J$6:$J$350,MATCH(A39,Aktiv!$A$6:$A$350,0)),"")</f>
        <v>-</v>
      </c>
      <c r="R39" s="298" t="e">
        <f t="shared" si="6"/>
        <v>#VALUE!</v>
      </c>
      <c r="S39" s="296" t="e">
        <f t="shared" si="7"/>
        <v>#VALUE!</v>
      </c>
    </row>
    <row r="40" spans="1:19" x14ac:dyDescent="0.25">
      <c r="A40" s="292">
        <v>3119</v>
      </c>
      <c r="B40" s="292" t="s">
        <v>47</v>
      </c>
      <c r="C40" s="293">
        <f>IFERROR(INDEX(Aktiv!$O$6:$O$350,MATCH(A40,Aktiv!$A$6:$A$350,0)),"")</f>
        <v>200</v>
      </c>
      <c r="D40" s="293">
        <f>IF(C40="","",ROUND(C40*Steuerungsdaten!$B$4*Steuerungsdaten!$B$7*IFERROR(VLOOKUP(IFERROR(INDEX(Aktiv!$C$6:$C$350,MATCH(A40,Aktiv!$A$6:$A$350,0)),""),Steuerungsdaten!$B$17:$C$37,2,FALSE),1)*POWER(IF(OR(IFERROR(INDEX(Aktiv!$E$6:$E$350,MATCH(A40,Aktiv!$A$6:$A$350,0)),0)=0,IFERROR(INDEX(Aktiv!$F$6:$F$350,MATCH(A40,Aktiv!$A$6:$A$350,0)),0)=0),1,(IFERROR(INDEX(Aktiv!$E$6:$E$350,MATCH(A40,Aktiv!$A$6:$A$350,0)),0)*IFERROR(INDEX(Aktiv!$F$6:$F$350,MATCH(A40,Aktiv!$A$6:$A$350,0)),0)/1000000)/Steuerungsdaten!$B$6),IF(ISNUMBER(MATCH(IFERROR(INDEX(Aktiv!$C$6:$C$350,MATCH(A40,Aktiv!$A$6:$A$350,0)),""),{"Boden","Seite außen","Seite außen SY32","Rücken","Seite innen","Seite innen SY32","Seite innen SY32 DB","Fachboden klein","Fachboden groß","Klappenboden"},0)),1.2,1)-1),0))</f>
        <v>220</v>
      </c>
      <c r="E40" s="293">
        <f>IFERROR(INDEX(Aktiv!$G$6:$G$350,MATCH(A40,Aktiv!$A$6:$A$350,0)),"")</f>
        <v>186</v>
      </c>
      <c r="F40" s="294">
        <f t="shared" si="0"/>
        <v>-34</v>
      </c>
      <c r="G40" s="295">
        <f t="shared" si="1"/>
        <v>-0.15454545454545454</v>
      </c>
      <c r="H40" s="293">
        <f>IF(C40="","",ROUND(C40*Steuerungsdaten!$B$4*Steuerungsdaten!$B$8*IFERROR(VLOOKUP(IFERROR(INDEX(Aktiv!$C$6:$C$350,MATCH(A40,Aktiv!$A$6:$A$350,0)),""),Steuerungsdaten!$B$17:$E$37,4,FALSE),1)*POWER(IF(OR(IFERROR(INDEX(Aktiv!$E$6:$E$350,MATCH(A40,Aktiv!$A$6:$A$350,0)),0)=0,IFERROR(INDEX(Aktiv!$F$6:$F$350,MATCH(A40,Aktiv!$A$6:$A$350,0)),0)=0),1,(IFERROR(INDEX(Aktiv!$E$6:$E$350,MATCH(A40,Aktiv!$A$6:$A$350,0)),0)*IFERROR(INDEX(Aktiv!$F$6:$F$350,MATCH(A40,Aktiv!$A$6:$A$350,0)),0)/1000000)/Steuerungsdaten!$B$6),1-1),0))</f>
        <v>176</v>
      </c>
      <c r="I40" s="293">
        <f>IFERROR(INDEX(Aktiv!$H$6:$H$350,MATCH(A40,Aktiv!$A$6:$A$350,0)),"")</f>
        <v>639</v>
      </c>
      <c r="J40" s="294">
        <f t="shared" si="2"/>
        <v>463</v>
      </c>
      <c r="K40" s="296">
        <f t="shared" si="3"/>
        <v>2.6306818181818183</v>
      </c>
      <c r="L40" s="297">
        <f>IF(C40="","",ROUND(C40*Steuerungsdaten!$B$4*Steuerungsdaten!$B$9*IFERROR(VLOOKUP(IFERROR(INDEX(Aktiv!$C$6:$C$350,MATCH(A40,Aktiv!$A$6:$A$350,0)),""),Steuerungsdaten!$B$17:$G$37,6,FALSE),1)*POWER(IF(OR(IFERROR(INDEX(Aktiv!$E$6:$E$350,MATCH(A40,Aktiv!$A$6:$A$350,0)),0)=0,IFERROR(INDEX(Aktiv!$F$6:$F$350,MATCH(A40,Aktiv!$A$6:$A$350,0)),0)=0),1,(IFERROR(INDEX(Aktiv!$E$6:$E$350,MATCH(A40,Aktiv!$A$6:$A$350,0)),0)*IFERROR(INDEX(Aktiv!$F$6:$F$350,MATCH(A40,Aktiv!$A$6:$A$350,0)),0)/1000000)/Steuerungsdaten!$B$6),1-1),0))</f>
        <v>176</v>
      </c>
      <c r="M40" s="297">
        <f>IFERROR(INDEX(Aktiv!$I$6:$I$350,MATCH(A40,Aktiv!$A$6:$A$350,0)),"")</f>
        <v>665</v>
      </c>
      <c r="N40" s="298">
        <f t="shared" si="4"/>
        <v>489</v>
      </c>
      <c r="O40" s="296">
        <f t="shared" si="5"/>
        <v>2.7784090909090908</v>
      </c>
      <c r="P40" s="297">
        <f>IF(C40="","",ROUND(C40*Steuerungsdaten!$B$4*Steuerungsdaten!$B$10*IFERROR(VLOOKUP(IFERROR(INDEX(Aktiv!$C$6:$C$350,MATCH(A40,Aktiv!$A$6:$A$350,0)),""),Steuerungsdaten!$B$17:$I$37,8,FALSE),1)*POWER(IF(OR(IFERROR(INDEX(Aktiv!$E$6:$E$350,MATCH(A40,Aktiv!$A$6:$A$350,0)),0)=0,IFERROR(INDEX(Aktiv!$F$6:$F$350,MATCH(A40,Aktiv!$A$6:$A$350,0)),0)=0),1,(IFERROR(INDEX(Aktiv!$E$6:$E$350,MATCH(A40,Aktiv!$A$6:$A$350,0)),0)*IFERROR(INDEX(Aktiv!$F$6:$F$350,MATCH(A40,Aktiv!$A$6:$A$350,0)),0)/1000000)/Steuerungsdaten!$B$6),1-1),0))</f>
        <v>192</v>
      </c>
      <c r="Q40" s="297" t="str">
        <f>IFERROR(INDEX(Aktiv!$J$6:$J$350,MATCH(A40,Aktiv!$A$6:$A$350,0)),"")</f>
        <v>-</v>
      </c>
      <c r="R40" s="298" t="e">
        <f t="shared" si="6"/>
        <v>#VALUE!</v>
      </c>
      <c r="S40" s="296" t="e">
        <f t="shared" si="7"/>
        <v>#VALUE!</v>
      </c>
    </row>
    <row r="41" spans="1:19" x14ac:dyDescent="0.25">
      <c r="A41" s="292">
        <v>3120</v>
      </c>
      <c r="B41" s="292" t="s">
        <v>48</v>
      </c>
      <c r="C41" s="293">
        <f>IFERROR(INDEX(Aktiv!$O$6:$O$350,MATCH(A41,Aktiv!$A$6:$A$350,0)),"")</f>
        <v>211</v>
      </c>
      <c r="D41" s="293">
        <f>IF(C41="","",ROUND(C41*Steuerungsdaten!$B$4*Steuerungsdaten!$B$7*IFERROR(VLOOKUP(IFERROR(INDEX(Aktiv!$C$6:$C$350,MATCH(A41,Aktiv!$A$6:$A$350,0)),""),Steuerungsdaten!$B$17:$C$37,2,FALSE),1)*POWER(IF(OR(IFERROR(INDEX(Aktiv!$E$6:$E$350,MATCH(A41,Aktiv!$A$6:$A$350,0)),0)=0,IFERROR(INDEX(Aktiv!$F$6:$F$350,MATCH(A41,Aktiv!$A$6:$A$350,0)),0)=0),1,(IFERROR(INDEX(Aktiv!$E$6:$E$350,MATCH(A41,Aktiv!$A$6:$A$350,0)),0)*IFERROR(INDEX(Aktiv!$F$6:$F$350,MATCH(A41,Aktiv!$A$6:$A$350,0)),0)/1000000)/Steuerungsdaten!$B$6),IF(ISNUMBER(MATCH(IFERROR(INDEX(Aktiv!$C$6:$C$350,MATCH(A41,Aktiv!$A$6:$A$350,0)),""),{"Boden","Seite außen","Seite außen SY32","Rücken","Seite innen","Seite innen SY32","Seite innen SY32 DB","Fachboden klein","Fachboden groß","Klappenboden"},0)),1.2,1)-1),0))</f>
        <v>234</v>
      </c>
      <c r="E41" s="293">
        <f>IFERROR(INDEX(Aktiv!$G$6:$G$350,MATCH(A41,Aktiv!$A$6:$A$350,0)),"")</f>
        <v>198</v>
      </c>
      <c r="F41" s="294">
        <f t="shared" si="0"/>
        <v>-36</v>
      </c>
      <c r="G41" s="295">
        <f t="shared" si="1"/>
        <v>-0.15384615384615385</v>
      </c>
      <c r="H41" s="293">
        <f>IF(C41="","",ROUND(C41*Steuerungsdaten!$B$4*Steuerungsdaten!$B$8*IFERROR(VLOOKUP(IFERROR(INDEX(Aktiv!$C$6:$C$350,MATCH(A41,Aktiv!$A$6:$A$350,0)),""),Steuerungsdaten!$B$17:$E$37,4,FALSE),1)*POWER(IF(OR(IFERROR(INDEX(Aktiv!$E$6:$E$350,MATCH(A41,Aktiv!$A$6:$A$350,0)),0)=0,IFERROR(INDEX(Aktiv!$F$6:$F$350,MATCH(A41,Aktiv!$A$6:$A$350,0)),0)=0),1,(IFERROR(INDEX(Aktiv!$E$6:$E$350,MATCH(A41,Aktiv!$A$6:$A$350,0)),0)*IFERROR(INDEX(Aktiv!$F$6:$F$350,MATCH(A41,Aktiv!$A$6:$A$350,0)),0)/1000000)/Steuerungsdaten!$B$6),1-1),0))</f>
        <v>186</v>
      </c>
      <c r="I41" s="293">
        <f>IFERROR(INDEX(Aktiv!$H$6:$H$350,MATCH(A41,Aktiv!$A$6:$A$350,0)),"")</f>
        <v>678</v>
      </c>
      <c r="J41" s="294">
        <f t="shared" si="2"/>
        <v>492</v>
      </c>
      <c r="K41" s="296">
        <f t="shared" si="3"/>
        <v>2.6451612903225805</v>
      </c>
      <c r="L41" s="297">
        <f>IF(C41="","",ROUND(C41*Steuerungsdaten!$B$4*Steuerungsdaten!$B$9*IFERROR(VLOOKUP(IFERROR(INDEX(Aktiv!$C$6:$C$350,MATCH(A41,Aktiv!$A$6:$A$350,0)),""),Steuerungsdaten!$B$17:$G$37,6,FALSE),1)*POWER(IF(OR(IFERROR(INDEX(Aktiv!$E$6:$E$350,MATCH(A41,Aktiv!$A$6:$A$350,0)),0)=0,IFERROR(INDEX(Aktiv!$F$6:$F$350,MATCH(A41,Aktiv!$A$6:$A$350,0)),0)=0),1,(IFERROR(INDEX(Aktiv!$E$6:$E$350,MATCH(A41,Aktiv!$A$6:$A$350,0)),0)*IFERROR(INDEX(Aktiv!$F$6:$F$350,MATCH(A41,Aktiv!$A$6:$A$350,0)),0)/1000000)/Steuerungsdaten!$B$6),1-1),0))</f>
        <v>186</v>
      </c>
      <c r="M41" s="297">
        <f>IFERROR(INDEX(Aktiv!$I$6:$I$350,MATCH(A41,Aktiv!$A$6:$A$350,0)),"")</f>
        <v>706</v>
      </c>
      <c r="N41" s="298">
        <f t="shared" si="4"/>
        <v>520</v>
      </c>
      <c r="O41" s="296">
        <f t="shared" si="5"/>
        <v>2.795698924731183</v>
      </c>
      <c r="P41" s="297">
        <f>IF(C41="","",ROUND(C41*Steuerungsdaten!$B$4*Steuerungsdaten!$B$10*IFERROR(VLOOKUP(IFERROR(INDEX(Aktiv!$C$6:$C$350,MATCH(A41,Aktiv!$A$6:$A$350,0)),""),Steuerungsdaten!$B$17:$I$37,8,FALSE),1)*POWER(IF(OR(IFERROR(INDEX(Aktiv!$E$6:$E$350,MATCH(A41,Aktiv!$A$6:$A$350,0)),0)=0,IFERROR(INDEX(Aktiv!$F$6:$F$350,MATCH(A41,Aktiv!$A$6:$A$350,0)),0)=0),1,(IFERROR(INDEX(Aktiv!$E$6:$E$350,MATCH(A41,Aktiv!$A$6:$A$350,0)),0)*IFERROR(INDEX(Aktiv!$F$6:$F$350,MATCH(A41,Aktiv!$A$6:$A$350,0)),0)/1000000)/Steuerungsdaten!$B$6),1-1),0))</f>
        <v>203</v>
      </c>
      <c r="Q41" s="297" t="str">
        <f>IFERROR(INDEX(Aktiv!$J$6:$J$350,MATCH(A41,Aktiv!$A$6:$A$350,0)),"")</f>
        <v>-</v>
      </c>
      <c r="R41" s="298" t="e">
        <f t="shared" si="6"/>
        <v>#VALUE!</v>
      </c>
      <c r="S41" s="296" t="e">
        <f t="shared" si="7"/>
        <v>#VALUE!</v>
      </c>
    </row>
    <row r="42" spans="1:19" x14ac:dyDescent="0.25">
      <c r="A42" s="292">
        <v>3121</v>
      </c>
      <c r="B42" s="292" t="s">
        <v>49</v>
      </c>
      <c r="C42" s="293">
        <f>IFERROR(INDEX(Aktiv!$O$6:$O$350,MATCH(A42,Aktiv!$A$6:$A$350,0)),"")</f>
        <v>264</v>
      </c>
      <c r="D42" s="293">
        <f>IF(C42="","",ROUND(C42*Steuerungsdaten!$B$4*Steuerungsdaten!$B$7*IFERROR(VLOOKUP(IFERROR(INDEX(Aktiv!$C$6:$C$350,MATCH(A42,Aktiv!$A$6:$A$350,0)),""),Steuerungsdaten!$B$17:$C$37,2,FALSE),1)*POWER(IF(OR(IFERROR(INDEX(Aktiv!$E$6:$E$350,MATCH(A42,Aktiv!$A$6:$A$350,0)),0)=0,IFERROR(INDEX(Aktiv!$F$6:$F$350,MATCH(A42,Aktiv!$A$6:$A$350,0)),0)=0),1,(IFERROR(INDEX(Aktiv!$E$6:$E$350,MATCH(A42,Aktiv!$A$6:$A$350,0)),0)*IFERROR(INDEX(Aktiv!$F$6:$F$350,MATCH(A42,Aktiv!$A$6:$A$350,0)),0)/1000000)/Steuerungsdaten!$B$6),IF(ISNUMBER(MATCH(IFERROR(INDEX(Aktiv!$C$6:$C$350,MATCH(A42,Aktiv!$A$6:$A$350,0)),""),{"Boden","Seite außen","Seite außen SY32","Rücken","Seite innen","Seite innen SY32","Seite innen SY32 DB","Fachboden klein","Fachboden groß","Klappenboden"},0)),1.2,1)-1),0))</f>
        <v>307</v>
      </c>
      <c r="E42" s="293">
        <f>IFERROR(INDEX(Aktiv!$G$6:$G$350,MATCH(A42,Aktiv!$A$6:$A$350,0)),"")</f>
        <v>248</v>
      </c>
      <c r="F42" s="294">
        <f t="shared" si="0"/>
        <v>-59</v>
      </c>
      <c r="G42" s="295">
        <f t="shared" si="1"/>
        <v>-0.19218241042345277</v>
      </c>
      <c r="H42" s="293">
        <f>IF(C42="","",ROUND(C42*Steuerungsdaten!$B$4*Steuerungsdaten!$B$8*IFERROR(VLOOKUP(IFERROR(INDEX(Aktiv!$C$6:$C$350,MATCH(A42,Aktiv!$A$6:$A$350,0)),""),Steuerungsdaten!$B$17:$E$37,4,FALSE),1)*POWER(IF(OR(IFERROR(INDEX(Aktiv!$E$6:$E$350,MATCH(A42,Aktiv!$A$6:$A$350,0)),0)=0,IFERROR(INDEX(Aktiv!$F$6:$F$350,MATCH(A42,Aktiv!$A$6:$A$350,0)),0)=0),1,(IFERROR(INDEX(Aktiv!$E$6:$E$350,MATCH(A42,Aktiv!$A$6:$A$350,0)),0)*IFERROR(INDEX(Aktiv!$F$6:$F$350,MATCH(A42,Aktiv!$A$6:$A$350,0)),0)/1000000)/Steuerungsdaten!$B$6),1-1),0))</f>
        <v>232</v>
      </c>
      <c r="I42" s="293">
        <f>IFERROR(INDEX(Aktiv!$H$6:$H$350,MATCH(A42,Aktiv!$A$6:$A$350,0)),"")</f>
        <v>852</v>
      </c>
      <c r="J42" s="294">
        <f t="shared" si="2"/>
        <v>620</v>
      </c>
      <c r="K42" s="296">
        <f t="shared" si="3"/>
        <v>2.6724137931034484</v>
      </c>
      <c r="L42" s="297">
        <f>IF(C42="","",ROUND(C42*Steuerungsdaten!$B$4*Steuerungsdaten!$B$9*IFERROR(VLOOKUP(IFERROR(INDEX(Aktiv!$C$6:$C$350,MATCH(A42,Aktiv!$A$6:$A$350,0)),""),Steuerungsdaten!$B$17:$G$37,6,FALSE),1)*POWER(IF(OR(IFERROR(INDEX(Aktiv!$E$6:$E$350,MATCH(A42,Aktiv!$A$6:$A$350,0)),0)=0,IFERROR(INDEX(Aktiv!$F$6:$F$350,MATCH(A42,Aktiv!$A$6:$A$350,0)),0)=0),1,(IFERROR(INDEX(Aktiv!$E$6:$E$350,MATCH(A42,Aktiv!$A$6:$A$350,0)),0)*IFERROR(INDEX(Aktiv!$F$6:$F$350,MATCH(A42,Aktiv!$A$6:$A$350,0)),0)/1000000)/Steuerungsdaten!$B$6),1-1),0))</f>
        <v>232</v>
      </c>
      <c r="M42" s="297">
        <f>IFERROR(INDEX(Aktiv!$I$6:$I$350,MATCH(A42,Aktiv!$A$6:$A$350,0)),"")</f>
        <v>887</v>
      </c>
      <c r="N42" s="298">
        <f t="shared" si="4"/>
        <v>655</v>
      </c>
      <c r="O42" s="296">
        <f t="shared" si="5"/>
        <v>2.8232758620689653</v>
      </c>
      <c r="P42" s="297">
        <f>IF(C42="","",ROUND(C42*Steuerungsdaten!$B$4*Steuerungsdaten!$B$10*IFERROR(VLOOKUP(IFERROR(INDEX(Aktiv!$C$6:$C$350,MATCH(A42,Aktiv!$A$6:$A$350,0)),""),Steuerungsdaten!$B$17:$I$37,8,FALSE),1)*POWER(IF(OR(IFERROR(INDEX(Aktiv!$E$6:$E$350,MATCH(A42,Aktiv!$A$6:$A$350,0)),0)=0,IFERROR(INDEX(Aktiv!$F$6:$F$350,MATCH(A42,Aktiv!$A$6:$A$350,0)),0)=0),1,(IFERROR(INDEX(Aktiv!$E$6:$E$350,MATCH(A42,Aktiv!$A$6:$A$350,0)),0)*IFERROR(INDEX(Aktiv!$F$6:$F$350,MATCH(A42,Aktiv!$A$6:$A$350,0)),0)/1000000)/Steuerungsdaten!$B$6),1-1),0))</f>
        <v>253</v>
      </c>
      <c r="Q42" s="297" t="str">
        <f>IFERROR(INDEX(Aktiv!$J$6:$J$350,MATCH(A42,Aktiv!$A$6:$A$350,0)),"")</f>
        <v>-</v>
      </c>
      <c r="R42" s="298" t="e">
        <f t="shared" si="6"/>
        <v>#VALUE!</v>
      </c>
      <c r="S42" s="296" t="e">
        <f t="shared" si="7"/>
        <v>#VALUE!</v>
      </c>
    </row>
    <row r="43" spans="1:19" x14ac:dyDescent="0.25">
      <c r="A43" s="292">
        <v>3122</v>
      </c>
      <c r="B43" s="292" t="s">
        <v>50</v>
      </c>
      <c r="C43" s="293">
        <f>IFERROR(INDEX(Aktiv!$O$6:$O$350,MATCH(A43,Aktiv!$A$6:$A$350,0)),"")</f>
        <v>264</v>
      </c>
      <c r="D43" s="293">
        <f>IF(C43="","",ROUND(C43*Steuerungsdaten!$B$4*Steuerungsdaten!$B$7*IFERROR(VLOOKUP(IFERROR(INDEX(Aktiv!$C$6:$C$350,MATCH(A43,Aktiv!$A$6:$A$350,0)),""),Steuerungsdaten!$B$17:$C$37,2,FALSE),1)*POWER(IF(OR(IFERROR(INDEX(Aktiv!$E$6:$E$350,MATCH(A43,Aktiv!$A$6:$A$350,0)),0)=0,IFERROR(INDEX(Aktiv!$F$6:$F$350,MATCH(A43,Aktiv!$A$6:$A$350,0)),0)=0),1,(IFERROR(INDEX(Aktiv!$E$6:$E$350,MATCH(A43,Aktiv!$A$6:$A$350,0)),0)*IFERROR(INDEX(Aktiv!$F$6:$F$350,MATCH(A43,Aktiv!$A$6:$A$350,0)),0)/1000000)/Steuerungsdaten!$B$6),IF(ISNUMBER(MATCH(IFERROR(INDEX(Aktiv!$C$6:$C$350,MATCH(A43,Aktiv!$A$6:$A$350,0)),""),{"Boden","Seite außen","Seite außen SY32","Rücken","Seite innen","Seite innen SY32","Seite innen SY32 DB","Fachboden klein","Fachboden groß","Klappenboden"},0)),1.2,1)-1),0))</f>
        <v>307</v>
      </c>
      <c r="E43" s="293">
        <f>IFERROR(INDEX(Aktiv!$G$6:$G$350,MATCH(A43,Aktiv!$A$6:$A$350,0)),"")</f>
        <v>247</v>
      </c>
      <c r="F43" s="294">
        <f t="shared" si="0"/>
        <v>-60</v>
      </c>
      <c r="G43" s="295">
        <f t="shared" si="1"/>
        <v>-0.19543973941368079</v>
      </c>
      <c r="H43" s="293">
        <f>IF(C43="","",ROUND(C43*Steuerungsdaten!$B$4*Steuerungsdaten!$B$8*IFERROR(VLOOKUP(IFERROR(INDEX(Aktiv!$C$6:$C$350,MATCH(A43,Aktiv!$A$6:$A$350,0)),""),Steuerungsdaten!$B$17:$E$37,4,FALSE),1)*POWER(IF(OR(IFERROR(INDEX(Aktiv!$E$6:$E$350,MATCH(A43,Aktiv!$A$6:$A$350,0)),0)=0,IFERROR(INDEX(Aktiv!$F$6:$F$350,MATCH(A43,Aktiv!$A$6:$A$350,0)),0)=0),1,(IFERROR(INDEX(Aktiv!$E$6:$E$350,MATCH(A43,Aktiv!$A$6:$A$350,0)),0)*IFERROR(INDEX(Aktiv!$F$6:$F$350,MATCH(A43,Aktiv!$A$6:$A$350,0)),0)/1000000)/Steuerungsdaten!$B$6),1-1),0))</f>
        <v>232</v>
      </c>
      <c r="I43" s="293">
        <f>IFERROR(INDEX(Aktiv!$H$6:$H$350,MATCH(A43,Aktiv!$A$6:$A$350,0)),"")</f>
        <v>847</v>
      </c>
      <c r="J43" s="294">
        <f t="shared" si="2"/>
        <v>615</v>
      </c>
      <c r="K43" s="296">
        <f t="shared" si="3"/>
        <v>2.6508620689655173</v>
      </c>
      <c r="L43" s="297">
        <f>IF(C43="","",ROUND(C43*Steuerungsdaten!$B$4*Steuerungsdaten!$B$9*IFERROR(VLOOKUP(IFERROR(INDEX(Aktiv!$C$6:$C$350,MATCH(A43,Aktiv!$A$6:$A$350,0)),""),Steuerungsdaten!$B$17:$G$37,6,FALSE),1)*POWER(IF(OR(IFERROR(INDEX(Aktiv!$E$6:$E$350,MATCH(A43,Aktiv!$A$6:$A$350,0)),0)=0,IFERROR(INDEX(Aktiv!$F$6:$F$350,MATCH(A43,Aktiv!$A$6:$A$350,0)),0)=0),1,(IFERROR(INDEX(Aktiv!$E$6:$E$350,MATCH(A43,Aktiv!$A$6:$A$350,0)),0)*IFERROR(INDEX(Aktiv!$F$6:$F$350,MATCH(A43,Aktiv!$A$6:$A$350,0)),0)/1000000)/Steuerungsdaten!$B$6),1-1),0))</f>
        <v>232</v>
      </c>
      <c r="M43" s="297">
        <f>IFERROR(INDEX(Aktiv!$I$6:$I$350,MATCH(A43,Aktiv!$A$6:$A$350,0)),"")</f>
        <v>883</v>
      </c>
      <c r="N43" s="298">
        <f t="shared" si="4"/>
        <v>651</v>
      </c>
      <c r="O43" s="296">
        <f t="shared" si="5"/>
        <v>2.8060344827586206</v>
      </c>
      <c r="P43" s="297">
        <f>IF(C43="","",ROUND(C43*Steuerungsdaten!$B$4*Steuerungsdaten!$B$10*IFERROR(VLOOKUP(IFERROR(INDEX(Aktiv!$C$6:$C$350,MATCH(A43,Aktiv!$A$6:$A$350,0)),""),Steuerungsdaten!$B$17:$I$37,8,FALSE),1)*POWER(IF(OR(IFERROR(INDEX(Aktiv!$E$6:$E$350,MATCH(A43,Aktiv!$A$6:$A$350,0)),0)=0,IFERROR(INDEX(Aktiv!$F$6:$F$350,MATCH(A43,Aktiv!$A$6:$A$350,0)),0)=0),1,(IFERROR(INDEX(Aktiv!$E$6:$E$350,MATCH(A43,Aktiv!$A$6:$A$350,0)),0)*IFERROR(INDEX(Aktiv!$F$6:$F$350,MATCH(A43,Aktiv!$A$6:$A$350,0)),0)/1000000)/Steuerungsdaten!$B$6),1-1),0))</f>
        <v>253</v>
      </c>
      <c r="Q43" s="297" t="str">
        <f>IFERROR(INDEX(Aktiv!$J$6:$J$350,MATCH(A43,Aktiv!$A$6:$A$350,0)),"")</f>
        <v>-</v>
      </c>
      <c r="R43" s="298" t="e">
        <f t="shared" si="6"/>
        <v>#VALUE!</v>
      </c>
      <c r="S43" s="296" t="e">
        <f t="shared" si="7"/>
        <v>#VALUE!</v>
      </c>
    </row>
    <row r="44" spans="1:19" x14ac:dyDescent="0.25">
      <c r="A44" s="292">
        <v>3123</v>
      </c>
      <c r="B44" s="292" t="s">
        <v>51</v>
      </c>
      <c r="C44" s="293">
        <f>IFERROR(INDEX(Aktiv!$O$6:$O$350,MATCH(A44,Aktiv!$A$6:$A$350,0)),"")</f>
        <v>329</v>
      </c>
      <c r="D44" s="293">
        <f>IF(C44="","",ROUND(C44*Steuerungsdaten!$B$4*Steuerungsdaten!$B$7*IFERROR(VLOOKUP(IFERROR(INDEX(Aktiv!$C$6:$C$350,MATCH(A44,Aktiv!$A$6:$A$350,0)),""),Steuerungsdaten!$B$17:$C$37,2,FALSE),1)*POWER(IF(OR(IFERROR(INDEX(Aktiv!$E$6:$E$350,MATCH(A44,Aktiv!$A$6:$A$350,0)),0)=0,IFERROR(INDEX(Aktiv!$F$6:$F$350,MATCH(A44,Aktiv!$A$6:$A$350,0)),0)=0),1,(IFERROR(INDEX(Aktiv!$E$6:$E$350,MATCH(A44,Aktiv!$A$6:$A$350,0)),0)*IFERROR(INDEX(Aktiv!$F$6:$F$350,MATCH(A44,Aktiv!$A$6:$A$350,0)),0)/1000000)/Steuerungsdaten!$B$6),IF(ISNUMBER(MATCH(IFERROR(INDEX(Aktiv!$C$6:$C$350,MATCH(A44,Aktiv!$A$6:$A$350,0)),""),{"Boden","Seite außen","Seite außen SY32","Rücken","Seite innen","Seite innen SY32","Seite innen SY32 DB","Fachboden klein","Fachboden groß","Klappenboden"},0)),1.2,1)-1),0))</f>
        <v>400</v>
      </c>
      <c r="E44" s="293">
        <f>IFERROR(INDEX(Aktiv!$G$6:$G$350,MATCH(A44,Aktiv!$A$6:$A$350,0)),"")</f>
        <v>310</v>
      </c>
      <c r="F44" s="294">
        <f t="shared" si="0"/>
        <v>-90</v>
      </c>
      <c r="G44" s="295">
        <f t="shared" si="1"/>
        <v>-0.22500000000000001</v>
      </c>
      <c r="H44" s="293">
        <f>IF(C44="","",ROUND(C44*Steuerungsdaten!$B$4*Steuerungsdaten!$B$8*IFERROR(VLOOKUP(IFERROR(INDEX(Aktiv!$C$6:$C$350,MATCH(A44,Aktiv!$A$6:$A$350,0)),""),Steuerungsdaten!$B$17:$E$37,4,FALSE),1)*POWER(IF(OR(IFERROR(INDEX(Aktiv!$E$6:$E$350,MATCH(A44,Aktiv!$A$6:$A$350,0)),0)=0,IFERROR(INDEX(Aktiv!$F$6:$F$350,MATCH(A44,Aktiv!$A$6:$A$350,0)),0)=0),1,(IFERROR(INDEX(Aktiv!$E$6:$E$350,MATCH(A44,Aktiv!$A$6:$A$350,0)),0)*IFERROR(INDEX(Aktiv!$F$6:$F$350,MATCH(A44,Aktiv!$A$6:$A$350,0)),0)/1000000)/Steuerungsdaten!$B$6),1-1),0))</f>
        <v>290</v>
      </c>
      <c r="I44" s="293">
        <f>IFERROR(INDEX(Aktiv!$H$6:$H$350,MATCH(A44,Aktiv!$A$6:$A$350,0)),"")</f>
        <v>1064</v>
      </c>
      <c r="J44" s="294">
        <f t="shared" si="2"/>
        <v>774</v>
      </c>
      <c r="K44" s="296">
        <f t="shared" si="3"/>
        <v>2.6689655172413791</v>
      </c>
      <c r="L44" s="297">
        <f>IF(C44="","",ROUND(C44*Steuerungsdaten!$B$4*Steuerungsdaten!$B$9*IFERROR(VLOOKUP(IFERROR(INDEX(Aktiv!$C$6:$C$350,MATCH(A44,Aktiv!$A$6:$A$350,0)),""),Steuerungsdaten!$B$17:$G$37,6,FALSE),1)*POWER(IF(OR(IFERROR(INDEX(Aktiv!$E$6:$E$350,MATCH(A44,Aktiv!$A$6:$A$350,0)),0)=0,IFERROR(INDEX(Aktiv!$F$6:$F$350,MATCH(A44,Aktiv!$A$6:$A$350,0)),0)=0),1,(IFERROR(INDEX(Aktiv!$E$6:$E$350,MATCH(A44,Aktiv!$A$6:$A$350,0)),0)*IFERROR(INDEX(Aktiv!$F$6:$F$350,MATCH(A44,Aktiv!$A$6:$A$350,0)),0)/1000000)/Steuerungsdaten!$B$6),1-1),0))</f>
        <v>290</v>
      </c>
      <c r="M44" s="297">
        <f>IFERROR(INDEX(Aktiv!$I$6:$I$350,MATCH(A44,Aktiv!$A$6:$A$350,0)),"")</f>
        <v>1109</v>
      </c>
      <c r="N44" s="298">
        <f t="shared" si="4"/>
        <v>819</v>
      </c>
      <c r="O44" s="296">
        <f t="shared" si="5"/>
        <v>2.8241379310344827</v>
      </c>
      <c r="P44" s="297">
        <f>IF(C44="","",ROUND(C44*Steuerungsdaten!$B$4*Steuerungsdaten!$B$10*IFERROR(VLOOKUP(IFERROR(INDEX(Aktiv!$C$6:$C$350,MATCH(A44,Aktiv!$A$6:$A$350,0)),""),Steuerungsdaten!$B$17:$I$37,8,FALSE),1)*POWER(IF(OR(IFERROR(INDEX(Aktiv!$E$6:$E$350,MATCH(A44,Aktiv!$A$6:$A$350,0)),0)=0,IFERROR(INDEX(Aktiv!$F$6:$F$350,MATCH(A44,Aktiv!$A$6:$A$350,0)),0)=0),1,(IFERROR(INDEX(Aktiv!$E$6:$E$350,MATCH(A44,Aktiv!$A$6:$A$350,0)),0)*IFERROR(INDEX(Aktiv!$F$6:$F$350,MATCH(A44,Aktiv!$A$6:$A$350,0)),0)/1000000)/Steuerungsdaten!$B$6),1-1),0))</f>
        <v>316</v>
      </c>
      <c r="Q44" s="297" t="str">
        <f>IFERROR(INDEX(Aktiv!$J$6:$J$350,MATCH(A44,Aktiv!$A$6:$A$350,0)),"")</f>
        <v>-</v>
      </c>
      <c r="R44" s="298" t="e">
        <f t="shared" si="6"/>
        <v>#VALUE!</v>
      </c>
      <c r="S44" s="296" t="e">
        <f t="shared" si="7"/>
        <v>#VALUE!</v>
      </c>
    </row>
    <row r="45" spans="1:19" x14ac:dyDescent="0.25">
      <c r="A45" s="292">
        <v>3124</v>
      </c>
      <c r="B45" s="292" t="s">
        <v>52</v>
      </c>
      <c r="C45" s="293">
        <f>IFERROR(INDEX(Aktiv!$O$6:$O$350,MATCH(A45,Aktiv!$A$6:$A$350,0)),"")</f>
        <v>67</v>
      </c>
      <c r="D45" s="293">
        <f>IF(C45="","",ROUND(C45*Steuerungsdaten!$B$4*Steuerungsdaten!$B$7*IFERROR(VLOOKUP(IFERROR(INDEX(Aktiv!$C$6:$C$350,MATCH(A45,Aktiv!$A$6:$A$350,0)),""),Steuerungsdaten!$B$17:$C$37,2,FALSE),1)*POWER(IF(OR(IFERROR(INDEX(Aktiv!$E$6:$E$350,MATCH(A45,Aktiv!$A$6:$A$350,0)),0)=0,IFERROR(INDEX(Aktiv!$F$6:$F$350,MATCH(A45,Aktiv!$A$6:$A$350,0)),0)=0),1,(IFERROR(INDEX(Aktiv!$E$6:$E$350,MATCH(A45,Aktiv!$A$6:$A$350,0)),0)*IFERROR(INDEX(Aktiv!$F$6:$F$350,MATCH(A45,Aktiv!$A$6:$A$350,0)),0)/1000000)/Steuerungsdaten!$B$6),IF(ISNUMBER(MATCH(IFERROR(INDEX(Aktiv!$C$6:$C$350,MATCH(A45,Aktiv!$A$6:$A$350,0)),""),{"Boden","Seite außen","Seite außen SY32","Rücken","Seite innen","Seite innen SY32","Seite innen SY32 DB","Fachboden klein","Fachboden groß","Klappenboden"},0)),1.2,1)-1),0))</f>
        <v>58</v>
      </c>
      <c r="E45" s="293">
        <f>IFERROR(INDEX(Aktiv!$G$6:$G$350,MATCH(A45,Aktiv!$A$6:$A$350,0)),"")</f>
        <v>59</v>
      </c>
      <c r="F45" s="294">
        <f t="shared" si="0"/>
        <v>1</v>
      </c>
      <c r="G45" s="295">
        <f t="shared" si="1"/>
        <v>1.7241379310344827E-2</v>
      </c>
      <c r="H45" s="293">
        <f>IF(C45="","",ROUND(C45*Steuerungsdaten!$B$4*Steuerungsdaten!$B$8*IFERROR(VLOOKUP(IFERROR(INDEX(Aktiv!$C$6:$C$350,MATCH(A45,Aktiv!$A$6:$A$350,0)),""),Steuerungsdaten!$B$17:$E$37,4,FALSE),1)*POWER(IF(OR(IFERROR(INDEX(Aktiv!$E$6:$E$350,MATCH(A45,Aktiv!$A$6:$A$350,0)),0)=0,IFERROR(INDEX(Aktiv!$F$6:$F$350,MATCH(A45,Aktiv!$A$6:$A$350,0)),0)=0),1,(IFERROR(INDEX(Aktiv!$E$6:$E$350,MATCH(A45,Aktiv!$A$6:$A$350,0)),0)*IFERROR(INDEX(Aktiv!$F$6:$F$350,MATCH(A45,Aktiv!$A$6:$A$350,0)),0)/1000000)/Steuerungsdaten!$B$6),1-1),0))</f>
        <v>59</v>
      </c>
      <c r="I45" s="293">
        <f>IFERROR(INDEX(Aktiv!$H$6:$H$350,MATCH(A45,Aktiv!$A$6:$A$350,0)),"")</f>
        <v>203</v>
      </c>
      <c r="J45" s="294">
        <f t="shared" si="2"/>
        <v>144</v>
      </c>
      <c r="K45" s="296">
        <f t="shared" si="3"/>
        <v>2.4406779661016951</v>
      </c>
      <c r="L45" s="297">
        <f>IF(C45="","",ROUND(C45*Steuerungsdaten!$B$4*Steuerungsdaten!$B$9*IFERROR(VLOOKUP(IFERROR(INDEX(Aktiv!$C$6:$C$350,MATCH(A45,Aktiv!$A$6:$A$350,0)),""),Steuerungsdaten!$B$17:$G$37,6,FALSE),1)*POWER(IF(OR(IFERROR(INDEX(Aktiv!$E$6:$E$350,MATCH(A45,Aktiv!$A$6:$A$350,0)),0)=0,IFERROR(INDEX(Aktiv!$F$6:$F$350,MATCH(A45,Aktiv!$A$6:$A$350,0)),0)=0),1,(IFERROR(INDEX(Aktiv!$E$6:$E$350,MATCH(A45,Aktiv!$A$6:$A$350,0)),0)*IFERROR(INDEX(Aktiv!$F$6:$F$350,MATCH(A45,Aktiv!$A$6:$A$350,0)),0)/1000000)/Steuerungsdaten!$B$6),1-1),0))</f>
        <v>59</v>
      </c>
      <c r="M45" s="297">
        <f>IFERROR(INDEX(Aktiv!$I$6:$I$350,MATCH(A45,Aktiv!$A$6:$A$350,0)),"")</f>
        <v>211</v>
      </c>
      <c r="N45" s="298">
        <f t="shared" si="4"/>
        <v>152</v>
      </c>
      <c r="O45" s="296">
        <f t="shared" si="5"/>
        <v>2.5762711864406778</v>
      </c>
      <c r="P45" s="297">
        <f>IF(C45="","",ROUND(C45*Steuerungsdaten!$B$4*Steuerungsdaten!$B$10*IFERROR(VLOOKUP(IFERROR(INDEX(Aktiv!$C$6:$C$350,MATCH(A45,Aktiv!$A$6:$A$350,0)),""),Steuerungsdaten!$B$17:$I$37,8,FALSE),1)*POWER(IF(OR(IFERROR(INDEX(Aktiv!$E$6:$E$350,MATCH(A45,Aktiv!$A$6:$A$350,0)),0)=0,IFERROR(INDEX(Aktiv!$F$6:$F$350,MATCH(A45,Aktiv!$A$6:$A$350,0)),0)=0),1,(IFERROR(INDEX(Aktiv!$E$6:$E$350,MATCH(A45,Aktiv!$A$6:$A$350,0)),0)*IFERROR(INDEX(Aktiv!$F$6:$F$350,MATCH(A45,Aktiv!$A$6:$A$350,0)),0)/1000000)/Steuerungsdaten!$B$6),1-1),0))</f>
        <v>64</v>
      </c>
      <c r="Q45" s="297" t="str">
        <f>IFERROR(INDEX(Aktiv!$J$6:$J$350,MATCH(A45,Aktiv!$A$6:$A$350,0)),"")</f>
        <v>-</v>
      </c>
      <c r="R45" s="298" t="e">
        <f t="shared" si="6"/>
        <v>#VALUE!</v>
      </c>
      <c r="S45" s="296" t="e">
        <f t="shared" si="7"/>
        <v>#VALUE!</v>
      </c>
    </row>
    <row r="46" spans="1:19" x14ac:dyDescent="0.25">
      <c r="A46" s="292" t="s">
        <v>53</v>
      </c>
      <c r="B46" s="292" t="s">
        <v>54</v>
      </c>
      <c r="C46" s="293">
        <f>IFERROR(INDEX(Aktiv!$O$6:$O$350,MATCH(A46,Aktiv!$A$6:$A$350,0)),"")</f>
        <v>162</v>
      </c>
      <c r="D46" s="293">
        <f>IF(C46="","",ROUND(C46*Steuerungsdaten!$B$4*Steuerungsdaten!$B$7*IFERROR(VLOOKUP(IFERROR(INDEX(Aktiv!$C$6:$C$350,MATCH(A46,Aktiv!$A$6:$A$350,0)),""),Steuerungsdaten!$B$17:$C$37,2,FALSE),1)*POWER(IF(OR(IFERROR(INDEX(Aktiv!$E$6:$E$350,MATCH(A46,Aktiv!$A$6:$A$350,0)),0)=0,IFERROR(INDEX(Aktiv!$F$6:$F$350,MATCH(A46,Aktiv!$A$6:$A$350,0)),0)=0),1,(IFERROR(INDEX(Aktiv!$E$6:$E$350,MATCH(A46,Aktiv!$A$6:$A$350,0)),0)*IFERROR(INDEX(Aktiv!$F$6:$F$350,MATCH(A46,Aktiv!$A$6:$A$350,0)),0)/1000000)/Steuerungsdaten!$B$6),IF(ISNUMBER(MATCH(IFERROR(INDEX(Aktiv!$C$6:$C$350,MATCH(A46,Aktiv!$A$6:$A$350,0)),""),{"Boden","Seite außen","Seite außen SY32","Rücken","Seite innen","Seite innen SY32","Seite innen SY32 DB","Fachboden klein","Fachboden groß","Klappenboden"},0)),1.2,1)-1),0))</f>
        <v>132</v>
      </c>
      <c r="E46" s="293">
        <f>IFERROR(INDEX(Aktiv!$G$6:$G$350,MATCH(A46,Aktiv!$A$6:$A$350,0)),"")</f>
        <v>42</v>
      </c>
      <c r="F46" s="294">
        <f t="shared" si="0"/>
        <v>-90</v>
      </c>
      <c r="G46" s="295">
        <f t="shared" si="1"/>
        <v>-0.68181818181818177</v>
      </c>
      <c r="H46" s="293">
        <f>IF(C46="","",ROUND(C46*Steuerungsdaten!$B$4*Steuerungsdaten!$B$8*IFERROR(VLOOKUP(IFERROR(INDEX(Aktiv!$C$6:$C$350,MATCH(A46,Aktiv!$A$6:$A$350,0)),""),Steuerungsdaten!$B$17:$E$37,4,FALSE),1)*POWER(IF(OR(IFERROR(INDEX(Aktiv!$E$6:$E$350,MATCH(A46,Aktiv!$A$6:$A$350,0)),0)=0,IFERROR(INDEX(Aktiv!$F$6:$F$350,MATCH(A46,Aktiv!$A$6:$A$350,0)),0)=0),1,(IFERROR(INDEX(Aktiv!$E$6:$E$350,MATCH(A46,Aktiv!$A$6:$A$350,0)),0)*IFERROR(INDEX(Aktiv!$F$6:$F$350,MATCH(A46,Aktiv!$A$6:$A$350,0)),0)/1000000)/Steuerungsdaten!$B$6),1-1),0))</f>
        <v>143</v>
      </c>
      <c r="I46" s="293">
        <f>IFERROR(INDEX(Aktiv!$H$6:$H$350,MATCH(A46,Aktiv!$A$6:$A$350,0)),"")</f>
        <v>143</v>
      </c>
      <c r="J46" s="294">
        <f t="shared" si="2"/>
        <v>0</v>
      </c>
      <c r="K46" s="296">
        <f t="shared" si="3"/>
        <v>0</v>
      </c>
      <c r="L46" s="297">
        <f>IF(C46="","",ROUND(C46*Steuerungsdaten!$B$4*Steuerungsdaten!$B$9*IFERROR(VLOOKUP(IFERROR(INDEX(Aktiv!$C$6:$C$350,MATCH(A46,Aktiv!$A$6:$A$350,0)),""),Steuerungsdaten!$B$17:$G$37,6,FALSE),1)*POWER(IF(OR(IFERROR(INDEX(Aktiv!$E$6:$E$350,MATCH(A46,Aktiv!$A$6:$A$350,0)),0)=0,IFERROR(INDEX(Aktiv!$F$6:$F$350,MATCH(A46,Aktiv!$A$6:$A$350,0)),0)=0),1,(IFERROR(INDEX(Aktiv!$E$6:$E$350,MATCH(A46,Aktiv!$A$6:$A$350,0)),0)*IFERROR(INDEX(Aktiv!$F$6:$F$350,MATCH(A46,Aktiv!$A$6:$A$350,0)),0)/1000000)/Steuerungsdaten!$B$6),1-1),0))</f>
        <v>143</v>
      </c>
      <c r="M46" s="297">
        <f>IFERROR(INDEX(Aktiv!$I$6:$I$350,MATCH(A46,Aktiv!$A$6:$A$350,0)),"")</f>
        <v>149</v>
      </c>
      <c r="N46" s="298">
        <f t="shared" si="4"/>
        <v>6</v>
      </c>
      <c r="O46" s="296">
        <f t="shared" si="5"/>
        <v>4.195804195804196E-2</v>
      </c>
      <c r="P46" s="297">
        <f>IF(C46="","",ROUND(C46*Steuerungsdaten!$B$4*Steuerungsdaten!$B$10*IFERROR(VLOOKUP(IFERROR(INDEX(Aktiv!$C$6:$C$350,MATCH(A46,Aktiv!$A$6:$A$350,0)),""),Steuerungsdaten!$B$17:$I$37,8,FALSE),1)*POWER(IF(OR(IFERROR(INDEX(Aktiv!$E$6:$E$350,MATCH(A46,Aktiv!$A$6:$A$350,0)),0)=0,IFERROR(INDEX(Aktiv!$F$6:$F$350,MATCH(A46,Aktiv!$A$6:$A$350,0)),0)=0),1,(IFERROR(INDEX(Aktiv!$E$6:$E$350,MATCH(A46,Aktiv!$A$6:$A$350,0)),0)*IFERROR(INDEX(Aktiv!$F$6:$F$350,MATCH(A46,Aktiv!$A$6:$A$350,0)),0)/1000000)/Steuerungsdaten!$B$6),1-1),0))</f>
        <v>156</v>
      </c>
      <c r="Q46" s="297" t="str">
        <f>IFERROR(INDEX(Aktiv!$J$6:$J$350,MATCH(A46,Aktiv!$A$6:$A$350,0)),"")</f>
        <v>-</v>
      </c>
      <c r="R46" s="298" t="e">
        <f t="shared" si="6"/>
        <v>#VALUE!</v>
      </c>
      <c r="S46" s="296" t="e">
        <f t="shared" si="7"/>
        <v>#VALUE!</v>
      </c>
    </row>
    <row r="47" spans="1:19" x14ac:dyDescent="0.25">
      <c r="A47" s="292">
        <v>3200</v>
      </c>
      <c r="B47" s="292" t="s">
        <v>56</v>
      </c>
      <c r="C47" s="293">
        <f>IFERROR(INDEX(Aktiv!$O$6:$O$350,MATCH(A47,Aktiv!$A$6:$A$350,0)),"")</f>
        <v>34</v>
      </c>
      <c r="D47" s="293">
        <f>IF(C47="","",ROUND(C47*Steuerungsdaten!$B$4*Steuerungsdaten!$B$7*IFERROR(VLOOKUP(IFERROR(INDEX(Aktiv!$C$6:$C$350,MATCH(A47,Aktiv!$A$6:$A$350,0)),""),Steuerungsdaten!$B$17:$C$37,2,FALSE),1)*POWER(IF(OR(IFERROR(INDEX(Aktiv!$E$6:$E$350,MATCH(A47,Aktiv!$A$6:$A$350,0)),0)=0,IFERROR(INDEX(Aktiv!$F$6:$F$350,MATCH(A47,Aktiv!$A$6:$A$350,0)),0)=0),1,(IFERROR(INDEX(Aktiv!$E$6:$E$350,MATCH(A47,Aktiv!$A$6:$A$350,0)),0)*IFERROR(INDEX(Aktiv!$F$6:$F$350,MATCH(A47,Aktiv!$A$6:$A$350,0)),0)/1000000)/Steuerungsdaten!$B$6),IF(ISNUMBER(MATCH(IFERROR(INDEX(Aktiv!$C$6:$C$350,MATCH(A47,Aktiv!$A$6:$A$350,0)),""),{"Boden","Seite außen","Seite außen SY32","Rücken","Seite innen","Seite innen SY32","Seite innen SY32 DB","Fachboden klein","Fachboden groß","Klappenboden"},0)),1.2,1)-1),0))</f>
        <v>25</v>
      </c>
      <c r="E47" s="293">
        <f>IFERROR(INDEX(Aktiv!$G$6:$G$350,MATCH(A47,Aktiv!$A$6:$A$350,0)),"")</f>
        <v>25</v>
      </c>
      <c r="F47" s="294">
        <f t="shared" si="0"/>
        <v>0</v>
      </c>
      <c r="G47" s="295">
        <f t="shared" si="1"/>
        <v>0</v>
      </c>
      <c r="H47" s="293">
        <f>IF(C47="","",ROUND(C47*Steuerungsdaten!$B$4*Steuerungsdaten!$B$8*IFERROR(VLOOKUP(IFERROR(INDEX(Aktiv!$C$6:$C$350,MATCH(A47,Aktiv!$A$6:$A$350,0)),""),Steuerungsdaten!$B$17:$E$37,4,FALSE),1)*POWER(IF(OR(IFERROR(INDEX(Aktiv!$E$6:$E$350,MATCH(A47,Aktiv!$A$6:$A$350,0)),0)=0,IFERROR(INDEX(Aktiv!$F$6:$F$350,MATCH(A47,Aktiv!$A$6:$A$350,0)),0)=0),1,(IFERROR(INDEX(Aktiv!$E$6:$E$350,MATCH(A47,Aktiv!$A$6:$A$350,0)),0)*IFERROR(INDEX(Aktiv!$F$6:$F$350,MATCH(A47,Aktiv!$A$6:$A$350,0)),0)/1000000)/Steuerungsdaten!$B$6),1-1),0))</f>
        <v>30</v>
      </c>
      <c r="I47" s="293">
        <f>IFERROR(INDEX(Aktiv!$H$6:$H$350,MATCH(A47,Aktiv!$A$6:$A$350,0)),"")</f>
        <v>103</v>
      </c>
      <c r="J47" s="294">
        <f t="shared" si="2"/>
        <v>73</v>
      </c>
      <c r="K47" s="296">
        <f t="shared" si="3"/>
        <v>2.4333333333333331</v>
      </c>
      <c r="L47" s="297">
        <f>IF(C47="","",ROUND(C47*Steuerungsdaten!$B$4*Steuerungsdaten!$B$9*IFERROR(VLOOKUP(IFERROR(INDEX(Aktiv!$C$6:$C$350,MATCH(A47,Aktiv!$A$6:$A$350,0)),""),Steuerungsdaten!$B$17:$G$37,6,FALSE),1)*POWER(IF(OR(IFERROR(INDEX(Aktiv!$E$6:$E$350,MATCH(A47,Aktiv!$A$6:$A$350,0)),0)=0,IFERROR(INDEX(Aktiv!$F$6:$F$350,MATCH(A47,Aktiv!$A$6:$A$350,0)),0)=0),1,(IFERROR(INDEX(Aktiv!$E$6:$E$350,MATCH(A47,Aktiv!$A$6:$A$350,0)),0)*IFERROR(INDEX(Aktiv!$F$6:$F$350,MATCH(A47,Aktiv!$A$6:$A$350,0)),0)/1000000)/Steuerungsdaten!$B$6),1-1),0))</f>
        <v>30</v>
      </c>
      <c r="M47" s="297">
        <f>IFERROR(INDEX(Aktiv!$I$6:$I$350,MATCH(A47,Aktiv!$A$6:$A$350,0)),"")</f>
        <v>120</v>
      </c>
      <c r="N47" s="298">
        <f t="shared" si="4"/>
        <v>90</v>
      </c>
      <c r="O47" s="296">
        <f t="shared" si="5"/>
        <v>3</v>
      </c>
      <c r="P47" s="297">
        <f>IF(C47="","",ROUND(C47*Steuerungsdaten!$B$4*Steuerungsdaten!$B$10*IFERROR(VLOOKUP(IFERROR(INDEX(Aktiv!$C$6:$C$350,MATCH(A47,Aktiv!$A$6:$A$350,0)),""),Steuerungsdaten!$B$17:$I$37,8,FALSE),1)*POWER(IF(OR(IFERROR(INDEX(Aktiv!$E$6:$E$350,MATCH(A47,Aktiv!$A$6:$A$350,0)),0)=0,IFERROR(INDEX(Aktiv!$F$6:$F$350,MATCH(A47,Aktiv!$A$6:$A$350,0)),0)=0),1,(IFERROR(INDEX(Aktiv!$E$6:$E$350,MATCH(A47,Aktiv!$A$6:$A$350,0)),0)*IFERROR(INDEX(Aktiv!$F$6:$F$350,MATCH(A47,Aktiv!$A$6:$A$350,0)),0)/1000000)/Steuerungsdaten!$B$6),1-1),0))</f>
        <v>33</v>
      </c>
      <c r="Q47" s="297">
        <f>IFERROR(INDEX(Aktiv!$J$6:$J$350,MATCH(A47,Aktiv!$A$6:$A$350,0)),"")</f>
        <v>145</v>
      </c>
      <c r="R47" s="298">
        <f t="shared" si="6"/>
        <v>112</v>
      </c>
      <c r="S47" s="296">
        <f t="shared" si="7"/>
        <v>3.393939393939394</v>
      </c>
    </row>
    <row r="48" spans="1:19" x14ac:dyDescent="0.25">
      <c r="A48" s="292">
        <v>3201</v>
      </c>
      <c r="B48" s="292" t="s">
        <v>57</v>
      </c>
      <c r="C48" s="293">
        <f>IFERROR(INDEX(Aktiv!$O$6:$O$350,MATCH(A48,Aktiv!$A$6:$A$350,0)),"")</f>
        <v>52</v>
      </c>
      <c r="D48" s="293">
        <f>IF(C48="","",ROUND(C48*Steuerungsdaten!$B$4*Steuerungsdaten!$B$7*IFERROR(VLOOKUP(IFERROR(INDEX(Aktiv!$C$6:$C$350,MATCH(A48,Aktiv!$A$6:$A$350,0)),""),Steuerungsdaten!$B$17:$C$37,2,FALSE),1)*POWER(IF(OR(IFERROR(INDEX(Aktiv!$E$6:$E$350,MATCH(A48,Aktiv!$A$6:$A$350,0)),0)=0,IFERROR(INDEX(Aktiv!$F$6:$F$350,MATCH(A48,Aktiv!$A$6:$A$350,0)),0)=0),1,(IFERROR(INDEX(Aktiv!$E$6:$E$350,MATCH(A48,Aktiv!$A$6:$A$350,0)),0)*IFERROR(INDEX(Aktiv!$F$6:$F$350,MATCH(A48,Aktiv!$A$6:$A$350,0)),0)/1000000)/Steuerungsdaten!$B$6),IF(ISNUMBER(MATCH(IFERROR(INDEX(Aktiv!$C$6:$C$350,MATCH(A48,Aktiv!$A$6:$A$350,0)),""),{"Boden","Seite außen","Seite außen SY32","Rücken","Seite innen","Seite innen SY32","Seite innen SY32 DB","Fachboden klein","Fachboden groß","Klappenboden"},0)),1.2,1)-1),0))</f>
        <v>43</v>
      </c>
      <c r="E48" s="293">
        <f>IFERROR(INDEX(Aktiv!$G$6:$G$350,MATCH(A48,Aktiv!$A$6:$A$350,0)),"")</f>
        <v>46</v>
      </c>
      <c r="F48" s="294">
        <f t="shared" si="0"/>
        <v>3</v>
      </c>
      <c r="G48" s="295">
        <f t="shared" si="1"/>
        <v>6.9767441860465115E-2</v>
      </c>
      <c r="H48" s="293">
        <f>IF(C48="","",ROUND(C48*Steuerungsdaten!$B$4*Steuerungsdaten!$B$8*IFERROR(VLOOKUP(IFERROR(INDEX(Aktiv!$C$6:$C$350,MATCH(A48,Aktiv!$A$6:$A$350,0)),""),Steuerungsdaten!$B$17:$E$37,4,FALSE),1)*POWER(IF(OR(IFERROR(INDEX(Aktiv!$E$6:$E$350,MATCH(A48,Aktiv!$A$6:$A$350,0)),0)=0,IFERROR(INDEX(Aktiv!$F$6:$F$350,MATCH(A48,Aktiv!$A$6:$A$350,0)),0)=0),1,(IFERROR(INDEX(Aktiv!$E$6:$E$350,MATCH(A48,Aktiv!$A$6:$A$350,0)),0)*IFERROR(INDEX(Aktiv!$F$6:$F$350,MATCH(A48,Aktiv!$A$6:$A$350,0)),0)/1000000)/Steuerungsdaten!$B$6),1-1),0))</f>
        <v>46</v>
      </c>
      <c r="I48" s="293">
        <f>IFERROR(INDEX(Aktiv!$H$6:$H$350,MATCH(A48,Aktiv!$A$6:$A$350,0)),"")</f>
        <v>156</v>
      </c>
      <c r="J48" s="294">
        <f t="shared" si="2"/>
        <v>110</v>
      </c>
      <c r="K48" s="296">
        <f t="shared" si="3"/>
        <v>2.3913043478260869</v>
      </c>
      <c r="L48" s="297">
        <f>IF(C48="","",ROUND(C48*Steuerungsdaten!$B$4*Steuerungsdaten!$B$9*IFERROR(VLOOKUP(IFERROR(INDEX(Aktiv!$C$6:$C$350,MATCH(A48,Aktiv!$A$6:$A$350,0)),""),Steuerungsdaten!$B$17:$G$37,6,FALSE),1)*POWER(IF(OR(IFERROR(INDEX(Aktiv!$E$6:$E$350,MATCH(A48,Aktiv!$A$6:$A$350,0)),0)=0,IFERROR(INDEX(Aktiv!$F$6:$F$350,MATCH(A48,Aktiv!$A$6:$A$350,0)),0)=0),1,(IFERROR(INDEX(Aktiv!$E$6:$E$350,MATCH(A48,Aktiv!$A$6:$A$350,0)),0)*IFERROR(INDEX(Aktiv!$F$6:$F$350,MATCH(A48,Aktiv!$A$6:$A$350,0)),0)/1000000)/Steuerungsdaten!$B$6),1-1),0))</f>
        <v>46</v>
      </c>
      <c r="M48" s="297">
        <f>IFERROR(INDEX(Aktiv!$I$6:$I$350,MATCH(A48,Aktiv!$A$6:$A$350,0)),"")</f>
        <v>163</v>
      </c>
      <c r="N48" s="298">
        <f t="shared" si="4"/>
        <v>117</v>
      </c>
      <c r="O48" s="296">
        <f t="shared" si="5"/>
        <v>2.5434782608695654</v>
      </c>
      <c r="P48" s="297">
        <f>IF(C48="","",ROUND(C48*Steuerungsdaten!$B$4*Steuerungsdaten!$B$10*IFERROR(VLOOKUP(IFERROR(INDEX(Aktiv!$C$6:$C$350,MATCH(A48,Aktiv!$A$6:$A$350,0)),""),Steuerungsdaten!$B$17:$I$37,8,FALSE),1)*POWER(IF(OR(IFERROR(INDEX(Aktiv!$E$6:$E$350,MATCH(A48,Aktiv!$A$6:$A$350,0)),0)=0,IFERROR(INDEX(Aktiv!$F$6:$F$350,MATCH(A48,Aktiv!$A$6:$A$350,0)),0)=0),1,(IFERROR(INDEX(Aktiv!$E$6:$E$350,MATCH(A48,Aktiv!$A$6:$A$350,0)),0)*IFERROR(INDEX(Aktiv!$F$6:$F$350,MATCH(A48,Aktiv!$A$6:$A$350,0)),0)/1000000)/Steuerungsdaten!$B$6),1-1),0))</f>
        <v>50</v>
      </c>
      <c r="Q48" s="297">
        <f>IFERROR(INDEX(Aktiv!$J$6:$J$350,MATCH(A48,Aktiv!$A$6:$A$350,0)),"")</f>
        <v>181</v>
      </c>
      <c r="R48" s="298">
        <f t="shared" si="6"/>
        <v>131</v>
      </c>
      <c r="S48" s="296">
        <f t="shared" si="7"/>
        <v>2.62</v>
      </c>
    </row>
    <row r="49" spans="1:19" x14ac:dyDescent="0.25">
      <c r="A49" s="292">
        <v>3202</v>
      </c>
      <c r="B49" s="292" t="s">
        <v>58</v>
      </c>
      <c r="C49" s="293">
        <f>IFERROR(INDEX(Aktiv!$O$6:$O$350,MATCH(A49,Aktiv!$A$6:$A$350,0)),"")</f>
        <v>76</v>
      </c>
      <c r="D49" s="293">
        <f>IF(C49="","",ROUND(C49*Steuerungsdaten!$B$4*Steuerungsdaten!$B$7*IFERROR(VLOOKUP(IFERROR(INDEX(Aktiv!$C$6:$C$350,MATCH(A49,Aktiv!$A$6:$A$350,0)),""),Steuerungsdaten!$B$17:$C$37,2,FALSE),1)*POWER(IF(OR(IFERROR(INDEX(Aktiv!$E$6:$E$350,MATCH(A49,Aktiv!$A$6:$A$350,0)),0)=0,IFERROR(INDEX(Aktiv!$F$6:$F$350,MATCH(A49,Aktiv!$A$6:$A$350,0)),0)=0),1,(IFERROR(INDEX(Aktiv!$E$6:$E$350,MATCH(A49,Aktiv!$A$6:$A$350,0)),0)*IFERROR(INDEX(Aktiv!$F$6:$F$350,MATCH(A49,Aktiv!$A$6:$A$350,0)),0)/1000000)/Steuerungsdaten!$B$6),IF(ISNUMBER(MATCH(IFERROR(INDEX(Aktiv!$C$6:$C$350,MATCH(A49,Aktiv!$A$6:$A$350,0)),""),{"Boden","Seite außen","Seite außen SY32","Rücken","Seite innen","Seite innen SY32","Seite innen SY32 DB","Fachboden klein","Fachboden groß","Klappenboden"},0)),1.2,1)-1),0))</f>
        <v>68</v>
      </c>
      <c r="E49" s="293">
        <f>IFERROR(INDEX(Aktiv!$G$6:$G$350,MATCH(A49,Aktiv!$A$6:$A$350,0)),"")</f>
        <v>68</v>
      </c>
      <c r="F49" s="294">
        <f t="shared" si="0"/>
        <v>0</v>
      </c>
      <c r="G49" s="295">
        <f t="shared" si="1"/>
        <v>0</v>
      </c>
      <c r="H49" s="293">
        <f>IF(C49="","",ROUND(C49*Steuerungsdaten!$B$4*Steuerungsdaten!$B$8*IFERROR(VLOOKUP(IFERROR(INDEX(Aktiv!$C$6:$C$350,MATCH(A49,Aktiv!$A$6:$A$350,0)),""),Steuerungsdaten!$B$17:$E$37,4,FALSE),1)*POWER(IF(OR(IFERROR(INDEX(Aktiv!$E$6:$E$350,MATCH(A49,Aktiv!$A$6:$A$350,0)),0)=0,IFERROR(INDEX(Aktiv!$F$6:$F$350,MATCH(A49,Aktiv!$A$6:$A$350,0)),0)=0),1,(IFERROR(INDEX(Aktiv!$E$6:$E$350,MATCH(A49,Aktiv!$A$6:$A$350,0)),0)*IFERROR(INDEX(Aktiv!$F$6:$F$350,MATCH(A49,Aktiv!$A$6:$A$350,0)),0)/1000000)/Steuerungsdaten!$B$6),1-1),0))</f>
        <v>67</v>
      </c>
      <c r="I49" s="293">
        <f>IFERROR(INDEX(Aktiv!$H$6:$H$350,MATCH(A49,Aktiv!$A$6:$A$350,0)),"")</f>
        <v>235</v>
      </c>
      <c r="J49" s="294">
        <f t="shared" si="2"/>
        <v>168</v>
      </c>
      <c r="K49" s="296">
        <f t="shared" si="3"/>
        <v>2.5074626865671643</v>
      </c>
      <c r="L49" s="297">
        <f>IF(C49="","",ROUND(C49*Steuerungsdaten!$B$4*Steuerungsdaten!$B$9*IFERROR(VLOOKUP(IFERROR(INDEX(Aktiv!$C$6:$C$350,MATCH(A49,Aktiv!$A$6:$A$350,0)),""),Steuerungsdaten!$B$17:$G$37,6,FALSE),1)*POWER(IF(OR(IFERROR(INDEX(Aktiv!$E$6:$E$350,MATCH(A49,Aktiv!$A$6:$A$350,0)),0)=0,IFERROR(INDEX(Aktiv!$F$6:$F$350,MATCH(A49,Aktiv!$A$6:$A$350,0)),0)=0),1,(IFERROR(INDEX(Aktiv!$E$6:$E$350,MATCH(A49,Aktiv!$A$6:$A$350,0)),0)*IFERROR(INDEX(Aktiv!$F$6:$F$350,MATCH(A49,Aktiv!$A$6:$A$350,0)),0)/1000000)/Steuerungsdaten!$B$6),1-1),0))</f>
        <v>67</v>
      </c>
      <c r="M49" s="297">
        <f>IFERROR(INDEX(Aktiv!$I$6:$I$350,MATCH(A49,Aktiv!$A$6:$A$350,0)),"")</f>
        <v>244</v>
      </c>
      <c r="N49" s="298">
        <f t="shared" si="4"/>
        <v>177</v>
      </c>
      <c r="O49" s="296">
        <f t="shared" si="5"/>
        <v>2.6417910447761193</v>
      </c>
      <c r="P49" s="297">
        <f>IF(C49="","",ROUND(C49*Steuerungsdaten!$B$4*Steuerungsdaten!$B$10*IFERROR(VLOOKUP(IFERROR(INDEX(Aktiv!$C$6:$C$350,MATCH(A49,Aktiv!$A$6:$A$350,0)),""),Steuerungsdaten!$B$17:$I$37,8,FALSE),1)*POWER(IF(OR(IFERROR(INDEX(Aktiv!$E$6:$E$350,MATCH(A49,Aktiv!$A$6:$A$350,0)),0)=0,IFERROR(INDEX(Aktiv!$F$6:$F$350,MATCH(A49,Aktiv!$A$6:$A$350,0)),0)=0),1,(IFERROR(INDEX(Aktiv!$E$6:$E$350,MATCH(A49,Aktiv!$A$6:$A$350,0)),0)*IFERROR(INDEX(Aktiv!$F$6:$F$350,MATCH(A49,Aktiv!$A$6:$A$350,0)),0)/1000000)/Steuerungsdaten!$B$6),1-1),0))</f>
        <v>73</v>
      </c>
      <c r="Q49" s="297">
        <f>IFERROR(INDEX(Aktiv!$J$6:$J$350,MATCH(A49,Aktiv!$A$6:$A$350,0)),"")</f>
        <v>272</v>
      </c>
      <c r="R49" s="298">
        <f t="shared" si="6"/>
        <v>199</v>
      </c>
      <c r="S49" s="296">
        <f t="shared" si="7"/>
        <v>2.7260273972602738</v>
      </c>
    </row>
    <row r="50" spans="1:19" x14ac:dyDescent="0.25">
      <c r="A50" s="292">
        <v>3203</v>
      </c>
      <c r="B50" s="292" t="s">
        <v>59</v>
      </c>
      <c r="C50" s="293">
        <f>IFERROR(INDEX(Aktiv!$O$6:$O$350,MATCH(A50,Aktiv!$A$6:$A$350,0)),"")</f>
        <v>100</v>
      </c>
      <c r="D50" s="293">
        <f>IF(C50="","",ROUND(C50*Steuerungsdaten!$B$4*Steuerungsdaten!$B$7*IFERROR(VLOOKUP(IFERROR(INDEX(Aktiv!$C$6:$C$350,MATCH(A50,Aktiv!$A$6:$A$350,0)),""),Steuerungsdaten!$B$17:$C$37,2,FALSE),1)*POWER(IF(OR(IFERROR(INDEX(Aktiv!$E$6:$E$350,MATCH(A50,Aktiv!$A$6:$A$350,0)),0)=0,IFERROR(INDEX(Aktiv!$F$6:$F$350,MATCH(A50,Aktiv!$A$6:$A$350,0)),0)=0),1,(IFERROR(INDEX(Aktiv!$E$6:$E$350,MATCH(A50,Aktiv!$A$6:$A$350,0)),0)*IFERROR(INDEX(Aktiv!$F$6:$F$350,MATCH(A50,Aktiv!$A$6:$A$350,0)),0)/1000000)/Steuerungsdaten!$B$6),IF(ISNUMBER(MATCH(IFERROR(INDEX(Aktiv!$C$6:$C$350,MATCH(A50,Aktiv!$A$6:$A$350,0)),""),{"Boden","Seite außen","Seite außen SY32","Rücken","Seite innen","Seite innen SY32","Seite innen SY32 DB","Fachboden klein","Fachboden groß","Klappenboden"},0)),1.2,1)-1),0))</f>
        <v>95</v>
      </c>
      <c r="E50" s="293">
        <f>IFERROR(INDEX(Aktiv!$G$6:$G$350,MATCH(A50,Aktiv!$A$6:$A$350,0)),"")</f>
        <v>91</v>
      </c>
      <c r="F50" s="294">
        <f t="shared" si="0"/>
        <v>-4</v>
      </c>
      <c r="G50" s="295">
        <f t="shared" si="1"/>
        <v>-4.2105263157894736E-2</v>
      </c>
      <c r="H50" s="293">
        <f>IF(C50="","",ROUND(C50*Steuerungsdaten!$B$4*Steuerungsdaten!$B$8*IFERROR(VLOOKUP(IFERROR(INDEX(Aktiv!$C$6:$C$350,MATCH(A50,Aktiv!$A$6:$A$350,0)),""),Steuerungsdaten!$B$17:$E$37,4,FALSE),1)*POWER(IF(OR(IFERROR(INDEX(Aktiv!$E$6:$E$350,MATCH(A50,Aktiv!$A$6:$A$350,0)),0)=0,IFERROR(INDEX(Aktiv!$F$6:$F$350,MATCH(A50,Aktiv!$A$6:$A$350,0)),0)=0),1,(IFERROR(INDEX(Aktiv!$E$6:$E$350,MATCH(A50,Aktiv!$A$6:$A$350,0)),0)*IFERROR(INDEX(Aktiv!$F$6:$F$350,MATCH(A50,Aktiv!$A$6:$A$350,0)),0)/1000000)/Steuerungsdaten!$B$6),1-1),0))</f>
        <v>88</v>
      </c>
      <c r="I50" s="293">
        <f>IFERROR(INDEX(Aktiv!$H$6:$H$350,MATCH(A50,Aktiv!$A$6:$A$350,0)),"")</f>
        <v>313</v>
      </c>
      <c r="J50" s="294">
        <f t="shared" si="2"/>
        <v>225</v>
      </c>
      <c r="K50" s="296">
        <f t="shared" si="3"/>
        <v>2.5568181818181817</v>
      </c>
      <c r="L50" s="297">
        <f>IF(C50="","",ROUND(C50*Steuerungsdaten!$B$4*Steuerungsdaten!$B$9*IFERROR(VLOOKUP(IFERROR(INDEX(Aktiv!$C$6:$C$350,MATCH(A50,Aktiv!$A$6:$A$350,0)),""),Steuerungsdaten!$B$17:$G$37,6,FALSE),1)*POWER(IF(OR(IFERROR(INDEX(Aktiv!$E$6:$E$350,MATCH(A50,Aktiv!$A$6:$A$350,0)),0)=0,IFERROR(INDEX(Aktiv!$F$6:$F$350,MATCH(A50,Aktiv!$A$6:$A$350,0)),0)=0),1,(IFERROR(INDEX(Aktiv!$E$6:$E$350,MATCH(A50,Aktiv!$A$6:$A$350,0)),0)*IFERROR(INDEX(Aktiv!$F$6:$F$350,MATCH(A50,Aktiv!$A$6:$A$350,0)),0)/1000000)/Steuerungsdaten!$B$6),1-1),0))</f>
        <v>88</v>
      </c>
      <c r="M50" s="297">
        <f>IFERROR(INDEX(Aktiv!$I$6:$I$350,MATCH(A50,Aktiv!$A$6:$A$350,0)),"")</f>
        <v>326</v>
      </c>
      <c r="N50" s="298">
        <f t="shared" si="4"/>
        <v>238</v>
      </c>
      <c r="O50" s="296">
        <f t="shared" si="5"/>
        <v>2.7045454545454546</v>
      </c>
      <c r="P50" s="297">
        <f>IF(C50="","",ROUND(C50*Steuerungsdaten!$B$4*Steuerungsdaten!$B$10*IFERROR(VLOOKUP(IFERROR(INDEX(Aktiv!$C$6:$C$350,MATCH(A50,Aktiv!$A$6:$A$350,0)),""),Steuerungsdaten!$B$17:$I$37,8,FALSE),1)*POWER(IF(OR(IFERROR(INDEX(Aktiv!$E$6:$E$350,MATCH(A50,Aktiv!$A$6:$A$350,0)),0)=0,IFERROR(INDEX(Aktiv!$F$6:$F$350,MATCH(A50,Aktiv!$A$6:$A$350,0)),0)=0),1,(IFERROR(INDEX(Aktiv!$E$6:$E$350,MATCH(A50,Aktiv!$A$6:$A$350,0)),0)*IFERROR(INDEX(Aktiv!$F$6:$F$350,MATCH(A50,Aktiv!$A$6:$A$350,0)),0)/1000000)/Steuerungsdaten!$B$6),1-1),0))</f>
        <v>96</v>
      </c>
      <c r="Q50" s="297">
        <f>IFERROR(INDEX(Aktiv!$J$6:$J$350,MATCH(A50,Aktiv!$A$6:$A$350,0)),"")</f>
        <v>363</v>
      </c>
      <c r="R50" s="298">
        <f t="shared" si="6"/>
        <v>267</v>
      </c>
      <c r="S50" s="296">
        <f t="shared" si="7"/>
        <v>2.78125</v>
      </c>
    </row>
    <row r="51" spans="1:19" x14ac:dyDescent="0.25">
      <c r="A51" s="292">
        <v>3204</v>
      </c>
      <c r="B51" s="292" t="s">
        <v>60</v>
      </c>
      <c r="C51" s="293">
        <f>IFERROR(INDEX(Aktiv!$O$6:$O$350,MATCH(A51,Aktiv!$A$6:$A$350,0)),"")</f>
        <v>125</v>
      </c>
      <c r="D51" s="293">
        <f>IF(C51="","",ROUND(C51*Steuerungsdaten!$B$4*Steuerungsdaten!$B$7*IFERROR(VLOOKUP(IFERROR(INDEX(Aktiv!$C$6:$C$350,MATCH(A51,Aktiv!$A$6:$A$350,0)),""),Steuerungsdaten!$B$17:$C$37,2,FALSE),1)*POWER(IF(OR(IFERROR(INDEX(Aktiv!$E$6:$E$350,MATCH(A51,Aktiv!$A$6:$A$350,0)),0)=0,IFERROR(INDEX(Aktiv!$F$6:$F$350,MATCH(A51,Aktiv!$A$6:$A$350,0)),0)=0),1,(IFERROR(INDEX(Aktiv!$E$6:$E$350,MATCH(A51,Aktiv!$A$6:$A$350,0)),0)*IFERROR(INDEX(Aktiv!$F$6:$F$350,MATCH(A51,Aktiv!$A$6:$A$350,0)),0)/1000000)/Steuerungsdaten!$B$6),IF(ISNUMBER(MATCH(IFERROR(INDEX(Aktiv!$C$6:$C$350,MATCH(A51,Aktiv!$A$6:$A$350,0)),""),{"Boden","Seite außen","Seite außen SY32","Rücken","Seite innen","Seite innen SY32","Seite innen SY32 DB","Fachboden klein","Fachboden groß","Klappenboden"},0)),1.2,1)-1),0))</f>
        <v>124</v>
      </c>
      <c r="E51" s="293">
        <f>IFERROR(INDEX(Aktiv!$G$6:$G$350,MATCH(A51,Aktiv!$A$6:$A$350,0)),"")</f>
        <v>114</v>
      </c>
      <c r="F51" s="294">
        <f t="shared" si="0"/>
        <v>-10</v>
      </c>
      <c r="G51" s="295">
        <f t="shared" si="1"/>
        <v>-8.0645161290322578E-2</v>
      </c>
      <c r="H51" s="293">
        <f>IF(C51="","",ROUND(C51*Steuerungsdaten!$B$4*Steuerungsdaten!$B$8*IFERROR(VLOOKUP(IFERROR(INDEX(Aktiv!$C$6:$C$350,MATCH(A51,Aktiv!$A$6:$A$350,0)),""),Steuerungsdaten!$B$17:$E$37,4,FALSE),1)*POWER(IF(OR(IFERROR(INDEX(Aktiv!$E$6:$E$350,MATCH(A51,Aktiv!$A$6:$A$350,0)),0)=0,IFERROR(INDEX(Aktiv!$F$6:$F$350,MATCH(A51,Aktiv!$A$6:$A$350,0)),0)=0),1,(IFERROR(INDEX(Aktiv!$E$6:$E$350,MATCH(A51,Aktiv!$A$6:$A$350,0)),0)*IFERROR(INDEX(Aktiv!$F$6:$F$350,MATCH(A51,Aktiv!$A$6:$A$350,0)),0)/1000000)/Steuerungsdaten!$B$6),1-1),0))</f>
        <v>110</v>
      </c>
      <c r="I51" s="293">
        <f>IFERROR(INDEX(Aktiv!$H$6:$H$350,MATCH(A51,Aktiv!$A$6:$A$350,0)),"")</f>
        <v>391</v>
      </c>
      <c r="J51" s="294">
        <f t="shared" si="2"/>
        <v>281</v>
      </c>
      <c r="K51" s="296">
        <f t="shared" si="3"/>
        <v>2.5545454545454547</v>
      </c>
      <c r="L51" s="297">
        <f>IF(C51="","",ROUND(C51*Steuerungsdaten!$B$4*Steuerungsdaten!$B$9*IFERROR(VLOOKUP(IFERROR(INDEX(Aktiv!$C$6:$C$350,MATCH(A51,Aktiv!$A$6:$A$350,0)),""),Steuerungsdaten!$B$17:$G$37,6,FALSE),1)*POWER(IF(OR(IFERROR(INDEX(Aktiv!$E$6:$E$350,MATCH(A51,Aktiv!$A$6:$A$350,0)),0)=0,IFERROR(INDEX(Aktiv!$F$6:$F$350,MATCH(A51,Aktiv!$A$6:$A$350,0)),0)=0),1,(IFERROR(INDEX(Aktiv!$E$6:$E$350,MATCH(A51,Aktiv!$A$6:$A$350,0)),0)*IFERROR(INDEX(Aktiv!$F$6:$F$350,MATCH(A51,Aktiv!$A$6:$A$350,0)),0)/1000000)/Steuerungsdaten!$B$6),1-1),0))</f>
        <v>110</v>
      </c>
      <c r="M51" s="297">
        <f>IFERROR(INDEX(Aktiv!$I$6:$I$350,MATCH(A51,Aktiv!$A$6:$A$350,0)),"")</f>
        <v>407</v>
      </c>
      <c r="N51" s="298">
        <f t="shared" si="4"/>
        <v>297</v>
      </c>
      <c r="O51" s="296">
        <f t="shared" si="5"/>
        <v>2.7</v>
      </c>
      <c r="P51" s="297">
        <f>IF(C51="","",ROUND(C51*Steuerungsdaten!$B$4*Steuerungsdaten!$B$10*IFERROR(VLOOKUP(IFERROR(INDEX(Aktiv!$C$6:$C$350,MATCH(A51,Aktiv!$A$6:$A$350,0)),""),Steuerungsdaten!$B$17:$I$37,8,FALSE),1)*POWER(IF(OR(IFERROR(INDEX(Aktiv!$E$6:$E$350,MATCH(A51,Aktiv!$A$6:$A$350,0)),0)=0,IFERROR(INDEX(Aktiv!$F$6:$F$350,MATCH(A51,Aktiv!$A$6:$A$350,0)),0)=0),1,(IFERROR(INDEX(Aktiv!$E$6:$E$350,MATCH(A51,Aktiv!$A$6:$A$350,0)),0)*IFERROR(INDEX(Aktiv!$F$6:$F$350,MATCH(A51,Aktiv!$A$6:$A$350,0)),0)/1000000)/Steuerungsdaten!$B$6),1-1),0))</f>
        <v>120</v>
      </c>
      <c r="Q51" s="297">
        <f>IFERROR(INDEX(Aktiv!$J$6:$J$350,MATCH(A51,Aktiv!$A$6:$A$350,0)),"")</f>
        <v>453</v>
      </c>
      <c r="R51" s="298">
        <f t="shared" si="6"/>
        <v>333</v>
      </c>
      <c r="S51" s="296">
        <f t="shared" si="7"/>
        <v>2.7749999999999999</v>
      </c>
    </row>
    <row r="52" spans="1:19" x14ac:dyDescent="0.25">
      <c r="A52" s="292">
        <v>3205</v>
      </c>
      <c r="B52" s="292" t="s">
        <v>61</v>
      </c>
      <c r="C52" s="293">
        <f>IFERROR(INDEX(Aktiv!$O$6:$O$350,MATCH(A52,Aktiv!$A$6:$A$350,0)),"")</f>
        <v>43</v>
      </c>
      <c r="D52" s="293">
        <f>IF(C52="","",ROUND(C52*Steuerungsdaten!$B$4*Steuerungsdaten!$B$7*IFERROR(VLOOKUP(IFERROR(INDEX(Aktiv!$C$6:$C$350,MATCH(A52,Aktiv!$A$6:$A$350,0)),""),Steuerungsdaten!$B$17:$C$37,2,FALSE),1)*POWER(IF(OR(IFERROR(INDEX(Aktiv!$E$6:$E$350,MATCH(A52,Aktiv!$A$6:$A$350,0)),0)=0,IFERROR(INDEX(Aktiv!$F$6:$F$350,MATCH(A52,Aktiv!$A$6:$A$350,0)),0)=0),1,(IFERROR(INDEX(Aktiv!$E$6:$E$350,MATCH(A52,Aktiv!$A$6:$A$350,0)),0)*IFERROR(INDEX(Aktiv!$F$6:$F$350,MATCH(A52,Aktiv!$A$6:$A$350,0)),0)/1000000)/Steuerungsdaten!$B$6),IF(ISNUMBER(MATCH(IFERROR(INDEX(Aktiv!$C$6:$C$350,MATCH(A52,Aktiv!$A$6:$A$350,0)),""),{"Boden","Seite außen","Seite außen SY32","Rücken","Seite innen","Seite innen SY32","Seite innen SY32 DB","Fachboden klein","Fachboden groß","Klappenboden"},0)),1.2,1)-1),0))</f>
        <v>34</v>
      </c>
      <c r="E52" s="293">
        <f>IFERROR(INDEX(Aktiv!$G$6:$G$350,MATCH(A52,Aktiv!$A$6:$A$350,0)),"")</f>
        <v>37</v>
      </c>
      <c r="F52" s="294">
        <f t="shared" si="0"/>
        <v>3</v>
      </c>
      <c r="G52" s="295">
        <f t="shared" si="1"/>
        <v>8.8235294117647065E-2</v>
      </c>
      <c r="H52" s="293">
        <f>IF(C52="","",ROUND(C52*Steuerungsdaten!$B$4*Steuerungsdaten!$B$8*IFERROR(VLOOKUP(IFERROR(INDEX(Aktiv!$C$6:$C$350,MATCH(A52,Aktiv!$A$6:$A$350,0)),""),Steuerungsdaten!$B$17:$E$37,4,FALSE),1)*POWER(IF(OR(IFERROR(INDEX(Aktiv!$E$6:$E$350,MATCH(A52,Aktiv!$A$6:$A$350,0)),0)=0,IFERROR(INDEX(Aktiv!$F$6:$F$350,MATCH(A52,Aktiv!$A$6:$A$350,0)),0)=0),1,(IFERROR(INDEX(Aktiv!$E$6:$E$350,MATCH(A52,Aktiv!$A$6:$A$350,0)),0)*IFERROR(INDEX(Aktiv!$F$6:$F$350,MATCH(A52,Aktiv!$A$6:$A$350,0)),0)/1000000)/Steuerungsdaten!$B$6),1-1),0))</f>
        <v>38</v>
      </c>
      <c r="I52" s="293">
        <f>IFERROR(INDEX(Aktiv!$H$6:$H$350,MATCH(A52,Aktiv!$A$6:$A$350,0)),"")</f>
        <v>126</v>
      </c>
      <c r="J52" s="294">
        <f t="shared" si="2"/>
        <v>88</v>
      </c>
      <c r="K52" s="296">
        <f t="shared" si="3"/>
        <v>2.3157894736842106</v>
      </c>
      <c r="L52" s="297">
        <f>IF(C52="","",ROUND(C52*Steuerungsdaten!$B$4*Steuerungsdaten!$B$9*IFERROR(VLOOKUP(IFERROR(INDEX(Aktiv!$C$6:$C$350,MATCH(A52,Aktiv!$A$6:$A$350,0)),""),Steuerungsdaten!$B$17:$G$37,6,FALSE),1)*POWER(IF(OR(IFERROR(INDEX(Aktiv!$E$6:$E$350,MATCH(A52,Aktiv!$A$6:$A$350,0)),0)=0,IFERROR(INDEX(Aktiv!$F$6:$F$350,MATCH(A52,Aktiv!$A$6:$A$350,0)),0)=0),1,(IFERROR(INDEX(Aktiv!$E$6:$E$350,MATCH(A52,Aktiv!$A$6:$A$350,0)),0)*IFERROR(INDEX(Aktiv!$F$6:$F$350,MATCH(A52,Aktiv!$A$6:$A$350,0)),0)/1000000)/Steuerungsdaten!$B$6),1-1),0))</f>
        <v>38</v>
      </c>
      <c r="M52" s="297">
        <f>IFERROR(INDEX(Aktiv!$I$6:$I$350,MATCH(A52,Aktiv!$A$6:$A$350,0)),"")</f>
        <v>131</v>
      </c>
      <c r="N52" s="298">
        <f t="shared" si="4"/>
        <v>93</v>
      </c>
      <c r="O52" s="296">
        <f t="shared" si="5"/>
        <v>2.4473684210526314</v>
      </c>
      <c r="P52" s="297">
        <f>IF(C52="","",ROUND(C52*Steuerungsdaten!$B$4*Steuerungsdaten!$B$10*IFERROR(VLOOKUP(IFERROR(INDEX(Aktiv!$C$6:$C$350,MATCH(A52,Aktiv!$A$6:$A$350,0)),""),Steuerungsdaten!$B$17:$I$37,8,FALSE),1)*POWER(IF(OR(IFERROR(INDEX(Aktiv!$E$6:$E$350,MATCH(A52,Aktiv!$A$6:$A$350,0)),0)=0,IFERROR(INDEX(Aktiv!$F$6:$F$350,MATCH(A52,Aktiv!$A$6:$A$350,0)),0)=0),1,(IFERROR(INDEX(Aktiv!$E$6:$E$350,MATCH(A52,Aktiv!$A$6:$A$350,0)),0)*IFERROR(INDEX(Aktiv!$F$6:$F$350,MATCH(A52,Aktiv!$A$6:$A$350,0)),0)/1000000)/Steuerungsdaten!$B$6),1-1),0))</f>
        <v>41</v>
      </c>
      <c r="Q52" s="297">
        <f>IFERROR(INDEX(Aktiv!$J$6:$J$350,MATCH(A52,Aktiv!$A$6:$A$350,0)),"")</f>
        <v>146</v>
      </c>
      <c r="R52" s="298">
        <f t="shared" si="6"/>
        <v>105</v>
      </c>
      <c r="S52" s="296">
        <f t="shared" si="7"/>
        <v>2.5609756097560976</v>
      </c>
    </row>
    <row r="53" spans="1:19" x14ac:dyDescent="0.25">
      <c r="A53" s="292">
        <v>3206</v>
      </c>
      <c r="B53" s="292" t="s">
        <v>62</v>
      </c>
      <c r="C53" s="293">
        <f>IFERROR(INDEX(Aktiv!$O$6:$O$350,MATCH(A53,Aktiv!$A$6:$A$350,0)),"")</f>
        <v>82</v>
      </c>
      <c r="D53" s="293">
        <f>IF(C53="","",ROUND(C53*Steuerungsdaten!$B$4*Steuerungsdaten!$B$7*IFERROR(VLOOKUP(IFERROR(INDEX(Aktiv!$C$6:$C$350,MATCH(A53,Aktiv!$A$6:$A$350,0)),""),Steuerungsdaten!$B$17:$C$37,2,FALSE),1)*POWER(IF(OR(IFERROR(INDEX(Aktiv!$E$6:$E$350,MATCH(A53,Aktiv!$A$6:$A$350,0)),0)=0,IFERROR(INDEX(Aktiv!$F$6:$F$350,MATCH(A53,Aktiv!$A$6:$A$350,0)),0)=0),1,(IFERROR(INDEX(Aktiv!$E$6:$E$350,MATCH(A53,Aktiv!$A$6:$A$350,0)),0)*IFERROR(INDEX(Aktiv!$F$6:$F$350,MATCH(A53,Aktiv!$A$6:$A$350,0)),0)/1000000)/Steuerungsdaten!$B$6),IF(ISNUMBER(MATCH(IFERROR(INDEX(Aktiv!$C$6:$C$350,MATCH(A53,Aktiv!$A$6:$A$350,0)),""),{"Boden","Seite außen","Seite außen SY32","Rücken","Seite innen","Seite innen SY32","Seite innen SY32 DB","Fachboden klein","Fachboden groß","Klappenboden"},0)),1.2,1)-1),0))</f>
        <v>75</v>
      </c>
      <c r="E53" s="293">
        <f>IFERROR(INDEX(Aktiv!$G$6:$G$350,MATCH(A53,Aktiv!$A$6:$A$350,0)),"")</f>
        <v>73</v>
      </c>
      <c r="F53" s="294">
        <f t="shared" si="0"/>
        <v>-2</v>
      </c>
      <c r="G53" s="295">
        <f t="shared" si="1"/>
        <v>-2.6666666666666668E-2</v>
      </c>
      <c r="H53" s="293">
        <f>IF(C53="","",ROUND(C53*Steuerungsdaten!$B$4*Steuerungsdaten!$B$8*IFERROR(VLOOKUP(IFERROR(INDEX(Aktiv!$C$6:$C$350,MATCH(A53,Aktiv!$A$6:$A$350,0)),""),Steuerungsdaten!$B$17:$E$37,4,FALSE),1)*POWER(IF(OR(IFERROR(INDEX(Aktiv!$E$6:$E$350,MATCH(A53,Aktiv!$A$6:$A$350,0)),0)=0,IFERROR(INDEX(Aktiv!$F$6:$F$350,MATCH(A53,Aktiv!$A$6:$A$350,0)),0)=0),1,(IFERROR(INDEX(Aktiv!$E$6:$E$350,MATCH(A53,Aktiv!$A$6:$A$350,0)),0)*IFERROR(INDEX(Aktiv!$F$6:$F$350,MATCH(A53,Aktiv!$A$6:$A$350,0)),0)/1000000)/Steuerungsdaten!$B$6),1-1),0))</f>
        <v>72</v>
      </c>
      <c r="I53" s="293">
        <f>IFERROR(INDEX(Aktiv!$H$6:$H$350,MATCH(A53,Aktiv!$A$6:$A$350,0)),"")</f>
        <v>252</v>
      </c>
      <c r="J53" s="294">
        <f t="shared" si="2"/>
        <v>180</v>
      </c>
      <c r="K53" s="296">
        <f t="shared" si="3"/>
        <v>2.5</v>
      </c>
      <c r="L53" s="297">
        <f>IF(C53="","",ROUND(C53*Steuerungsdaten!$B$4*Steuerungsdaten!$B$9*IFERROR(VLOOKUP(IFERROR(INDEX(Aktiv!$C$6:$C$350,MATCH(A53,Aktiv!$A$6:$A$350,0)),""),Steuerungsdaten!$B$17:$G$37,6,FALSE),1)*POWER(IF(OR(IFERROR(INDEX(Aktiv!$E$6:$E$350,MATCH(A53,Aktiv!$A$6:$A$350,0)),0)=0,IFERROR(INDEX(Aktiv!$F$6:$F$350,MATCH(A53,Aktiv!$A$6:$A$350,0)),0)=0),1,(IFERROR(INDEX(Aktiv!$E$6:$E$350,MATCH(A53,Aktiv!$A$6:$A$350,0)),0)*IFERROR(INDEX(Aktiv!$F$6:$F$350,MATCH(A53,Aktiv!$A$6:$A$350,0)),0)/1000000)/Steuerungsdaten!$B$6),1-1),0))</f>
        <v>72</v>
      </c>
      <c r="M53" s="297">
        <f>IFERROR(INDEX(Aktiv!$I$6:$I$350,MATCH(A53,Aktiv!$A$6:$A$350,0)),"")</f>
        <v>262</v>
      </c>
      <c r="N53" s="298">
        <f t="shared" si="4"/>
        <v>190</v>
      </c>
      <c r="O53" s="296">
        <f t="shared" si="5"/>
        <v>2.6388888888888888</v>
      </c>
      <c r="P53" s="297">
        <f>IF(C53="","",ROUND(C53*Steuerungsdaten!$B$4*Steuerungsdaten!$B$10*IFERROR(VLOOKUP(IFERROR(INDEX(Aktiv!$C$6:$C$350,MATCH(A53,Aktiv!$A$6:$A$350,0)),""),Steuerungsdaten!$B$17:$I$37,8,FALSE),1)*POWER(IF(OR(IFERROR(INDEX(Aktiv!$E$6:$E$350,MATCH(A53,Aktiv!$A$6:$A$350,0)),0)=0,IFERROR(INDEX(Aktiv!$F$6:$F$350,MATCH(A53,Aktiv!$A$6:$A$350,0)),0)=0),1,(IFERROR(INDEX(Aktiv!$E$6:$E$350,MATCH(A53,Aktiv!$A$6:$A$350,0)),0)*IFERROR(INDEX(Aktiv!$F$6:$F$350,MATCH(A53,Aktiv!$A$6:$A$350,0)),0)/1000000)/Steuerungsdaten!$B$6),1-1),0))</f>
        <v>79</v>
      </c>
      <c r="Q53" s="297">
        <f>IFERROR(INDEX(Aktiv!$J$6:$J$350,MATCH(A53,Aktiv!$A$6:$A$350,0)),"")</f>
        <v>292</v>
      </c>
      <c r="R53" s="298">
        <f t="shared" si="6"/>
        <v>213</v>
      </c>
      <c r="S53" s="296">
        <f t="shared" si="7"/>
        <v>2.6962025316455698</v>
      </c>
    </row>
    <row r="54" spans="1:19" x14ac:dyDescent="0.25">
      <c r="A54" s="292">
        <v>3207</v>
      </c>
      <c r="B54" s="292" t="s">
        <v>63</v>
      </c>
      <c r="C54" s="293">
        <f>IFERROR(INDEX(Aktiv!$O$6:$O$350,MATCH(A54,Aktiv!$A$6:$A$350,0)),"")</f>
        <v>119</v>
      </c>
      <c r="D54" s="293">
        <f>IF(C54="","",ROUND(C54*Steuerungsdaten!$B$4*Steuerungsdaten!$B$7*IFERROR(VLOOKUP(IFERROR(INDEX(Aktiv!$C$6:$C$350,MATCH(A54,Aktiv!$A$6:$A$350,0)),""),Steuerungsdaten!$B$17:$C$37,2,FALSE),1)*POWER(IF(OR(IFERROR(INDEX(Aktiv!$E$6:$E$350,MATCH(A54,Aktiv!$A$6:$A$350,0)),0)=0,IFERROR(INDEX(Aktiv!$F$6:$F$350,MATCH(A54,Aktiv!$A$6:$A$350,0)),0)=0),1,(IFERROR(INDEX(Aktiv!$E$6:$E$350,MATCH(A54,Aktiv!$A$6:$A$350,0)),0)*IFERROR(INDEX(Aktiv!$F$6:$F$350,MATCH(A54,Aktiv!$A$6:$A$350,0)),0)/1000000)/Steuerungsdaten!$B$6),IF(ISNUMBER(MATCH(IFERROR(INDEX(Aktiv!$C$6:$C$350,MATCH(A54,Aktiv!$A$6:$A$350,0)),""),{"Boden","Seite außen","Seite außen SY32","Rücken","Seite innen","Seite innen SY32","Seite innen SY32 DB","Fachboden klein","Fachboden groß","Klappenboden"},0)),1.2,1)-1),0))</f>
        <v>118</v>
      </c>
      <c r="E54" s="293">
        <f>IFERROR(INDEX(Aktiv!$G$6:$G$350,MATCH(A54,Aktiv!$A$6:$A$350,0)),"")</f>
        <v>110</v>
      </c>
      <c r="F54" s="294">
        <f t="shared" si="0"/>
        <v>-8</v>
      </c>
      <c r="G54" s="295">
        <f t="shared" si="1"/>
        <v>-6.7796610169491525E-2</v>
      </c>
      <c r="H54" s="293">
        <f>IF(C54="","",ROUND(C54*Steuerungsdaten!$B$4*Steuerungsdaten!$B$8*IFERROR(VLOOKUP(IFERROR(INDEX(Aktiv!$C$6:$C$350,MATCH(A54,Aktiv!$A$6:$A$350,0)),""),Steuerungsdaten!$B$17:$E$37,4,FALSE),1)*POWER(IF(OR(IFERROR(INDEX(Aktiv!$E$6:$E$350,MATCH(A54,Aktiv!$A$6:$A$350,0)),0)=0,IFERROR(INDEX(Aktiv!$F$6:$F$350,MATCH(A54,Aktiv!$A$6:$A$350,0)),0)=0),1,(IFERROR(INDEX(Aktiv!$E$6:$E$350,MATCH(A54,Aktiv!$A$6:$A$350,0)),0)*IFERROR(INDEX(Aktiv!$F$6:$F$350,MATCH(A54,Aktiv!$A$6:$A$350,0)),0)/1000000)/Steuerungsdaten!$B$6),1-1),0))</f>
        <v>105</v>
      </c>
      <c r="I54" s="293">
        <f>IFERROR(INDEX(Aktiv!$H$6:$H$350,MATCH(A54,Aktiv!$A$6:$A$350,0)),"")</f>
        <v>378</v>
      </c>
      <c r="J54" s="294">
        <f t="shared" si="2"/>
        <v>273</v>
      </c>
      <c r="K54" s="296">
        <f t="shared" si="3"/>
        <v>2.6</v>
      </c>
      <c r="L54" s="297">
        <f>IF(C54="","",ROUND(C54*Steuerungsdaten!$B$4*Steuerungsdaten!$B$9*IFERROR(VLOOKUP(IFERROR(INDEX(Aktiv!$C$6:$C$350,MATCH(A54,Aktiv!$A$6:$A$350,0)),""),Steuerungsdaten!$B$17:$G$37,6,FALSE),1)*POWER(IF(OR(IFERROR(INDEX(Aktiv!$E$6:$E$350,MATCH(A54,Aktiv!$A$6:$A$350,0)),0)=0,IFERROR(INDEX(Aktiv!$F$6:$F$350,MATCH(A54,Aktiv!$A$6:$A$350,0)),0)=0),1,(IFERROR(INDEX(Aktiv!$E$6:$E$350,MATCH(A54,Aktiv!$A$6:$A$350,0)),0)*IFERROR(INDEX(Aktiv!$F$6:$F$350,MATCH(A54,Aktiv!$A$6:$A$350,0)),0)/1000000)/Steuerungsdaten!$B$6),1-1),0))</f>
        <v>105</v>
      </c>
      <c r="M54" s="297">
        <f>IFERROR(INDEX(Aktiv!$I$6:$I$350,MATCH(A54,Aktiv!$A$6:$A$350,0)),"")</f>
        <v>394</v>
      </c>
      <c r="N54" s="298">
        <f t="shared" si="4"/>
        <v>289</v>
      </c>
      <c r="O54" s="296">
        <f t="shared" si="5"/>
        <v>2.7523809523809524</v>
      </c>
      <c r="P54" s="297">
        <f>IF(C54="","",ROUND(C54*Steuerungsdaten!$B$4*Steuerungsdaten!$B$10*IFERROR(VLOOKUP(IFERROR(INDEX(Aktiv!$C$6:$C$350,MATCH(A54,Aktiv!$A$6:$A$350,0)),""),Steuerungsdaten!$B$17:$I$37,8,FALSE),1)*POWER(IF(OR(IFERROR(INDEX(Aktiv!$E$6:$E$350,MATCH(A54,Aktiv!$A$6:$A$350,0)),0)=0,IFERROR(INDEX(Aktiv!$F$6:$F$350,MATCH(A54,Aktiv!$A$6:$A$350,0)),0)=0),1,(IFERROR(INDEX(Aktiv!$E$6:$E$350,MATCH(A54,Aktiv!$A$6:$A$350,0)),0)*IFERROR(INDEX(Aktiv!$F$6:$F$350,MATCH(A54,Aktiv!$A$6:$A$350,0)),0)/1000000)/Steuerungsdaten!$B$6),1-1),0))</f>
        <v>114</v>
      </c>
      <c r="Q54" s="297">
        <f>IFERROR(INDEX(Aktiv!$J$6:$J$350,MATCH(A54,Aktiv!$A$6:$A$350,0)),"")</f>
        <v>438</v>
      </c>
      <c r="R54" s="298">
        <f t="shared" si="6"/>
        <v>324</v>
      </c>
      <c r="S54" s="296">
        <f t="shared" si="7"/>
        <v>2.8421052631578947</v>
      </c>
    </row>
    <row r="55" spans="1:19" x14ac:dyDescent="0.25">
      <c r="A55" s="292">
        <v>3208</v>
      </c>
      <c r="B55" s="292" t="s">
        <v>64</v>
      </c>
      <c r="C55" s="293">
        <f>IFERROR(INDEX(Aktiv!$O$6:$O$350,MATCH(A55,Aktiv!$A$6:$A$350,0)),"")</f>
        <v>158</v>
      </c>
      <c r="D55" s="293">
        <f>IF(C55="","",ROUND(C55*Steuerungsdaten!$B$4*Steuerungsdaten!$B$7*IFERROR(VLOOKUP(IFERROR(INDEX(Aktiv!$C$6:$C$350,MATCH(A55,Aktiv!$A$6:$A$350,0)),""),Steuerungsdaten!$B$17:$C$37,2,FALSE),1)*POWER(IF(OR(IFERROR(INDEX(Aktiv!$E$6:$E$350,MATCH(A55,Aktiv!$A$6:$A$350,0)),0)=0,IFERROR(INDEX(Aktiv!$F$6:$F$350,MATCH(A55,Aktiv!$A$6:$A$350,0)),0)=0),1,(IFERROR(INDEX(Aktiv!$E$6:$E$350,MATCH(A55,Aktiv!$A$6:$A$350,0)),0)*IFERROR(INDEX(Aktiv!$F$6:$F$350,MATCH(A55,Aktiv!$A$6:$A$350,0)),0)/1000000)/Steuerungsdaten!$B$6),IF(ISNUMBER(MATCH(IFERROR(INDEX(Aktiv!$C$6:$C$350,MATCH(A55,Aktiv!$A$6:$A$350,0)),""),{"Boden","Seite außen","Seite außen SY32","Rücken","Seite innen","Seite innen SY32","Seite innen SY32 DB","Fachboden klein","Fachboden groß","Klappenboden"},0)),1.2,1)-1),0))</f>
        <v>165</v>
      </c>
      <c r="E55" s="293">
        <f>IFERROR(INDEX(Aktiv!$G$6:$G$350,MATCH(A55,Aktiv!$A$6:$A$350,0)),"")</f>
        <v>147</v>
      </c>
      <c r="F55" s="294">
        <f t="shared" si="0"/>
        <v>-18</v>
      </c>
      <c r="G55" s="295">
        <f t="shared" si="1"/>
        <v>-0.10909090909090909</v>
      </c>
      <c r="H55" s="293">
        <f>IF(C55="","",ROUND(C55*Steuerungsdaten!$B$4*Steuerungsdaten!$B$8*IFERROR(VLOOKUP(IFERROR(INDEX(Aktiv!$C$6:$C$350,MATCH(A55,Aktiv!$A$6:$A$350,0)),""),Steuerungsdaten!$B$17:$E$37,4,FALSE),1)*POWER(IF(OR(IFERROR(INDEX(Aktiv!$E$6:$E$350,MATCH(A55,Aktiv!$A$6:$A$350,0)),0)=0,IFERROR(INDEX(Aktiv!$F$6:$F$350,MATCH(A55,Aktiv!$A$6:$A$350,0)),0)=0),1,(IFERROR(INDEX(Aktiv!$E$6:$E$350,MATCH(A55,Aktiv!$A$6:$A$350,0)),0)*IFERROR(INDEX(Aktiv!$F$6:$F$350,MATCH(A55,Aktiv!$A$6:$A$350,0)),0)/1000000)/Steuerungsdaten!$B$6),1-1),0))</f>
        <v>139</v>
      </c>
      <c r="I55" s="293">
        <f>IFERROR(INDEX(Aktiv!$H$6:$H$350,MATCH(A55,Aktiv!$A$6:$A$350,0)),"")</f>
        <v>504</v>
      </c>
      <c r="J55" s="294">
        <f t="shared" si="2"/>
        <v>365</v>
      </c>
      <c r="K55" s="296">
        <f t="shared" si="3"/>
        <v>2.6258992805755397</v>
      </c>
      <c r="L55" s="297">
        <f>IF(C55="","",ROUND(C55*Steuerungsdaten!$B$4*Steuerungsdaten!$B$9*IFERROR(VLOOKUP(IFERROR(INDEX(Aktiv!$C$6:$C$350,MATCH(A55,Aktiv!$A$6:$A$350,0)),""),Steuerungsdaten!$B$17:$G$37,6,FALSE),1)*POWER(IF(OR(IFERROR(INDEX(Aktiv!$E$6:$E$350,MATCH(A55,Aktiv!$A$6:$A$350,0)),0)=0,IFERROR(INDEX(Aktiv!$F$6:$F$350,MATCH(A55,Aktiv!$A$6:$A$350,0)),0)=0),1,(IFERROR(INDEX(Aktiv!$E$6:$E$350,MATCH(A55,Aktiv!$A$6:$A$350,0)),0)*IFERROR(INDEX(Aktiv!$F$6:$F$350,MATCH(A55,Aktiv!$A$6:$A$350,0)),0)/1000000)/Steuerungsdaten!$B$6),1-1),0))</f>
        <v>139</v>
      </c>
      <c r="M55" s="297">
        <f>IFERROR(INDEX(Aktiv!$I$6:$I$350,MATCH(A55,Aktiv!$A$6:$A$350,0)),"")</f>
        <v>525</v>
      </c>
      <c r="N55" s="298">
        <f t="shared" si="4"/>
        <v>386</v>
      </c>
      <c r="O55" s="296">
        <f t="shared" si="5"/>
        <v>2.7769784172661871</v>
      </c>
      <c r="P55" s="297">
        <f>IF(C55="","",ROUND(C55*Steuerungsdaten!$B$4*Steuerungsdaten!$B$10*IFERROR(VLOOKUP(IFERROR(INDEX(Aktiv!$C$6:$C$350,MATCH(A55,Aktiv!$A$6:$A$350,0)),""),Steuerungsdaten!$B$17:$I$37,8,FALSE),1)*POWER(IF(OR(IFERROR(INDEX(Aktiv!$E$6:$E$350,MATCH(A55,Aktiv!$A$6:$A$350,0)),0)=0,IFERROR(INDEX(Aktiv!$F$6:$F$350,MATCH(A55,Aktiv!$A$6:$A$350,0)),0)=0),1,(IFERROR(INDEX(Aktiv!$E$6:$E$350,MATCH(A55,Aktiv!$A$6:$A$350,0)),0)*IFERROR(INDEX(Aktiv!$F$6:$F$350,MATCH(A55,Aktiv!$A$6:$A$350,0)),0)/1000000)/Steuerungsdaten!$B$6),1-1),0))</f>
        <v>152</v>
      </c>
      <c r="Q55" s="297">
        <f>IFERROR(INDEX(Aktiv!$J$6:$J$350,MATCH(A55,Aktiv!$A$6:$A$350,0)),"")</f>
        <v>584</v>
      </c>
      <c r="R55" s="298">
        <f t="shared" si="6"/>
        <v>432</v>
      </c>
      <c r="S55" s="296">
        <f t="shared" si="7"/>
        <v>2.8421052631578947</v>
      </c>
    </row>
    <row r="56" spans="1:19" x14ac:dyDescent="0.25">
      <c r="A56" s="292">
        <v>3209</v>
      </c>
      <c r="B56" s="292" t="s">
        <v>65</v>
      </c>
      <c r="C56" s="293">
        <f>IFERROR(INDEX(Aktiv!$O$6:$O$350,MATCH(A56,Aktiv!$A$6:$A$350,0)),"")</f>
        <v>197</v>
      </c>
      <c r="D56" s="293">
        <f>IF(C56="","",ROUND(C56*Steuerungsdaten!$B$4*Steuerungsdaten!$B$7*IFERROR(VLOOKUP(IFERROR(INDEX(Aktiv!$C$6:$C$350,MATCH(A56,Aktiv!$A$6:$A$350,0)),""),Steuerungsdaten!$B$17:$C$37,2,FALSE),1)*POWER(IF(OR(IFERROR(INDEX(Aktiv!$E$6:$E$350,MATCH(A56,Aktiv!$A$6:$A$350,0)),0)=0,IFERROR(INDEX(Aktiv!$F$6:$F$350,MATCH(A56,Aktiv!$A$6:$A$350,0)),0)=0),1,(IFERROR(INDEX(Aktiv!$E$6:$E$350,MATCH(A56,Aktiv!$A$6:$A$350,0)),0)*IFERROR(INDEX(Aktiv!$F$6:$F$350,MATCH(A56,Aktiv!$A$6:$A$350,0)),0)/1000000)/Steuerungsdaten!$B$6),IF(ISNUMBER(MATCH(IFERROR(INDEX(Aktiv!$C$6:$C$350,MATCH(A56,Aktiv!$A$6:$A$350,0)),""),{"Boden","Seite außen","Seite außen SY32","Rücken","Seite innen","Seite innen SY32","Seite innen SY32 DB","Fachboden klein","Fachboden groß","Klappenboden"},0)),1.2,1)-1),0))</f>
        <v>216</v>
      </c>
      <c r="E56" s="293">
        <f>IFERROR(INDEX(Aktiv!$G$6:$G$350,MATCH(A56,Aktiv!$A$6:$A$350,0)),"")</f>
        <v>184</v>
      </c>
      <c r="F56" s="294">
        <f t="shared" si="0"/>
        <v>-32</v>
      </c>
      <c r="G56" s="295">
        <f t="shared" si="1"/>
        <v>-0.14814814814814814</v>
      </c>
      <c r="H56" s="293">
        <f>IF(C56="","",ROUND(C56*Steuerungsdaten!$B$4*Steuerungsdaten!$B$8*IFERROR(VLOOKUP(IFERROR(INDEX(Aktiv!$C$6:$C$350,MATCH(A56,Aktiv!$A$6:$A$350,0)),""),Steuerungsdaten!$B$17:$E$37,4,FALSE),1)*POWER(IF(OR(IFERROR(INDEX(Aktiv!$E$6:$E$350,MATCH(A56,Aktiv!$A$6:$A$350,0)),0)=0,IFERROR(INDEX(Aktiv!$F$6:$F$350,MATCH(A56,Aktiv!$A$6:$A$350,0)),0)=0),1,(IFERROR(INDEX(Aktiv!$E$6:$E$350,MATCH(A56,Aktiv!$A$6:$A$350,0)),0)*IFERROR(INDEX(Aktiv!$F$6:$F$350,MATCH(A56,Aktiv!$A$6:$A$350,0)),0)/1000000)/Steuerungsdaten!$B$6),1-1),0))</f>
        <v>173</v>
      </c>
      <c r="I56" s="293">
        <f>IFERROR(INDEX(Aktiv!$H$6:$H$350,MATCH(A56,Aktiv!$A$6:$A$350,0)),"")</f>
        <v>630</v>
      </c>
      <c r="J56" s="294">
        <f t="shared" si="2"/>
        <v>457</v>
      </c>
      <c r="K56" s="296">
        <f t="shared" si="3"/>
        <v>2.6416184971098264</v>
      </c>
      <c r="L56" s="297">
        <f>IF(C56="","",ROUND(C56*Steuerungsdaten!$B$4*Steuerungsdaten!$B$9*IFERROR(VLOOKUP(IFERROR(INDEX(Aktiv!$C$6:$C$350,MATCH(A56,Aktiv!$A$6:$A$350,0)),""),Steuerungsdaten!$B$17:$G$37,6,FALSE),1)*POWER(IF(OR(IFERROR(INDEX(Aktiv!$E$6:$E$350,MATCH(A56,Aktiv!$A$6:$A$350,0)),0)=0,IFERROR(INDEX(Aktiv!$F$6:$F$350,MATCH(A56,Aktiv!$A$6:$A$350,0)),0)=0),1,(IFERROR(INDEX(Aktiv!$E$6:$E$350,MATCH(A56,Aktiv!$A$6:$A$350,0)),0)*IFERROR(INDEX(Aktiv!$F$6:$F$350,MATCH(A56,Aktiv!$A$6:$A$350,0)),0)/1000000)/Steuerungsdaten!$B$6),1-1),0))</f>
        <v>173</v>
      </c>
      <c r="M56" s="297">
        <f>IFERROR(INDEX(Aktiv!$I$6:$I$350,MATCH(A56,Aktiv!$A$6:$A$350,0)),"")</f>
        <v>656</v>
      </c>
      <c r="N56" s="298">
        <f t="shared" si="4"/>
        <v>483</v>
      </c>
      <c r="O56" s="296">
        <f t="shared" si="5"/>
        <v>2.7919075144508669</v>
      </c>
      <c r="P56" s="297">
        <f>IF(C56="","",ROUND(C56*Steuerungsdaten!$B$4*Steuerungsdaten!$B$10*IFERROR(VLOOKUP(IFERROR(INDEX(Aktiv!$C$6:$C$350,MATCH(A56,Aktiv!$A$6:$A$350,0)),""),Steuerungsdaten!$B$17:$I$37,8,FALSE),1)*POWER(IF(OR(IFERROR(INDEX(Aktiv!$E$6:$E$350,MATCH(A56,Aktiv!$A$6:$A$350,0)),0)=0,IFERROR(INDEX(Aktiv!$F$6:$F$350,MATCH(A56,Aktiv!$A$6:$A$350,0)),0)=0),1,(IFERROR(INDEX(Aktiv!$E$6:$E$350,MATCH(A56,Aktiv!$A$6:$A$350,0)),0)*IFERROR(INDEX(Aktiv!$F$6:$F$350,MATCH(A56,Aktiv!$A$6:$A$350,0)),0)/1000000)/Steuerungsdaten!$B$6),1-1),0))</f>
        <v>189</v>
      </c>
      <c r="Q56" s="297">
        <f>IFERROR(INDEX(Aktiv!$J$6:$J$350,MATCH(A56,Aktiv!$A$6:$A$350,0)),"")</f>
        <v>730</v>
      </c>
      <c r="R56" s="298">
        <f t="shared" si="6"/>
        <v>541</v>
      </c>
      <c r="S56" s="296">
        <f t="shared" si="7"/>
        <v>2.8624338624338623</v>
      </c>
    </row>
    <row r="57" spans="1:19" x14ac:dyDescent="0.25">
      <c r="A57" s="292">
        <v>3210</v>
      </c>
      <c r="B57" s="292" t="s">
        <v>66</v>
      </c>
      <c r="C57" s="293">
        <f>IFERROR(INDEX(Aktiv!$O$6:$O$350,MATCH(A57,Aktiv!$A$6:$A$350,0)),"")</f>
        <v>56</v>
      </c>
      <c r="D57" s="293">
        <f>IF(C57="","",ROUND(C57*Steuerungsdaten!$B$4*Steuerungsdaten!$B$7*IFERROR(VLOOKUP(IFERROR(INDEX(Aktiv!$C$6:$C$350,MATCH(A57,Aktiv!$A$6:$A$350,0)),""),Steuerungsdaten!$B$17:$C$37,2,FALSE),1)*POWER(IF(OR(IFERROR(INDEX(Aktiv!$E$6:$E$350,MATCH(A57,Aktiv!$A$6:$A$350,0)),0)=0,IFERROR(INDEX(Aktiv!$F$6:$F$350,MATCH(A57,Aktiv!$A$6:$A$350,0)),0)=0),1,(IFERROR(INDEX(Aktiv!$E$6:$E$350,MATCH(A57,Aktiv!$A$6:$A$350,0)),0)*IFERROR(INDEX(Aktiv!$F$6:$F$350,MATCH(A57,Aktiv!$A$6:$A$350,0)),0)/1000000)/Steuerungsdaten!$B$6),IF(ISNUMBER(MATCH(IFERROR(INDEX(Aktiv!$C$6:$C$350,MATCH(A57,Aktiv!$A$6:$A$350,0)),""),{"Boden","Seite außen","Seite außen SY32","Rücken","Seite innen","Seite innen SY32","Seite innen SY32 DB","Fachboden klein","Fachboden groß","Klappenboden"},0)),1.2,1)-1),0))</f>
        <v>41</v>
      </c>
      <c r="E57" s="293">
        <f>IFERROR(INDEX(Aktiv!$G$6:$G$350,MATCH(A57,Aktiv!$A$6:$A$350,0)),"")</f>
        <v>25</v>
      </c>
      <c r="F57" s="294">
        <f t="shared" si="0"/>
        <v>-16</v>
      </c>
      <c r="G57" s="295">
        <f t="shared" si="1"/>
        <v>-0.3902439024390244</v>
      </c>
      <c r="H57" s="293">
        <f>IF(C57="","",ROUND(C57*Steuerungsdaten!$B$4*Steuerungsdaten!$B$8*IFERROR(VLOOKUP(IFERROR(INDEX(Aktiv!$C$6:$C$350,MATCH(A57,Aktiv!$A$6:$A$350,0)),""),Steuerungsdaten!$B$17:$E$37,4,FALSE),1)*POWER(IF(OR(IFERROR(INDEX(Aktiv!$E$6:$E$350,MATCH(A57,Aktiv!$A$6:$A$350,0)),0)=0,IFERROR(INDEX(Aktiv!$F$6:$F$350,MATCH(A57,Aktiv!$A$6:$A$350,0)),0)=0),1,(IFERROR(INDEX(Aktiv!$E$6:$E$350,MATCH(A57,Aktiv!$A$6:$A$350,0)),0)*IFERROR(INDEX(Aktiv!$F$6:$F$350,MATCH(A57,Aktiv!$A$6:$A$350,0)),0)/1000000)/Steuerungsdaten!$B$6),1-1),0))</f>
        <v>49</v>
      </c>
      <c r="I57" s="293">
        <f>IFERROR(INDEX(Aktiv!$H$6:$H$350,MATCH(A57,Aktiv!$A$6:$A$350,0)),"")</f>
        <v>103</v>
      </c>
      <c r="J57" s="294">
        <f t="shared" si="2"/>
        <v>54</v>
      </c>
      <c r="K57" s="296">
        <f t="shared" si="3"/>
        <v>1.1020408163265305</v>
      </c>
      <c r="L57" s="297">
        <f>IF(C57="","",ROUND(C57*Steuerungsdaten!$B$4*Steuerungsdaten!$B$9*IFERROR(VLOOKUP(IFERROR(INDEX(Aktiv!$C$6:$C$350,MATCH(A57,Aktiv!$A$6:$A$350,0)),""),Steuerungsdaten!$B$17:$G$37,6,FALSE),1)*POWER(IF(OR(IFERROR(INDEX(Aktiv!$E$6:$E$350,MATCH(A57,Aktiv!$A$6:$A$350,0)),0)=0,IFERROR(INDEX(Aktiv!$F$6:$F$350,MATCH(A57,Aktiv!$A$6:$A$350,0)),0)=0),1,(IFERROR(INDEX(Aktiv!$E$6:$E$350,MATCH(A57,Aktiv!$A$6:$A$350,0)),0)*IFERROR(INDEX(Aktiv!$F$6:$F$350,MATCH(A57,Aktiv!$A$6:$A$350,0)),0)/1000000)/Steuerungsdaten!$B$6),1-1),0))</f>
        <v>49</v>
      </c>
      <c r="M57" s="297">
        <f>IFERROR(INDEX(Aktiv!$I$6:$I$350,MATCH(A57,Aktiv!$A$6:$A$350,0)),"")</f>
        <v>120</v>
      </c>
      <c r="N57" s="298">
        <f t="shared" si="4"/>
        <v>71</v>
      </c>
      <c r="O57" s="296">
        <f t="shared" si="5"/>
        <v>1.4489795918367347</v>
      </c>
      <c r="P57" s="297">
        <f>IF(C57="","",ROUND(C57*Steuerungsdaten!$B$4*Steuerungsdaten!$B$10*IFERROR(VLOOKUP(IFERROR(INDEX(Aktiv!$C$6:$C$350,MATCH(A57,Aktiv!$A$6:$A$350,0)),""),Steuerungsdaten!$B$17:$I$37,8,FALSE),1)*POWER(IF(OR(IFERROR(INDEX(Aktiv!$E$6:$E$350,MATCH(A57,Aktiv!$A$6:$A$350,0)),0)=0,IFERROR(INDEX(Aktiv!$F$6:$F$350,MATCH(A57,Aktiv!$A$6:$A$350,0)),0)=0),1,(IFERROR(INDEX(Aktiv!$E$6:$E$350,MATCH(A57,Aktiv!$A$6:$A$350,0)),0)*IFERROR(INDEX(Aktiv!$F$6:$F$350,MATCH(A57,Aktiv!$A$6:$A$350,0)),0)/1000000)/Steuerungsdaten!$B$6),1-1),0))</f>
        <v>54</v>
      </c>
      <c r="Q57" s="297">
        <f>IFERROR(INDEX(Aktiv!$J$6:$J$350,MATCH(A57,Aktiv!$A$6:$A$350,0)),"")</f>
        <v>145</v>
      </c>
      <c r="R57" s="298">
        <f t="shared" si="6"/>
        <v>91</v>
      </c>
      <c r="S57" s="296">
        <f t="shared" si="7"/>
        <v>1.6851851851851851</v>
      </c>
    </row>
    <row r="58" spans="1:19" x14ac:dyDescent="0.25">
      <c r="A58" s="292">
        <v>3211</v>
      </c>
      <c r="B58" s="292" t="s">
        <v>67</v>
      </c>
      <c r="C58" s="293">
        <f>IFERROR(INDEX(Aktiv!$O$6:$O$350,MATCH(A58,Aktiv!$A$6:$A$350,0)),"")</f>
        <v>70</v>
      </c>
      <c r="D58" s="293">
        <f>IF(C58="","",ROUND(C58*Steuerungsdaten!$B$4*Steuerungsdaten!$B$7*IFERROR(VLOOKUP(IFERROR(INDEX(Aktiv!$C$6:$C$350,MATCH(A58,Aktiv!$A$6:$A$350,0)),""),Steuerungsdaten!$B$17:$C$37,2,FALSE),1)*POWER(IF(OR(IFERROR(INDEX(Aktiv!$E$6:$E$350,MATCH(A58,Aktiv!$A$6:$A$350,0)),0)=0,IFERROR(INDEX(Aktiv!$F$6:$F$350,MATCH(A58,Aktiv!$A$6:$A$350,0)),0)=0),1,(IFERROR(INDEX(Aktiv!$E$6:$E$350,MATCH(A58,Aktiv!$A$6:$A$350,0)),0)*IFERROR(INDEX(Aktiv!$F$6:$F$350,MATCH(A58,Aktiv!$A$6:$A$350,0)),0)/1000000)/Steuerungsdaten!$B$6),IF(ISNUMBER(MATCH(IFERROR(INDEX(Aktiv!$C$6:$C$350,MATCH(A58,Aktiv!$A$6:$A$350,0)),""),{"Boden","Seite außen","Seite außen SY32","Rücken","Seite innen","Seite innen SY32","Seite innen SY32 DB","Fachboden klein","Fachboden groß","Klappenboden"},0)),1.2,1)-1),0))</f>
        <v>54</v>
      </c>
      <c r="E58" s="293">
        <f>IFERROR(INDEX(Aktiv!$G$6:$G$350,MATCH(A58,Aktiv!$A$6:$A$350,0)),"")</f>
        <v>31</v>
      </c>
      <c r="F58" s="294">
        <f t="shared" si="0"/>
        <v>-23</v>
      </c>
      <c r="G58" s="295">
        <f t="shared" si="1"/>
        <v>-0.42592592592592593</v>
      </c>
      <c r="H58" s="293">
        <f>IF(C58="","",ROUND(C58*Steuerungsdaten!$B$4*Steuerungsdaten!$B$8*IFERROR(VLOOKUP(IFERROR(INDEX(Aktiv!$C$6:$C$350,MATCH(A58,Aktiv!$A$6:$A$350,0)),""),Steuerungsdaten!$B$17:$E$37,4,FALSE),1)*POWER(IF(OR(IFERROR(INDEX(Aktiv!$E$6:$E$350,MATCH(A58,Aktiv!$A$6:$A$350,0)),0)=0,IFERROR(INDEX(Aktiv!$F$6:$F$350,MATCH(A58,Aktiv!$A$6:$A$350,0)),0)=0),1,(IFERROR(INDEX(Aktiv!$E$6:$E$350,MATCH(A58,Aktiv!$A$6:$A$350,0)),0)*IFERROR(INDEX(Aktiv!$F$6:$F$350,MATCH(A58,Aktiv!$A$6:$A$350,0)),0)/1000000)/Steuerungsdaten!$B$6),1-1),0))</f>
        <v>62</v>
      </c>
      <c r="I58" s="293">
        <f>IFERROR(INDEX(Aktiv!$H$6:$H$350,MATCH(A58,Aktiv!$A$6:$A$350,0)),"")</f>
        <v>106</v>
      </c>
      <c r="J58" s="294">
        <f t="shared" si="2"/>
        <v>44</v>
      </c>
      <c r="K58" s="296">
        <f t="shared" si="3"/>
        <v>0.70967741935483875</v>
      </c>
      <c r="L58" s="297">
        <f>IF(C58="","",ROUND(C58*Steuerungsdaten!$B$4*Steuerungsdaten!$B$9*IFERROR(VLOOKUP(IFERROR(INDEX(Aktiv!$C$6:$C$350,MATCH(A58,Aktiv!$A$6:$A$350,0)),""),Steuerungsdaten!$B$17:$G$37,6,FALSE),1)*POWER(IF(OR(IFERROR(INDEX(Aktiv!$E$6:$E$350,MATCH(A58,Aktiv!$A$6:$A$350,0)),0)=0,IFERROR(INDEX(Aktiv!$F$6:$F$350,MATCH(A58,Aktiv!$A$6:$A$350,0)),0)=0),1,(IFERROR(INDEX(Aktiv!$E$6:$E$350,MATCH(A58,Aktiv!$A$6:$A$350,0)),0)*IFERROR(INDEX(Aktiv!$F$6:$F$350,MATCH(A58,Aktiv!$A$6:$A$350,0)),0)/1000000)/Steuerungsdaten!$B$6),1-1),0))</f>
        <v>62</v>
      </c>
      <c r="M58" s="297">
        <f>IFERROR(INDEX(Aktiv!$I$6:$I$350,MATCH(A58,Aktiv!$A$6:$A$350,0)),"")</f>
        <v>120</v>
      </c>
      <c r="N58" s="298">
        <f t="shared" si="4"/>
        <v>58</v>
      </c>
      <c r="O58" s="296">
        <f t="shared" si="5"/>
        <v>0.93548387096774188</v>
      </c>
      <c r="P58" s="297">
        <f>IF(C58="","",ROUND(C58*Steuerungsdaten!$B$4*Steuerungsdaten!$B$10*IFERROR(VLOOKUP(IFERROR(INDEX(Aktiv!$C$6:$C$350,MATCH(A58,Aktiv!$A$6:$A$350,0)),""),Steuerungsdaten!$B$17:$I$37,8,FALSE),1)*POWER(IF(OR(IFERROR(INDEX(Aktiv!$E$6:$E$350,MATCH(A58,Aktiv!$A$6:$A$350,0)),0)=0,IFERROR(INDEX(Aktiv!$F$6:$F$350,MATCH(A58,Aktiv!$A$6:$A$350,0)),0)=0),1,(IFERROR(INDEX(Aktiv!$E$6:$E$350,MATCH(A58,Aktiv!$A$6:$A$350,0)),0)*IFERROR(INDEX(Aktiv!$F$6:$F$350,MATCH(A58,Aktiv!$A$6:$A$350,0)),0)/1000000)/Steuerungsdaten!$B$6),1-1),0))</f>
        <v>67</v>
      </c>
      <c r="Q58" s="297">
        <f>IFERROR(INDEX(Aktiv!$J$6:$J$350,MATCH(A58,Aktiv!$A$6:$A$350,0)),"")</f>
        <v>145</v>
      </c>
      <c r="R58" s="298">
        <f t="shared" si="6"/>
        <v>78</v>
      </c>
      <c r="S58" s="296">
        <f t="shared" si="7"/>
        <v>1.164179104477612</v>
      </c>
    </row>
    <row r="59" spans="1:19" x14ac:dyDescent="0.25">
      <c r="A59" s="292">
        <v>3212</v>
      </c>
      <c r="B59" s="292" t="s">
        <v>68</v>
      </c>
      <c r="C59" s="293">
        <f>IFERROR(INDEX(Aktiv!$O$6:$O$350,MATCH(A59,Aktiv!$A$6:$A$350,0)),"")</f>
        <v>56</v>
      </c>
      <c r="D59" s="293">
        <f>IF(C59="","",ROUND(C59*Steuerungsdaten!$B$4*Steuerungsdaten!$B$7*IFERROR(VLOOKUP(IFERROR(INDEX(Aktiv!$C$6:$C$350,MATCH(A59,Aktiv!$A$6:$A$350,0)),""),Steuerungsdaten!$B$17:$C$37,2,FALSE),1)*POWER(IF(OR(IFERROR(INDEX(Aktiv!$E$6:$E$350,MATCH(A59,Aktiv!$A$6:$A$350,0)),0)=0,IFERROR(INDEX(Aktiv!$F$6:$F$350,MATCH(A59,Aktiv!$A$6:$A$350,0)),0)=0),1,(IFERROR(INDEX(Aktiv!$E$6:$E$350,MATCH(A59,Aktiv!$A$6:$A$350,0)),0)*IFERROR(INDEX(Aktiv!$F$6:$F$350,MATCH(A59,Aktiv!$A$6:$A$350,0)),0)/1000000)/Steuerungsdaten!$B$6),IF(ISNUMBER(MATCH(IFERROR(INDEX(Aktiv!$C$6:$C$350,MATCH(A59,Aktiv!$A$6:$A$350,0)),""),{"Boden","Seite außen","Seite außen SY32","Rücken","Seite innen","Seite innen SY32","Seite innen SY32 DB","Fachboden klein","Fachboden groß","Klappenboden"},0)),1.2,1)-1),0))</f>
        <v>47</v>
      </c>
      <c r="E59" s="293">
        <f>IFERROR(INDEX(Aktiv!$G$6:$G$350,MATCH(A59,Aktiv!$A$6:$A$350,0)),"")</f>
        <v>49</v>
      </c>
      <c r="F59" s="294">
        <f t="shared" si="0"/>
        <v>2</v>
      </c>
      <c r="G59" s="295">
        <f t="shared" si="1"/>
        <v>4.2553191489361701E-2</v>
      </c>
      <c r="H59" s="293">
        <f>IF(C59="","",ROUND(C59*Steuerungsdaten!$B$4*Steuerungsdaten!$B$8*IFERROR(VLOOKUP(IFERROR(INDEX(Aktiv!$C$6:$C$350,MATCH(A59,Aktiv!$A$6:$A$350,0)),""),Steuerungsdaten!$B$17:$E$37,4,FALSE),1)*POWER(IF(OR(IFERROR(INDEX(Aktiv!$E$6:$E$350,MATCH(A59,Aktiv!$A$6:$A$350,0)),0)=0,IFERROR(INDEX(Aktiv!$F$6:$F$350,MATCH(A59,Aktiv!$A$6:$A$350,0)),0)=0),1,(IFERROR(INDEX(Aktiv!$E$6:$E$350,MATCH(A59,Aktiv!$A$6:$A$350,0)),0)*IFERROR(INDEX(Aktiv!$F$6:$F$350,MATCH(A59,Aktiv!$A$6:$A$350,0)),0)/1000000)/Steuerungsdaten!$B$6),1-1),0))</f>
        <v>49</v>
      </c>
      <c r="I59" s="293">
        <f>IFERROR(INDEX(Aktiv!$H$6:$H$350,MATCH(A59,Aktiv!$A$6:$A$350,0)),"")</f>
        <v>169</v>
      </c>
      <c r="J59" s="294">
        <f t="shared" si="2"/>
        <v>120</v>
      </c>
      <c r="K59" s="296">
        <f t="shared" si="3"/>
        <v>2.4489795918367347</v>
      </c>
      <c r="L59" s="297">
        <f>IF(C59="","",ROUND(C59*Steuerungsdaten!$B$4*Steuerungsdaten!$B$9*IFERROR(VLOOKUP(IFERROR(INDEX(Aktiv!$C$6:$C$350,MATCH(A59,Aktiv!$A$6:$A$350,0)),""),Steuerungsdaten!$B$17:$G$37,6,FALSE),1)*POWER(IF(OR(IFERROR(INDEX(Aktiv!$E$6:$E$350,MATCH(A59,Aktiv!$A$6:$A$350,0)),0)=0,IFERROR(INDEX(Aktiv!$F$6:$F$350,MATCH(A59,Aktiv!$A$6:$A$350,0)),0)=0),1,(IFERROR(INDEX(Aktiv!$E$6:$E$350,MATCH(A59,Aktiv!$A$6:$A$350,0)),0)*IFERROR(INDEX(Aktiv!$F$6:$F$350,MATCH(A59,Aktiv!$A$6:$A$350,0)),0)/1000000)/Steuerungsdaten!$B$6),1-1),0))</f>
        <v>49</v>
      </c>
      <c r="M59" s="297">
        <f>IFERROR(INDEX(Aktiv!$I$6:$I$350,MATCH(A59,Aktiv!$A$6:$A$350,0)),"")</f>
        <v>177</v>
      </c>
      <c r="N59" s="298">
        <f t="shared" si="4"/>
        <v>128</v>
      </c>
      <c r="O59" s="296">
        <f t="shared" si="5"/>
        <v>2.6122448979591835</v>
      </c>
      <c r="P59" s="297">
        <f>IF(C59="","",ROUND(C59*Steuerungsdaten!$B$4*Steuerungsdaten!$B$10*IFERROR(VLOOKUP(IFERROR(INDEX(Aktiv!$C$6:$C$350,MATCH(A59,Aktiv!$A$6:$A$350,0)),""),Steuerungsdaten!$B$17:$I$37,8,FALSE),1)*POWER(IF(OR(IFERROR(INDEX(Aktiv!$E$6:$E$350,MATCH(A59,Aktiv!$A$6:$A$350,0)),0)=0,IFERROR(INDEX(Aktiv!$F$6:$F$350,MATCH(A59,Aktiv!$A$6:$A$350,0)),0)=0),1,(IFERROR(INDEX(Aktiv!$E$6:$E$350,MATCH(A59,Aktiv!$A$6:$A$350,0)),0)*IFERROR(INDEX(Aktiv!$F$6:$F$350,MATCH(A59,Aktiv!$A$6:$A$350,0)),0)/1000000)/Steuerungsdaten!$B$6),1-1),0))</f>
        <v>54</v>
      </c>
      <c r="Q59" s="297">
        <f>IFERROR(INDEX(Aktiv!$J$6:$J$350,MATCH(A59,Aktiv!$A$6:$A$350,0)),"")</f>
        <v>196</v>
      </c>
      <c r="R59" s="298">
        <f t="shared" si="6"/>
        <v>142</v>
      </c>
      <c r="S59" s="296">
        <f t="shared" si="7"/>
        <v>2.6296296296296298</v>
      </c>
    </row>
    <row r="60" spans="1:19" x14ac:dyDescent="0.25">
      <c r="A60" s="292">
        <v>3213</v>
      </c>
      <c r="B60" s="292" t="s">
        <v>69</v>
      </c>
      <c r="C60" s="293">
        <f>IFERROR(INDEX(Aktiv!$O$6:$O$350,MATCH(A60,Aktiv!$A$6:$A$350,0)),"")</f>
        <v>70</v>
      </c>
      <c r="D60" s="293">
        <f>IF(C60="","",ROUND(C60*Steuerungsdaten!$B$4*Steuerungsdaten!$B$7*IFERROR(VLOOKUP(IFERROR(INDEX(Aktiv!$C$6:$C$350,MATCH(A60,Aktiv!$A$6:$A$350,0)),""),Steuerungsdaten!$B$17:$C$37,2,FALSE),1)*POWER(IF(OR(IFERROR(INDEX(Aktiv!$E$6:$E$350,MATCH(A60,Aktiv!$A$6:$A$350,0)),0)=0,IFERROR(INDEX(Aktiv!$F$6:$F$350,MATCH(A60,Aktiv!$A$6:$A$350,0)),0)=0),1,(IFERROR(INDEX(Aktiv!$E$6:$E$350,MATCH(A60,Aktiv!$A$6:$A$350,0)),0)*IFERROR(INDEX(Aktiv!$F$6:$F$350,MATCH(A60,Aktiv!$A$6:$A$350,0)),0)/1000000)/Steuerungsdaten!$B$6),IF(ISNUMBER(MATCH(IFERROR(INDEX(Aktiv!$C$6:$C$350,MATCH(A60,Aktiv!$A$6:$A$350,0)),""),{"Boden","Seite außen","Seite außen SY32","Rücken","Seite innen","Seite innen SY32","Seite innen SY32 DB","Fachboden klein","Fachboden groß","Klappenboden"},0)),1.2,1)-1),0))</f>
        <v>62</v>
      </c>
      <c r="E60" s="293">
        <f>IFERROR(INDEX(Aktiv!$G$6:$G$350,MATCH(A60,Aktiv!$A$6:$A$350,0)),"")</f>
        <v>62</v>
      </c>
      <c r="F60" s="294">
        <f t="shared" si="0"/>
        <v>0</v>
      </c>
      <c r="G60" s="295">
        <f t="shared" si="1"/>
        <v>0</v>
      </c>
      <c r="H60" s="293">
        <f>IF(C60="","",ROUND(C60*Steuerungsdaten!$B$4*Steuerungsdaten!$B$8*IFERROR(VLOOKUP(IFERROR(INDEX(Aktiv!$C$6:$C$350,MATCH(A60,Aktiv!$A$6:$A$350,0)),""),Steuerungsdaten!$B$17:$E$37,4,FALSE),1)*POWER(IF(OR(IFERROR(INDEX(Aktiv!$E$6:$E$350,MATCH(A60,Aktiv!$A$6:$A$350,0)),0)=0,IFERROR(INDEX(Aktiv!$F$6:$F$350,MATCH(A60,Aktiv!$A$6:$A$350,0)),0)=0),1,(IFERROR(INDEX(Aktiv!$E$6:$E$350,MATCH(A60,Aktiv!$A$6:$A$350,0)),0)*IFERROR(INDEX(Aktiv!$F$6:$F$350,MATCH(A60,Aktiv!$A$6:$A$350,0)),0)/1000000)/Steuerungsdaten!$B$6),1-1),0))</f>
        <v>62</v>
      </c>
      <c r="I60" s="293">
        <f>IFERROR(INDEX(Aktiv!$H$6:$H$350,MATCH(A60,Aktiv!$A$6:$A$350,0)),"")</f>
        <v>213</v>
      </c>
      <c r="J60" s="294">
        <f t="shared" si="2"/>
        <v>151</v>
      </c>
      <c r="K60" s="296">
        <f t="shared" si="3"/>
        <v>2.435483870967742</v>
      </c>
      <c r="L60" s="297">
        <f>IF(C60="","",ROUND(C60*Steuerungsdaten!$B$4*Steuerungsdaten!$B$9*IFERROR(VLOOKUP(IFERROR(INDEX(Aktiv!$C$6:$C$350,MATCH(A60,Aktiv!$A$6:$A$350,0)),""),Steuerungsdaten!$B$17:$G$37,6,FALSE),1)*POWER(IF(OR(IFERROR(INDEX(Aktiv!$E$6:$E$350,MATCH(A60,Aktiv!$A$6:$A$350,0)),0)=0,IFERROR(INDEX(Aktiv!$F$6:$F$350,MATCH(A60,Aktiv!$A$6:$A$350,0)),0)=0),1,(IFERROR(INDEX(Aktiv!$E$6:$E$350,MATCH(A60,Aktiv!$A$6:$A$350,0)),0)*IFERROR(INDEX(Aktiv!$F$6:$F$350,MATCH(A60,Aktiv!$A$6:$A$350,0)),0)/1000000)/Steuerungsdaten!$B$6),1-1),0))</f>
        <v>62</v>
      </c>
      <c r="M60" s="297">
        <f>IFERROR(INDEX(Aktiv!$I$6:$I$350,MATCH(A60,Aktiv!$A$6:$A$350,0)),"")</f>
        <v>222</v>
      </c>
      <c r="N60" s="298">
        <f t="shared" si="4"/>
        <v>160</v>
      </c>
      <c r="O60" s="296">
        <f t="shared" si="5"/>
        <v>2.5806451612903225</v>
      </c>
      <c r="P60" s="297">
        <f>IF(C60="","",ROUND(C60*Steuerungsdaten!$B$4*Steuerungsdaten!$B$10*IFERROR(VLOOKUP(IFERROR(INDEX(Aktiv!$C$6:$C$350,MATCH(A60,Aktiv!$A$6:$A$350,0)),""),Steuerungsdaten!$B$17:$I$37,8,FALSE),1)*POWER(IF(OR(IFERROR(INDEX(Aktiv!$E$6:$E$350,MATCH(A60,Aktiv!$A$6:$A$350,0)),0)=0,IFERROR(INDEX(Aktiv!$F$6:$F$350,MATCH(A60,Aktiv!$A$6:$A$350,0)),0)=0),1,(IFERROR(INDEX(Aktiv!$E$6:$E$350,MATCH(A60,Aktiv!$A$6:$A$350,0)),0)*IFERROR(INDEX(Aktiv!$F$6:$F$350,MATCH(A60,Aktiv!$A$6:$A$350,0)),0)/1000000)/Steuerungsdaten!$B$6),1-1),0))</f>
        <v>67</v>
      </c>
      <c r="Q60" s="297">
        <f>IFERROR(INDEX(Aktiv!$J$6:$J$350,MATCH(A60,Aktiv!$A$6:$A$350,0)),"")</f>
        <v>247</v>
      </c>
      <c r="R60" s="298">
        <f t="shared" si="6"/>
        <v>180</v>
      </c>
      <c r="S60" s="296">
        <f t="shared" si="7"/>
        <v>2.6865671641791047</v>
      </c>
    </row>
    <row r="61" spans="1:19" x14ac:dyDescent="0.25">
      <c r="A61" s="292">
        <v>3214</v>
      </c>
      <c r="B61" s="292" t="s">
        <v>70</v>
      </c>
      <c r="C61" s="293">
        <f>IFERROR(INDEX(Aktiv!$O$6:$O$350,MATCH(A61,Aktiv!$A$6:$A$350,0)),"")</f>
        <v>107</v>
      </c>
      <c r="D61" s="293">
        <f>IF(C61="","",ROUND(C61*Steuerungsdaten!$B$4*Steuerungsdaten!$B$7*IFERROR(VLOOKUP(IFERROR(INDEX(Aktiv!$C$6:$C$350,MATCH(A61,Aktiv!$A$6:$A$350,0)),""),Steuerungsdaten!$B$17:$C$37,2,FALSE),1)*POWER(IF(OR(IFERROR(INDEX(Aktiv!$E$6:$E$350,MATCH(A61,Aktiv!$A$6:$A$350,0)),0)=0,IFERROR(INDEX(Aktiv!$F$6:$F$350,MATCH(A61,Aktiv!$A$6:$A$350,0)),0)=0),1,(IFERROR(INDEX(Aktiv!$E$6:$E$350,MATCH(A61,Aktiv!$A$6:$A$350,0)),0)*IFERROR(INDEX(Aktiv!$F$6:$F$350,MATCH(A61,Aktiv!$A$6:$A$350,0)),0)/1000000)/Steuerungsdaten!$B$6),IF(ISNUMBER(MATCH(IFERROR(INDEX(Aktiv!$C$6:$C$350,MATCH(A61,Aktiv!$A$6:$A$350,0)),""),{"Boden","Seite außen","Seite außen SY32","Rücken","Seite innen","Seite innen SY32","Seite innen SY32 DB","Fachboden klein","Fachboden groß","Klappenboden"},0)),1.2,1)-1),0))</f>
        <v>103</v>
      </c>
      <c r="E61" s="293">
        <f>IFERROR(INDEX(Aktiv!$G$6:$G$350,MATCH(A61,Aktiv!$A$6:$A$350,0)),"")</f>
        <v>99</v>
      </c>
      <c r="F61" s="294">
        <f t="shared" si="0"/>
        <v>-4</v>
      </c>
      <c r="G61" s="295">
        <f t="shared" si="1"/>
        <v>-3.8834951456310676E-2</v>
      </c>
      <c r="H61" s="293">
        <f>IF(C61="","",ROUND(C61*Steuerungsdaten!$B$4*Steuerungsdaten!$B$8*IFERROR(VLOOKUP(IFERROR(INDEX(Aktiv!$C$6:$C$350,MATCH(A61,Aktiv!$A$6:$A$350,0)),""),Steuerungsdaten!$B$17:$E$37,4,FALSE),1)*POWER(IF(OR(IFERROR(INDEX(Aktiv!$E$6:$E$350,MATCH(A61,Aktiv!$A$6:$A$350,0)),0)=0,IFERROR(INDEX(Aktiv!$F$6:$F$350,MATCH(A61,Aktiv!$A$6:$A$350,0)),0)=0),1,(IFERROR(INDEX(Aktiv!$E$6:$E$350,MATCH(A61,Aktiv!$A$6:$A$350,0)),0)*IFERROR(INDEX(Aktiv!$F$6:$F$350,MATCH(A61,Aktiv!$A$6:$A$350,0)),0)/1000000)/Steuerungsdaten!$B$6),1-1),0))</f>
        <v>94</v>
      </c>
      <c r="I61" s="293">
        <f>IFERROR(INDEX(Aktiv!$H$6:$H$350,MATCH(A61,Aktiv!$A$6:$A$350,0)),"")</f>
        <v>339</v>
      </c>
      <c r="J61" s="294">
        <f t="shared" si="2"/>
        <v>245</v>
      </c>
      <c r="K61" s="296">
        <f t="shared" si="3"/>
        <v>2.6063829787234041</v>
      </c>
      <c r="L61" s="297">
        <f>IF(C61="","",ROUND(C61*Steuerungsdaten!$B$4*Steuerungsdaten!$B$9*IFERROR(VLOOKUP(IFERROR(INDEX(Aktiv!$C$6:$C$350,MATCH(A61,Aktiv!$A$6:$A$350,0)),""),Steuerungsdaten!$B$17:$G$37,6,FALSE),1)*POWER(IF(OR(IFERROR(INDEX(Aktiv!$E$6:$E$350,MATCH(A61,Aktiv!$A$6:$A$350,0)),0)=0,IFERROR(INDEX(Aktiv!$F$6:$F$350,MATCH(A61,Aktiv!$A$6:$A$350,0)),0)=0),1,(IFERROR(INDEX(Aktiv!$E$6:$E$350,MATCH(A61,Aktiv!$A$6:$A$350,0)),0)*IFERROR(INDEX(Aktiv!$F$6:$F$350,MATCH(A61,Aktiv!$A$6:$A$350,0)),0)/1000000)/Steuerungsdaten!$B$6),1-1),0))</f>
        <v>94</v>
      </c>
      <c r="M61" s="297">
        <f>IFERROR(INDEX(Aktiv!$I$6:$I$350,MATCH(A61,Aktiv!$A$6:$A$350,0)),"")</f>
        <v>353</v>
      </c>
      <c r="N61" s="298">
        <f t="shared" si="4"/>
        <v>259</v>
      </c>
      <c r="O61" s="296">
        <f t="shared" si="5"/>
        <v>2.7553191489361701</v>
      </c>
      <c r="P61" s="297">
        <f>IF(C61="","",ROUND(C61*Steuerungsdaten!$B$4*Steuerungsdaten!$B$10*IFERROR(VLOOKUP(IFERROR(INDEX(Aktiv!$C$6:$C$350,MATCH(A61,Aktiv!$A$6:$A$350,0)),""),Steuerungsdaten!$B$17:$I$37,8,FALSE),1)*POWER(IF(OR(IFERROR(INDEX(Aktiv!$E$6:$E$350,MATCH(A61,Aktiv!$A$6:$A$350,0)),0)=0,IFERROR(INDEX(Aktiv!$F$6:$F$350,MATCH(A61,Aktiv!$A$6:$A$350,0)),0)=0),1,(IFERROR(INDEX(Aktiv!$E$6:$E$350,MATCH(A61,Aktiv!$A$6:$A$350,0)),0)*IFERROR(INDEX(Aktiv!$F$6:$F$350,MATCH(A61,Aktiv!$A$6:$A$350,0)),0)/1000000)/Steuerungsdaten!$B$6),1-1),0))</f>
        <v>103</v>
      </c>
      <c r="Q61" s="297">
        <f>IFERROR(INDEX(Aktiv!$J$6:$J$350,MATCH(A61,Aktiv!$A$6:$A$350,0)),"")</f>
        <v>393</v>
      </c>
      <c r="R61" s="298">
        <f t="shared" si="6"/>
        <v>290</v>
      </c>
      <c r="S61" s="296">
        <f t="shared" si="7"/>
        <v>2.8155339805825244</v>
      </c>
    </row>
    <row r="62" spans="1:19" x14ac:dyDescent="0.25">
      <c r="A62" s="292">
        <v>3215</v>
      </c>
      <c r="B62" s="292" t="s">
        <v>71</v>
      </c>
      <c r="C62" s="293">
        <f>IFERROR(INDEX(Aktiv!$O$6:$O$350,MATCH(A62,Aktiv!$A$6:$A$350,0)),"")</f>
        <v>134</v>
      </c>
      <c r="D62" s="293">
        <f>IF(C62="","",ROUND(C62*Steuerungsdaten!$B$4*Steuerungsdaten!$B$7*IFERROR(VLOOKUP(IFERROR(INDEX(Aktiv!$C$6:$C$350,MATCH(A62,Aktiv!$A$6:$A$350,0)),""),Steuerungsdaten!$B$17:$C$37,2,FALSE),1)*POWER(IF(OR(IFERROR(INDEX(Aktiv!$E$6:$E$350,MATCH(A62,Aktiv!$A$6:$A$350,0)),0)=0,IFERROR(INDEX(Aktiv!$F$6:$F$350,MATCH(A62,Aktiv!$A$6:$A$350,0)),0)=0),1,(IFERROR(INDEX(Aktiv!$E$6:$E$350,MATCH(A62,Aktiv!$A$6:$A$350,0)),0)*IFERROR(INDEX(Aktiv!$F$6:$F$350,MATCH(A62,Aktiv!$A$6:$A$350,0)),0)/1000000)/Steuerungsdaten!$B$6),IF(ISNUMBER(MATCH(IFERROR(INDEX(Aktiv!$C$6:$C$350,MATCH(A62,Aktiv!$A$6:$A$350,0)),""),{"Boden","Seite außen","Seite außen SY32","Rücken","Seite innen","Seite innen SY32","Seite innen SY32 DB","Fachboden klein","Fachboden groß","Klappenboden"},0)),1.2,1)-1),0))</f>
        <v>136</v>
      </c>
      <c r="E62" s="293">
        <f>IFERROR(INDEX(Aktiv!$G$6:$G$350,MATCH(A62,Aktiv!$A$6:$A$350,0)),"")</f>
        <v>124</v>
      </c>
      <c r="F62" s="294">
        <f t="shared" si="0"/>
        <v>-12</v>
      </c>
      <c r="G62" s="295">
        <f t="shared" si="1"/>
        <v>-8.8235294117647065E-2</v>
      </c>
      <c r="H62" s="293">
        <f>IF(C62="","",ROUND(C62*Steuerungsdaten!$B$4*Steuerungsdaten!$B$8*IFERROR(VLOOKUP(IFERROR(INDEX(Aktiv!$C$6:$C$350,MATCH(A62,Aktiv!$A$6:$A$350,0)),""),Steuerungsdaten!$B$17:$E$37,4,FALSE),1)*POWER(IF(OR(IFERROR(INDEX(Aktiv!$E$6:$E$350,MATCH(A62,Aktiv!$A$6:$A$350,0)),0)=0,IFERROR(INDEX(Aktiv!$F$6:$F$350,MATCH(A62,Aktiv!$A$6:$A$350,0)),0)=0),1,(IFERROR(INDEX(Aktiv!$E$6:$E$350,MATCH(A62,Aktiv!$A$6:$A$350,0)),0)*IFERROR(INDEX(Aktiv!$F$6:$F$350,MATCH(A62,Aktiv!$A$6:$A$350,0)),0)/1000000)/Steuerungsdaten!$B$6),1-1),0))</f>
        <v>118</v>
      </c>
      <c r="I62" s="293">
        <f>IFERROR(INDEX(Aktiv!$H$6:$H$350,MATCH(A62,Aktiv!$A$6:$A$350,0)),"")</f>
        <v>426</v>
      </c>
      <c r="J62" s="294">
        <f t="shared" si="2"/>
        <v>308</v>
      </c>
      <c r="K62" s="296">
        <f t="shared" si="3"/>
        <v>2.6101694915254239</v>
      </c>
      <c r="L62" s="297">
        <f>IF(C62="","",ROUND(C62*Steuerungsdaten!$B$4*Steuerungsdaten!$B$9*IFERROR(VLOOKUP(IFERROR(INDEX(Aktiv!$C$6:$C$350,MATCH(A62,Aktiv!$A$6:$A$350,0)),""),Steuerungsdaten!$B$17:$G$37,6,FALSE),1)*POWER(IF(OR(IFERROR(INDEX(Aktiv!$E$6:$E$350,MATCH(A62,Aktiv!$A$6:$A$350,0)),0)=0,IFERROR(INDEX(Aktiv!$F$6:$F$350,MATCH(A62,Aktiv!$A$6:$A$350,0)),0)=0),1,(IFERROR(INDEX(Aktiv!$E$6:$E$350,MATCH(A62,Aktiv!$A$6:$A$350,0)),0)*IFERROR(INDEX(Aktiv!$F$6:$F$350,MATCH(A62,Aktiv!$A$6:$A$350,0)),0)/1000000)/Steuerungsdaten!$B$6),1-1),0))</f>
        <v>118</v>
      </c>
      <c r="M62" s="297">
        <f>IFERROR(INDEX(Aktiv!$I$6:$I$350,MATCH(A62,Aktiv!$A$6:$A$350,0)),"")</f>
        <v>444</v>
      </c>
      <c r="N62" s="298">
        <f t="shared" si="4"/>
        <v>326</v>
      </c>
      <c r="O62" s="296">
        <f t="shared" si="5"/>
        <v>2.7627118644067798</v>
      </c>
      <c r="P62" s="297">
        <f>IF(C62="","",ROUND(C62*Steuerungsdaten!$B$4*Steuerungsdaten!$B$10*IFERROR(VLOOKUP(IFERROR(INDEX(Aktiv!$C$6:$C$350,MATCH(A62,Aktiv!$A$6:$A$350,0)),""),Steuerungsdaten!$B$17:$I$37,8,FALSE),1)*POWER(IF(OR(IFERROR(INDEX(Aktiv!$E$6:$E$350,MATCH(A62,Aktiv!$A$6:$A$350,0)),0)=0,IFERROR(INDEX(Aktiv!$F$6:$F$350,MATCH(A62,Aktiv!$A$6:$A$350,0)),0)=0),1,(IFERROR(INDEX(Aktiv!$E$6:$E$350,MATCH(A62,Aktiv!$A$6:$A$350,0)),0)*IFERROR(INDEX(Aktiv!$F$6:$F$350,MATCH(A62,Aktiv!$A$6:$A$350,0)),0)/1000000)/Steuerungsdaten!$B$6),1-1),0))</f>
        <v>129</v>
      </c>
      <c r="Q62" s="297">
        <f>IFERROR(INDEX(Aktiv!$J$6:$J$350,MATCH(A62,Aktiv!$A$6:$A$350,0)),"")</f>
        <v>494</v>
      </c>
      <c r="R62" s="298">
        <f t="shared" si="6"/>
        <v>365</v>
      </c>
      <c r="S62" s="296">
        <f t="shared" si="7"/>
        <v>2.8294573643410854</v>
      </c>
    </row>
    <row r="63" spans="1:19" x14ac:dyDescent="0.25">
      <c r="A63" s="292">
        <v>3216</v>
      </c>
      <c r="B63" s="292" t="s">
        <v>72</v>
      </c>
      <c r="C63" s="293">
        <f>IFERROR(INDEX(Aktiv!$O$6:$O$350,MATCH(A63,Aktiv!$A$6:$A$350,0)),"")</f>
        <v>161</v>
      </c>
      <c r="D63" s="293">
        <f>IF(C63="","",ROUND(C63*Steuerungsdaten!$B$4*Steuerungsdaten!$B$7*IFERROR(VLOOKUP(IFERROR(INDEX(Aktiv!$C$6:$C$350,MATCH(A63,Aktiv!$A$6:$A$350,0)),""),Steuerungsdaten!$B$17:$C$37,2,FALSE),1)*POWER(IF(OR(IFERROR(INDEX(Aktiv!$E$6:$E$350,MATCH(A63,Aktiv!$A$6:$A$350,0)),0)=0,IFERROR(INDEX(Aktiv!$F$6:$F$350,MATCH(A63,Aktiv!$A$6:$A$350,0)),0)=0),1,(IFERROR(INDEX(Aktiv!$E$6:$E$350,MATCH(A63,Aktiv!$A$6:$A$350,0)),0)*IFERROR(INDEX(Aktiv!$F$6:$F$350,MATCH(A63,Aktiv!$A$6:$A$350,0)),0)/1000000)/Steuerungsdaten!$B$6),IF(ISNUMBER(MATCH(IFERROR(INDEX(Aktiv!$C$6:$C$350,MATCH(A63,Aktiv!$A$6:$A$350,0)),""),{"Boden","Seite außen","Seite außen SY32","Rücken","Seite innen","Seite innen SY32","Seite innen SY32 DB","Fachboden klein","Fachboden groß","Klappenboden"},0)),1.2,1)-1),0))</f>
        <v>169</v>
      </c>
      <c r="E63" s="293">
        <f>IFERROR(INDEX(Aktiv!$G$6:$G$350,MATCH(A63,Aktiv!$A$6:$A$350,0)),"")</f>
        <v>148</v>
      </c>
      <c r="F63" s="294">
        <f t="shared" si="0"/>
        <v>-21</v>
      </c>
      <c r="G63" s="295">
        <f t="shared" si="1"/>
        <v>-0.1242603550295858</v>
      </c>
      <c r="H63" s="293">
        <f>IF(C63="","",ROUND(C63*Steuerungsdaten!$B$4*Steuerungsdaten!$B$8*IFERROR(VLOOKUP(IFERROR(INDEX(Aktiv!$C$6:$C$350,MATCH(A63,Aktiv!$A$6:$A$350,0)),""),Steuerungsdaten!$B$17:$E$37,4,FALSE),1)*POWER(IF(OR(IFERROR(INDEX(Aktiv!$E$6:$E$350,MATCH(A63,Aktiv!$A$6:$A$350,0)),0)=0,IFERROR(INDEX(Aktiv!$F$6:$F$350,MATCH(A63,Aktiv!$A$6:$A$350,0)),0)=0),1,(IFERROR(INDEX(Aktiv!$E$6:$E$350,MATCH(A63,Aktiv!$A$6:$A$350,0)),0)*IFERROR(INDEX(Aktiv!$F$6:$F$350,MATCH(A63,Aktiv!$A$6:$A$350,0)),0)/1000000)/Steuerungsdaten!$B$6),1-1),0))</f>
        <v>142</v>
      </c>
      <c r="I63" s="293">
        <f>IFERROR(INDEX(Aktiv!$H$6:$H$350,MATCH(A63,Aktiv!$A$6:$A$350,0)),"")</f>
        <v>508</v>
      </c>
      <c r="J63" s="294">
        <f t="shared" si="2"/>
        <v>366</v>
      </c>
      <c r="K63" s="296">
        <f t="shared" si="3"/>
        <v>2.5774647887323945</v>
      </c>
      <c r="L63" s="297">
        <f>IF(C63="","",ROUND(C63*Steuerungsdaten!$B$4*Steuerungsdaten!$B$9*IFERROR(VLOOKUP(IFERROR(INDEX(Aktiv!$C$6:$C$350,MATCH(A63,Aktiv!$A$6:$A$350,0)),""),Steuerungsdaten!$B$17:$G$37,6,FALSE),1)*POWER(IF(OR(IFERROR(INDEX(Aktiv!$E$6:$E$350,MATCH(A63,Aktiv!$A$6:$A$350,0)),0)=0,IFERROR(INDEX(Aktiv!$F$6:$F$350,MATCH(A63,Aktiv!$A$6:$A$350,0)),0)=0),1,(IFERROR(INDEX(Aktiv!$E$6:$E$350,MATCH(A63,Aktiv!$A$6:$A$350,0)),0)*IFERROR(INDEX(Aktiv!$F$6:$F$350,MATCH(A63,Aktiv!$A$6:$A$350,0)),0)/1000000)/Steuerungsdaten!$B$6),1-1),0))</f>
        <v>142</v>
      </c>
      <c r="M63" s="297">
        <f>IFERROR(INDEX(Aktiv!$I$6:$I$350,MATCH(A63,Aktiv!$A$6:$A$350,0)),"")</f>
        <v>530</v>
      </c>
      <c r="N63" s="298">
        <f t="shared" si="4"/>
        <v>388</v>
      </c>
      <c r="O63" s="296">
        <f t="shared" si="5"/>
        <v>2.732394366197183</v>
      </c>
      <c r="P63" s="297">
        <f>IF(C63="","",ROUND(C63*Steuerungsdaten!$B$4*Steuerungsdaten!$B$10*IFERROR(VLOOKUP(IFERROR(INDEX(Aktiv!$C$6:$C$350,MATCH(A63,Aktiv!$A$6:$A$350,0)),""),Steuerungsdaten!$B$17:$I$37,8,FALSE),1)*POWER(IF(OR(IFERROR(INDEX(Aktiv!$E$6:$E$350,MATCH(A63,Aktiv!$A$6:$A$350,0)),0)=0,IFERROR(INDEX(Aktiv!$F$6:$F$350,MATCH(A63,Aktiv!$A$6:$A$350,0)),0)=0),1,(IFERROR(INDEX(Aktiv!$E$6:$E$350,MATCH(A63,Aktiv!$A$6:$A$350,0)),0)*IFERROR(INDEX(Aktiv!$F$6:$F$350,MATCH(A63,Aktiv!$A$6:$A$350,0)),0)/1000000)/Steuerungsdaten!$B$6),1-1),0))</f>
        <v>155</v>
      </c>
      <c r="Q63" s="297">
        <f>IFERROR(INDEX(Aktiv!$J$6:$J$350,MATCH(A63,Aktiv!$A$6:$A$350,0)),"")</f>
        <v>589</v>
      </c>
      <c r="R63" s="298">
        <f t="shared" si="6"/>
        <v>434</v>
      </c>
      <c r="S63" s="296">
        <f t="shared" si="7"/>
        <v>2.8</v>
      </c>
    </row>
    <row r="64" spans="1:19" x14ac:dyDescent="0.25">
      <c r="A64" s="292">
        <v>3217</v>
      </c>
      <c r="B64" s="292" t="s">
        <v>73</v>
      </c>
      <c r="C64" s="293">
        <f>IFERROR(INDEX(Aktiv!$O$6:$O$350,MATCH(A64,Aktiv!$A$6:$A$350,0)),"")</f>
        <v>200</v>
      </c>
      <c r="D64" s="293">
        <f>IF(C64="","",ROUND(C64*Steuerungsdaten!$B$4*Steuerungsdaten!$B$7*IFERROR(VLOOKUP(IFERROR(INDEX(Aktiv!$C$6:$C$350,MATCH(A64,Aktiv!$A$6:$A$350,0)),""),Steuerungsdaten!$B$17:$C$37,2,FALSE),1)*POWER(IF(OR(IFERROR(INDEX(Aktiv!$E$6:$E$350,MATCH(A64,Aktiv!$A$6:$A$350,0)),0)=0,IFERROR(INDEX(Aktiv!$F$6:$F$350,MATCH(A64,Aktiv!$A$6:$A$350,0)),0)=0),1,(IFERROR(INDEX(Aktiv!$E$6:$E$350,MATCH(A64,Aktiv!$A$6:$A$350,0)),0)*IFERROR(INDEX(Aktiv!$F$6:$F$350,MATCH(A64,Aktiv!$A$6:$A$350,0)),0)/1000000)/Steuerungsdaten!$B$6),IF(ISNUMBER(MATCH(IFERROR(INDEX(Aktiv!$C$6:$C$350,MATCH(A64,Aktiv!$A$6:$A$350,0)),""),{"Boden","Seite außen","Seite außen SY32","Rücken","Seite innen","Seite innen SY32","Seite innen SY32 DB","Fachboden klein","Fachboden groß","Klappenboden"},0)),1.2,1)-1),0))</f>
        <v>220</v>
      </c>
      <c r="E64" s="293">
        <f>IFERROR(INDEX(Aktiv!$G$6:$G$350,MATCH(A64,Aktiv!$A$6:$A$350,0)),"")</f>
        <v>186</v>
      </c>
      <c r="F64" s="294">
        <f t="shared" si="0"/>
        <v>-34</v>
      </c>
      <c r="G64" s="295">
        <f t="shared" si="1"/>
        <v>-0.15454545454545454</v>
      </c>
      <c r="H64" s="293">
        <f>IF(C64="","",ROUND(C64*Steuerungsdaten!$B$4*Steuerungsdaten!$B$8*IFERROR(VLOOKUP(IFERROR(INDEX(Aktiv!$C$6:$C$350,MATCH(A64,Aktiv!$A$6:$A$350,0)),""),Steuerungsdaten!$B$17:$E$37,4,FALSE),1)*POWER(IF(OR(IFERROR(INDEX(Aktiv!$E$6:$E$350,MATCH(A64,Aktiv!$A$6:$A$350,0)),0)=0,IFERROR(INDEX(Aktiv!$F$6:$F$350,MATCH(A64,Aktiv!$A$6:$A$350,0)),0)=0),1,(IFERROR(INDEX(Aktiv!$E$6:$E$350,MATCH(A64,Aktiv!$A$6:$A$350,0)),0)*IFERROR(INDEX(Aktiv!$F$6:$F$350,MATCH(A64,Aktiv!$A$6:$A$350,0)),0)/1000000)/Steuerungsdaten!$B$6),1-1),0))</f>
        <v>176</v>
      </c>
      <c r="I64" s="293">
        <f>IFERROR(INDEX(Aktiv!$H$6:$H$350,MATCH(A64,Aktiv!$A$6:$A$350,0)),"")</f>
        <v>639</v>
      </c>
      <c r="J64" s="294">
        <f t="shared" si="2"/>
        <v>463</v>
      </c>
      <c r="K64" s="296">
        <f t="shared" si="3"/>
        <v>2.6306818181818183</v>
      </c>
      <c r="L64" s="297">
        <f>IF(C64="","",ROUND(C64*Steuerungsdaten!$B$4*Steuerungsdaten!$B$9*IFERROR(VLOOKUP(IFERROR(INDEX(Aktiv!$C$6:$C$350,MATCH(A64,Aktiv!$A$6:$A$350,0)),""),Steuerungsdaten!$B$17:$G$37,6,FALSE),1)*POWER(IF(OR(IFERROR(INDEX(Aktiv!$E$6:$E$350,MATCH(A64,Aktiv!$A$6:$A$350,0)),0)=0,IFERROR(INDEX(Aktiv!$F$6:$F$350,MATCH(A64,Aktiv!$A$6:$A$350,0)),0)=0),1,(IFERROR(INDEX(Aktiv!$E$6:$E$350,MATCH(A64,Aktiv!$A$6:$A$350,0)),0)*IFERROR(INDEX(Aktiv!$F$6:$F$350,MATCH(A64,Aktiv!$A$6:$A$350,0)),0)/1000000)/Steuerungsdaten!$B$6),1-1),0))</f>
        <v>176</v>
      </c>
      <c r="M64" s="297">
        <f>IFERROR(INDEX(Aktiv!$I$6:$I$350,MATCH(A64,Aktiv!$A$6:$A$350,0)),"")</f>
        <v>665</v>
      </c>
      <c r="N64" s="298">
        <f t="shared" si="4"/>
        <v>489</v>
      </c>
      <c r="O64" s="296">
        <f t="shared" si="5"/>
        <v>2.7784090909090908</v>
      </c>
      <c r="P64" s="297">
        <f>IF(C64="","",ROUND(C64*Steuerungsdaten!$B$4*Steuerungsdaten!$B$10*IFERROR(VLOOKUP(IFERROR(INDEX(Aktiv!$C$6:$C$350,MATCH(A64,Aktiv!$A$6:$A$350,0)),""),Steuerungsdaten!$B$17:$I$37,8,FALSE),1)*POWER(IF(OR(IFERROR(INDEX(Aktiv!$E$6:$E$350,MATCH(A64,Aktiv!$A$6:$A$350,0)),0)=0,IFERROR(INDEX(Aktiv!$F$6:$F$350,MATCH(A64,Aktiv!$A$6:$A$350,0)),0)=0),1,(IFERROR(INDEX(Aktiv!$E$6:$E$350,MATCH(A64,Aktiv!$A$6:$A$350,0)),0)*IFERROR(INDEX(Aktiv!$F$6:$F$350,MATCH(A64,Aktiv!$A$6:$A$350,0)),0)/1000000)/Steuerungsdaten!$B$6),1-1),0))</f>
        <v>192</v>
      </c>
      <c r="Q64" s="297">
        <f>IFERROR(INDEX(Aktiv!$J$6:$J$350,MATCH(A64,Aktiv!$A$6:$A$350,0)),"")</f>
        <v>740</v>
      </c>
      <c r="R64" s="298">
        <f t="shared" si="6"/>
        <v>548</v>
      </c>
      <c r="S64" s="296">
        <f t="shared" si="7"/>
        <v>2.8541666666666665</v>
      </c>
    </row>
    <row r="65" spans="1:19" x14ac:dyDescent="0.25">
      <c r="A65" s="292">
        <v>3218</v>
      </c>
      <c r="B65" s="292" t="s">
        <v>74</v>
      </c>
      <c r="C65" s="293">
        <f>IFERROR(INDEX(Aktiv!$O$6:$O$350,MATCH(A65,Aktiv!$A$6:$A$350,0)),"")</f>
        <v>211</v>
      </c>
      <c r="D65" s="293">
        <f>IF(C65="","",ROUND(C65*Steuerungsdaten!$B$4*Steuerungsdaten!$B$7*IFERROR(VLOOKUP(IFERROR(INDEX(Aktiv!$C$6:$C$350,MATCH(A65,Aktiv!$A$6:$A$350,0)),""),Steuerungsdaten!$B$17:$C$37,2,FALSE),1)*POWER(IF(OR(IFERROR(INDEX(Aktiv!$E$6:$E$350,MATCH(A65,Aktiv!$A$6:$A$350,0)),0)=0,IFERROR(INDEX(Aktiv!$F$6:$F$350,MATCH(A65,Aktiv!$A$6:$A$350,0)),0)=0),1,(IFERROR(INDEX(Aktiv!$E$6:$E$350,MATCH(A65,Aktiv!$A$6:$A$350,0)),0)*IFERROR(INDEX(Aktiv!$F$6:$F$350,MATCH(A65,Aktiv!$A$6:$A$350,0)),0)/1000000)/Steuerungsdaten!$B$6),IF(ISNUMBER(MATCH(IFERROR(INDEX(Aktiv!$C$6:$C$350,MATCH(A65,Aktiv!$A$6:$A$350,0)),""),{"Boden","Seite außen","Seite außen SY32","Rücken","Seite innen","Seite innen SY32","Seite innen SY32 DB","Fachboden klein","Fachboden groß","Klappenboden"},0)),1.2,1)-1),0))</f>
        <v>234</v>
      </c>
      <c r="E65" s="293">
        <f>IFERROR(INDEX(Aktiv!$G$6:$G$350,MATCH(A65,Aktiv!$A$6:$A$350,0)),"")</f>
        <v>198</v>
      </c>
      <c r="F65" s="294">
        <f t="shared" si="0"/>
        <v>-36</v>
      </c>
      <c r="G65" s="295">
        <f t="shared" si="1"/>
        <v>-0.15384615384615385</v>
      </c>
      <c r="H65" s="293">
        <f>IF(C65="","",ROUND(C65*Steuerungsdaten!$B$4*Steuerungsdaten!$B$8*IFERROR(VLOOKUP(IFERROR(INDEX(Aktiv!$C$6:$C$350,MATCH(A65,Aktiv!$A$6:$A$350,0)),""),Steuerungsdaten!$B$17:$E$37,4,FALSE),1)*POWER(IF(OR(IFERROR(INDEX(Aktiv!$E$6:$E$350,MATCH(A65,Aktiv!$A$6:$A$350,0)),0)=0,IFERROR(INDEX(Aktiv!$F$6:$F$350,MATCH(A65,Aktiv!$A$6:$A$350,0)),0)=0),1,(IFERROR(INDEX(Aktiv!$E$6:$E$350,MATCH(A65,Aktiv!$A$6:$A$350,0)),0)*IFERROR(INDEX(Aktiv!$F$6:$F$350,MATCH(A65,Aktiv!$A$6:$A$350,0)),0)/1000000)/Steuerungsdaten!$B$6),1-1),0))</f>
        <v>186</v>
      </c>
      <c r="I65" s="293">
        <f>IFERROR(INDEX(Aktiv!$H$6:$H$350,MATCH(A65,Aktiv!$A$6:$A$350,0)),"")</f>
        <v>678</v>
      </c>
      <c r="J65" s="294">
        <f t="shared" si="2"/>
        <v>492</v>
      </c>
      <c r="K65" s="296">
        <f t="shared" si="3"/>
        <v>2.6451612903225805</v>
      </c>
      <c r="L65" s="297">
        <f>IF(C65="","",ROUND(C65*Steuerungsdaten!$B$4*Steuerungsdaten!$B$9*IFERROR(VLOOKUP(IFERROR(INDEX(Aktiv!$C$6:$C$350,MATCH(A65,Aktiv!$A$6:$A$350,0)),""),Steuerungsdaten!$B$17:$G$37,6,FALSE),1)*POWER(IF(OR(IFERROR(INDEX(Aktiv!$E$6:$E$350,MATCH(A65,Aktiv!$A$6:$A$350,0)),0)=0,IFERROR(INDEX(Aktiv!$F$6:$F$350,MATCH(A65,Aktiv!$A$6:$A$350,0)),0)=0),1,(IFERROR(INDEX(Aktiv!$E$6:$E$350,MATCH(A65,Aktiv!$A$6:$A$350,0)),0)*IFERROR(INDEX(Aktiv!$F$6:$F$350,MATCH(A65,Aktiv!$A$6:$A$350,0)),0)/1000000)/Steuerungsdaten!$B$6),1-1),0))</f>
        <v>186</v>
      </c>
      <c r="M65" s="297">
        <f>IFERROR(INDEX(Aktiv!$I$6:$I$350,MATCH(A65,Aktiv!$A$6:$A$350,0)),"")</f>
        <v>706</v>
      </c>
      <c r="N65" s="298">
        <f t="shared" si="4"/>
        <v>520</v>
      </c>
      <c r="O65" s="296">
        <f t="shared" si="5"/>
        <v>2.795698924731183</v>
      </c>
      <c r="P65" s="297">
        <f>IF(C65="","",ROUND(C65*Steuerungsdaten!$B$4*Steuerungsdaten!$B$10*IFERROR(VLOOKUP(IFERROR(INDEX(Aktiv!$C$6:$C$350,MATCH(A65,Aktiv!$A$6:$A$350,0)),""),Steuerungsdaten!$B$17:$I$37,8,FALSE),1)*POWER(IF(OR(IFERROR(INDEX(Aktiv!$E$6:$E$350,MATCH(A65,Aktiv!$A$6:$A$350,0)),0)=0,IFERROR(INDEX(Aktiv!$F$6:$F$350,MATCH(A65,Aktiv!$A$6:$A$350,0)),0)=0),1,(IFERROR(INDEX(Aktiv!$E$6:$E$350,MATCH(A65,Aktiv!$A$6:$A$350,0)),0)*IFERROR(INDEX(Aktiv!$F$6:$F$350,MATCH(A65,Aktiv!$A$6:$A$350,0)),0)/1000000)/Steuerungsdaten!$B$6),1-1),0))</f>
        <v>203</v>
      </c>
      <c r="Q65" s="297">
        <f>IFERROR(INDEX(Aktiv!$J$6:$J$350,MATCH(A65,Aktiv!$A$6:$A$350,0)),"")</f>
        <v>786</v>
      </c>
      <c r="R65" s="298">
        <f t="shared" si="6"/>
        <v>583</v>
      </c>
      <c r="S65" s="296">
        <f t="shared" si="7"/>
        <v>2.8719211822660098</v>
      </c>
    </row>
    <row r="66" spans="1:19" x14ac:dyDescent="0.25">
      <c r="A66" s="292">
        <v>3219</v>
      </c>
      <c r="B66" s="292" t="s">
        <v>75</v>
      </c>
      <c r="C66" s="293">
        <f>IFERROR(INDEX(Aktiv!$O$6:$O$350,MATCH(A66,Aktiv!$A$6:$A$350,0)),"")</f>
        <v>264</v>
      </c>
      <c r="D66" s="293">
        <f>IF(C66="","",ROUND(C66*Steuerungsdaten!$B$4*Steuerungsdaten!$B$7*IFERROR(VLOOKUP(IFERROR(INDEX(Aktiv!$C$6:$C$350,MATCH(A66,Aktiv!$A$6:$A$350,0)),""),Steuerungsdaten!$B$17:$C$37,2,FALSE),1)*POWER(IF(OR(IFERROR(INDEX(Aktiv!$E$6:$E$350,MATCH(A66,Aktiv!$A$6:$A$350,0)),0)=0,IFERROR(INDEX(Aktiv!$F$6:$F$350,MATCH(A66,Aktiv!$A$6:$A$350,0)),0)=0),1,(IFERROR(INDEX(Aktiv!$E$6:$E$350,MATCH(A66,Aktiv!$A$6:$A$350,0)),0)*IFERROR(INDEX(Aktiv!$F$6:$F$350,MATCH(A66,Aktiv!$A$6:$A$350,0)),0)/1000000)/Steuerungsdaten!$B$6),IF(ISNUMBER(MATCH(IFERROR(INDEX(Aktiv!$C$6:$C$350,MATCH(A66,Aktiv!$A$6:$A$350,0)),""),{"Boden","Seite außen","Seite außen SY32","Rücken","Seite innen","Seite innen SY32","Seite innen SY32 DB","Fachboden klein","Fachboden groß","Klappenboden"},0)),1.2,1)-1),0))</f>
        <v>307</v>
      </c>
      <c r="E66" s="293">
        <f>IFERROR(INDEX(Aktiv!$G$6:$G$350,MATCH(A66,Aktiv!$A$6:$A$350,0)),"")</f>
        <v>248</v>
      </c>
      <c r="F66" s="294">
        <f t="shared" si="0"/>
        <v>-59</v>
      </c>
      <c r="G66" s="295">
        <f t="shared" si="1"/>
        <v>-0.19218241042345277</v>
      </c>
      <c r="H66" s="293">
        <f>IF(C66="","",ROUND(C66*Steuerungsdaten!$B$4*Steuerungsdaten!$B$8*IFERROR(VLOOKUP(IFERROR(INDEX(Aktiv!$C$6:$C$350,MATCH(A66,Aktiv!$A$6:$A$350,0)),""),Steuerungsdaten!$B$17:$E$37,4,FALSE),1)*POWER(IF(OR(IFERROR(INDEX(Aktiv!$E$6:$E$350,MATCH(A66,Aktiv!$A$6:$A$350,0)),0)=0,IFERROR(INDEX(Aktiv!$F$6:$F$350,MATCH(A66,Aktiv!$A$6:$A$350,0)),0)=0),1,(IFERROR(INDEX(Aktiv!$E$6:$E$350,MATCH(A66,Aktiv!$A$6:$A$350,0)),0)*IFERROR(INDEX(Aktiv!$F$6:$F$350,MATCH(A66,Aktiv!$A$6:$A$350,0)),0)/1000000)/Steuerungsdaten!$B$6),1-1),0))</f>
        <v>232</v>
      </c>
      <c r="I66" s="293">
        <f>IFERROR(INDEX(Aktiv!$H$6:$H$350,MATCH(A66,Aktiv!$A$6:$A$350,0)),"")</f>
        <v>852</v>
      </c>
      <c r="J66" s="294">
        <f t="shared" si="2"/>
        <v>620</v>
      </c>
      <c r="K66" s="296">
        <f t="shared" si="3"/>
        <v>2.6724137931034484</v>
      </c>
      <c r="L66" s="297">
        <f>IF(C66="","",ROUND(C66*Steuerungsdaten!$B$4*Steuerungsdaten!$B$9*IFERROR(VLOOKUP(IFERROR(INDEX(Aktiv!$C$6:$C$350,MATCH(A66,Aktiv!$A$6:$A$350,0)),""),Steuerungsdaten!$B$17:$G$37,6,FALSE),1)*POWER(IF(OR(IFERROR(INDEX(Aktiv!$E$6:$E$350,MATCH(A66,Aktiv!$A$6:$A$350,0)),0)=0,IFERROR(INDEX(Aktiv!$F$6:$F$350,MATCH(A66,Aktiv!$A$6:$A$350,0)),0)=0),1,(IFERROR(INDEX(Aktiv!$E$6:$E$350,MATCH(A66,Aktiv!$A$6:$A$350,0)),0)*IFERROR(INDEX(Aktiv!$F$6:$F$350,MATCH(A66,Aktiv!$A$6:$A$350,0)),0)/1000000)/Steuerungsdaten!$B$6),1-1),0))</f>
        <v>232</v>
      </c>
      <c r="M66" s="297">
        <f>IFERROR(INDEX(Aktiv!$I$6:$I$350,MATCH(A66,Aktiv!$A$6:$A$350,0)),"")</f>
        <v>887</v>
      </c>
      <c r="N66" s="298">
        <f t="shared" si="4"/>
        <v>655</v>
      </c>
      <c r="O66" s="296">
        <f t="shared" si="5"/>
        <v>2.8232758620689653</v>
      </c>
      <c r="P66" s="297">
        <f>IF(C66="","",ROUND(C66*Steuerungsdaten!$B$4*Steuerungsdaten!$B$10*IFERROR(VLOOKUP(IFERROR(INDEX(Aktiv!$C$6:$C$350,MATCH(A66,Aktiv!$A$6:$A$350,0)),""),Steuerungsdaten!$B$17:$I$37,8,FALSE),1)*POWER(IF(OR(IFERROR(INDEX(Aktiv!$E$6:$E$350,MATCH(A66,Aktiv!$A$6:$A$350,0)),0)=0,IFERROR(INDEX(Aktiv!$F$6:$F$350,MATCH(A66,Aktiv!$A$6:$A$350,0)),0)=0),1,(IFERROR(INDEX(Aktiv!$E$6:$E$350,MATCH(A66,Aktiv!$A$6:$A$350,0)),0)*IFERROR(INDEX(Aktiv!$F$6:$F$350,MATCH(A66,Aktiv!$A$6:$A$350,0)),0)/1000000)/Steuerungsdaten!$B$6),1-1),0))</f>
        <v>253</v>
      </c>
      <c r="Q66" s="297">
        <f>IFERROR(INDEX(Aktiv!$J$6:$J$350,MATCH(A66,Aktiv!$A$6:$A$350,0)),"")</f>
        <v>987</v>
      </c>
      <c r="R66" s="298">
        <f t="shared" si="6"/>
        <v>734</v>
      </c>
      <c r="S66" s="296">
        <f t="shared" si="7"/>
        <v>2.9011857707509883</v>
      </c>
    </row>
    <row r="67" spans="1:19" x14ac:dyDescent="0.25">
      <c r="A67" s="292">
        <v>3220</v>
      </c>
      <c r="B67" s="292" t="s">
        <v>76</v>
      </c>
      <c r="C67" s="293">
        <f>IFERROR(INDEX(Aktiv!$O$6:$O$350,MATCH(A67,Aktiv!$A$6:$A$350,0)),"")</f>
        <v>264</v>
      </c>
      <c r="D67" s="293">
        <f>IF(C67="","",ROUND(C67*Steuerungsdaten!$B$4*Steuerungsdaten!$B$7*IFERROR(VLOOKUP(IFERROR(INDEX(Aktiv!$C$6:$C$350,MATCH(A67,Aktiv!$A$6:$A$350,0)),""),Steuerungsdaten!$B$17:$C$37,2,FALSE),1)*POWER(IF(OR(IFERROR(INDEX(Aktiv!$E$6:$E$350,MATCH(A67,Aktiv!$A$6:$A$350,0)),0)=0,IFERROR(INDEX(Aktiv!$F$6:$F$350,MATCH(A67,Aktiv!$A$6:$A$350,0)),0)=0),1,(IFERROR(INDEX(Aktiv!$E$6:$E$350,MATCH(A67,Aktiv!$A$6:$A$350,0)),0)*IFERROR(INDEX(Aktiv!$F$6:$F$350,MATCH(A67,Aktiv!$A$6:$A$350,0)),0)/1000000)/Steuerungsdaten!$B$6),IF(ISNUMBER(MATCH(IFERROR(INDEX(Aktiv!$C$6:$C$350,MATCH(A67,Aktiv!$A$6:$A$350,0)),""),{"Boden","Seite außen","Seite außen SY32","Rücken","Seite innen","Seite innen SY32","Seite innen SY32 DB","Fachboden klein","Fachboden groß","Klappenboden"},0)),1.2,1)-1),0))</f>
        <v>307</v>
      </c>
      <c r="E67" s="293">
        <f>IFERROR(INDEX(Aktiv!$G$6:$G$350,MATCH(A67,Aktiv!$A$6:$A$350,0)),"")</f>
        <v>247</v>
      </c>
      <c r="F67" s="294">
        <f t="shared" si="0"/>
        <v>-60</v>
      </c>
      <c r="G67" s="295">
        <f t="shared" si="1"/>
        <v>-0.19543973941368079</v>
      </c>
      <c r="H67" s="293">
        <f>IF(C67="","",ROUND(C67*Steuerungsdaten!$B$4*Steuerungsdaten!$B$8*IFERROR(VLOOKUP(IFERROR(INDEX(Aktiv!$C$6:$C$350,MATCH(A67,Aktiv!$A$6:$A$350,0)),""),Steuerungsdaten!$B$17:$E$37,4,FALSE),1)*POWER(IF(OR(IFERROR(INDEX(Aktiv!$E$6:$E$350,MATCH(A67,Aktiv!$A$6:$A$350,0)),0)=0,IFERROR(INDEX(Aktiv!$F$6:$F$350,MATCH(A67,Aktiv!$A$6:$A$350,0)),0)=0),1,(IFERROR(INDEX(Aktiv!$E$6:$E$350,MATCH(A67,Aktiv!$A$6:$A$350,0)),0)*IFERROR(INDEX(Aktiv!$F$6:$F$350,MATCH(A67,Aktiv!$A$6:$A$350,0)),0)/1000000)/Steuerungsdaten!$B$6),1-1),0))</f>
        <v>232</v>
      </c>
      <c r="I67" s="293">
        <f>IFERROR(INDEX(Aktiv!$H$6:$H$350,MATCH(A67,Aktiv!$A$6:$A$350,0)),"")</f>
        <v>847</v>
      </c>
      <c r="J67" s="294">
        <f t="shared" si="2"/>
        <v>615</v>
      </c>
      <c r="K67" s="296">
        <f t="shared" si="3"/>
        <v>2.6508620689655173</v>
      </c>
      <c r="L67" s="297">
        <f>IF(C67="","",ROUND(C67*Steuerungsdaten!$B$4*Steuerungsdaten!$B$9*IFERROR(VLOOKUP(IFERROR(INDEX(Aktiv!$C$6:$C$350,MATCH(A67,Aktiv!$A$6:$A$350,0)),""),Steuerungsdaten!$B$17:$G$37,6,FALSE),1)*POWER(IF(OR(IFERROR(INDEX(Aktiv!$E$6:$E$350,MATCH(A67,Aktiv!$A$6:$A$350,0)),0)=0,IFERROR(INDEX(Aktiv!$F$6:$F$350,MATCH(A67,Aktiv!$A$6:$A$350,0)),0)=0),1,(IFERROR(INDEX(Aktiv!$E$6:$E$350,MATCH(A67,Aktiv!$A$6:$A$350,0)),0)*IFERROR(INDEX(Aktiv!$F$6:$F$350,MATCH(A67,Aktiv!$A$6:$A$350,0)),0)/1000000)/Steuerungsdaten!$B$6),1-1),0))</f>
        <v>232</v>
      </c>
      <c r="M67" s="297">
        <f>IFERROR(INDEX(Aktiv!$I$6:$I$350,MATCH(A67,Aktiv!$A$6:$A$350,0)),"")</f>
        <v>883</v>
      </c>
      <c r="N67" s="298">
        <f t="shared" si="4"/>
        <v>651</v>
      </c>
      <c r="O67" s="296">
        <f t="shared" si="5"/>
        <v>2.8060344827586206</v>
      </c>
      <c r="P67" s="297">
        <f>IF(C67="","",ROUND(C67*Steuerungsdaten!$B$4*Steuerungsdaten!$B$10*IFERROR(VLOOKUP(IFERROR(INDEX(Aktiv!$C$6:$C$350,MATCH(A67,Aktiv!$A$6:$A$350,0)),""),Steuerungsdaten!$B$17:$I$37,8,FALSE),1)*POWER(IF(OR(IFERROR(INDEX(Aktiv!$E$6:$E$350,MATCH(A67,Aktiv!$A$6:$A$350,0)),0)=0,IFERROR(INDEX(Aktiv!$F$6:$F$350,MATCH(A67,Aktiv!$A$6:$A$350,0)),0)=0),1,(IFERROR(INDEX(Aktiv!$E$6:$E$350,MATCH(A67,Aktiv!$A$6:$A$350,0)),0)*IFERROR(INDEX(Aktiv!$F$6:$F$350,MATCH(A67,Aktiv!$A$6:$A$350,0)),0)/1000000)/Steuerungsdaten!$B$6),1-1),0))</f>
        <v>253</v>
      </c>
      <c r="Q67" s="297">
        <f>IFERROR(INDEX(Aktiv!$J$6:$J$350,MATCH(A67,Aktiv!$A$6:$A$350,0)),"")</f>
        <v>982</v>
      </c>
      <c r="R67" s="298">
        <f t="shared" si="6"/>
        <v>729</v>
      </c>
      <c r="S67" s="296">
        <f t="shared" si="7"/>
        <v>2.8814229249011856</v>
      </c>
    </row>
    <row r="68" spans="1:19" x14ac:dyDescent="0.25">
      <c r="A68" s="292">
        <v>3221</v>
      </c>
      <c r="B68" s="292" t="s">
        <v>77</v>
      </c>
      <c r="C68" s="293">
        <f>IFERROR(INDEX(Aktiv!$O$6:$O$350,MATCH(A68,Aktiv!$A$6:$A$350,0)),"")</f>
        <v>329</v>
      </c>
      <c r="D68" s="293">
        <f>IF(C68="","",ROUND(C68*Steuerungsdaten!$B$4*Steuerungsdaten!$B$7*IFERROR(VLOOKUP(IFERROR(INDEX(Aktiv!$C$6:$C$350,MATCH(A68,Aktiv!$A$6:$A$350,0)),""),Steuerungsdaten!$B$17:$C$37,2,FALSE),1)*POWER(IF(OR(IFERROR(INDEX(Aktiv!$E$6:$E$350,MATCH(A68,Aktiv!$A$6:$A$350,0)),0)=0,IFERROR(INDEX(Aktiv!$F$6:$F$350,MATCH(A68,Aktiv!$A$6:$A$350,0)),0)=0),1,(IFERROR(INDEX(Aktiv!$E$6:$E$350,MATCH(A68,Aktiv!$A$6:$A$350,0)),0)*IFERROR(INDEX(Aktiv!$F$6:$F$350,MATCH(A68,Aktiv!$A$6:$A$350,0)),0)/1000000)/Steuerungsdaten!$B$6),IF(ISNUMBER(MATCH(IFERROR(INDEX(Aktiv!$C$6:$C$350,MATCH(A68,Aktiv!$A$6:$A$350,0)),""),{"Boden","Seite außen","Seite außen SY32","Rücken","Seite innen","Seite innen SY32","Seite innen SY32 DB","Fachboden klein","Fachboden groß","Klappenboden"},0)),1.2,1)-1),0))</f>
        <v>400</v>
      </c>
      <c r="E68" s="293">
        <f>IFERROR(INDEX(Aktiv!$G$6:$G$350,MATCH(A68,Aktiv!$A$6:$A$350,0)),"")</f>
        <v>310</v>
      </c>
      <c r="F68" s="294">
        <f t="shared" si="0"/>
        <v>-90</v>
      </c>
      <c r="G68" s="295">
        <f t="shared" si="1"/>
        <v>-0.22500000000000001</v>
      </c>
      <c r="H68" s="293">
        <f>IF(C68="","",ROUND(C68*Steuerungsdaten!$B$4*Steuerungsdaten!$B$8*IFERROR(VLOOKUP(IFERROR(INDEX(Aktiv!$C$6:$C$350,MATCH(A68,Aktiv!$A$6:$A$350,0)),""),Steuerungsdaten!$B$17:$E$37,4,FALSE),1)*POWER(IF(OR(IFERROR(INDEX(Aktiv!$E$6:$E$350,MATCH(A68,Aktiv!$A$6:$A$350,0)),0)=0,IFERROR(INDEX(Aktiv!$F$6:$F$350,MATCH(A68,Aktiv!$A$6:$A$350,0)),0)=0),1,(IFERROR(INDEX(Aktiv!$E$6:$E$350,MATCH(A68,Aktiv!$A$6:$A$350,0)),0)*IFERROR(INDEX(Aktiv!$F$6:$F$350,MATCH(A68,Aktiv!$A$6:$A$350,0)),0)/1000000)/Steuerungsdaten!$B$6),1-1),0))</f>
        <v>290</v>
      </c>
      <c r="I68" s="293">
        <f>IFERROR(INDEX(Aktiv!$H$6:$H$350,MATCH(A68,Aktiv!$A$6:$A$350,0)),"")</f>
        <v>1064</v>
      </c>
      <c r="J68" s="294">
        <f t="shared" si="2"/>
        <v>774</v>
      </c>
      <c r="K68" s="296">
        <f t="shared" si="3"/>
        <v>2.6689655172413791</v>
      </c>
      <c r="L68" s="297">
        <f>IF(C68="","",ROUND(C68*Steuerungsdaten!$B$4*Steuerungsdaten!$B$9*IFERROR(VLOOKUP(IFERROR(INDEX(Aktiv!$C$6:$C$350,MATCH(A68,Aktiv!$A$6:$A$350,0)),""),Steuerungsdaten!$B$17:$G$37,6,FALSE),1)*POWER(IF(OR(IFERROR(INDEX(Aktiv!$E$6:$E$350,MATCH(A68,Aktiv!$A$6:$A$350,0)),0)=0,IFERROR(INDEX(Aktiv!$F$6:$F$350,MATCH(A68,Aktiv!$A$6:$A$350,0)),0)=0),1,(IFERROR(INDEX(Aktiv!$E$6:$E$350,MATCH(A68,Aktiv!$A$6:$A$350,0)),0)*IFERROR(INDEX(Aktiv!$F$6:$F$350,MATCH(A68,Aktiv!$A$6:$A$350,0)),0)/1000000)/Steuerungsdaten!$B$6),1-1),0))</f>
        <v>290</v>
      </c>
      <c r="M68" s="297">
        <f>IFERROR(INDEX(Aktiv!$I$6:$I$350,MATCH(A68,Aktiv!$A$6:$A$350,0)),"")</f>
        <v>1109</v>
      </c>
      <c r="N68" s="298">
        <f t="shared" si="4"/>
        <v>819</v>
      </c>
      <c r="O68" s="296">
        <f t="shared" si="5"/>
        <v>2.8241379310344827</v>
      </c>
      <c r="P68" s="297">
        <f>IF(C68="","",ROUND(C68*Steuerungsdaten!$B$4*Steuerungsdaten!$B$10*IFERROR(VLOOKUP(IFERROR(INDEX(Aktiv!$C$6:$C$350,MATCH(A68,Aktiv!$A$6:$A$350,0)),""),Steuerungsdaten!$B$17:$I$37,8,FALSE),1)*POWER(IF(OR(IFERROR(INDEX(Aktiv!$E$6:$E$350,MATCH(A68,Aktiv!$A$6:$A$350,0)),0)=0,IFERROR(INDEX(Aktiv!$F$6:$F$350,MATCH(A68,Aktiv!$A$6:$A$350,0)),0)=0),1,(IFERROR(INDEX(Aktiv!$E$6:$E$350,MATCH(A68,Aktiv!$A$6:$A$350,0)),0)*IFERROR(INDEX(Aktiv!$F$6:$F$350,MATCH(A68,Aktiv!$A$6:$A$350,0)),0)/1000000)/Steuerungsdaten!$B$6),1-1),0))</f>
        <v>316</v>
      </c>
      <c r="Q68" s="297">
        <f>IFERROR(INDEX(Aktiv!$J$6:$J$350,MATCH(A68,Aktiv!$A$6:$A$350,0)),"")</f>
        <v>1234</v>
      </c>
      <c r="R68" s="298">
        <f t="shared" si="6"/>
        <v>918</v>
      </c>
      <c r="S68" s="296">
        <f t="shared" si="7"/>
        <v>2.9050632911392404</v>
      </c>
    </row>
    <row r="69" spans="1:19" x14ac:dyDescent="0.25">
      <c r="A69" s="292">
        <v>3300</v>
      </c>
      <c r="B69" s="292" t="s">
        <v>79</v>
      </c>
      <c r="C69" s="293">
        <f>IFERROR(INDEX(Aktiv!$O$6:$O$350,MATCH(A69,Aktiv!$A$6:$A$350,0)),"")</f>
        <v>34</v>
      </c>
      <c r="D69" s="293">
        <f>IF(C69="","",ROUND(C69*Steuerungsdaten!$B$4*Steuerungsdaten!$B$7*IFERROR(VLOOKUP(IFERROR(INDEX(Aktiv!$C$6:$C$350,MATCH(A69,Aktiv!$A$6:$A$350,0)),""),Steuerungsdaten!$B$17:$C$37,2,FALSE),1)*POWER(IF(OR(IFERROR(INDEX(Aktiv!$E$6:$E$350,MATCH(A69,Aktiv!$A$6:$A$350,0)),0)=0,IFERROR(INDEX(Aktiv!$F$6:$F$350,MATCH(A69,Aktiv!$A$6:$A$350,0)),0)=0),1,(IFERROR(INDEX(Aktiv!$E$6:$E$350,MATCH(A69,Aktiv!$A$6:$A$350,0)),0)*IFERROR(INDEX(Aktiv!$F$6:$F$350,MATCH(A69,Aktiv!$A$6:$A$350,0)),0)/1000000)/Steuerungsdaten!$B$6),IF(ISNUMBER(MATCH(IFERROR(INDEX(Aktiv!$C$6:$C$350,MATCH(A69,Aktiv!$A$6:$A$350,0)),""),{"Boden","Seite außen","Seite außen SY32","Rücken","Seite innen","Seite innen SY32","Seite innen SY32 DB","Fachboden klein","Fachboden groß","Klappenboden"},0)),1.2,1)-1),0))</f>
        <v>21</v>
      </c>
      <c r="E69" s="293">
        <f>IFERROR(INDEX(Aktiv!$G$6:$G$350,MATCH(A69,Aktiv!$A$6:$A$350,0)),"")</f>
        <v>25</v>
      </c>
      <c r="F69" s="294">
        <f t="shared" ref="F69:F132" si="8">IF(OR(D69="",E69=""),"",E69-D69)</f>
        <v>4</v>
      </c>
      <c r="G69" s="295">
        <f t="shared" ref="G69:G132" si="9">IF(OR(D69="",E69="",D69=0),"",(E69-D69)/D69)</f>
        <v>0.19047619047619047</v>
      </c>
      <c r="H69" s="293">
        <f>IF(C69="","",ROUND(C69*Steuerungsdaten!$B$4*Steuerungsdaten!$B$8*IFERROR(VLOOKUP(IFERROR(INDEX(Aktiv!$C$6:$C$350,MATCH(A69,Aktiv!$A$6:$A$350,0)),""),Steuerungsdaten!$B$17:$E$37,4,FALSE),1)*POWER(IF(OR(IFERROR(INDEX(Aktiv!$E$6:$E$350,MATCH(A69,Aktiv!$A$6:$A$350,0)),0)=0,IFERROR(INDEX(Aktiv!$F$6:$F$350,MATCH(A69,Aktiv!$A$6:$A$350,0)),0)=0),1,(IFERROR(INDEX(Aktiv!$E$6:$E$350,MATCH(A69,Aktiv!$A$6:$A$350,0)),0)*IFERROR(INDEX(Aktiv!$F$6:$F$350,MATCH(A69,Aktiv!$A$6:$A$350,0)),0)/1000000)/Steuerungsdaten!$B$6),1-1),0))</f>
        <v>30</v>
      </c>
      <c r="I69" s="293">
        <f>IFERROR(INDEX(Aktiv!$H$6:$H$350,MATCH(A69,Aktiv!$A$6:$A$350,0)),"")</f>
        <v>103</v>
      </c>
      <c r="J69" s="294">
        <f t="shared" ref="J69:J132" si="10">IF(OR(H69="",I69=""),"",I69-H69)</f>
        <v>73</v>
      </c>
      <c r="K69" s="296">
        <f t="shared" ref="K69:K132" si="11">IF(OR(H69="",I69="",H69=0),"",(I69-H69)/H69)</f>
        <v>2.4333333333333331</v>
      </c>
      <c r="L69" s="297">
        <f>IF(C69="","",ROUND(C69*Steuerungsdaten!$B$4*Steuerungsdaten!$B$9*IFERROR(VLOOKUP(IFERROR(INDEX(Aktiv!$C$6:$C$350,MATCH(A69,Aktiv!$A$6:$A$350,0)),""),Steuerungsdaten!$B$17:$G$37,6,FALSE),1)*POWER(IF(OR(IFERROR(INDEX(Aktiv!$E$6:$E$350,MATCH(A69,Aktiv!$A$6:$A$350,0)),0)=0,IFERROR(INDEX(Aktiv!$F$6:$F$350,MATCH(A69,Aktiv!$A$6:$A$350,0)),0)=0),1,(IFERROR(INDEX(Aktiv!$E$6:$E$350,MATCH(A69,Aktiv!$A$6:$A$350,0)),0)*IFERROR(INDEX(Aktiv!$F$6:$F$350,MATCH(A69,Aktiv!$A$6:$A$350,0)),0)/1000000)/Steuerungsdaten!$B$6),1-1),0))</f>
        <v>30</v>
      </c>
      <c r="M69" s="297">
        <f>IFERROR(INDEX(Aktiv!$I$6:$I$350,MATCH(A69,Aktiv!$A$6:$A$350,0)),"")</f>
        <v>120</v>
      </c>
      <c r="N69" s="298">
        <f t="shared" ref="N69:N132" si="12">IF(OR(L69="",M69=""),"",M69-L69)</f>
        <v>90</v>
      </c>
      <c r="O69" s="296">
        <f t="shared" ref="O69:O132" si="13">IF(OR(L69="",M69="",L69=0),"",(M69-L69)/L69)</f>
        <v>3</v>
      </c>
      <c r="P69" s="297">
        <f>IF(C69="","",ROUND(C69*Steuerungsdaten!$B$4*Steuerungsdaten!$B$10*IFERROR(VLOOKUP(IFERROR(INDEX(Aktiv!$C$6:$C$350,MATCH(A69,Aktiv!$A$6:$A$350,0)),""),Steuerungsdaten!$B$17:$I$37,8,FALSE),1)*POWER(IF(OR(IFERROR(INDEX(Aktiv!$E$6:$E$350,MATCH(A69,Aktiv!$A$6:$A$350,0)),0)=0,IFERROR(INDEX(Aktiv!$F$6:$F$350,MATCH(A69,Aktiv!$A$6:$A$350,0)),0)=0),1,(IFERROR(INDEX(Aktiv!$E$6:$E$350,MATCH(A69,Aktiv!$A$6:$A$350,0)),0)*IFERROR(INDEX(Aktiv!$F$6:$F$350,MATCH(A69,Aktiv!$A$6:$A$350,0)),0)/1000000)/Steuerungsdaten!$B$6),1-1),0))</f>
        <v>33</v>
      </c>
      <c r="Q69" s="297">
        <f>IFERROR(INDEX(Aktiv!$J$6:$J$350,MATCH(A69,Aktiv!$A$6:$A$350,0)),"")</f>
        <v>145</v>
      </c>
      <c r="R69" s="298">
        <f t="shared" ref="R69:R132" si="14">IF(OR(P69="",Q69=""),"",Q69-P69)</f>
        <v>112</v>
      </c>
      <c r="S69" s="296">
        <f t="shared" ref="S69:S132" si="15">IF(OR(P69="",Q69="",P69=0),"",(Q69-P69)/P69)</f>
        <v>3.393939393939394</v>
      </c>
    </row>
    <row r="70" spans="1:19" x14ac:dyDescent="0.25">
      <c r="A70" s="292">
        <v>3301</v>
      </c>
      <c r="B70" s="292" t="s">
        <v>80</v>
      </c>
      <c r="C70" s="293">
        <f>IFERROR(INDEX(Aktiv!$O$6:$O$350,MATCH(A70,Aktiv!$A$6:$A$350,0)),"")</f>
        <v>34</v>
      </c>
      <c r="D70" s="293">
        <f>IF(C70="","",ROUND(C70*Steuerungsdaten!$B$4*Steuerungsdaten!$B$7*IFERROR(VLOOKUP(IFERROR(INDEX(Aktiv!$C$6:$C$350,MATCH(A70,Aktiv!$A$6:$A$350,0)),""),Steuerungsdaten!$B$17:$C$37,2,FALSE),1)*POWER(IF(OR(IFERROR(INDEX(Aktiv!$E$6:$E$350,MATCH(A70,Aktiv!$A$6:$A$350,0)),0)=0,IFERROR(INDEX(Aktiv!$F$6:$F$350,MATCH(A70,Aktiv!$A$6:$A$350,0)),0)=0),1,(IFERROR(INDEX(Aktiv!$E$6:$E$350,MATCH(A70,Aktiv!$A$6:$A$350,0)),0)*IFERROR(INDEX(Aktiv!$F$6:$F$350,MATCH(A70,Aktiv!$A$6:$A$350,0)),0)/1000000)/Steuerungsdaten!$B$6),IF(ISNUMBER(MATCH(IFERROR(INDEX(Aktiv!$C$6:$C$350,MATCH(A70,Aktiv!$A$6:$A$350,0)),""),{"Boden","Seite außen","Seite außen SY32","Rücken","Seite innen","Seite innen SY32","Seite innen SY32 DB","Fachboden klein","Fachboden groß","Klappenboden"},0)),1.2,1)-1),0))</f>
        <v>22</v>
      </c>
      <c r="E70" s="293">
        <f>IFERROR(INDEX(Aktiv!$G$6:$G$350,MATCH(A70,Aktiv!$A$6:$A$350,0)),"")</f>
        <v>25</v>
      </c>
      <c r="F70" s="294">
        <f t="shared" si="8"/>
        <v>3</v>
      </c>
      <c r="G70" s="295">
        <f t="shared" si="9"/>
        <v>0.13636363636363635</v>
      </c>
      <c r="H70" s="293">
        <f>IF(C70="","",ROUND(C70*Steuerungsdaten!$B$4*Steuerungsdaten!$B$8*IFERROR(VLOOKUP(IFERROR(INDEX(Aktiv!$C$6:$C$350,MATCH(A70,Aktiv!$A$6:$A$350,0)),""),Steuerungsdaten!$B$17:$E$37,4,FALSE),1)*POWER(IF(OR(IFERROR(INDEX(Aktiv!$E$6:$E$350,MATCH(A70,Aktiv!$A$6:$A$350,0)),0)=0,IFERROR(INDEX(Aktiv!$F$6:$F$350,MATCH(A70,Aktiv!$A$6:$A$350,0)),0)=0),1,(IFERROR(INDEX(Aktiv!$E$6:$E$350,MATCH(A70,Aktiv!$A$6:$A$350,0)),0)*IFERROR(INDEX(Aktiv!$F$6:$F$350,MATCH(A70,Aktiv!$A$6:$A$350,0)),0)/1000000)/Steuerungsdaten!$B$6),1-1),0))</f>
        <v>30</v>
      </c>
      <c r="I70" s="293">
        <f>IFERROR(INDEX(Aktiv!$H$6:$H$350,MATCH(A70,Aktiv!$A$6:$A$350,0)),"")</f>
        <v>103</v>
      </c>
      <c r="J70" s="294">
        <f t="shared" si="10"/>
        <v>73</v>
      </c>
      <c r="K70" s="296">
        <f t="shared" si="11"/>
        <v>2.4333333333333331</v>
      </c>
      <c r="L70" s="297">
        <f>IF(C70="","",ROUND(C70*Steuerungsdaten!$B$4*Steuerungsdaten!$B$9*IFERROR(VLOOKUP(IFERROR(INDEX(Aktiv!$C$6:$C$350,MATCH(A70,Aktiv!$A$6:$A$350,0)),""),Steuerungsdaten!$B$17:$G$37,6,FALSE),1)*POWER(IF(OR(IFERROR(INDEX(Aktiv!$E$6:$E$350,MATCH(A70,Aktiv!$A$6:$A$350,0)),0)=0,IFERROR(INDEX(Aktiv!$F$6:$F$350,MATCH(A70,Aktiv!$A$6:$A$350,0)),0)=0),1,(IFERROR(INDEX(Aktiv!$E$6:$E$350,MATCH(A70,Aktiv!$A$6:$A$350,0)),0)*IFERROR(INDEX(Aktiv!$F$6:$F$350,MATCH(A70,Aktiv!$A$6:$A$350,0)),0)/1000000)/Steuerungsdaten!$B$6),1-1),0))</f>
        <v>30</v>
      </c>
      <c r="M70" s="297">
        <f>IFERROR(INDEX(Aktiv!$I$6:$I$350,MATCH(A70,Aktiv!$A$6:$A$350,0)),"")</f>
        <v>120</v>
      </c>
      <c r="N70" s="298">
        <f t="shared" si="12"/>
        <v>90</v>
      </c>
      <c r="O70" s="296">
        <f t="shared" si="13"/>
        <v>3</v>
      </c>
      <c r="P70" s="297">
        <f>IF(C70="","",ROUND(C70*Steuerungsdaten!$B$4*Steuerungsdaten!$B$10*IFERROR(VLOOKUP(IFERROR(INDEX(Aktiv!$C$6:$C$350,MATCH(A70,Aktiv!$A$6:$A$350,0)),""),Steuerungsdaten!$B$17:$I$37,8,FALSE),1)*POWER(IF(OR(IFERROR(INDEX(Aktiv!$E$6:$E$350,MATCH(A70,Aktiv!$A$6:$A$350,0)),0)=0,IFERROR(INDEX(Aktiv!$F$6:$F$350,MATCH(A70,Aktiv!$A$6:$A$350,0)),0)=0),1,(IFERROR(INDEX(Aktiv!$E$6:$E$350,MATCH(A70,Aktiv!$A$6:$A$350,0)),0)*IFERROR(INDEX(Aktiv!$F$6:$F$350,MATCH(A70,Aktiv!$A$6:$A$350,0)),0)/1000000)/Steuerungsdaten!$B$6),1-1),0))</f>
        <v>33</v>
      </c>
      <c r="Q70" s="297">
        <f>IFERROR(INDEX(Aktiv!$J$6:$J$350,MATCH(A70,Aktiv!$A$6:$A$350,0)),"")</f>
        <v>145</v>
      </c>
      <c r="R70" s="298">
        <f t="shared" si="14"/>
        <v>112</v>
      </c>
      <c r="S70" s="296">
        <f t="shared" si="15"/>
        <v>3.393939393939394</v>
      </c>
    </row>
    <row r="71" spans="1:19" x14ac:dyDescent="0.25">
      <c r="A71" s="292">
        <v>3302</v>
      </c>
      <c r="B71" s="292" t="s">
        <v>81</v>
      </c>
      <c r="C71" s="293">
        <f>IFERROR(INDEX(Aktiv!$O$6:$O$350,MATCH(A71,Aktiv!$A$6:$A$350,0)),"")</f>
        <v>43</v>
      </c>
      <c r="D71" s="293">
        <f>IF(C71="","",ROUND(C71*Steuerungsdaten!$B$4*Steuerungsdaten!$B$7*IFERROR(VLOOKUP(IFERROR(INDEX(Aktiv!$C$6:$C$350,MATCH(A71,Aktiv!$A$6:$A$350,0)),""),Steuerungsdaten!$B$17:$C$37,2,FALSE),1)*POWER(IF(OR(IFERROR(INDEX(Aktiv!$E$6:$E$350,MATCH(A71,Aktiv!$A$6:$A$350,0)),0)=0,IFERROR(INDEX(Aktiv!$F$6:$F$350,MATCH(A71,Aktiv!$A$6:$A$350,0)),0)=0),1,(IFERROR(INDEX(Aktiv!$E$6:$E$350,MATCH(A71,Aktiv!$A$6:$A$350,0)),0)*IFERROR(INDEX(Aktiv!$F$6:$F$350,MATCH(A71,Aktiv!$A$6:$A$350,0)),0)/1000000)/Steuerungsdaten!$B$6),IF(ISNUMBER(MATCH(IFERROR(INDEX(Aktiv!$C$6:$C$350,MATCH(A71,Aktiv!$A$6:$A$350,0)),""),{"Boden","Seite außen","Seite außen SY32","Rücken","Seite innen","Seite innen SY32","Seite innen SY32 DB","Fachboden klein","Fachboden groß","Klappenboden"},0)),1.2,1)-1),0))</f>
        <v>30</v>
      </c>
      <c r="E71" s="293">
        <f>IFERROR(INDEX(Aktiv!$G$6:$G$350,MATCH(A71,Aktiv!$A$6:$A$350,0)),"")</f>
        <v>25</v>
      </c>
      <c r="F71" s="294">
        <f t="shared" si="8"/>
        <v>-5</v>
      </c>
      <c r="G71" s="295">
        <f t="shared" si="9"/>
        <v>-0.16666666666666666</v>
      </c>
      <c r="H71" s="293">
        <f>IF(C71="","",ROUND(C71*Steuerungsdaten!$B$4*Steuerungsdaten!$B$8*IFERROR(VLOOKUP(IFERROR(INDEX(Aktiv!$C$6:$C$350,MATCH(A71,Aktiv!$A$6:$A$350,0)),""),Steuerungsdaten!$B$17:$E$37,4,FALSE),1)*POWER(IF(OR(IFERROR(INDEX(Aktiv!$E$6:$E$350,MATCH(A71,Aktiv!$A$6:$A$350,0)),0)=0,IFERROR(INDEX(Aktiv!$F$6:$F$350,MATCH(A71,Aktiv!$A$6:$A$350,0)),0)=0),1,(IFERROR(INDEX(Aktiv!$E$6:$E$350,MATCH(A71,Aktiv!$A$6:$A$350,0)),0)*IFERROR(INDEX(Aktiv!$F$6:$F$350,MATCH(A71,Aktiv!$A$6:$A$350,0)),0)/1000000)/Steuerungsdaten!$B$6),1-1),0))</f>
        <v>38</v>
      </c>
      <c r="I71" s="293">
        <f>IFERROR(INDEX(Aktiv!$H$6:$H$350,MATCH(A71,Aktiv!$A$6:$A$350,0)),"")</f>
        <v>103</v>
      </c>
      <c r="J71" s="294">
        <f t="shared" si="10"/>
        <v>65</v>
      </c>
      <c r="K71" s="296">
        <f t="shared" si="11"/>
        <v>1.7105263157894737</v>
      </c>
      <c r="L71" s="297">
        <f>IF(C71="","",ROUND(C71*Steuerungsdaten!$B$4*Steuerungsdaten!$B$9*IFERROR(VLOOKUP(IFERROR(INDEX(Aktiv!$C$6:$C$350,MATCH(A71,Aktiv!$A$6:$A$350,0)),""),Steuerungsdaten!$B$17:$G$37,6,FALSE),1)*POWER(IF(OR(IFERROR(INDEX(Aktiv!$E$6:$E$350,MATCH(A71,Aktiv!$A$6:$A$350,0)),0)=0,IFERROR(INDEX(Aktiv!$F$6:$F$350,MATCH(A71,Aktiv!$A$6:$A$350,0)),0)=0),1,(IFERROR(INDEX(Aktiv!$E$6:$E$350,MATCH(A71,Aktiv!$A$6:$A$350,0)),0)*IFERROR(INDEX(Aktiv!$F$6:$F$350,MATCH(A71,Aktiv!$A$6:$A$350,0)),0)/1000000)/Steuerungsdaten!$B$6),1-1),0))</f>
        <v>38</v>
      </c>
      <c r="M71" s="297">
        <f>IFERROR(INDEX(Aktiv!$I$6:$I$350,MATCH(A71,Aktiv!$A$6:$A$350,0)),"")</f>
        <v>120</v>
      </c>
      <c r="N71" s="298">
        <f t="shared" si="12"/>
        <v>82</v>
      </c>
      <c r="O71" s="296">
        <f t="shared" si="13"/>
        <v>2.1578947368421053</v>
      </c>
      <c r="P71" s="297">
        <f>IF(C71="","",ROUND(C71*Steuerungsdaten!$B$4*Steuerungsdaten!$B$10*IFERROR(VLOOKUP(IFERROR(INDEX(Aktiv!$C$6:$C$350,MATCH(A71,Aktiv!$A$6:$A$350,0)),""),Steuerungsdaten!$B$17:$I$37,8,FALSE),1)*POWER(IF(OR(IFERROR(INDEX(Aktiv!$E$6:$E$350,MATCH(A71,Aktiv!$A$6:$A$350,0)),0)=0,IFERROR(INDEX(Aktiv!$F$6:$F$350,MATCH(A71,Aktiv!$A$6:$A$350,0)),0)=0),1,(IFERROR(INDEX(Aktiv!$E$6:$E$350,MATCH(A71,Aktiv!$A$6:$A$350,0)),0)*IFERROR(INDEX(Aktiv!$F$6:$F$350,MATCH(A71,Aktiv!$A$6:$A$350,0)),0)/1000000)/Steuerungsdaten!$B$6),1-1),0))</f>
        <v>41</v>
      </c>
      <c r="Q71" s="297">
        <f>IFERROR(INDEX(Aktiv!$J$6:$J$350,MATCH(A71,Aktiv!$A$6:$A$350,0)),"")</f>
        <v>145</v>
      </c>
      <c r="R71" s="298">
        <f t="shared" si="14"/>
        <v>104</v>
      </c>
      <c r="S71" s="296">
        <f t="shared" si="15"/>
        <v>2.5365853658536586</v>
      </c>
    </row>
    <row r="72" spans="1:19" x14ac:dyDescent="0.25">
      <c r="A72" s="292">
        <v>3303</v>
      </c>
      <c r="B72" s="292" t="s">
        <v>82</v>
      </c>
      <c r="C72" s="293">
        <f>IFERROR(INDEX(Aktiv!$O$6:$O$350,MATCH(A72,Aktiv!$A$6:$A$350,0)),"")</f>
        <v>56</v>
      </c>
      <c r="D72" s="293">
        <f>IF(C72="","",ROUND(C72*Steuerungsdaten!$B$4*Steuerungsdaten!$B$7*IFERROR(VLOOKUP(IFERROR(INDEX(Aktiv!$C$6:$C$350,MATCH(A72,Aktiv!$A$6:$A$350,0)),""),Steuerungsdaten!$B$17:$C$37,2,FALSE),1)*POWER(IF(OR(IFERROR(INDEX(Aktiv!$E$6:$E$350,MATCH(A72,Aktiv!$A$6:$A$350,0)),0)=0,IFERROR(INDEX(Aktiv!$F$6:$F$350,MATCH(A72,Aktiv!$A$6:$A$350,0)),0)=0),1,(IFERROR(INDEX(Aktiv!$E$6:$E$350,MATCH(A72,Aktiv!$A$6:$A$350,0)),0)*IFERROR(INDEX(Aktiv!$F$6:$F$350,MATCH(A72,Aktiv!$A$6:$A$350,0)),0)/1000000)/Steuerungsdaten!$B$6),IF(ISNUMBER(MATCH(IFERROR(INDEX(Aktiv!$C$6:$C$350,MATCH(A72,Aktiv!$A$6:$A$350,0)),""),{"Boden","Seite außen","Seite außen SY32","Rücken","Seite innen","Seite innen SY32","Seite innen SY32 DB","Fachboden klein","Fachboden groß","Klappenboden"},0)),1.2,1)-1),0))</f>
        <v>41</v>
      </c>
      <c r="E72" s="293">
        <f>IFERROR(INDEX(Aktiv!$G$6:$G$350,MATCH(A72,Aktiv!$A$6:$A$350,0)),"")</f>
        <v>25</v>
      </c>
      <c r="F72" s="294">
        <f t="shared" si="8"/>
        <v>-16</v>
      </c>
      <c r="G72" s="295">
        <f t="shared" si="9"/>
        <v>-0.3902439024390244</v>
      </c>
      <c r="H72" s="293">
        <f>IF(C72="","",ROUND(C72*Steuerungsdaten!$B$4*Steuerungsdaten!$B$8*IFERROR(VLOOKUP(IFERROR(INDEX(Aktiv!$C$6:$C$350,MATCH(A72,Aktiv!$A$6:$A$350,0)),""),Steuerungsdaten!$B$17:$E$37,4,FALSE),1)*POWER(IF(OR(IFERROR(INDEX(Aktiv!$E$6:$E$350,MATCH(A72,Aktiv!$A$6:$A$350,0)),0)=0,IFERROR(INDEX(Aktiv!$F$6:$F$350,MATCH(A72,Aktiv!$A$6:$A$350,0)),0)=0),1,(IFERROR(INDEX(Aktiv!$E$6:$E$350,MATCH(A72,Aktiv!$A$6:$A$350,0)),0)*IFERROR(INDEX(Aktiv!$F$6:$F$350,MATCH(A72,Aktiv!$A$6:$A$350,0)),0)/1000000)/Steuerungsdaten!$B$6),1-1),0))</f>
        <v>49</v>
      </c>
      <c r="I72" s="293">
        <f>IFERROR(INDEX(Aktiv!$H$6:$H$350,MATCH(A72,Aktiv!$A$6:$A$350,0)),"")</f>
        <v>103</v>
      </c>
      <c r="J72" s="294">
        <f t="shared" si="10"/>
        <v>54</v>
      </c>
      <c r="K72" s="296">
        <f t="shared" si="11"/>
        <v>1.1020408163265305</v>
      </c>
      <c r="L72" s="297">
        <f>IF(C72="","",ROUND(C72*Steuerungsdaten!$B$4*Steuerungsdaten!$B$9*IFERROR(VLOOKUP(IFERROR(INDEX(Aktiv!$C$6:$C$350,MATCH(A72,Aktiv!$A$6:$A$350,0)),""),Steuerungsdaten!$B$17:$G$37,6,FALSE),1)*POWER(IF(OR(IFERROR(INDEX(Aktiv!$E$6:$E$350,MATCH(A72,Aktiv!$A$6:$A$350,0)),0)=0,IFERROR(INDEX(Aktiv!$F$6:$F$350,MATCH(A72,Aktiv!$A$6:$A$350,0)),0)=0),1,(IFERROR(INDEX(Aktiv!$E$6:$E$350,MATCH(A72,Aktiv!$A$6:$A$350,0)),0)*IFERROR(INDEX(Aktiv!$F$6:$F$350,MATCH(A72,Aktiv!$A$6:$A$350,0)),0)/1000000)/Steuerungsdaten!$B$6),1-1),0))</f>
        <v>49</v>
      </c>
      <c r="M72" s="297">
        <f>IFERROR(INDEX(Aktiv!$I$6:$I$350,MATCH(A72,Aktiv!$A$6:$A$350,0)),"")</f>
        <v>120</v>
      </c>
      <c r="N72" s="298">
        <f t="shared" si="12"/>
        <v>71</v>
      </c>
      <c r="O72" s="296">
        <f t="shared" si="13"/>
        <v>1.4489795918367347</v>
      </c>
      <c r="P72" s="297">
        <f>IF(C72="","",ROUND(C72*Steuerungsdaten!$B$4*Steuerungsdaten!$B$10*IFERROR(VLOOKUP(IFERROR(INDEX(Aktiv!$C$6:$C$350,MATCH(A72,Aktiv!$A$6:$A$350,0)),""),Steuerungsdaten!$B$17:$I$37,8,FALSE),1)*POWER(IF(OR(IFERROR(INDEX(Aktiv!$E$6:$E$350,MATCH(A72,Aktiv!$A$6:$A$350,0)),0)=0,IFERROR(INDEX(Aktiv!$F$6:$F$350,MATCH(A72,Aktiv!$A$6:$A$350,0)),0)=0),1,(IFERROR(INDEX(Aktiv!$E$6:$E$350,MATCH(A72,Aktiv!$A$6:$A$350,0)),0)*IFERROR(INDEX(Aktiv!$F$6:$F$350,MATCH(A72,Aktiv!$A$6:$A$350,0)),0)/1000000)/Steuerungsdaten!$B$6),1-1),0))</f>
        <v>54</v>
      </c>
      <c r="Q72" s="297">
        <f>IFERROR(INDEX(Aktiv!$J$6:$J$350,MATCH(A72,Aktiv!$A$6:$A$350,0)),"")</f>
        <v>145</v>
      </c>
      <c r="R72" s="298">
        <f t="shared" si="14"/>
        <v>91</v>
      </c>
      <c r="S72" s="296">
        <f t="shared" si="15"/>
        <v>1.6851851851851851</v>
      </c>
    </row>
    <row r="73" spans="1:19" x14ac:dyDescent="0.25">
      <c r="A73" s="292">
        <v>3304</v>
      </c>
      <c r="B73" s="292" t="s">
        <v>83</v>
      </c>
      <c r="C73" s="293">
        <f>IFERROR(INDEX(Aktiv!$O$6:$O$350,MATCH(A73,Aktiv!$A$6:$A$350,0)),"")</f>
        <v>70</v>
      </c>
      <c r="D73" s="293">
        <f>IF(C73="","",ROUND(C73*Steuerungsdaten!$B$4*Steuerungsdaten!$B$7*IFERROR(VLOOKUP(IFERROR(INDEX(Aktiv!$C$6:$C$350,MATCH(A73,Aktiv!$A$6:$A$350,0)),""),Steuerungsdaten!$B$17:$C$37,2,FALSE),1)*POWER(IF(OR(IFERROR(INDEX(Aktiv!$E$6:$E$350,MATCH(A73,Aktiv!$A$6:$A$350,0)),0)=0,IFERROR(INDEX(Aktiv!$F$6:$F$350,MATCH(A73,Aktiv!$A$6:$A$350,0)),0)=0),1,(IFERROR(INDEX(Aktiv!$E$6:$E$350,MATCH(A73,Aktiv!$A$6:$A$350,0)),0)*IFERROR(INDEX(Aktiv!$F$6:$F$350,MATCH(A73,Aktiv!$A$6:$A$350,0)),0)/1000000)/Steuerungsdaten!$B$6),IF(ISNUMBER(MATCH(IFERROR(INDEX(Aktiv!$C$6:$C$350,MATCH(A73,Aktiv!$A$6:$A$350,0)),""),{"Boden","Seite außen","Seite außen SY32","Rücken","Seite innen","Seite innen SY32","Seite innen SY32 DB","Fachboden klein","Fachboden groß","Klappenboden"},0)),1.2,1)-1),0))</f>
        <v>54</v>
      </c>
      <c r="E73" s="293">
        <f>IFERROR(INDEX(Aktiv!$G$6:$G$350,MATCH(A73,Aktiv!$A$6:$A$350,0)),"")</f>
        <v>31</v>
      </c>
      <c r="F73" s="294">
        <f t="shared" si="8"/>
        <v>-23</v>
      </c>
      <c r="G73" s="295">
        <f t="shared" si="9"/>
        <v>-0.42592592592592593</v>
      </c>
      <c r="H73" s="293">
        <f>IF(C73="","",ROUND(C73*Steuerungsdaten!$B$4*Steuerungsdaten!$B$8*IFERROR(VLOOKUP(IFERROR(INDEX(Aktiv!$C$6:$C$350,MATCH(A73,Aktiv!$A$6:$A$350,0)),""),Steuerungsdaten!$B$17:$E$37,4,FALSE),1)*POWER(IF(OR(IFERROR(INDEX(Aktiv!$E$6:$E$350,MATCH(A73,Aktiv!$A$6:$A$350,0)),0)=0,IFERROR(INDEX(Aktiv!$F$6:$F$350,MATCH(A73,Aktiv!$A$6:$A$350,0)),0)=0),1,(IFERROR(INDEX(Aktiv!$E$6:$E$350,MATCH(A73,Aktiv!$A$6:$A$350,0)),0)*IFERROR(INDEX(Aktiv!$F$6:$F$350,MATCH(A73,Aktiv!$A$6:$A$350,0)),0)/1000000)/Steuerungsdaten!$B$6),1-1),0))</f>
        <v>62</v>
      </c>
      <c r="I73" s="293">
        <f>IFERROR(INDEX(Aktiv!$H$6:$H$350,MATCH(A73,Aktiv!$A$6:$A$350,0)),"")</f>
        <v>106</v>
      </c>
      <c r="J73" s="294">
        <f t="shared" si="10"/>
        <v>44</v>
      </c>
      <c r="K73" s="296">
        <f t="shared" si="11"/>
        <v>0.70967741935483875</v>
      </c>
      <c r="L73" s="297">
        <f>IF(C73="","",ROUND(C73*Steuerungsdaten!$B$4*Steuerungsdaten!$B$9*IFERROR(VLOOKUP(IFERROR(INDEX(Aktiv!$C$6:$C$350,MATCH(A73,Aktiv!$A$6:$A$350,0)),""),Steuerungsdaten!$B$17:$G$37,6,FALSE),1)*POWER(IF(OR(IFERROR(INDEX(Aktiv!$E$6:$E$350,MATCH(A73,Aktiv!$A$6:$A$350,0)),0)=0,IFERROR(INDEX(Aktiv!$F$6:$F$350,MATCH(A73,Aktiv!$A$6:$A$350,0)),0)=0),1,(IFERROR(INDEX(Aktiv!$E$6:$E$350,MATCH(A73,Aktiv!$A$6:$A$350,0)),0)*IFERROR(INDEX(Aktiv!$F$6:$F$350,MATCH(A73,Aktiv!$A$6:$A$350,0)),0)/1000000)/Steuerungsdaten!$B$6),1-1),0))</f>
        <v>62</v>
      </c>
      <c r="M73" s="297">
        <f>IFERROR(INDEX(Aktiv!$I$6:$I$350,MATCH(A73,Aktiv!$A$6:$A$350,0)),"")</f>
        <v>120</v>
      </c>
      <c r="N73" s="298">
        <f t="shared" si="12"/>
        <v>58</v>
      </c>
      <c r="O73" s="296">
        <f t="shared" si="13"/>
        <v>0.93548387096774188</v>
      </c>
      <c r="P73" s="297">
        <f>IF(C73="","",ROUND(C73*Steuerungsdaten!$B$4*Steuerungsdaten!$B$10*IFERROR(VLOOKUP(IFERROR(INDEX(Aktiv!$C$6:$C$350,MATCH(A73,Aktiv!$A$6:$A$350,0)),""),Steuerungsdaten!$B$17:$I$37,8,FALSE),1)*POWER(IF(OR(IFERROR(INDEX(Aktiv!$E$6:$E$350,MATCH(A73,Aktiv!$A$6:$A$350,0)),0)=0,IFERROR(INDEX(Aktiv!$F$6:$F$350,MATCH(A73,Aktiv!$A$6:$A$350,0)),0)=0),1,(IFERROR(INDEX(Aktiv!$E$6:$E$350,MATCH(A73,Aktiv!$A$6:$A$350,0)),0)*IFERROR(INDEX(Aktiv!$F$6:$F$350,MATCH(A73,Aktiv!$A$6:$A$350,0)),0)/1000000)/Steuerungsdaten!$B$6),1-1),0))</f>
        <v>67</v>
      </c>
      <c r="Q73" s="297">
        <f>IFERROR(INDEX(Aktiv!$J$6:$J$350,MATCH(A73,Aktiv!$A$6:$A$350,0)),"")</f>
        <v>145</v>
      </c>
      <c r="R73" s="298">
        <f t="shared" si="14"/>
        <v>78</v>
      </c>
      <c r="S73" s="296">
        <f t="shared" si="15"/>
        <v>1.164179104477612</v>
      </c>
    </row>
    <row r="74" spans="1:19" x14ac:dyDescent="0.25">
      <c r="A74" s="292">
        <v>3305</v>
      </c>
      <c r="B74" s="292" t="s">
        <v>84</v>
      </c>
      <c r="C74" s="293">
        <f>IFERROR(INDEX(Aktiv!$O$6:$O$350,MATCH(A74,Aktiv!$A$6:$A$350,0)),"")</f>
        <v>34</v>
      </c>
      <c r="D74" s="293">
        <f>IF(C74="","",ROUND(C74*Steuerungsdaten!$B$4*Steuerungsdaten!$B$7*IFERROR(VLOOKUP(IFERROR(INDEX(Aktiv!$C$6:$C$350,MATCH(A74,Aktiv!$A$6:$A$350,0)),""),Steuerungsdaten!$B$17:$C$37,2,FALSE),1)*POWER(IF(OR(IFERROR(INDEX(Aktiv!$E$6:$E$350,MATCH(A74,Aktiv!$A$6:$A$350,0)),0)=0,IFERROR(INDEX(Aktiv!$F$6:$F$350,MATCH(A74,Aktiv!$A$6:$A$350,0)),0)=0),1,(IFERROR(INDEX(Aktiv!$E$6:$E$350,MATCH(A74,Aktiv!$A$6:$A$350,0)),0)*IFERROR(INDEX(Aktiv!$F$6:$F$350,MATCH(A74,Aktiv!$A$6:$A$350,0)),0)/1000000)/Steuerungsdaten!$B$6),IF(ISNUMBER(MATCH(IFERROR(INDEX(Aktiv!$C$6:$C$350,MATCH(A74,Aktiv!$A$6:$A$350,0)),""),{"Boden","Seite außen","Seite außen SY32","Rücken","Seite innen","Seite innen SY32","Seite innen SY32 DB","Fachboden klein","Fachboden groß","Klappenboden"},0)),1.2,1)-1),0))</f>
        <v>25</v>
      </c>
      <c r="E74" s="293">
        <f>IFERROR(INDEX(Aktiv!$G$6:$G$350,MATCH(A74,Aktiv!$A$6:$A$350,0)),"")</f>
        <v>25</v>
      </c>
      <c r="F74" s="294">
        <f t="shared" si="8"/>
        <v>0</v>
      </c>
      <c r="G74" s="295">
        <f t="shared" si="9"/>
        <v>0</v>
      </c>
      <c r="H74" s="293">
        <f>IF(C74="","",ROUND(C74*Steuerungsdaten!$B$4*Steuerungsdaten!$B$8*IFERROR(VLOOKUP(IFERROR(INDEX(Aktiv!$C$6:$C$350,MATCH(A74,Aktiv!$A$6:$A$350,0)),""),Steuerungsdaten!$B$17:$E$37,4,FALSE),1)*POWER(IF(OR(IFERROR(INDEX(Aktiv!$E$6:$E$350,MATCH(A74,Aktiv!$A$6:$A$350,0)),0)=0,IFERROR(INDEX(Aktiv!$F$6:$F$350,MATCH(A74,Aktiv!$A$6:$A$350,0)),0)=0),1,(IFERROR(INDEX(Aktiv!$E$6:$E$350,MATCH(A74,Aktiv!$A$6:$A$350,0)),0)*IFERROR(INDEX(Aktiv!$F$6:$F$350,MATCH(A74,Aktiv!$A$6:$A$350,0)),0)/1000000)/Steuerungsdaten!$B$6),1-1),0))</f>
        <v>30</v>
      </c>
      <c r="I74" s="293">
        <f>IFERROR(INDEX(Aktiv!$H$6:$H$350,MATCH(A74,Aktiv!$A$6:$A$350,0)),"")</f>
        <v>103</v>
      </c>
      <c r="J74" s="294">
        <f t="shared" si="10"/>
        <v>73</v>
      </c>
      <c r="K74" s="296">
        <f t="shared" si="11"/>
        <v>2.4333333333333331</v>
      </c>
      <c r="L74" s="297">
        <f>IF(C74="","",ROUND(C74*Steuerungsdaten!$B$4*Steuerungsdaten!$B$9*IFERROR(VLOOKUP(IFERROR(INDEX(Aktiv!$C$6:$C$350,MATCH(A74,Aktiv!$A$6:$A$350,0)),""),Steuerungsdaten!$B$17:$G$37,6,FALSE),1)*POWER(IF(OR(IFERROR(INDEX(Aktiv!$E$6:$E$350,MATCH(A74,Aktiv!$A$6:$A$350,0)),0)=0,IFERROR(INDEX(Aktiv!$F$6:$F$350,MATCH(A74,Aktiv!$A$6:$A$350,0)),0)=0),1,(IFERROR(INDEX(Aktiv!$E$6:$E$350,MATCH(A74,Aktiv!$A$6:$A$350,0)),0)*IFERROR(INDEX(Aktiv!$F$6:$F$350,MATCH(A74,Aktiv!$A$6:$A$350,0)),0)/1000000)/Steuerungsdaten!$B$6),1-1),0))</f>
        <v>30</v>
      </c>
      <c r="M74" s="297">
        <f>IFERROR(INDEX(Aktiv!$I$6:$I$350,MATCH(A74,Aktiv!$A$6:$A$350,0)),"")</f>
        <v>120</v>
      </c>
      <c r="N74" s="298">
        <f t="shared" si="12"/>
        <v>90</v>
      </c>
      <c r="O74" s="296">
        <f t="shared" si="13"/>
        <v>3</v>
      </c>
      <c r="P74" s="297">
        <f>IF(C74="","",ROUND(C74*Steuerungsdaten!$B$4*Steuerungsdaten!$B$10*IFERROR(VLOOKUP(IFERROR(INDEX(Aktiv!$C$6:$C$350,MATCH(A74,Aktiv!$A$6:$A$350,0)),""),Steuerungsdaten!$B$17:$I$37,8,FALSE),1)*POWER(IF(OR(IFERROR(INDEX(Aktiv!$E$6:$E$350,MATCH(A74,Aktiv!$A$6:$A$350,0)),0)=0,IFERROR(INDEX(Aktiv!$F$6:$F$350,MATCH(A74,Aktiv!$A$6:$A$350,0)),0)=0),1,(IFERROR(INDEX(Aktiv!$E$6:$E$350,MATCH(A74,Aktiv!$A$6:$A$350,0)),0)*IFERROR(INDEX(Aktiv!$F$6:$F$350,MATCH(A74,Aktiv!$A$6:$A$350,0)),0)/1000000)/Steuerungsdaten!$B$6),1-1),0))</f>
        <v>33</v>
      </c>
      <c r="Q74" s="297">
        <f>IFERROR(INDEX(Aktiv!$J$6:$J$350,MATCH(A74,Aktiv!$A$6:$A$350,0)),"")</f>
        <v>145</v>
      </c>
      <c r="R74" s="298">
        <f t="shared" si="14"/>
        <v>112</v>
      </c>
      <c r="S74" s="296">
        <f t="shared" si="15"/>
        <v>3.393939393939394</v>
      </c>
    </row>
    <row r="75" spans="1:19" x14ac:dyDescent="0.25">
      <c r="A75" s="292">
        <v>3306</v>
      </c>
      <c r="B75" s="292" t="s">
        <v>85</v>
      </c>
      <c r="C75" s="293">
        <f>IFERROR(INDEX(Aktiv!$O$6:$O$350,MATCH(A75,Aktiv!$A$6:$A$350,0)),"")</f>
        <v>34</v>
      </c>
      <c r="D75" s="293">
        <f>IF(C75="","",ROUND(C75*Steuerungsdaten!$B$4*Steuerungsdaten!$B$7*IFERROR(VLOOKUP(IFERROR(INDEX(Aktiv!$C$6:$C$350,MATCH(A75,Aktiv!$A$6:$A$350,0)),""),Steuerungsdaten!$B$17:$C$37,2,FALSE),1)*POWER(IF(OR(IFERROR(INDEX(Aktiv!$E$6:$E$350,MATCH(A75,Aktiv!$A$6:$A$350,0)),0)=0,IFERROR(INDEX(Aktiv!$F$6:$F$350,MATCH(A75,Aktiv!$A$6:$A$350,0)),0)=0),1,(IFERROR(INDEX(Aktiv!$E$6:$E$350,MATCH(A75,Aktiv!$A$6:$A$350,0)),0)*IFERROR(INDEX(Aktiv!$F$6:$F$350,MATCH(A75,Aktiv!$A$6:$A$350,0)),0)/1000000)/Steuerungsdaten!$B$6),IF(ISNUMBER(MATCH(IFERROR(INDEX(Aktiv!$C$6:$C$350,MATCH(A75,Aktiv!$A$6:$A$350,0)),""),{"Boden","Seite außen","Seite außen SY32","Rücken","Seite innen","Seite innen SY32","Seite innen SY32 DB","Fachboden klein","Fachboden groß","Klappenboden"},0)),1.2,1)-1),0))</f>
        <v>25</v>
      </c>
      <c r="E75" s="293">
        <f>IFERROR(INDEX(Aktiv!$G$6:$G$350,MATCH(A75,Aktiv!$A$6:$A$350,0)),"")</f>
        <v>27</v>
      </c>
      <c r="F75" s="294">
        <f t="shared" si="8"/>
        <v>2</v>
      </c>
      <c r="G75" s="295">
        <f t="shared" si="9"/>
        <v>0.08</v>
      </c>
      <c r="H75" s="293">
        <f>IF(C75="","",ROUND(C75*Steuerungsdaten!$B$4*Steuerungsdaten!$B$8*IFERROR(VLOOKUP(IFERROR(INDEX(Aktiv!$C$6:$C$350,MATCH(A75,Aktiv!$A$6:$A$350,0)),""),Steuerungsdaten!$B$17:$E$37,4,FALSE),1)*POWER(IF(OR(IFERROR(INDEX(Aktiv!$E$6:$E$350,MATCH(A75,Aktiv!$A$6:$A$350,0)),0)=0,IFERROR(INDEX(Aktiv!$F$6:$F$350,MATCH(A75,Aktiv!$A$6:$A$350,0)),0)=0),1,(IFERROR(INDEX(Aktiv!$E$6:$E$350,MATCH(A75,Aktiv!$A$6:$A$350,0)),0)*IFERROR(INDEX(Aktiv!$F$6:$F$350,MATCH(A75,Aktiv!$A$6:$A$350,0)),0)/1000000)/Steuerungsdaten!$B$6),1-1),0))</f>
        <v>30</v>
      </c>
      <c r="I75" s="293">
        <f>IFERROR(INDEX(Aktiv!$H$6:$H$350,MATCH(A75,Aktiv!$A$6:$A$350,0)),"")</f>
        <v>103</v>
      </c>
      <c r="J75" s="294">
        <f t="shared" si="10"/>
        <v>73</v>
      </c>
      <c r="K75" s="296">
        <f t="shared" si="11"/>
        <v>2.4333333333333331</v>
      </c>
      <c r="L75" s="297">
        <f>IF(C75="","",ROUND(C75*Steuerungsdaten!$B$4*Steuerungsdaten!$B$9*IFERROR(VLOOKUP(IFERROR(INDEX(Aktiv!$C$6:$C$350,MATCH(A75,Aktiv!$A$6:$A$350,0)),""),Steuerungsdaten!$B$17:$G$37,6,FALSE),1)*POWER(IF(OR(IFERROR(INDEX(Aktiv!$E$6:$E$350,MATCH(A75,Aktiv!$A$6:$A$350,0)),0)=0,IFERROR(INDEX(Aktiv!$F$6:$F$350,MATCH(A75,Aktiv!$A$6:$A$350,0)),0)=0),1,(IFERROR(INDEX(Aktiv!$E$6:$E$350,MATCH(A75,Aktiv!$A$6:$A$350,0)),0)*IFERROR(INDEX(Aktiv!$F$6:$F$350,MATCH(A75,Aktiv!$A$6:$A$350,0)),0)/1000000)/Steuerungsdaten!$B$6),1-1),0))</f>
        <v>30</v>
      </c>
      <c r="M75" s="297">
        <f>IFERROR(INDEX(Aktiv!$I$6:$I$350,MATCH(A75,Aktiv!$A$6:$A$350,0)),"")</f>
        <v>120</v>
      </c>
      <c r="N75" s="298">
        <f t="shared" si="12"/>
        <v>90</v>
      </c>
      <c r="O75" s="296">
        <f t="shared" si="13"/>
        <v>3</v>
      </c>
      <c r="P75" s="297">
        <f>IF(C75="","",ROUND(C75*Steuerungsdaten!$B$4*Steuerungsdaten!$B$10*IFERROR(VLOOKUP(IFERROR(INDEX(Aktiv!$C$6:$C$350,MATCH(A75,Aktiv!$A$6:$A$350,0)),""),Steuerungsdaten!$B$17:$I$37,8,FALSE),1)*POWER(IF(OR(IFERROR(INDEX(Aktiv!$E$6:$E$350,MATCH(A75,Aktiv!$A$6:$A$350,0)),0)=0,IFERROR(INDEX(Aktiv!$F$6:$F$350,MATCH(A75,Aktiv!$A$6:$A$350,0)),0)=0),1,(IFERROR(INDEX(Aktiv!$E$6:$E$350,MATCH(A75,Aktiv!$A$6:$A$350,0)),0)*IFERROR(INDEX(Aktiv!$F$6:$F$350,MATCH(A75,Aktiv!$A$6:$A$350,0)),0)/1000000)/Steuerungsdaten!$B$6),1-1),0))</f>
        <v>33</v>
      </c>
      <c r="Q75" s="297">
        <f>IFERROR(INDEX(Aktiv!$J$6:$J$350,MATCH(A75,Aktiv!$A$6:$A$350,0)),"")</f>
        <v>145</v>
      </c>
      <c r="R75" s="298">
        <f t="shared" si="14"/>
        <v>112</v>
      </c>
      <c r="S75" s="296">
        <f t="shared" si="15"/>
        <v>3.393939393939394</v>
      </c>
    </row>
    <row r="76" spans="1:19" x14ac:dyDescent="0.25">
      <c r="A76" s="292">
        <v>3307</v>
      </c>
      <c r="B76" s="292" t="s">
        <v>86</v>
      </c>
      <c r="C76" s="293">
        <f>IFERROR(INDEX(Aktiv!$O$6:$O$350,MATCH(A76,Aktiv!$A$6:$A$350,0)),"")</f>
        <v>43</v>
      </c>
      <c r="D76" s="293">
        <f>IF(C76="","",ROUND(C76*Steuerungsdaten!$B$4*Steuerungsdaten!$B$7*IFERROR(VLOOKUP(IFERROR(INDEX(Aktiv!$C$6:$C$350,MATCH(A76,Aktiv!$A$6:$A$350,0)),""),Steuerungsdaten!$B$17:$C$37,2,FALSE),1)*POWER(IF(OR(IFERROR(INDEX(Aktiv!$E$6:$E$350,MATCH(A76,Aktiv!$A$6:$A$350,0)),0)=0,IFERROR(INDEX(Aktiv!$F$6:$F$350,MATCH(A76,Aktiv!$A$6:$A$350,0)),0)=0),1,(IFERROR(INDEX(Aktiv!$E$6:$E$350,MATCH(A76,Aktiv!$A$6:$A$350,0)),0)*IFERROR(INDEX(Aktiv!$F$6:$F$350,MATCH(A76,Aktiv!$A$6:$A$350,0)),0)/1000000)/Steuerungsdaten!$B$6),IF(ISNUMBER(MATCH(IFERROR(INDEX(Aktiv!$C$6:$C$350,MATCH(A76,Aktiv!$A$6:$A$350,0)),""),{"Boden","Seite außen","Seite außen SY32","Rücken","Seite innen","Seite innen SY32","Seite innen SY32 DB","Fachboden klein","Fachboden groß","Klappenboden"},0)),1.2,1)-1),0))</f>
        <v>34</v>
      </c>
      <c r="E76" s="293">
        <f>IFERROR(INDEX(Aktiv!$G$6:$G$350,MATCH(A76,Aktiv!$A$6:$A$350,0)),"")</f>
        <v>37</v>
      </c>
      <c r="F76" s="294">
        <f t="shared" si="8"/>
        <v>3</v>
      </c>
      <c r="G76" s="295">
        <f t="shared" si="9"/>
        <v>8.8235294117647065E-2</v>
      </c>
      <c r="H76" s="293">
        <f>IF(C76="","",ROUND(C76*Steuerungsdaten!$B$4*Steuerungsdaten!$B$8*IFERROR(VLOOKUP(IFERROR(INDEX(Aktiv!$C$6:$C$350,MATCH(A76,Aktiv!$A$6:$A$350,0)),""),Steuerungsdaten!$B$17:$E$37,4,FALSE),1)*POWER(IF(OR(IFERROR(INDEX(Aktiv!$E$6:$E$350,MATCH(A76,Aktiv!$A$6:$A$350,0)),0)=0,IFERROR(INDEX(Aktiv!$F$6:$F$350,MATCH(A76,Aktiv!$A$6:$A$350,0)),0)=0),1,(IFERROR(INDEX(Aktiv!$E$6:$E$350,MATCH(A76,Aktiv!$A$6:$A$350,0)),0)*IFERROR(INDEX(Aktiv!$F$6:$F$350,MATCH(A76,Aktiv!$A$6:$A$350,0)),0)/1000000)/Steuerungsdaten!$B$6),1-1),0))</f>
        <v>38</v>
      </c>
      <c r="I76" s="293">
        <f>IFERROR(INDEX(Aktiv!$H$6:$H$350,MATCH(A76,Aktiv!$A$6:$A$350,0)),"")</f>
        <v>126</v>
      </c>
      <c r="J76" s="294">
        <f t="shared" si="10"/>
        <v>88</v>
      </c>
      <c r="K76" s="296">
        <f t="shared" si="11"/>
        <v>2.3157894736842106</v>
      </c>
      <c r="L76" s="297">
        <f>IF(C76="","",ROUND(C76*Steuerungsdaten!$B$4*Steuerungsdaten!$B$9*IFERROR(VLOOKUP(IFERROR(INDEX(Aktiv!$C$6:$C$350,MATCH(A76,Aktiv!$A$6:$A$350,0)),""),Steuerungsdaten!$B$17:$G$37,6,FALSE),1)*POWER(IF(OR(IFERROR(INDEX(Aktiv!$E$6:$E$350,MATCH(A76,Aktiv!$A$6:$A$350,0)),0)=0,IFERROR(INDEX(Aktiv!$F$6:$F$350,MATCH(A76,Aktiv!$A$6:$A$350,0)),0)=0),1,(IFERROR(INDEX(Aktiv!$E$6:$E$350,MATCH(A76,Aktiv!$A$6:$A$350,0)),0)*IFERROR(INDEX(Aktiv!$F$6:$F$350,MATCH(A76,Aktiv!$A$6:$A$350,0)),0)/1000000)/Steuerungsdaten!$B$6),1-1),0))</f>
        <v>38</v>
      </c>
      <c r="M76" s="297">
        <f>IFERROR(INDEX(Aktiv!$I$6:$I$350,MATCH(A76,Aktiv!$A$6:$A$350,0)),"")</f>
        <v>131</v>
      </c>
      <c r="N76" s="298">
        <f t="shared" si="12"/>
        <v>93</v>
      </c>
      <c r="O76" s="296">
        <f t="shared" si="13"/>
        <v>2.4473684210526314</v>
      </c>
      <c r="P76" s="297">
        <f>IF(C76="","",ROUND(C76*Steuerungsdaten!$B$4*Steuerungsdaten!$B$10*IFERROR(VLOOKUP(IFERROR(INDEX(Aktiv!$C$6:$C$350,MATCH(A76,Aktiv!$A$6:$A$350,0)),""),Steuerungsdaten!$B$17:$I$37,8,FALSE),1)*POWER(IF(OR(IFERROR(INDEX(Aktiv!$E$6:$E$350,MATCH(A76,Aktiv!$A$6:$A$350,0)),0)=0,IFERROR(INDEX(Aktiv!$F$6:$F$350,MATCH(A76,Aktiv!$A$6:$A$350,0)),0)=0),1,(IFERROR(INDEX(Aktiv!$E$6:$E$350,MATCH(A76,Aktiv!$A$6:$A$350,0)),0)*IFERROR(INDEX(Aktiv!$F$6:$F$350,MATCH(A76,Aktiv!$A$6:$A$350,0)),0)/1000000)/Steuerungsdaten!$B$6),1-1),0))</f>
        <v>41</v>
      </c>
      <c r="Q76" s="297">
        <f>IFERROR(INDEX(Aktiv!$J$6:$J$350,MATCH(A76,Aktiv!$A$6:$A$350,0)),"")</f>
        <v>146</v>
      </c>
      <c r="R76" s="298">
        <f t="shared" si="14"/>
        <v>105</v>
      </c>
      <c r="S76" s="296">
        <f t="shared" si="15"/>
        <v>2.5609756097560976</v>
      </c>
    </row>
    <row r="77" spans="1:19" x14ac:dyDescent="0.25">
      <c r="A77" s="292">
        <v>3308</v>
      </c>
      <c r="B77" s="292" t="s">
        <v>87</v>
      </c>
      <c r="C77" s="293">
        <f>IFERROR(INDEX(Aktiv!$O$6:$O$350,MATCH(A77,Aktiv!$A$6:$A$350,0)),"")</f>
        <v>56</v>
      </c>
      <c r="D77" s="293">
        <f>IF(C77="","",ROUND(C77*Steuerungsdaten!$B$4*Steuerungsdaten!$B$7*IFERROR(VLOOKUP(IFERROR(INDEX(Aktiv!$C$6:$C$350,MATCH(A77,Aktiv!$A$6:$A$350,0)),""),Steuerungsdaten!$B$17:$C$37,2,FALSE),1)*POWER(IF(OR(IFERROR(INDEX(Aktiv!$E$6:$E$350,MATCH(A77,Aktiv!$A$6:$A$350,0)),0)=0,IFERROR(INDEX(Aktiv!$F$6:$F$350,MATCH(A77,Aktiv!$A$6:$A$350,0)),0)=0),1,(IFERROR(INDEX(Aktiv!$E$6:$E$350,MATCH(A77,Aktiv!$A$6:$A$350,0)),0)*IFERROR(INDEX(Aktiv!$F$6:$F$350,MATCH(A77,Aktiv!$A$6:$A$350,0)),0)/1000000)/Steuerungsdaten!$B$6),IF(ISNUMBER(MATCH(IFERROR(INDEX(Aktiv!$C$6:$C$350,MATCH(A77,Aktiv!$A$6:$A$350,0)),""),{"Boden","Seite außen","Seite außen SY32","Rücken","Seite innen","Seite innen SY32","Seite innen SY32 DB","Fachboden klein","Fachboden groß","Klappenboden"},0)),1.2,1)-1),0))</f>
        <v>47</v>
      </c>
      <c r="E77" s="293">
        <f>IFERROR(INDEX(Aktiv!$G$6:$G$350,MATCH(A77,Aktiv!$A$6:$A$350,0)),"")</f>
        <v>49</v>
      </c>
      <c r="F77" s="294">
        <f t="shared" si="8"/>
        <v>2</v>
      </c>
      <c r="G77" s="295">
        <f t="shared" si="9"/>
        <v>4.2553191489361701E-2</v>
      </c>
      <c r="H77" s="293">
        <f>IF(C77="","",ROUND(C77*Steuerungsdaten!$B$4*Steuerungsdaten!$B$8*IFERROR(VLOOKUP(IFERROR(INDEX(Aktiv!$C$6:$C$350,MATCH(A77,Aktiv!$A$6:$A$350,0)),""),Steuerungsdaten!$B$17:$E$37,4,FALSE),1)*POWER(IF(OR(IFERROR(INDEX(Aktiv!$E$6:$E$350,MATCH(A77,Aktiv!$A$6:$A$350,0)),0)=0,IFERROR(INDEX(Aktiv!$F$6:$F$350,MATCH(A77,Aktiv!$A$6:$A$350,0)),0)=0),1,(IFERROR(INDEX(Aktiv!$E$6:$E$350,MATCH(A77,Aktiv!$A$6:$A$350,0)),0)*IFERROR(INDEX(Aktiv!$F$6:$F$350,MATCH(A77,Aktiv!$A$6:$A$350,0)),0)/1000000)/Steuerungsdaten!$B$6),1-1),0))</f>
        <v>49</v>
      </c>
      <c r="I77" s="293">
        <f>IFERROR(INDEX(Aktiv!$H$6:$H$350,MATCH(A77,Aktiv!$A$6:$A$350,0)),"")</f>
        <v>169</v>
      </c>
      <c r="J77" s="294">
        <f t="shared" si="10"/>
        <v>120</v>
      </c>
      <c r="K77" s="296">
        <f t="shared" si="11"/>
        <v>2.4489795918367347</v>
      </c>
      <c r="L77" s="297">
        <f>IF(C77="","",ROUND(C77*Steuerungsdaten!$B$4*Steuerungsdaten!$B$9*IFERROR(VLOOKUP(IFERROR(INDEX(Aktiv!$C$6:$C$350,MATCH(A77,Aktiv!$A$6:$A$350,0)),""),Steuerungsdaten!$B$17:$G$37,6,FALSE),1)*POWER(IF(OR(IFERROR(INDEX(Aktiv!$E$6:$E$350,MATCH(A77,Aktiv!$A$6:$A$350,0)),0)=0,IFERROR(INDEX(Aktiv!$F$6:$F$350,MATCH(A77,Aktiv!$A$6:$A$350,0)),0)=0),1,(IFERROR(INDEX(Aktiv!$E$6:$E$350,MATCH(A77,Aktiv!$A$6:$A$350,0)),0)*IFERROR(INDEX(Aktiv!$F$6:$F$350,MATCH(A77,Aktiv!$A$6:$A$350,0)),0)/1000000)/Steuerungsdaten!$B$6),1-1),0))</f>
        <v>49</v>
      </c>
      <c r="M77" s="297">
        <f>IFERROR(INDEX(Aktiv!$I$6:$I$350,MATCH(A77,Aktiv!$A$6:$A$350,0)),"")</f>
        <v>177</v>
      </c>
      <c r="N77" s="298">
        <f t="shared" si="12"/>
        <v>128</v>
      </c>
      <c r="O77" s="296">
        <f t="shared" si="13"/>
        <v>2.6122448979591835</v>
      </c>
      <c r="P77" s="297">
        <f>IF(C77="","",ROUND(C77*Steuerungsdaten!$B$4*Steuerungsdaten!$B$10*IFERROR(VLOOKUP(IFERROR(INDEX(Aktiv!$C$6:$C$350,MATCH(A77,Aktiv!$A$6:$A$350,0)),""),Steuerungsdaten!$B$17:$I$37,8,FALSE),1)*POWER(IF(OR(IFERROR(INDEX(Aktiv!$E$6:$E$350,MATCH(A77,Aktiv!$A$6:$A$350,0)),0)=0,IFERROR(INDEX(Aktiv!$F$6:$F$350,MATCH(A77,Aktiv!$A$6:$A$350,0)),0)=0),1,(IFERROR(INDEX(Aktiv!$E$6:$E$350,MATCH(A77,Aktiv!$A$6:$A$350,0)),0)*IFERROR(INDEX(Aktiv!$F$6:$F$350,MATCH(A77,Aktiv!$A$6:$A$350,0)),0)/1000000)/Steuerungsdaten!$B$6),1-1),0))</f>
        <v>54</v>
      </c>
      <c r="Q77" s="297">
        <f>IFERROR(INDEX(Aktiv!$J$6:$J$350,MATCH(A77,Aktiv!$A$6:$A$350,0)),"")</f>
        <v>196</v>
      </c>
      <c r="R77" s="298">
        <f t="shared" si="14"/>
        <v>142</v>
      </c>
      <c r="S77" s="296">
        <f t="shared" si="15"/>
        <v>2.6296296296296298</v>
      </c>
    </row>
    <row r="78" spans="1:19" x14ac:dyDescent="0.25">
      <c r="A78" s="292">
        <v>3309</v>
      </c>
      <c r="B78" s="292" t="s">
        <v>88</v>
      </c>
      <c r="C78" s="293">
        <f>IFERROR(INDEX(Aktiv!$O$6:$O$350,MATCH(A78,Aktiv!$A$6:$A$350,0)),"")</f>
        <v>70</v>
      </c>
      <c r="D78" s="293">
        <f>IF(C78="","",ROUND(C78*Steuerungsdaten!$B$4*Steuerungsdaten!$B$7*IFERROR(VLOOKUP(IFERROR(INDEX(Aktiv!$C$6:$C$350,MATCH(A78,Aktiv!$A$6:$A$350,0)),""),Steuerungsdaten!$B$17:$C$37,2,FALSE),1)*POWER(IF(OR(IFERROR(INDEX(Aktiv!$E$6:$E$350,MATCH(A78,Aktiv!$A$6:$A$350,0)),0)=0,IFERROR(INDEX(Aktiv!$F$6:$F$350,MATCH(A78,Aktiv!$A$6:$A$350,0)),0)=0),1,(IFERROR(INDEX(Aktiv!$E$6:$E$350,MATCH(A78,Aktiv!$A$6:$A$350,0)),0)*IFERROR(INDEX(Aktiv!$F$6:$F$350,MATCH(A78,Aktiv!$A$6:$A$350,0)),0)/1000000)/Steuerungsdaten!$B$6),IF(ISNUMBER(MATCH(IFERROR(INDEX(Aktiv!$C$6:$C$350,MATCH(A78,Aktiv!$A$6:$A$350,0)),""),{"Boden","Seite außen","Seite außen SY32","Rücken","Seite innen","Seite innen SY32","Seite innen SY32 DB","Fachboden klein","Fachboden groß","Klappenboden"},0)),1.2,1)-1),0))</f>
        <v>62</v>
      </c>
      <c r="E78" s="293">
        <f>IFERROR(INDEX(Aktiv!$G$6:$G$350,MATCH(A78,Aktiv!$A$6:$A$350,0)),"")</f>
        <v>62</v>
      </c>
      <c r="F78" s="294">
        <f t="shared" si="8"/>
        <v>0</v>
      </c>
      <c r="G78" s="295">
        <f t="shared" si="9"/>
        <v>0</v>
      </c>
      <c r="H78" s="293">
        <f>IF(C78="","",ROUND(C78*Steuerungsdaten!$B$4*Steuerungsdaten!$B$8*IFERROR(VLOOKUP(IFERROR(INDEX(Aktiv!$C$6:$C$350,MATCH(A78,Aktiv!$A$6:$A$350,0)),""),Steuerungsdaten!$B$17:$E$37,4,FALSE),1)*POWER(IF(OR(IFERROR(INDEX(Aktiv!$E$6:$E$350,MATCH(A78,Aktiv!$A$6:$A$350,0)),0)=0,IFERROR(INDEX(Aktiv!$F$6:$F$350,MATCH(A78,Aktiv!$A$6:$A$350,0)),0)=0),1,(IFERROR(INDEX(Aktiv!$E$6:$E$350,MATCH(A78,Aktiv!$A$6:$A$350,0)),0)*IFERROR(INDEX(Aktiv!$F$6:$F$350,MATCH(A78,Aktiv!$A$6:$A$350,0)),0)/1000000)/Steuerungsdaten!$B$6),1-1),0))</f>
        <v>62</v>
      </c>
      <c r="I78" s="293">
        <f>IFERROR(INDEX(Aktiv!$H$6:$H$350,MATCH(A78,Aktiv!$A$6:$A$350,0)),"")</f>
        <v>213</v>
      </c>
      <c r="J78" s="294">
        <f t="shared" si="10"/>
        <v>151</v>
      </c>
      <c r="K78" s="296">
        <f t="shared" si="11"/>
        <v>2.435483870967742</v>
      </c>
      <c r="L78" s="297">
        <f>IF(C78="","",ROUND(C78*Steuerungsdaten!$B$4*Steuerungsdaten!$B$9*IFERROR(VLOOKUP(IFERROR(INDEX(Aktiv!$C$6:$C$350,MATCH(A78,Aktiv!$A$6:$A$350,0)),""),Steuerungsdaten!$B$17:$G$37,6,FALSE),1)*POWER(IF(OR(IFERROR(INDEX(Aktiv!$E$6:$E$350,MATCH(A78,Aktiv!$A$6:$A$350,0)),0)=0,IFERROR(INDEX(Aktiv!$F$6:$F$350,MATCH(A78,Aktiv!$A$6:$A$350,0)),0)=0),1,(IFERROR(INDEX(Aktiv!$E$6:$E$350,MATCH(A78,Aktiv!$A$6:$A$350,0)),0)*IFERROR(INDEX(Aktiv!$F$6:$F$350,MATCH(A78,Aktiv!$A$6:$A$350,0)),0)/1000000)/Steuerungsdaten!$B$6),1-1),0))</f>
        <v>62</v>
      </c>
      <c r="M78" s="297">
        <f>IFERROR(INDEX(Aktiv!$I$6:$I$350,MATCH(A78,Aktiv!$A$6:$A$350,0)),"")</f>
        <v>222</v>
      </c>
      <c r="N78" s="298">
        <f t="shared" si="12"/>
        <v>160</v>
      </c>
      <c r="O78" s="296">
        <f t="shared" si="13"/>
        <v>2.5806451612903225</v>
      </c>
      <c r="P78" s="297">
        <f>IF(C78="","",ROUND(C78*Steuerungsdaten!$B$4*Steuerungsdaten!$B$10*IFERROR(VLOOKUP(IFERROR(INDEX(Aktiv!$C$6:$C$350,MATCH(A78,Aktiv!$A$6:$A$350,0)),""),Steuerungsdaten!$B$17:$I$37,8,FALSE),1)*POWER(IF(OR(IFERROR(INDEX(Aktiv!$E$6:$E$350,MATCH(A78,Aktiv!$A$6:$A$350,0)),0)=0,IFERROR(INDEX(Aktiv!$F$6:$F$350,MATCH(A78,Aktiv!$A$6:$A$350,0)),0)=0),1,(IFERROR(INDEX(Aktiv!$E$6:$E$350,MATCH(A78,Aktiv!$A$6:$A$350,0)),0)*IFERROR(INDEX(Aktiv!$F$6:$F$350,MATCH(A78,Aktiv!$A$6:$A$350,0)),0)/1000000)/Steuerungsdaten!$B$6),1-1),0))</f>
        <v>67</v>
      </c>
      <c r="Q78" s="297">
        <f>IFERROR(INDEX(Aktiv!$J$6:$J$350,MATCH(A78,Aktiv!$A$6:$A$350,0)),"")</f>
        <v>247</v>
      </c>
      <c r="R78" s="298">
        <f t="shared" si="14"/>
        <v>180</v>
      </c>
      <c r="S78" s="296">
        <f t="shared" si="15"/>
        <v>2.6865671641791047</v>
      </c>
    </row>
    <row r="79" spans="1:19" x14ac:dyDescent="0.25">
      <c r="A79" s="292">
        <v>3310</v>
      </c>
      <c r="B79" s="292" t="s">
        <v>89</v>
      </c>
      <c r="C79" s="293">
        <f>IFERROR(INDEX(Aktiv!$O$6:$O$350,MATCH(A79,Aktiv!$A$6:$A$350,0)),"")</f>
        <v>52</v>
      </c>
      <c r="D79" s="293">
        <f>IF(C79="","",ROUND(C79*Steuerungsdaten!$B$4*Steuerungsdaten!$B$7*IFERROR(VLOOKUP(IFERROR(INDEX(Aktiv!$C$6:$C$350,MATCH(A79,Aktiv!$A$6:$A$350,0)),""),Steuerungsdaten!$B$17:$C$37,2,FALSE),1)*POWER(IF(OR(IFERROR(INDEX(Aktiv!$E$6:$E$350,MATCH(A79,Aktiv!$A$6:$A$350,0)),0)=0,IFERROR(INDEX(Aktiv!$F$6:$F$350,MATCH(A79,Aktiv!$A$6:$A$350,0)),0)=0),1,(IFERROR(INDEX(Aktiv!$E$6:$E$350,MATCH(A79,Aktiv!$A$6:$A$350,0)),0)*IFERROR(INDEX(Aktiv!$F$6:$F$350,MATCH(A79,Aktiv!$A$6:$A$350,0)),0)/1000000)/Steuerungsdaten!$B$6),IF(ISNUMBER(MATCH(IFERROR(INDEX(Aktiv!$C$6:$C$350,MATCH(A79,Aktiv!$A$6:$A$350,0)),""),{"Boden","Seite außen","Seite außen SY32","Rücken","Seite innen","Seite innen SY32","Seite innen SY32 DB","Fachboden klein","Fachboden groß","Klappenboden"},0)),1.2,1)-1),0))</f>
        <v>43</v>
      </c>
      <c r="E79" s="293">
        <f>IFERROR(INDEX(Aktiv!$G$6:$G$350,MATCH(A79,Aktiv!$A$6:$A$350,0)),"")</f>
        <v>46</v>
      </c>
      <c r="F79" s="294">
        <f t="shared" si="8"/>
        <v>3</v>
      </c>
      <c r="G79" s="295">
        <f t="shared" si="9"/>
        <v>6.9767441860465115E-2</v>
      </c>
      <c r="H79" s="293">
        <f>IF(C79="","",ROUND(C79*Steuerungsdaten!$B$4*Steuerungsdaten!$B$8*IFERROR(VLOOKUP(IFERROR(INDEX(Aktiv!$C$6:$C$350,MATCH(A79,Aktiv!$A$6:$A$350,0)),""),Steuerungsdaten!$B$17:$E$37,4,FALSE),1)*POWER(IF(OR(IFERROR(INDEX(Aktiv!$E$6:$E$350,MATCH(A79,Aktiv!$A$6:$A$350,0)),0)=0,IFERROR(INDEX(Aktiv!$F$6:$F$350,MATCH(A79,Aktiv!$A$6:$A$350,0)),0)=0),1,(IFERROR(INDEX(Aktiv!$E$6:$E$350,MATCH(A79,Aktiv!$A$6:$A$350,0)),0)*IFERROR(INDEX(Aktiv!$F$6:$F$350,MATCH(A79,Aktiv!$A$6:$A$350,0)),0)/1000000)/Steuerungsdaten!$B$6),1-1),0))</f>
        <v>46</v>
      </c>
      <c r="I79" s="293">
        <f>IFERROR(INDEX(Aktiv!$H$6:$H$350,MATCH(A79,Aktiv!$A$6:$A$350,0)),"")</f>
        <v>156</v>
      </c>
      <c r="J79" s="294">
        <f t="shared" si="10"/>
        <v>110</v>
      </c>
      <c r="K79" s="296">
        <f t="shared" si="11"/>
        <v>2.3913043478260869</v>
      </c>
      <c r="L79" s="297">
        <f>IF(C79="","",ROUND(C79*Steuerungsdaten!$B$4*Steuerungsdaten!$B$9*IFERROR(VLOOKUP(IFERROR(INDEX(Aktiv!$C$6:$C$350,MATCH(A79,Aktiv!$A$6:$A$350,0)),""),Steuerungsdaten!$B$17:$G$37,6,FALSE),1)*POWER(IF(OR(IFERROR(INDEX(Aktiv!$E$6:$E$350,MATCH(A79,Aktiv!$A$6:$A$350,0)),0)=0,IFERROR(INDEX(Aktiv!$F$6:$F$350,MATCH(A79,Aktiv!$A$6:$A$350,0)),0)=0),1,(IFERROR(INDEX(Aktiv!$E$6:$E$350,MATCH(A79,Aktiv!$A$6:$A$350,0)),0)*IFERROR(INDEX(Aktiv!$F$6:$F$350,MATCH(A79,Aktiv!$A$6:$A$350,0)),0)/1000000)/Steuerungsdaten!$B$6),1-1),0))</f>
        <v>46</v>
      </c>
      <c r="M79" s="297">
        <f>IFERROR(INDEX(Aktiv!$I$6:$I$350,MATCH(A79,Aktiv!$A$6:$A$350,0)),"")</f>
        <v>163</v>
      </c>
      <c r="N79" s="298">
        <f t="shared" si="12"/>
        <v>117</v>
      </c>
      <c r="O79" s="296">
        <f t="shared" si="13"/>
        <v>2.5434782608695654</v>
      </c>
      <c r="P79" s="297">
        <f>IF(C79="","",ROUND(C79*Steuerungsdaten!$B$4*Steuerungsdaten!$B$10*IFERROR(VLOOKUP(IFERROR(INDEX(Aktiv!$C$6:$C$350,MATCH(A79,Aktiv!$A$6:$A$350,0)),""),Steuerungsdaten!$B$17:$I$37,8,FALSE),1)*POWER(IF(OR(IFERROR(INDEX(Aktiv!$E$6:$E$350,MATCH(A79,Aktiv!$A$6:$A$350,0)),0)=0,IFERROR(INDEX(Aktiv!$F$6:$F$350,MATCH(A79,Aktiv!$A$6:$A$350,0)),0)=0),1,(IFERROR(INDEX(Aktiv!$E$6:$E$350,MATCH(A79,Aktiv!$A$6:$A$350,0)),0)*IFERROR(INDEX(Aktiv!$F$6:$F$350,MATCH(A79,Aktiv!$A$6:$A$350,0)),0)/1000000)/Steuerungsdaten!$B$6),1-1),0))</f>
        <v>50</v>
      </c>
      <c r="Q79" s="297">
        <f>IFERROR(INDEX(Aktiv!$J$6:$J$350,MATCH(A79,Aktiv!$A$6:$A$350,0)),"")</f>
        <v>181</v>
      </c>
      <c r="R79" s="298">
        <f t="shared" si="14"/>
        <v>131</v>
      </c>
      <c r="S79" s="296">
        <f t="shared" si="15"/>
        <v>2.62</v>
      </c>
    </row>
    <row r="80" spans="1:19" x14ac:dyDescent="0.25">
      <c r="A80" s="292">
        <v>3311</v>
      </c>
      <c r="B80" s="292" t="s">
        <v>90</v>
      </c>
      <c r="C80" s="293">
        <f>IFERROR(INDEX(Aktiv!$O$6:$O$350,MATCH(A80,Aktiv!$A$6:$A$350,0)),"")</f>
        <v>60</v>
      </c>
      <c r="D80" s="293">
        <f>IF(C80="","",ROUND(C80*Steuerungsdaten!$B$4*Steuerungsdaten!$B$7*IFERROR(VLOOKUP(IFERROR(INDEX(Aktiv!$C$6:$C$350,MATCH(A80,Aktiv!$A$6:$A$350,0)),""),Steuerungsdaten!$B$17:$C$37,2,FALSE),1)*POWER(IF(OR(IFERROR(INDEX(Aktiv!$E$6:$E$350,MATCH(A80,Aktiv!$A$6:$A$350,0)),0)=0,IFERROR(INDEX(Aktiv!$F$6:$F$350,MATCH(A80,Aktiv!$A$6:$A$350,0)),0)=0),1,(IFERROR(INDEX(Aktiv!$E$6:$E$350,MATCH(A80,Aktiv!$A$6:$A$350,0)),0)*IFERROR(INDEX(Aktiv!$F$6:$F$350,MATCH(A80,Aktiv!$A$6:$A$350,0)),0)/1000000)/Steuerungsdaten!$B$6),IF(ISNUMBER(MATCH(IFERROR(INDEX(Aktiv!$C$6:$C$350,MATCH(A80,Aktiv!$A$6:$A$350,0)),""),{"Boden","Seite außen","Seite außen SY32","Rücken","Seite innen","Seite innen SY32","Seite innen SY32 DB","Fachboden klein","Fachboden groß","Klappenboden"},0)),1.2,1)-1),0))</f>
        <v>51</v>
      </c>
      <c r="E80" s="293">
        <f>IFERROR(INDEX(Aktiv!$G$6:$G$350,MATCH(A80,Aktiv!$A$6:$A$350,0)),"")</f>
        <v>53</v>
      </c>
      <c r="F80" s="294">
        <f t="shared" si="8"/>
        <v>2</v>
      </c>
      <c r="G80" s="295">
        <f t="shared" si="9"/>
        <v>3.9215686274509803E-2</v>
      </c>
      <c r="H80" s="293">
        <f>IF(C80="","",ROUND(C80*Steuerungsdaten!$B$4*Steuerungsdaten!$B$8*IFERROR(VLOOKUP(IFERROR(INDEX(Aktiv!$C$6:$C$350,MATCH(A80,Aktiv!$A$6:$A$350,0)),""),Steuerungsdaten!$B$17:$E$37,4,FALSE),1)*POWER(IF(OR(IFERROR(INDEX(Aktiv!$E$6:$E$350,MATCH(A80,Aktiv!$A$6:$A$350,0)),0)=0,IFERROR(INDEX(Aktiv!$F$6:$F$350,MATCH(A80,Aktiv!$A$6:$A$350,0)),0)=0),1,(IFERROR(INDEX(Aktiv!$E$6:$E$350,MATCH(A80,Aktiv!$A$6:$A$350,0)),0)*IFERROR(INDEX(Aktiv!$F$6:$F$350,MATCH(A80,Aktiv!$A$6:$A$350,0)),0)/1000000)/Steuerungsdaten!$B$6),1-1),0))</f>
        <v>53</v>
      </c>
      <c r="I80" s="293">
        <f>IFERROR(INDEX(Aktiv!$H$6:$H$350,MATCH(A80,Aktiv!$A$6:$A$350,0)),"")</f>
        <v>182</v>
      </c>
      <c r="J80" s="294">
        <f t="shared" si="10"/>
        <v>129</v>
      </c>
      <c r="K80" s="296">
        <f t="shared" si="11"/>
        <v>2.4339622641509435</v>
      </c>
      <c r="L80" s="297">
        <f>IF(C80="","",ROUND(C80*Steuerungsdaten!$B$4*Steuerungsdaten!$B$9*IFERROR(VLOOKUP(IFERROR(INDEX(Aktiv!$C$6:$C$350,MATCH(A80,Aktiv!$A$6:$A$350,0)),""),Steuerungsdaten!$B$17:$G$37,6,FALSE),1)*POWER(IF(OR(IFERROR(INDEX(Aktiv!$E$6:$E$350,MATCH(A80,Aktiv!$A$6:$A$350,0)),0)=0,IFERROR(INDEX(Aktiv!$F$6:$F$350,MATCH(A80,Aktiv!$A$6:$A$350,0)),0)=0),1,(IFERROR(INDEX(Aktiv!$E$6:$E$350,MATCH(A80,Aktiv!$A$6:$A$350,0)),0)*IFERROR(INDEX(Aktiv!$F$6:$F$350,MATCH(A80,Aktiv!$A$6:$A$350,0)),0)/1000000)/Steuerungsdaten!$B$6),1-1),0))</f>
        <v>53</v>
      </c>
      <c r="M80" s="297">
        <f>IFERROR(INDEX(Aktiv!$I$6:$I$350,MATCH(A80,Aktiv!$A$6:$A$350,0)),"")</f>
        <v>190</v>
      </c>
      <c r="N80" s="298">
        <f t="shared" si="12"/>
        <v>137</v>
      </c>
      <c r="O80" s="296">
        <f t="shared" si="13"/>
        <v>2.5849056603773586</v>
      </c>
      <c r="P80" s="297">
        <f>IF(C80="","",ROUND(C80*Steuerungsdaten!$B$4*Steuerungsdaten!$B$10*IFERROR(VLOOKUP(IFERROR(INDEX(Aktiv!$C$6:$C$350,MATCH(A80,Aktiv!$A$6:$A$350,0)),""),Steuerungsdaten!$B$17:$I$37,8,FALSE),1)*POWER(IF(OR(IFERROR(INDEX(Aktiv!$E$6:$E$350,MATCH(A80,Aktiv!$A$6:$A$350,0)),0)=0,IFERROR(INDEX(Aktiv!$F$6:$F$350,MATCH(A80,Aktiv!$A$6:$A$350,0)),0)=0),1,(IFERROR(INDEX(Aktiv!$E$6:$E$350,MATCH(A80,Aktiv!$A$6:$A$350,0)),0)*IFERROR(INDEX(Aktiv!$F$6:$F$350,MATCH(A80,Aktiv!$A$6:$A$350,0)),0)/1000000)/Steuerungsdaten!$B$6),1-1),0))</f>
        <v>58</v>
      </c>
      <c r="Q80" s="297">
        <f>IFERROR(INDEX(Aktiv!$J$6:$J$350,MATCH(A80,Aktiv!$A$6:$A$350,0)),"")</f>
        <v>212</v>
      </c>
      <c r="R80" s="298">
        <f t="shared" si="14"/>
        <v>154</v>
      </c>
      <c r="S80" s="296">
        <f t="shared" si="15"/>
        <v>2.6551724137931036</v>
      </c>
    </row>
    <row r="81" spans="1:19" x14ac:dyDescent="0.25">
      <c r="A81" s="292">
        <v>3312</v>
      </c>
      <c r="B81" s="292" t="s">
        <v>91</v>
      </c>
      <c r="C81" s="293">
        <f>IFERROR(INDEX(Aktiv!$O$6:$O$350,MATCH(A81,Aktiv!$A$6:$A$350,0)),"")</f>
        <v>82</v>
      </c>
      <c r="D81" s="293">
        <f>IF(C81="","",ROUND(C81*Steuerungsdaten!$B$4*Steuerungsdaten!$B$7*IFERROR(VLOOKUP(IFERROR(INDEX(Aktiv!$C$6:$C$350,MATCH(A81,Aktiv!$A$6:$A$350,0)),""),Steuerungsdaten!$B$17:$C$37,2,FALSE),1)*POWER(IF(OR(IFERROR(INDEX(Aktiv!$E$6:$E$350,MATCH(A81,Aktiv!$A$6:$A$350,0)),0)=0,IFERROR(INDEX(Aktiv!$F$6:$F$350,MATCH(A81,Aktiv!$A$6:$A$350,0)),0)=0),1,(IFERROR(INDEX(Aktiv!$E$6:$E$350,MATCH(A81,Aktiv!$A$6:$A$350,0)),0)*IFERROR(INDEX(Aktiv!$F$6:$F$350,MATCH(A81,Aktiv!$A$6:$A$350,0)),0)/1000000)/Steuerungsdaten!$B$6),IF(ISNUMBER(MATCH(IFERROR(INDEX(Aktiv!$C$6:$C$350,MATCH(A81,Aktiv!$A$6:$A$350,0)),""),{"Boden","Seite außen","Seite außen SY32","Rücken","Seite innen","Seite innen SY32","Seite innen SY32 DB","Fachboden klein","Fachboden groß","Klappenboden"},0)),1.2,1)-1),0))</f>
        <v>75</v>
      </c>
      <c r="E81" s="293">
        <f>IFERROR(INDEX(Aktiv!$G$6:$G$350,MATCH(A81,Aktiv!$A$6:$A$350,0)),"")</f>
        <v>73</v>
      </c>
      <c r="F81" s="294">
        <f t="shared" si="8"/>
        <v>-2</v>
      </c>
      <c r="G81" s="295">
        <f t="shared" si="9"/>
        <v>-2.6666666666666668E-2</v>
      </c>
      <c r="H81" s="293">
        <f>IF(C81="","",ROUND(C81*Steuerungsdaten!$B$4*Steuerungsdaten!$B$8*IFERROR(VLOOKUP(IFERROR(INDEX(Aktiv!$C$6:$C$350,MATCH(A81,Aktiv!$A$6:$A$350,0)),""),Steuerungsdaten!$B$17:$E$37,4,FALSE),1)*POWER(IF(OR(IFERROR(INDEX(Aktiv!$E$6:$E$350,MATCH(A81,Aktiv!$A$6:$A$350,0)),0)=0,IFERROR(INDEX(Aktiv!$F$6:$F$350,MATCH(A81,Aktiv!$A$6:$A$350,0)),0)=0),1,(IFERROR(INDEX(Aktiv!$E$6:$E$350,MATCH(A81,Aktiv!$A$6:$A$350,0)),0)*IFERROR(INDEX(Aktiv!$F$6:$F$350,MATCH(A81,Aktiv!$A$6:$A$350,0)),0)/1000000)/Steuerungsdaten!$B$6),1-1),0))</f>
        <v>72</v>
      </c>
      <c r="I81" s="293">
        <f>IFERROR(INDEX(Aktiv!$H$6:$H$350,MATCH(A81,Aktiv!$A$6:$A$350,0)),"")</f>
        <v>252</v>
      </c>
      <c r="J81" s="294">
        <f t="shared" si="10"/>
        <v>180</v>
      </c>
      <c r="K81" s="296">
        <f t="shared" si="11"/>
        <v>2.5</v>
      </c>
      <c r="L81" s="297">
        <f>IF(C81="","",ROUND(C81*Steuerungsdaten!$B$4*Steuerungsdaten!$B$9*IFERROR(VLOOKUP(IFERROR(INDEX(Aktiv!$C$6:$C$350,MATCH(A81,Aktiv!$A$6:$A$350,0)),""),Steuerungsdaten!$B$17:$G$37,6,FALSE),1)*POWER(IF(OR(IFERROR(INDEX(Aktiv!$E$6:$E$350,MATCH(A81,Aktiv!$A$6:$A$350,0)),0)=0,IFERROR(INDEX(Aktiv!$F$6:$F$350,MATCH(A81,Aktiv!$A$6:$A$350,0)),0)=0),1,(IFERROR(INDEX(Aktiv!$E$6:$E$350,MATCH(A81,Aktiv!$A$6:$A$350,0)),0)*IFERROR(INDEX(Aktiv!$F$6:$F$350,MATCH(A81,Aktiv!$A$6:$A$350,0)),0)/1000000)/Steuerungsdaten!$B$6),1-1),0))</f>
        <v>72</v>
      </c>
      <c r="M81" s="297">
        <f>IFERROR(INDEX(Aktiv!$I$6:$I$350,MATCH(A81,Aktiv!$A$6:$A$350,0)),"")</f>
        <v>262</v>
      </c>
      <c r="N81" s="298">
        <f t="shared" si="12"/>
        <v>190</v>
      </c>
      <c r="O81" s="296">
        <f t="shared" si="13"/>
        <v>2.6388888888888888</v>
      </c>
      <c r="P81" s="297">
        <f>IF(C81="","",ROUND(C81*Steuerungsdaten!$B$4*Steuerungsdaten!$B$10*IFERROR(VLOOKUP(IFERROR(INDEX(Aktiv!$C$6:$C$350,MATCH(A81,Aktiv!$A$6:$A$350,0)),""),Steuerungsdaten!$B$17:$I$37,8,FALSE),1)*POWER(IF(OR(IFERROR(INDEX(Aktiv!$E$6:$E$350,MATCH(A81,Aktiv!$A$6:$A$350,0)),0)=0,IFERROR(INDEX(Aktiv!$F$6:$F$350,MATCH(A81,Aktiv!$A$6:$A$350,0)),0)=0),1,(IFERROR(INDEX(Aktiv!$E$6:$E$350,MATCH(A81,Aktiv!$A$6:$A$350,0)),0)*IFERROR(INDEX(Aktiv!$F$6:$F$350,MATCH(A81,Aktiv!$A$6:$A$350,0)),0)/1000000)/Steuerungsdaten!$B$6),1-1),0))</f>
        <v>79</v>
      </c>
      <c r="Q81" s="297">
        <f>IFERROR(INDEX(Aktiv!$J$6:$J$350,MATCH(A81,Aktiv!$A$6:$A$350,0)),"")</f>
        <v>292</v>
      </c>
      <c r="R81" s="298">
        <f t="shared" si="14"/>
        <v>213</v>
      </c>
      <c r="S81" s="296">
        <f t="shared" si="15"/>
        <v>2.6962025316455698</v>
      </c>
    </row>
    <row r="82" spans="1:19" x14ac:dyDescent="0.25">
      <c r="A82" s="292">
        <v>3313</v>
      </c>
      <c r="B82" s="292" t="s">
        <v>92</v>
      </c>
      <c r="C82" s="293">
        <f>IFERROR(INDEX(Aktiv!$O$6:$O$350,MATCH(A82,Aktiv!$A$6:$A$350,0)),"")</f>
        <v>107</v>
      </c>
      <c r="D82" s="293">
        <f>IF(C82="","",ROUND(C82*Steuerungsdaten!$B$4*Steuerungsdaten!$B$7*IFERROR(VLOOKUP(IFERROR(INDEX(Aktiv!$C$6:$C$350,MATCH(A82,Aktiv!$A$6:$A$350,0)),""),Steuerungsdaten!$B$17:$C$37,2,FALSE),1)*POWER(IF(OR(IFERROR(INDEX(Aktiv!$E$6:$E$350,MATCH(A82,Aktiv!$A$6:$A$350,0)),0)=0,IFERROR(INDEX(Aktiv!$F$6:$F$350,MATCH(A82,Aktiv!$A$6:$A$350,0)),0)=0),1,(IFERROR(INDEX(Aktiv!$E$6:$E$350,MATCH(A82,Aktiv!$A$6:$A$350,0)),0)*IFERROR(INDEX(Aktiv!$F$6:$F$350,MATCH(A82,Aktiv!$A$6:$A$350,0)),0)/1000000)/Steuerungsdaten!$B$6),IF(ISNUMBER(MATCH(IFERROR(INDEX(Aktiv!$C$6:$C$350,MATCH(A82,Aktiv!$A$6:$A$350,0)),""),{"Boden","Seite außen","Seite außen SY32","Rücken","Seite innen","Seite innen SY32","Seite innen SY32 DB","Fachboden klein","Fachboden groß","Klappenboden"},0)),1.2,1)-1),0))</f>
        <v>103</v>
      </c>
      <c r="E82" s="293">
        <f>IFERROR(INDEX(Aktiv!$G$6:$G$350,MATCH(A82,Aktiv!$A$6:$A$350,0)),"")</f>
        <v>99</v>
      </c>
      <c r="F82" s="294">
        <f t="shared" si="8"/>
        <v>-4</v>
      </c>
      <c r="G82" s="295">
        <f t="shared" si="9"/>
        <v>-3.8834951456310676E-2</v>
      </c>
      <c r="H82" s="293">
        <f>IF(C82="","",ROUND(C82*Steuerungsdaten!$B$4*Steuerungsdaten!$B$8*IFERROR(VLOOKUP(IFERROR(INDEX(Aktiv!$C$6:$C$350,MATCH(A82,Aktiv!$A$6:$A$350,0)),""),Steuerungsdaten!$B$17:$E$37,4,FALSE),1)*POWER(IF(OR(IFERROR(INDEX(Aktiv!$E$6:$E$350,MATCH(A82,Aktiv!$A$6:$A$350,0)),0)=0,IFERROR(INDEX(Aktiv!$F$6:$F$350,MATCH(A82,Aktiv!$A$6:$A$350,0)),0)=0),1,(IFERROR(INDEX(Aktiv!$E$6:$E$350,MATCH(A82,Aktiv!$A$6:$A$350,0)),0)*IFERROR(INDEX(Aktiv!$F$6:$F$350,MATCH(A82,Aktiv!$A$6:$A$350,0)),0)/1000000)/Steuerungsdaten!$B$6),1-1),0))</f>
        <v>94</v>
      </c>
      <c r="I82" s="293">
        <f>IFERROR(INDEX(Aktiv!$H$6:$H$350,MATCH(A82,Aktiv!$A$6:$A$350,0)),"")</f>
        <v>339</v>
      </c>
      <c r="J82" s="294">
        <f t="shared" si="10"/>
        <v>245</v>
      </c>
      <c r="K82" s="296">
        <f t="shared" si="11"/>
        <v>2.6063829787234041</v>
      </c>
      <c r="L82" s="297">
        <f>IF(C82="","",ROUND(C82*Steuerungsdaten!$B$4*Steuerungsdaten!$B$9*IFERROR(VLOOKUP(IFERROR(INDEX(Aktiv!$C$6:$C$350,MATCH(A82,Aktiv!$A$6:$A$350,0)),""),Steuerungsdaten!$B$17:$G$37,6,FALSE),1)*POWER(IF(OR(IFERROR(INDEX(Aktiv!$E$6:$E$350,MATCH(A82,Aktiv!$A$6:$A$350,0)),0)=0,IFERROR(INDEX(Aktiv!$F$6:$F$350,MATCH(A82,Aktiv!$A$6:$A$350,0)),0)=0),1,(IFERROR(INDEX(Aktiv!$E$6:$E$350,MATCH(A82,Aktiv!$A$6:$A$350,0)),0)*IFERROR(INDEX(Aktiv!$F$6:$F$350,MATCH(A82,Aktiv!$A$6:$A$350,0)),0)/1000000)/Steuerungsdaten!$B$6),1-1),0))</f>
        <v>94</v>
      </c>
      <c r="M82" s="297">
        <f>IFERROR(INDEX(Aktiv!$I$6:$I$350,MATCH(A82,Aktiv!$A$6:$A$350,0)),"")</f>
        <v>353</v>
      </c>
      <c r="N82" s="298">
        <f t="shared" si="12"/>
        <v>259</v>
      </c>
      <c r="O82" s="296">
        <f t="shared" si="13"/>
        <v>2.7553191489361701</v>
      </c>
      <c r="P82" s="297">
        <f>IF(C82="","",ROUND(C82*Steuerungsdaten!$B$4*Steuerungsdaten!$B$10*IFERROR(VLOOKUP(IFERROR(INDEX(Aktiv!$C$6:$C$350,MATCH(A82,Aktiv!$A$6:$A$350,0)),""),Steuerungsdaten!$B$17:$I$37,8,FALSE),1)*POWER(IF(OR(IFERROR(INDEX(Aktiv!$E$6:$E$350,MATCH(A82,Aktiv!$A$6:$A$350,0)),0)=0,IFERROR(INDEX(Aktiv!$F$6:$F$350,MATCH(A82,Aktiv!$A$6:$A$350,0)),0)=0),1,(IFERROR(INDEX(Aktiv!$E$6:$E$350,MATCH(A82,Aktiv!$A$6:$A$350,0)),0)*IFERROR(INDEX(Aktiv!$F$6:$F$350,MATCH(A82,Aktiv!$A$6:$A$350,0)),0)/1000000)/Steuerungsdaten!$B$6),1-1),0))</f>
        <v>103</v>
      </c>
      <c r="Q82" s="297">
        <f>IFERROR(INDEX(Aktiv!$J$6:$J$350,MATCH(A82,Aktiv!$A$6:$A$350,0)),"")</f>
        <v>393</v>
      </c>
      <c r="R82" s="298">
        <f t="shared" si="14"/>
        <v>290</v>
      </c>
      <c r="S82" s="296">
        <f t="shared" si="15"/>
        <v>2.8155339805825244</v>
      </c>
    </row>
    <row r="83" spans="1:19" x14ac:dyDescent="0.25">
      <c r="A83" s="292">
        <v>3314</v>
      </c>
      <c r="B83" s="292" t="s">
        <v>93</v>
      </c>
      <c r="C83" s="293">
        <f>IFERROR(INDEX(Aktiv!$O$6:$O$350,MATCH(A83,Aktiv!$A$6:$A$350,0)),"")</f>
        <v>134</v>
      </c>
      <c r="D83" s="293">
        <f>IF(C83="","",ROUND(C83*Steuerungsdaten!$B$4*Steuerungsdaten!$B$7*IFERROR(VLOOKUP(IFERROR(INDEX(Aktiv!$C$6:$C$350,MATCH(A83,Aktiv!$A$6:$A$350,0)),""),Steuerungsdaten!$B$17:$C$37,2,FALSE),1)*POWER(IF(OR(IFERROR(INDEX(Aktiv!$E$6:$E$350,MATCH(A83,Aktiv!$A$6:$A$350,0)),0)=0,IFERROR(INDEX(Aktiv!$F$6:$F$350,MATCH(A83,Aktiv!$A$6:$A$350,0)),0)=0),1,(IFERROR(INDEX(Aktiv!$E$6:$E$350,MATCH(A83,Aktiv!$A$6:$A$350,0)),0)*IFERROR(INDEX(Aktiv!$F$6:$F$350,MATCH(A83,Aktiv!$A$6:$A$350,0)),0)/1000000)/Steuerungsdaten!$B$6),IF(ISNUMBER(MATCH(IFERROR(INDEX(Aktiv!$C$6:$C$350,MATCH(A83,Aktiv!$A$6:$A$350,0)),""),{"Boden","Seite außen","Seite außen SY32","Rücken","Seite innen","Seite innen SY32","Seite innen SY32 DB","Fachboden klein","Fachboden groß","Klappenboden"},0)),1.2,1)-1),0))</f>
        <v>136</v>
      </c>
      <c r="E83" s="293">
        <f>IFERROR(INDEX(Aktiv!$G$6:$G$350,MATCH(A83,Aktiv!$A$6:$A$350,0)),"")</f>
        <v>124</v>
      </c>
      <c r="F83" s="294">
        <f t="shared" si="8"/>
        <v>-12</v>
      </c>
      <c r="G83" s="295">
        <f t="shared" si="9"/>
        <v>-8.8235294117647065E-2</v>
      </c>
      <c r="H83" s="293">
        <f>IF(C83="","",ROUND(C83*Steuerungsdaten!$B$4*Steuerungsdaten!$B$8*IFERROR(VLOOKUP(IFERROR(INDEX(Aktiv!$C$6:$C$350,MATCH(A83,Aktiv!$A$6:$A$350,0)),""),Steuerungsdaten!$B$17:$E$37,4,FALSE),1)*POWER(IF(OR(IFERROR(INDEX(Aktiv!$E$6:$E$350,MATCH(A83,Aktiv!$A$6:$A$350,0)),0)=0,IFERROR(INDEX(Aktiv!$F$6:$F$350,MATCH(A83,Aktiv!$A$6:$A$350,0)),0)=0),1,(IFERROR(INDEX(Aktiv!$E$6:$E$350,MATCH(A83,Aktiv!$A$6:$A$350,0)),0)*IFERROR(INDEX(Aktiv!$F$6:$F$350,MATCH(A83,Aktiv!$A$6:$A$350,0)),0)/1000000)/Steuerungsdaten!$B$6),1-1),0))</f>
        <v>118</v>
      </c>
      <c r="I83" s="293">
        <f>IFERROR(INDEX(Aktiv!$H$6:$H$350,MATCH(A83,Aktiv!$A$6:$A$350,0)),"")</f>
        <v>426</v>
      </c>
      <c r="J83" s="294">
        <f t="shared" si="10"/>
        <v>308</v>
      </c>
      <c r="K83" s="296">
        <f t="shared" si="11"/>
        <v>2.6101694915254239</v>
      </c>
      <c r="L83" s="297">
        <f>IF(C83="","",ROUND(C83*Steuerungsdaten!$B$4*Steuerungsdaten!$B$9*IFERROR(VLOOKUP(IFERROR(INDEX(Aktiv!$C$6:$C$350,MATCH(A83,Aktiv!$A$6:$A$350,0)),""),Steuerungsdaten!$B$17:$G$37,6,FALSE),1)*POWER(IF(OR(IFERROR(INDEX(Aktiv!$E$6:$E$350,MATCH(A83,Aktiv!$A$6:$A$350,0)),0)=0,IFERROR(INDEX(Aktiv!$F$6:$F$350,MATCH(A83,Aktiv!$A$6:$A$350,0)),0)=0),1,(IFERROR(INDEX(Aktiv!$E$6:$E$350,MATCH(A83,Aktiv!$A$6:$A$350,0)),0)*IFERROR(INDEX(Aktiv!$F$6:$F$350,MATCH(A83,Aktiv!$A$6:$A$350,0)),0)/1000000)/Steuerungsdaten!$B$6),1-1),0))</f>
        <v>118</v>
      </c>
      <c r="M83" s="297">
        <f>IFERROR(INDEX(Aktiv!$I$6:$I$350,MATCH(A83,Aktiv!$A$6:$A$350,0)),"")</f>
        <v>444</v>
      </c>
      <c r="N83" s="298">
        <f t="shared" si="12"/>
        <v>326</v>
      </c>
      <c r="O83" s="296">
        <f t="shared" si="13"/>
        <v>2.7627118644067798</v>
      </c>
      <c r="P83" s="297">
        <f>IF(C83="","",ROUND(C83*Steuerungsdaten!$B$4*Steuerungsdaten!$B$10*IFERROR(VLOOKUP(IFERROR(INDEX(Aktiv!$C$6:$C$350,MATCH(A83,Aktiv!$A$6:$A$350,0)),""),Steuerungsdaten!$B$17:$I$37,8,FALSE),1)*POWER(IF(OR(IFERROR(INDEX(Aktiv!$E$6:$E$350,MATCH(A83,Aktiv!$A$6:$A$350,0)),0)=0,IFERROR(INDEX(Aktiv!$F$6:$F$350,MATCH(A83,Aktiv!$A$6:$A$350,0)),0)=0),1,(IFERROR(INDEX(Aktiv!$E$6:$E$350,MATCH(A83,Aktiv!$A$6:$A$350,0)),0)*IFERROR(INDEX(Aktiv!$F$6:$F$350,MATCH(A83,Aktiv!$A$6:$A$350,0)),0)/1000000)/Steuerungsdaten!$B$6),1-1),0))</f>
        <v>129</v>
      </c>
      <c r="Q83" s="297">
        <f>IFERROR(INDEX(Aktiv!$J$6:$J$350,MATCH(A83,Aktiv!$A$6:$A$350,0)),"")</f>
        <v>494</v>
      </c>
      <c r="R83" s="298">
        <f t="shared" si="14"/>
        <v>365</v>
      </c>
      <c r="S83" s="296">
        <f t="shared" si="15"/>
        <v>2.8294573643410854</v>
      </c>
    </row>
    <row r="84" spans="1:19" x14ac:dyDescent="0.25">
      <c r="A84" s="292">
        <v>3315</v>
      </c>
      <c r="B84" s="292" t="s">
        <v>94</v>
      </c>
      <c r="C84" s="293">
        <f>IFERROR(INDEX(Aktiv!$O$6:$O$350,MATCH(A84,Aktiv!$A$6:$A$350,0)),"")</f>
        <v>88</v>
      </c>
      <c r="D84" s="293">
        <f>IF(C84="","",ROUND(C84*Steuerungsdaten!$B$4*Steuerungsdaten!$B$7*IFERROR(VLOOKUP(IFERROR(INDEX(Aktiv!$C$6:$C$350,MATCH(A84,Aktiv!$A$6:$A$350,0)),""),Steuerungsdaten!$B$17:$C$37,2,FALSE),1)*POWER(IF(OR(IFERROR(INDEX(Aktiv!$E$6:$E$350,MATCH(A84,Aktiv!$A$6:$A$350,0)),0)=0,IFERROR(INDEX(Aktiv!$F$6:$F$350,MATCH(A84,Aktiv!$A$6:$A$350,0)),0)=0),1,(IFERROR(INDEX(Aktiv!$E$6:$E$350,MATCH(A84,Aktiv!$A$6:$A$350,0)),0)*IFERROR(INDEX(Aktiv!$F$6:$F$350,MATCH(A84,Aktiv!$A$6:$A$350,0)),0)/1000000)/Steuerungsdaten!$B$6),IF(ISNUMBER(MATCH(IFERROR(INDEX(Aktiv!$C$6:$C$350,MATCH(A84,Aktiv!$A$6:$A$350,0)),""),{"Boden","Seite außen","Seite außen SY32","Rücken","Seite innen","Seite innen SY32","Seite innen SY32 DB","Fachboden klein","Fachboden groß","Klappenboden"},0)),1.2,1)-1),0))</f>
        <v>79</v>
      </c>
      <c r="E84" s="293">
        <f>IFERROR(INDEX(Aktiv!$G$6:$G$350,MATCH(A84,Aktiv!$A$6:$A$350,0)),"")</f>
        <v>68</v>
      </c>
      <c r="F84" s="294">
        <f t="shared" si="8"/>
        <v>-11</v>
      </c>
      <c r="G84" s="295">
        <f t="shared" si="9"/>
        <v>-0.13924050632911392</v>
      </c>
      <c r="H84" s="293">
        <f>IF(C84="","",ROUND(C84*Steuerungsdaten!$B$4*Steuerungsdaten!$B$8*IFERROR(VLOOKUP(IFERROR(INDEX(Aktiv!$C$6:$C$350,MATCH(A84,Aktiv!$A$6:$A$350,0)),""),Steuerungsdaten!$B$17:$E$37,4,FALSE),1)*POWER(IF(OR(IFERROR(INDEX(Aktiv!$E$6:$E$350,MATCH(A84,Aktiv!$A$6:$A$350,0)),0)=0,IFERROR(INDEX(Aktiv!$F$6:$F$350,MATCH(A84,Aktiv!$A$6:$A$350,0)),0)=0),1,(IFERROR(INDEX(Aktiv!$E$6:$E$350,MATCH(A84,Aktiv!$A$6:$A$350,0)),0)*IFERROR(INDEX(Aktiv!$F$6:$F$350,MATCH(A84,Aktiv!$A$6:$A$350,0)),0)/1000000)/Steuerungsdaten!$B$6),1-1),0))</f>
        <v>77</v>
      </c>
      <c r="I84" s="293">
        <f>IFERROR(INDEX(Aktiv!$H$6:$H$350,MATCH(A84,Aktiv!$A$6:$A$350,0)),"")</f>
        <v>235</v>
      </c>
      <c r="J84" s="294">
        <f t="shared" si="10"/>
        <v>158</v>
      </c>
      <c r="K84" s="296">
        <f t="shared" si="11"/>
        <v>2.051948051948052</v>
      </c>
      <c r="L84" s="297">
        <f>IF(C84="","",ROUND(C84*Steuerungsdaten!$B$4*Steuerungsdaten!$B$9*IFERROR(VLOOKUP(IFERROR(INDEX(Aktiv!$C$6:$C$350,MATCH(A84,Aktiv!$A$6:$A$350,0)),""),Steuerungsdaten!$B$17:$G$37,6,FALSE),1)*POWER(IF(OR(IFERROR(INDEX(Aktiv!$E$6:$E$350,MATCH(A84,Aktiv!$A$6:$A$350,0)),0)=0,IFERROR(INDEX(Aktiv!$F$6:$F$350,MATCH(A84,Aktiv!$A$6:$A$350,0)),0)=0),1,(IFERROR(INDEX(Aktiv!$E$6:$E$350,MATCH(A84,Aktiv!$A$6:$A$350,0)),0)*IFERROR(INDEX(Aktiv!$F$6:$F$350,MATCH(A84,Aktiv!$A$6:$A$350,0)),0)/1000000)/Steuerungsdaten!$B$6),1-1),0))</f>
        <v>77</v>
      </c>
      <c r="M84" s="297">
        <f>IFERROR(INDEX(Aktiv!$I$6:$I$350,MATCH(A84,Aktiv!$A$6:$A$350,0)),"")</f>
        <v>244</v>
      </c>
      <c r="N84" s="298">
        <f t="shared" si="12"/>
        <v>167</v>
      </c>
      <c r="O84" s="296">
        <f t="shared" si="13"/>
        <v>2.168831168831169</v>
      </c>
      <c r="P84" s="297">
        <f>IF(C84="","",ROUND(C84*Steuerungsdaten!$B$4*Steuerungsdaten!$B$10*IFERROR(VLOOKUP(IFERROR(INDEX(Aktiv!$C$6:$C$350,MATCH(A84,Aktiv!$A$6:$A$350,0)),""),Steuerungsdaten!$B$17:$I$37,8,FALSE),1)*POWER(IF(OR(IFERROR(INDEX(Aktiv!$E$6:$E$350,MATCH(A84,Aktiv!$A$6:$A$350,0)),0)=0,IFERROR(INDEX(Aktiv!$F$6:$F$350,MATCH(A84,Aktiv!$A$6:$A$350,0)),0)=0),1,(IFERROR(INDEX(Aktiv!$E$6:$E$350,MATCH(A84,Aktiv!$A$6:$A$350,0)),0)*IFERROR(INDEX(Aktiv!$F$6:$F$350,MATCH(A84,Aktiv!$A$6:$A$350,0)),0)/1000000)/Steuerungsdaten!$B$6),1-1),0))</f>
        <v>84</v>
      </c>
      <c r="Q84" s="297">
        <f>IFERROR(INDEX(Aktiv!$J$6:$J$350,MATCH(A84,Aktiv!$A$6:$A$350,0)),"")</f>
        <v>272</v>
      </c>
      <c r="R84" s="298">
        <f t="shared" si="14"/>
        <v>188</v>
      </c>
      <c r="S84" s="296">
        <f t="shared" si="15"/>
        <v>2.2380952380952381</v>
      </c>
    </row>
    <row r="85" spans="1:19" x14ac:dyDescent="0.25">
      <c r="A85" s="292">
        <v>3316</v>
      </c>
      <c r="B85" s="292" t="s">
        <v>95</v>
      </c>
      <c r="C85" s="293">
        <f>IFERROR(INDEX(Aktiv!$O$6:$O$350,MATCH(A85,Aktiv!$A$6:$A$350,0)),"")</f>
        <v>88</v>
      </c>
      <c r="D85" s="293">
        <f>IF(C85="","",ROUND(C85*Steuerungsdaten!$B$4*Steuerungsdaten!$B$7*IFERROR(VLOOKUP(IFERROR(INDEX(Aktiv!$C$6:$C$350,MATCH(A85,Aktiv!$A$6:$A$350,0)),""),Steuerungsdaten!$B$17:$C$37,2,FALSE),1)*POWER(IF(OR(IFERROR(INDEX(Aktiv!$E$6:$E$350,MATCH(A85,Aktiv!$A$6:$A$350,0)),0)=0,IFERROR(INDEX(Aktiv!$F$6:$F$350,MATCH(A85,Aktiv!$A$6:$A$350,0)),0)=0),1,(IFERROR(INDEX(Aktiv!$E$6:$E$350,MATCH(A85,Aktiv!$A$6:$A$350,0)),0)*IFERROR(INDEX(Aktiv!$F$6:$F$350,MATCH(A85,Aktiv!$A$6:$A$350,0)),0)/1000000)/Steuerungsdaten!$B$6),IF(ISNUMBER(MATCH(IFERROR(INDEX(Aktiv!$C$6:$C$350,MATCH(A85,Aktiv!$A$6:$A$350,0)),""),{"Boden","Seite außen","Seite außen SY32","Rücken","Seite innen","Seite innen SY32","Seite innen SY32 DB","Fachboden klein","Fachboden groß","Klappenboden"},0)),1.2,1)-1),0))</f>
        <v>82</v>
      </c>
      <c r="E85" s="293">
        <f>IFERROR(INDEX(Aktiv!$G$6:$G$350,MATCH(A85,Aktiv!$A$6:$A$350,0)),"")</f>
        <v>80</v>
      </c>
      <c r="F85" s="294">
        <f t="shared" si="8"/>
        <v>-2</v>
      </c>
      <c r="G85" s="295">
        <f t="shared" si="9"/>
        <v>-2.4390243902439025E-2</v>
      </c>
      <c r="H85" s="293">
        <f>IF(C85="","",ROUND(C85*Steuerungsdaten!$B$4*Steuerungsdaten!$B$8*IFERROR(VLOOKUP(IFERROR(INDEX(Aktiv!$C$6:$C$350,MATCH(A85,Aktiv!$A$6:$A$350,0)),""),Steuerungsdaten!$B$17:$E$37,4,FALSE),1)*POWER(IF(OR(IFERROR(INDEX(Aktiv!$E$6:$E$350,MATCH(A85,Aktiv!$A$6:$A$350,0)),0)=0,IFERROR(INDEX(Aktiv!$F$6:$F$350,MATCH(A85,Aktiv!$A$6:$A$350,0)),0)=0),1,(IFERROR(INDEX(Aktiv!$E$6:$E$350,MATCH(A85,Aktiv!$A$6:$A$350,0)),0)*IFERROR(INDEX(Aktiv!$F$6:$F$350,MATCH(A85,Aktiv!$A$6:$A$350,0)),0)/1000000)/Steuerungsdaten!$B$6),1-1),0))</f>
        <v>77</v>
      </c>
      <c r="I85" s="293">
        <f>IFERROR(INDEX(Aktiv!$H$6:$H$350,MATCH(A85,Aktiv!$A$6:$A$350,0)),"")</f>
        <v>274</v>
      </c>
      <c r="J85" s="294">
        <f t="shared" si="10"/>
        <v>197</v>
      </c>
      <c r="K85" s="296">
        <f t="shared" si="11"/>
        <v>2.5584415584415585</v>
      </c>
      <c r="L85" s="297">
        <f>IF(C85="","",ROUND(C85*Steuerungsdaten!$B$4*Steuerungsdaten!$B$9*IFERROR(VLOOKUP(IFERROR(INDEX(Aktiv!$C$6:$C$350,MATCH(A85,Aktiv!$A$6:$A$350,0)),""),Steuerungsdaten!$B$17:$G$37,6,FALSE),1)*POWER(IF(OR(IFERROR(INDEX(Aktiv!$E$6:$E$350,MATCH(A85,Aktiv!$A$6:$A$350,0)),0)=0,IFERROR(INDEX(Aktiv!$F$6:$F$350,MATCH(A85,Aktiv!$A$6:$A$350,0)),0)=0),1,(IFERROR(INDEX(Aktiv!$E$6:$E$350,MATCH(A85,Aktiv!$A$6:$A$350,0)),0)*IFERROR(INDEX(Aktiv!$F$6:$F$350,MATCH(A85,Aktiv!$A$6:$A$350,0)),0)/1000000)/Steuerungsdaten!$B$6),1-1),0))</f>
        <v>77</v>
      </c>
      <c r="M85" s="297">
        <f>IFERROR(INDEX(Aktiv!$I$6:$I$350,MATCH(A85,Aktiv!$A$6:$A$350,0)),"")</f>
        <v>285</v>
      </c>
      <c r="N85" s="298">
        <f t="shared" si="12"/>
        <v>208</v>
      </c>
      <c r="O85" s="296">
        <f t="shared" si="13"/>
        <v>2.7012987012987013</v>
      </c>
      <c r="P85" s="297">
        <f>IF(C85="","",ROUND(C85*Steuerungsdaten!$B$4*Steuerungsdaten!$B$10*IFERROR(VLOOKUP(IFERROR(INDEX(Aktiv!$C$6:$C$350,MATCH(A85,Aktiv!$A$6:$A$350,0)),""),Steuerungsdaten!$B$17:$I$37,8,FALSE),1)*POWER(IF(OR(IFERROR(INDEX(Aktiv!$E$6:$E$350,MATCH(A85,Aktiv!$A$6:$A$350,0)),0)=0,IFERROR(INDEX(Aktiv!$F$6:$F$350,MATCH(A85,Aktiv!$A$6:$A$350,0)),0)=0),1,(IFERROR(INDEX(Aktiv!$E$6:$E$350,MATCH(A85,Aktiv!$A$6:$A$350,0)),0)*IFERROR(INDEX(Aktiv!$F$6:$F$350,MATCH(A85,Aktiv!$A$6:$A$350,0)),0)/1000000)/Steuerungsdaten!$B$6),1-1),0))</f>
        <v>84</v>
      </c>
      <c r="Q85" s="297">
        <f>IFERROR(INDEX(Aktiv!$J$6:$J$350,MATCH(A85,Aktiv!$A$6:$A$350,0)),"")</f>
        <v>317</v>
      </c>
      <c r="R85" s="298">
        <f t="shared" si="14"/>
        <v>233</v>
      </c>
      <c r="S85" s="296">
        <f t="shared" si="15"/>
        <v>2.7738095238095237</v>
      </c>
    </row>
    <row r="86" spans="1:19" x14ac:dyDescent="0.25">
      <c r="A86" s="292">
        <v>3317</v>
      </c>
      <c r="B86" s="292" t="s">
        <v>96</v>
      </c>
      <c r="C86" s="293">
        <f>IFERROR(INDEX(Aktiv!$O$6:$O$350,MATCH(A86,Aktiv!$A$6:$A$350,0)),"")</f>
        <v>119</v>
      </c>
      <c r="D86" s="293">
        <f>IF(C86="","",ROUND(C86*Steuerungsdaten!$B$4*Steuerungsdaten!$B$7*IFERROR(VLOOKUP(IFERROR(INDEX(Aktiv!$C$6:$C$350,MATCH(A86,Aktiv!$A$6:$A$350,0)),""),Steuerungsdaten!$B$17:$C$37,2,FALSE),1)*POWER(IF(OR(IFERROR(INDEX(Aktiv!$E$6:$E$350,MATCH(A86,Aktiv!$A$6:$A$350,0)),0)=0,IFERROR(INDEX(Aktiv!$F$6:$F$350,MATCH(A86,Aktiv!$A$6:$A$350,0)),0)=0),1,(IFERROR(INDEX(Aktiv!$E$6:$E$350,MATCH(A86,Aktiv!$A$6:$A$350,0)),0)*IFERROR(INDEX(Aktiv!$F$6:$F$350,MATCH(A86,Aktiv!$A$6:$A$350,0)),0)/1000000)/Steuerungsdaten!$B$6),IF(ISNUMBER(MATCH(IFERROR(INDEX(Aktiv!$C$6:$C$350,MATCH(A86,Aktiv!$A$6:$A$350,0)),""),{"Boden","Seite außen","Seite außen SY32","Rücken","Seite innen","Seite innen SY32","Seite innen SY32 DB","Fachboden klein","Fachboden groß","Klappenboden"},0)),1.2,1)-1),0))</f>
        <v>118</v>
      </c>
      <c r="E86" s="293">
        <f>IFERROR(INDEX(Aktiv!$G$6:$G$350,MATCH(A86,Aktiv!$A$6:$A$350,0)),"")</f>
        <v>110</v>
      </c>
      <c r="F86" s="294">
        <f t="shared" si="8"/>
        <v>-8</v>
      </c>
      <c r="G86" s="295">
        <f t="shared" si="9"/>
        <v>-6.7796610169491525E-2</v>
      </c>
      <c r="H86" s="293">
        <f>IF(C86="","",ROUND(C86*Steuerungsdaten!$B$4*Steuerungsdaten!$B$8*IFERROR(VLOOKUP(IFERROR(INDEX(Aktiv!$C$6:$C$350,MATCH(A86,Aktiv!$A$6:$A$350,0)),""),Steuerungsdaten!$B$17:$E$37,4,FALSE),1)*POWER(IF(OR(IFERROR(INDEX(Aktiv!$E$6:$E$350,MATCH(A86,Aktiv!$A$6:$A$350,0)),0)=0,IFERROR(INDEX(Aktiv!$F$6:$F$350,MATCH(A86,Aktiv!$A$6:$A$350,0)),0)=0),1,(IFERROR(INDEX(Aktiv!$E$6:$E$350,MATCH(A86,Aktiv!$A$6:$A$350,0)),0)*IFERROR(INDEX(Aktiv!$F$6:$F$350,MATCH(A86,Aktiv!$A$6:$A$350,0)),0)/1000000)/Steuerungsdaten!$B$6),1-1),0))</f>
        <v>105</v>
      </c>
      <c r="I86" s="293">
        <f>IFERROR(INDEX(Aktiv!$H$6:$H$350,MATCH(A86,Aktiv!$A$6:$A$350,0)),"")</f>
        <v>378</v>
      </c>
      <c r="J86" s="294">
        <f t="shared" si="10"/>
        <v>273</v>
      </c>
      <c r="K86" s="296">
        <f t="shared" si="11"/>
        <v>2.6</v>
      </c>
      <c r="L86" s="297">
        <f>IF(C86="","",ROUND(C86*Steuerungsdaten!$B$4*Steuerungsdaten!$B$9*IFERROR(VLOOKUP(IFERROR(INDEX(Aktiv!$C$6:$C$350,MATCH(A86,Aktiv!$A$6:$A$350,0)),""),Steuerungsdaten!$B$17:$G$37,6,FALSE),1)*POWER(IF(OR(IFERROR(INDEX(Aktiv!$E$6:$E$350,MATCH(A86,Aktiv!$A$6:$A$350,0)),0)=0,IFERROR(INDEX(Aktiv!$F$6:$F$350,MATCH(A86,Aktiv!$A$6:$A$350,0)),0)=0),1,(IFERROR(INDEX(Aktiv!$E$6:$E$350,MATCH(A86,Aktiv!$A$6:$A$350,0)),0)*IFERROR(INDEX(Aktiv!$F$6:$F$350,MATCH(A86,Aktiv!$A$6:$A$350,0)),0)/1000000)/Steuerungsdaten!$B$6),1-1),0))</f>
        <v>105</v>
      </c>
      <c r="M86" s="297">
        <f>IFERROR(INDEX(Aktiv!$I$6:$I$350,MATCH(A86,Aktiv!$A$6:$A$350,0)),"")</f>
        <v>394</v>
      </c>
      <c r="N86" s="298">
        <f t="shared" si="12"/>
        <v>289</v>
      </c>
      <c r="O86" s="296">
        <f t="shared" si="13"/>
        <v>2.7523809523809524</v>
      </c>
      <c r="P86" s="297">
        <f>IF(C86="","",ROUND(C86*Steuerungsdaten!$B$4*Steuerungsdaten!$B$10*IFERROR(VLOOKUP(IFERROR(INDEX(Aktiv!$C$6:$C$350,MATCH(A86,Aktiv!$A$6:$A$350,0)),""),Steuerungsdaten!$B$17:$I$37,8,FALSE),1)*POWER(IF(OR(IFERROR(INDEX(Aktiv!$E$6:$E$350,MATCH(A86,Aktiv!$A$6:$A$350,0)),0)=0,IFERROR(INDEX(Aktiv!$F$6:$F$350,MATCH(A86,Aktiv!$A$6:$A$350,0)),0)=0),1,(IFERROR(INDEX(Aktiv!$E$6:$E$350,MATCH(A86,Aktiv!$A$6:$A$350,0)),0)*IFERROR(INDEX(Aktiv!$F$6:$F$350,MATCH(A86,Aktiv!$A$6:$A$350,0)),0)/1000000)/Steuerungsdaten!$B$6),1-1),0))</f>
        <v>114</v>
      </c>
      <c r="Q86" s="297">
        <f>IFERROR(INDEX(Aktiv!$J$6:$J$350,MATCH(A86,Aktiv!$A$6:$A$350,0)),"")</f>
        <v>438</v>
      </c>
      <c r="R86" s="298">
        <f t="shared" si="14"/>
        <v>324</v>
      </c>
      <c r="S86" s="296">
        <f t="shared" si="15"/>
        <v>2.8421052631578947</v>
      </c>
    </row>
    <row r="87" spans="1:19" x14ac:dyDescent="0.25">
      <c r="A87" s="292">
        <v>3318</v>
      </c>
      <c r="B87" s="292" t="s">
        <v>97</v>
      </c>
      <c r="C87" s="293">
        <f>IFERROR(INDEX(Aktiv!$O$6:$O$350,MATCH(A87,Aktiv!$A$6:$A$350,0)),"")</f>
        <v>161</v>
      </c>
      <c r="D87" s="293">
        <f>IF(C87="","",ROUND(C87*Steuerungsdaten!$B$4*Steuerungsdaten!$B$7*IFERROR(VLOOKUP(IFERROR(INDEX(Aktiv!$C$6:$C$350,MATCH(A87,Aktiv!$A$6:$A$350,0)),""),Steuerungsdaten!$B$17:$C$37,2,FALSE),1)*POWER(IF(OR(IFERROR(INDEX(Aktiv!$E$6:$E$350,MATCH(A87,Aktiv!$A$6:$A$350,0)),0)=0,IFERROR(INDEX(Aktiv!$F$6:$F$350,MATCH(A87,Aktiv!$A$6:$A$350,0)),0)=0),1,(IFERROR(INDEX(Aktiv!$E$6:$E$350,MATCH(A87,Aktiv!$A$6:$A$350,0)),0)*IFERROR(INDEX(Aktiv!$F$6:$F$350,MATCH(A87,Aktiv!$A$6:$A$350,0)),0)/1000000)/Steuerungsdaten!$B$6),IF(ISNUMBER(MATCH(IFERROR(INDEX(Aktiv!$C$6:$C$350,MATCH(A87,Aktiv!$A$6:$A$350,0)),""),{"Boden","Seite außen","Seite außen SY32","Rücken","Seite innen","Seite innen SY32","Seite innen SY32 DB","Fachboden klein","Fachboden groß","Klappenboden"},0)),1.2,1)-1),0))</f>
        <v>169</v>
      </c>
      <c r="E87" s="293">
        <f>IFERROR(INDEX(Aktiv!$G$6:$G$350,MATCH(A87,Aktiv!$A$6:$A$350,0)),"")</f>
        <v>148</v>
      </c>
      <c r="F87" s="294">
        <f t="shared" si="8"/>
        <v>-21</v>
      </c>
      <c r="G87" s="295">
        <f t="shared" si="9"/>
        <v>-0.1242603550295858</v>
      </c>
      <c r="H87" s="293">
        <f>IF(C87="","",ROUND(C87*Steuerungsdaten!$B$4*Steuerungsdaten!$B$8*IFERROR(VLOOKUP(IFERROR(INDEX(Aktiv!$C$6:$C$350,MATCH(A87,Aktiv!$A$6:$A$350,0)),""),Steuerungsdaten!$B$17:$E$37,4,FALSE),1)*POWER(IF(OR(IFERROR(INDEX(Aktiv!$E$6:$E$350,MATCH(A87,Aktiv!$A$6:$A$350,0)),0)=0,IFERROR(INDEX(Aktiv!$F$6:$F$350,MATCH(A87,Aktiv!$A$6:$A$350,0)),0)=0),1,(IFERROR(INDEX(Aktiv!$E$6:$E$350,MATCH(A87,Aktiv!$A$6:$A$350,0)),0)*IFERROR(INDEX(Aktiv!$F$6:$F$350,MATCH(A87,Aktiv!$A$6:$A$350,0)),0)/1000000)/Steuerungsdaten!$B$6),1-1),0))</f>
        <v>142</v>
      </c>
      <c r="I87" s="293">
        <f>IFERROR(INDEX(Aktiv!$H$6:$H$350,MATCH(A87,Aktiv!$A$6:$A$350,0)),"")</f>
        <v>508</v>
      </c>
      <c r="J87" s="294">
        <f t="shared" si="10"/>
        <v>366</v>
      </c>
      <c r="K87" s="296">
        <f t="shared" si="11"/>
        <v>2.5774647887323945</v>
      </c>
      <c r="L87" s="297">
        <f>IF(C87="","",ROUND(C87*Steuerungsdaten!$B$4*Steuerungsdaten!$B$9*IFERROR(VLOOKUP(IFERROR(INDEX(Aktiv!$C$6:$C$350,MATCH(A87,Aktiv!$A$6:$A$350,0)),""),Steuerungsdaten!$B$17:$G$37,6,FALSE),1)*POWER(IF(OR(IFERROR(INDEX(Aktiv!$E$6:$E$350,MATCH(A87,Aktiv!$A$6:$A$350,0)),0)=0,IFERROR(INDEX(Aktiv!$F$6:$F$350,MATCH(A87,Aktiv!$A$6:$A$350,0)),0)=0),1,(IFERROR(INDEX(Aktiv!$E$6:$E$350,MATCH(A87,Aktiv!$A$6:$A$350,0)),0)*IFERROR(INDEX(Aktiv!$F$6:$F$350,MATCH(A87,Aktiv!$A$6:$A$350,0)),0)/1000000)/Steuerungsdaten!$B$6),1-1),0))</f>
        <v>142</v>
      </c>
      <c r="M87" s="297">
        <f>IFERROR(INDEX(Aktiv!$I$6:$I$350,MATCH(A87,Aktiv!$A$6:$A$350,0)),"")</f>
        <v>530</v>
      </c>
      <c r="N87" s="298">
        <f t="shared" si="12"/>
        <v>388</v>
      </c>
      <c r="O87" s="296">
        <f t="shared" si="13"/>
        <v>2.732394366197183</v>
      </c>
      <c r="P87" s="297">
        <f>IF(C87="","",ROUND(C87*Steuerungsdaten!$B$4*Steuerungsdaten!$B$10*IFERROR(VLOOKUP(IFERROR(INDEX(Aktiv!$C$6:$C$350,MATCH(A87,Aktiv!$A$6:$A$350,0)),""),Steuerungsdaten!$B$17:$I$37,8,FALSE),1)*POWER(IF(OR(IFERROR(INDEX(Aktiv!$E$6:$E$350,MATCH(A87,Aktiv!$A$6:$A$350,0)),0)=0,IFERROR(INDEX(Aktiv!$F$6:$F$350,MATCH(A87,Aktiv!$A$6:$A$350,0)),0)=0),1,(IFERROR(INDEX(Aktiv!$E$6:$E$350,MATCH(A87,Aktiv!$A$6:$A$350,0)),0)*IFERROR(INDEX(Aktiv!$F$6:$F$350,MATCH(A87,Aktiv!$A$6:$A$350,0)),0)/1000000)/Steuerungsdaten!$B$6),1-1),0))</f>
        <v>155</v>
      </c>
      <c r="Q87" s="297">
        <f>IFERROR(INDEX(Aktiv!$J$6:$J$350,MATCH(A87,Aktiv!$A$6:$A$350,0)),"")</f>
        <v>589</v>
      </c>
      <c r="R87" s="298">
        <f t="shared" si="14"/>
        <v>434</v>
      </c>
      <c r="S87" s="296">
        <f t="shared" si="15"/>
        <v>2.8</v>
      </c>
    </row>
    <row r="88" spans="1:19" x14ac:dyDescent="0.25">
      <c r="A88" s="292">
        <v>3319</v>
      </c>
      <c r="B88" s="292" t="s">
        <v>98</v>
      </c>
      <c r="C88" s="293">
        <f>IFERROR(INDEX(Aktiv!$O$6:$O$350,MATCH(A88,Aktiv!$A$6:$A$350,0)),"")</f>
        <v>200</v>
      </c>
      <c r="D88" s="293">
        <f>IF(C88="","",ROUND(C88*Steuerungsdaten!$B$4*Steuerungsdaten!$B$7*IFERROR(VLOOKUP(IFERROR(INDEX(Aktiv!$C$6:$C$350,MATCH(A88,Aktiv!$A$6:$A$350,0)),""),Steuerungsdaten!$B$17:$C$37,2,FALSE),1)*POWER(IF(OR(IFERROR(INDEX(Aktiv!$E$6:$E$350,MATCH(A88,Aktiv!$A$6:$A$350,0)),0)=0,IFERROR(INDEX(Aktiv!$F$6:$F$350,MATCH(A88,Aktiv!$A$6:$A$350,0)),0)=0),1,(IFERROR(INDEX(Aktiv!$E$6:$E$350,MATCH(A88,Aktiv!$A$6:$A$350,0)),0)*IFERROR(INDEX(Aktiv!$F$6:$F$350,MATCH(A88,Aktiv!$A$6:$A$350,0)),0)/1000000)/Steuerungsdaten!$B$6),IF(ISNUMBER(MATCH(IFERROR(INDEX(Aktiv!$C$6:$C$350,MATCH(A88,Aktiv!$A$6:$A$350,0)),""),{"Boden","Seite außen","Seite außen SY32","Rücken","Seite innen","Seite innen SY32","Seite innen SY32 DB","Fachboden klein","Fachboden groß","Klappenboden"},0)),1.2,1)-1),0))</f>
        <v>220</v>
      </c>
      <c r="E88" s="293">
        <f>IFERROR(INDEX(Aktiv!$G$6:$G$350,MATCH(A88,Aktiv!$A$6:$A$350,0)),"")</f>
        <v>186</v>
      </c>
      <c r="F88" s="294">
        <f t="shared" si="8"/>
        <v>-34</v>
      </c>
      <c r="G88" s="295">
        <f t="shared" si="9"/>
        <v>-0.15454545454545454</v>
      </c>
      <c r="H88" s="293">
        <f>IF(C88="","",ROUND(C88*Steuerungsdaten!$B$4*Steuerungsdaten!$B$8*IFERROR(VLOOKUP(IFERROR(INDEX(Aktiv!$C$6:$C$350,MATCH(A88,Aktiv!$A$6:$A$350,0)),""),Steuerungsdaten!$B$17:$E$37,4,FALSE),1)*POWER(IF(OR(IFERROR(INDEX(Aktiv!$E$6:$E$350,MATCH(A88,Aktiv!$A$6:$A$350,0)),0)=0,IFERROR(INDEX(Aktiv!$F$6:$F$350,MATCH(A88,Aktiv!$A$6:$A$350,0)),0)=0),1,(IFERROR(INDEX(Aktiv!$E$6:$E$350,MATCH(A88,Aktiv!$A$6:$A$350,0)),0)*IFERROR(INDEX(Aktiv!$F$6:$F$350,MATCH(A88,Aktiv!$A$6:$A$350,0)),0)/1000000)/Steuerungsdaten!$B$6),1-1),0))</f>
        <v>176</v>
      </c>
      <c r="I88" s="293">
        <f>IFERROR(INDEX(Aktiv!$H$6:$H$350,MATCH(A88,Aktiv!$A$6:$A$350,0)),"")</f>
        <v>639</v>
      </c>
      <c r="J88" s="294">
        <f t="shared" si="10"/>
        <v>463</v>
      </c>
      <c r="K88" s="296">
        <f t="shared" si="11"/>
        <v>2.6306818181818183</v>
      </c>
      <c r="L88" s="297">
        <f>IF(C88="","",ROUND(C88*Steuerungsdaten!$B$4*Steuerungsdaten!$B$9*IFERROR(VLOOKUP(IFERROR(INDEX(Aktiv!$C$6:$C$350,MATCH(A88,Aktiv!$A$6:$A$350,0)),""),Steuerungsdaten!$B$17:$G$37,6,FALSE),1)*POWER(IF(OR(IFERROR(INDEX(Aktiv!$E$6:$E$350,MATCH(A88,Aktiv!$A$6:$A$350,0)),0)=0,IFERROR(INDEX(Aktiv!$F$6:$F$350,MATCH(A88,Aktiv!$A$6:$A$350,0)),0)=0),1,(IFERROR(INDEX(Aktiv!$E$6:$E$350,MATCH(A88,Aktiv!$A$6:$A$350,0)),0)*IFERROR(INDEX(Aktiv!$F$6:$F$350,MATCH(A88,Aktiv!$A$6:$A$350,0)),0)/1000000)/Steuerungsdaten!$B$6),1-1),0))</f>
        <v>176</v>
      </c>
      <c r="M88" s="297">
        <f>IFERROR(INDEX(Aktiv!$I$6:$I$350,MATCH(A88,Aktiv!$A$6:$A$350,0)),"")</f>
        <v>665</v>
      </c>
      <c r="N88" s="298">
        <f t="shared" si="12"/>
        <v>489</v>
      </c>
      <c r="O88" s="296">
        <f t="shared" si="13"/>
        <v>2.7784090909090908</v>
      </c>
      <c r="P88" s="297">
        <f>IF(C88="","",ROUND(C88*Steuerungsdaten!$B$4*Steuerungsdaten!$B$10*IFERROR(VLOOKUP(IFERROR(INDEX(Aktiv!$C$6:$C$350,MATCH(A88,Aktiv!$A$6:$A$350,0)),""),Steuerungsdaten!$B$17:$I$37,8,FALSE),1)*POWER(IF(OR(IFERROR(INDEX(Aktiv!$E$6:$E$350,MATCH(A88,Aktiv!$A$6:$A$350,0)),0)=0,IFERROR(INDEX(Aktiv!$F$6:$F$350,MATCH(A88,Aktiv!$A$6:$A$350,0)),0)=0),1,(IFERROR(INDEX(Aktiv!$E$6:$E$350,MATCH(A88,Aktiv!$A$6:$A$350,0)),0)*IFERROR(INDEX(Aktiv!$F$6:$F$350,MATCH(A88,Aktiv!$A$6:$A$350,0)),0)/1000000)/Steuerungsdaten!$B$6),1-1),0))</f>
        <v>192</v>
      </c>
      <c r="Q88" s="297">
        <f>IFERROR(INDEX(Aktiv!$J$6:$J$350,MATCH(A88,Aktiv!$A$6:$A$350,0)),"")</f>
        <v>740</v>
      </c>
      <c r="R88" s="298">
        <f t="shared" si="14"/>
        <v>548</v>
      </c>
      <c r="S88" s="296">
        <f t="shared" si="15"/>
        <v>2.8541666666666665</v>
      </c>
    </row>
    <row r="89" spans="1:19" x14ac:dyDescent="0.25">
      <c r="A89" s="292">
        <v>3320</v>
      </c>
      <c r="B89" s="292" t="s">
        <v>99</v>
      </c>
      <c r="C89" s="293">
        <f>IFERROR(INDEX(Aktiv!$O$6:$O$350,MATCH(A89,Aktiv!$A$6:$A$350,0)),"")</f>
        <v>100</v>
      </c>
      <c r="D89" s="293">
        <f>IF(C89="","",ROUND(C89*Steuerungsdaten!$B$4*Steuerungsdaten!$B$7*IFERROR(VLOOKUP(IFERROR(INDEX(Aktiv!$C$6:$C$350,MATCH(A89,Aktiv!$A$6:$A$350,0)),""),Steuerungsdaten!$B$17:$C$37,2,FALSE),1)*POWER(IF(OR(IFERROR(INDEX(Aktiv!$E$6:$E$350,MATCH(A89,Aktiv!$A$6:$A$350,0)),0)=0,IFERROR(INDEX(Aktiv!$F$6:$F$350,MATCH(A89,Aktiv!$A$6:$A$350,0)),0)=0),1,(IFERROR(INDEX(Aktiv!$E$6:$E$350,MATCH(A89,Aktiv!$A$6:$A$350,0)),0)*IFERROR(INDEX(Aktiv!$F$6:$F$350,MATCH(A89,Aktiv!$A$6:$A$350,0)),0)/1000000)/Steuerungsdaten!$B$6),IF(ISNUMBER(MATCH(IFERROR(INDEX(Aktiv!$C$6:$C$350,MATCH(A89,Aktiv!$A$6:$A$350,0)),""),{"Boden","Seite außen","Seite außen SY32","Rücken","Seite innen","Seite innen SY32","Seite innen SY32 DB","Fachboden klein","Fachboden groß","Klappenboden"},0)),1.2,1)-1),0))</f>
        <v>95</v>
      </c>
      <c r="E89" s="293">
        <f>IFERROR(INDEX(Aktiv!$G$6:$G$350,MATCH(A89,Aktiv!$A$6:$A$350,0)),"")</f>
        <v>91</v>
      </c>
      <c r="F89" s="294">
        <f t="shared" si="8"/>
        <v>-4</v>
      </c>
      <c r="G89" s="295">
        <f t="shared" si="9"/>
        <v>-4.2105263157894736E-2</v>
      </c>
      <c r="H89" s="293">
        <f>IF(C89="","",ROUND(C89*Steuerungsdaten!$B$4*Steuerungsdaten!$B$8*IFERROR(VLOOKUP(IFERROR(INDEX(Aktiv!$C$6:$C$350,MATCH(A89,Aktiv!$A$6:$A$350,0)),""),Steuerungsdaten!$B$17:$E$37,4,FALSE),1)*POWER(IF(OR(IFERROR(INDEX(Aktiv!$E$6:$E$350,MATCH(A89,Aktiv!$A$6:$A$350,0)),0)=0,IFERROR(INDEX(Aktiv!$F$6:$F$350,MATCH(A89,Aktiv!$A$6:$A$350,0)),0)=0),1,(IFERROR(INDEX(Aktiv!$E$6:$E$350,MATCH(A89,Aktiv!$A$6:$A$350,0)),0)*IFERROR(INDEX(Aktiv!$F$6:$F$350,MATCH(A89,Aktiv!$A$6:$A$350,0)),0)/1000000)/Steuerungsdaten!$B$6),1-1),0))</f>
        <v>88</v>
      </c>
      <c r="I89" s="293">
        <f>IFERROR(INDEX(Aktiv!$H$6:$H$350,MATCH(A89,Aktiv!$A$6:$A$350,0)),"")</f>
        <v>313</v>
      </c>
      <c r="J89" s="294">
        <f t="shared" si="10"/>
        <v>225</v>
      </c>
      <c r="K89" s="296">
        <f t="shared" si="11"/>
        <v>2.5568181818181817</v>
      </c>
      <c r="L89" s="297">
        <f>IF(C89="","",ROUND(C89*Steuerungsdaten!$B$4*Steuerungsdaten!$B$9*IFERROR(VLOOKUP(IFERROR(INDEX(Aktiv!$C$6:$C$350,MATCH(A89,Aktiv!$A$6:$A$350,0)),""),Steuerungsdaten!$B$17:$G$37,6,FALSE),1)*POWER(IF(OR(IFERROR(INDEX(Aktiv!$E$6:$E$350,MATCH(A89,Aktiv!$A$6:$A$350,0)),0)=0,IFERROR(INDEX(Aktiv!$F$6:$F$350,MATCH(A89,Aktiv!$A$6:$A$350,0)),0)=0),1,(IFERROR(INDEX(Aktiv!$E$6:$E$350,MATCH(A89,Aktiv!$A$6:$A$350,0)),0)*IFERROR(INDEX(Aktiv!$F$6:$F$350,MATCH(A89,Aktiv!$A$6:$A$350,0)),0)/1000000)/Steuerungsdaten!$B$6),1-1),0))</f>
        <v>88</v>
      </c>
      <c r="M89" s="297">
        <f>IFERROR(INDEX(Aktiv!$I$6:$I$350,MATCH(A89,Aktiv!$A$6:$A$350,0)),"")</f>
        <v>326</v>
      </c>
      <c r="N89" s="298">
        <f t="shared" si="12"/>
        <v>238</v>
      </c>
      <c r="O89" s="296">
        <f t="shared" si="13"/>
        <v>2.7045454545454546</v>
      </c>
      <c r="P89" s="297">
        <f>IF(C89="","",ROUND(C89*Steuerungsdaten!$B$4*Steuerungsdaten!$B$10*IFERROR(VLOOKUP(IFERROR(INDEX(Aktiv!$C$6:$C$350,MATCH(A89,Aktiv!$A$6:$A$350,0)),""),Steuerungsdaten!$B$17:$I$37,8,FALSE),1)*POWER(IF(OR(IFERROR(INDEX(Aktiv!$E$6:$E$350,MATCH(A89,Aktiv!$A$6:$A$350,0)),0)=0,IFERROR(INDEX(Aktiv!$F$6:$F$350,MATCH(A89,Aktiv!$A$6:$A$350,0)),0)=0),1,(IFERROR(INDEX(Aktiv!$E$6:$E$350,MATCH(A89,Aktiv!$A$6:$A$350,0)),0)*IFERROR(INDEX(Aktiv!$F$6:$F$350,MATCH(A89,Aktiv!$A$6:$A$350,0)),0)/1000000)/Steuerungsdaten!$B$6),1-1),0))</f>
        <v>96</v>
      </c>
      <c r="Q89" s="297">
        <f>IFERROR(INDEX(Aktiv!$J$6:$J$350,MATCH(A89,Aktiv!$A$6:$A$350,0)),"")</f>
        <v>363</v>
      </c>
      <c r="R89" s="298">
        <f t="shared" si="14"/>
        <v>267</v>
      </c>
      <c r="S89" s="296">
        <f t="shared" si="15"/>
        <v>2.78125</v>
      </c>
    </row>
    <row r="90" spans="1:19" x14ac:dyDescent="0.25">
      <c r="A90" s="292">
        <v>3321</v>
      </c>
      <c r="B90" s="292" t="s">
        <v>100</v>
      </c>
      <c r="C90" s="293">
        <f>IFERROR(INDEX(Aktiv!$O$6:$O$350,MATCH(A90,Aktiv!$A$6:$A$350,0)),"")</f>
        <v>115</v>
      </c>
      <c r="D90" s="293">
        <f>IF(C90="","",ROUND(C90*Steuerungsdaten!$B$4*Steuerungsdaten!$B$7*IFERROR(VLOOKUP(IFERROR(INDEX(Aktiv!$C$6:$C$350,MATCH(A90,Aktiv!$A$6:$A$350,0)),""),Steuerungsdaten!$B$17:$C$37,2,FALSE),1)*POWER(IF(OR(IFERROR(INDEX(Aktiv!$E$6:$E$350,MATCH(A90,Aktiv!$A$6:$A$350,0)),0)=0,IFERROR(INDEX(Aktiv!$F$6:$F$350,MATCH(A90,Aktiv!$A$6:$A$350,0)),0)=0),1,(IFERROR(INDEX(Aktiv!$E$6:$E$350,MATCH(A90,Aktiv!$A$6:$A$350,0)),0)*IFERROR(INDEX(Aktiv!$F$6:$F$350,MATCH(A90,Aktiv!$A$6:$A$350,0)),0)/1000000)/Steuerungsdaten!$B$6),IF(ISNUMBER(MATCH(IFERROR(INDEX(Aktiv!$C$6:$C$350,MATCH(A90,Aktiv!$A$6:$A$350,0)),""),{"Boden","Seite außen","Seite außen SY32","Rücken","Seite innen","Seite innen SY32","Seite innen SY32 DB","Fachboden klein","Fachboden groß","Klappenboden"},0)),1.2,1)-1),0))</f>
        <v>113</v>
      </c>
      <c r="E90" s="293">
        <f>IFERROR(INDEX(Aktiv!$G$6:$G$350,MATCH(A90,Aktiv!$A$6:$A$350,0)),"")</f>
        <v>106</v>
      </c>
      <c r="F90" s="294">
        <f t="shared" si="8"/>
        <v>-7</v>
      </c>
      <c r="G90" s="295">
        <f t="shared" si="9"/>
        <v>-6.1946902654867256E-2</v>
      </c>
      <c r="H90" s="293">
        <f>IF(C90="","",ROUND(C90*Steuerungsdaten!$B$4*Steuerungsdaten!$B$8*IFERROR(VLOOKUP(IFERROR(INDEX(Aktiv!$C$6:$C$350,MATCH(A90,Aktiv!$A$6:$A$350,0)),""),Steuerungsdaten!$B$17:$E$37,4,FALSE),1)*POWER(IF(OR(IFERROR(INDEX(Aktiv!$E$6:$E$350,MATCH(A90,Aktiv!$A$6:$A$350,0)),0)=0,IFERROR(INDEX(Aktiv!$F$6:$F$350,MATCH(A90,Aktiv!$A$6:$A$350,0)),0)=0),1,(IFERROR(INDEX(Aktiv!$E$6:$E$350,MATCH(A90,Aktiv!$A$6:$A$350,0)),0)*IFERROR(INDEX(Aktiv!$F$6:$F$350,MATCH(A90,Aktiv!$A$6:$A$350,0)),0)/1000000)/Steuerungsdaten!$B$6),1-1),0))</f>
        <v>101</v>
      </c>
      <c r="I90" s="293">
        <f>IFERROR(INDEX(Aktiv!$H$6:$H$350,MATCH(A90,Aktiv!$A$6:$A$350,0)),"")</f>
        <v>365</v>
      </c>
      <c r="J90" s="294">
        <f t="shared" si="10"/>
        <v>264</v>
      </c>
      <c r="K90" s="296">
        <f t="shared" si="11"/>
        <v>2.613861386138614</v>
      </c>
      <c r="L90" s="297">
        <f>IF(C90="","",ROUND(C90*Steuerungsdaten!$B$4*Steuerungsdaten!$B$9*IFERROR(VLOOKUP(IFERROR(INDEX(Aktiv!$C$6:$C$350,MATCH(A90,Aktiv!$A$6:$A$350,0)),""),Steuerungsdaten!$B$17:$G$37,6,FALSE),1)*POWER(IF(OR(IFERROR(INDEX(Aktiv!$E$6:$E$350,MATCH(A90,Aktiv!$A$6:$A$350,0)),0)=0,IFERROR(INDEX(Aktiv!$F$6:$F$350,MATCH(A90,Aktiv!$A$6:$A$350,0)),0)=0),1,(IFERROR(INDEX(Aktiv!$E$6:$E$350,MATCH(A90,Aktiv!$A$6:$A$350,0)),0)*IFERROR(INDEX(Aktiv!$F$6:$F$350,MATCH(A90,Aktiv!$A$6:$A$350,0)),0)/1000000)/Steuerungsdaten!$B$6),1-1),0))</f>
        <v>101</v>
      </c>
      <c r="M90" s="297">
        <f>IFERROR(INDEX(Aktiv!$I$6:$I$350,MATCH(A90,Aktiv!$A$6:$A$350,0)),"")</f>
        <v>380</v>
      </c>
      <c r="N90" s="298">
        <f t="shared" si="12"/>
        <v>279</v>
      </c>
      <c r="O90" s="296">
        <f t="shared" si="13"/>
        <v>2.7623762376237622</v>
      </c>
      <c r="P90" s="297">
        <f>IF(C90="","",ROUND(C90*Steuerungsdaten!$B$4*Steuerungsdaten!$B$10*IFERROR(VLOOKUP(IFERROR(INDEX(Aktiv!$C$6:$C$350,MATCH(A90,Aktiv!$A$6:$A$350,0)),""),Steuerungsdaten!$B$17:$I$37,8,FALSE),1)*POWER(IF(OR(IFERROR(INDEX(Aktiv!$E$6:$E$350,MATCH(A90,Aktiv!$A$6:$A$350,0)),0)=0,IFERROR(INDEX(Aktiv!$F$6:$F$350,MATCH(A90,Aktiv!$A$6:$A$350,0)),0)=0),1,(IFERROR(INDEX(Aktiv!$E$6:$E$350,MATCH(A90,Aktiv!$A$6:$A$350,0)),0)*IFERROR(INDEX(Aktiv!$F$6:$F$350,MATCH(A90,Aktiv!$A$6:$A$350,0)),0)/1000000)/Steuerungsdaten!$B$6),1-1),0))</f>
        <v>110</v>
      </c>
      <c r="Q90" s="297">
        <f>IFERROR(INDEX(Aktiv!$J$6:$J$350,MATCH(A90,Aktiv!$A$6:$A$350,0)),"")</f>
        <v>423</v>
      </c>
      <c r="R90" s="298">
        <f t="shared" si="14"/>
        <v>313</v>
      </c>
      <c r="S90" s="296">
        <f t="shared" si="15"/>
        <v>2.8454545454545452</v>
      </c>
    </row>
    <row r="91" spans="1:19" x14ac:dyDescent="0.25">
      <c r="A91" s="292">
        <v>3322</v>
      </c>
      <c r="B91" s="292" t="s">
        <v>101</v>
      </c>
      <c r="C91" s="293">
        <f>IFERROR(INDEX(Aktiv!$O$6:$O$350,MATCH(A91,Aktiv!$A$6:$A$350,0)),"")</f>
        <v>158</v>
      </c>
      <c r="D91" s="293">
        <f>IF(C91="","",ROUND(C91*Steuerungsdaten!$B$4*Steuerungsdaten!$B$7*IFERROR(VLOOKUP(IFERROR(INDEX(Aktiv!$C$6:$C$350,MATCH(A91,Aktiv!$A$6:$A$350,0)),""),Steuerungsdaten!$B$17:$C$37,2,FALSE),1)*POWER(IF(OR(IFERROR(INDEX(Aktiv!$E$6:$E$350,MATCH(A91,Aktiv!$A$6:$A$350,0)),0)=0,IFERROR(INDEX(Aktiv!$F$6:$F$350,MATCH(A91,Aktiv!$A$6:$A$350,0)),0)=0),1,(IFERROR(INDEX(Aktiv!$E$6:$E$350,MATCH(A91,Aktiv!$A$6:$A$350,0)),0)*IFERROR(INDEX(Aktiv!$F$6:$F$350,MATCH(A91,Aktiv!$A$6:$A$350,0)),0)/1000000)/Steuerungsdaten!$B$6),IF(ISNUMBER(MATCH(IFERROR(INDEX(Aktiv!$C$6:$C$350,MATCH(A91,Aktiv!$A$6:$A$350,0)),""),{"Boden","Seite außen","Seite außen SY32","Rücken","Seite innen","Seite innen SY32","Seite innen SY32 DB","Fachboden klein","Fachboden groß","Klappenboden"},0)),1.2,1)-1),0))</f>
        <v>165</v>
      </c>
      <c r="E91" s="293">
        <f>IFERROR(INDEX(Aktiv!$G$6:$G$350,MATCH(A91,Aktiv!$A$6:$A$350,0)),"")</f>
        <v>147</v>
      </c>
      <c r="F91" s="294">
        <f t="shared" si="8"/>
        <v>-18</v>
      </c>
      <c r="G91" s="295">
        <f t="shared" si="9"/>
        <v>-0.10909090909090909</v>
      </c>
      <c r="H91" s="293">
        <f>IF(C91="","",ROUND(C91*Steuerungsdaten!$B$4*Steuerungsdaten!$B$8*IFERROR(VLOOKUP(IFERROR(INDEX(Aktiv!$C$6:$C$350,MATCH(A91,Aktiv!$A$6:$A$350,0)),""),Steuerungsdaten!$B$17:$E$37,4,FALSE),1)*POWER(IF(OR(IFERROR(INDEX(Aktiv!$E$6:$E$350,MATCH(A91,Aktiv!$A$6:$A$350,0)),0)=0,IFERROR(INDEX(Aktiv!$F$6:$F$350,MATCH(A91,Aktiv!$A$6:$A$350,0)),0)=0),1,(IFERROR(INDEX(Aktiv!$E$6:$E$350,MATCH(A91,Aktiv!$A$6:$A$350,0)),0)*IFERROR(INDEX(Aktiv!$F$6:$F$350,MATCH(A91,Aktiv!$A$6:$A$350,0)),0)/1000000)/Steuerungsdaten!$B$6),1-1),0))</f>
        <v>139</v>
      </c>
      <c r="I91" s="293">
        <f>IFERROR(INDEX(Aktiv!$H$6:$H$350,MATCH(A91,Aktiv!$A$6:$A$350,0)),"")</f>
        <v>504</v>
      </c>
      <c r="J91" s="294">
        <f t="shared" si="10"/>
        <v>365</v>
      </c>
      <c r="K91" s="296">
        <f t="shared" si="11"/>
        <v>2.6258992805755397</v>
      </c>
      <c r="L91" s="297">
        <f>IF(C91="","",ROUND(C91*Steuerungsdaten!$B$4*Steuerungsdaten!$B$9*IFERROR(VLOOKUP(IFERROR(INDEX(Aktiv!$C$6:$C$350,MATCH(A91,Aktiv!$A$6:$A$350,0)),""),Steuerungsdaten!$B$17:$G$37,6,FALSE),1)*POWER(IF(OR(IFERROR(INDEX(Aktiv!$E$6:$E$350,MATCH(A91,Aktiv!$A$6:$A$350,0)),0)=0,IFERROR(INDEX(Aktiv!$F$6:$F$350,MATCH(A91,Aktiv!$A$6:$A$350,0)),0)=0),1,(IFERROR(INDEX(Aktiv!$E$6:$E$350,MATCH(A91,Aktiv!$A$6:$A$350,0)),0)*IFERROR(INDEX(Aktiv!$F$6:$F$350,MATCH(A91,Aktiv!$A$6:$A$350,0)),0)/1000000)/Steuerungsdaten!$B$6),1-1),0))</f>
        <v>139</v>
      </c>
      <c r="M91" s="297">
        <f>IFERROR(INDEX(Aktiv!$I$6:$I$350,MATCH(A91,Aktiv!$A$6:$A$350,0)),"")</f>
        <v>525</v>
      </c>
      <c r="N91" s="298">
        <f t="shared" si="12"/>
        <v>386</v>
      </c>
      <c r="O91" s="296">
        <f t="shared" si="13"/>
        <v>2.7769784172661871</v>
      </c>
      <c r="P91" s="297">
        <f>IF(C91="","",ROUND(C91*Steuerungsdaten!$B$4*Steuerungsdaten!$B$10*IFERROR(VLOOKUP(IFERROR(INDEX(Aktiv!$C$6:$C$350,MATCH(A91,Aktiv!$A$6:$A$350,0)),""),Steuerungsdaten!$B$17:$I$37,8,FALSE),1)*POWER(IF(OR(IFERROR(INDEX(Aktiv!$E$6:$E$350,MATCH(A91,Aktiv!$A$6:$A$350,0)),0)=0,IFERROR(INDEX(Aktiv!$F$6:$F$350,MATCH(A91,Aktiv!$A$6:$A$350,0)),0)=0),1,(IFERROR(INDEX(Aktiv!$E$6:$E$350,MATCH(A91,Aktiv!$A$6:$A$350,0)),0)*IFERROR(INDEX(Aktiv!$F$6:$F$350,MATCH(A91,Aktiv!$A$6:$A$350,0)),0)/1000000)/Steuerungsdaten!$B$6),1-1),0))</f>
        <v>152</v>
      </c>
      <c r="Q91" s="297">
        <f>IFERROR(INDEX(Aktiv!$J$6:$J$350,MATCH(A91,Aktiv!$A$6:$A$350,0)),"")</f>
        <v>584</v>
      </c>
      <c r="R91" s="298">
        <f t="shared" si="14"/>
        <v>432</v>
      </c>
      <c r="S91" s="296">
        <f t="shared" si="15"/>
        <v>2.8421052631578947</v>
      </c>
    </row>
    <row r="92" spans="1:19" x14ac:dyDescent="0.25">
      <c r="A92" s="292">
        <v>3323</v>
      </c>
      <c r="B92" s="292" t="s">
        <v>102</v>
      </c>
      <c r="C92" s="293">
        <f>IFERROR(INDEX(Aktiv!$O$6:$O$350,MATCH(A92,Aktiv!$A$6:$A$350,0)),"")</f>
        <v>211</v>
      </c>
      <c r="D92" s="293">
        <f>IF(C92="","",ROUND(C92*Steuerungsdaten!$B$4*Steuerungsdaten!$B$7*IFERROR(VLOOKUP(IFERROR(INDEX(Aktiv!$C$6:$C$350,MATCH(A92,Aktiv!$A$6:$A$350,0)),""),Steuerungsdaten!$B$17:$C$37,2,FALSE),1)*POWER(IF(OR(IFERROR(INDEX(Aktiv!$E$6:$E$350,MATCH(A92,Aktiv!$A$6:$A$350,0)),0)=0,IFERROR(INDEX(Aktiv!$F$6:$F$350,MATCH(A92,Aktiv!$A$6:$A$350,0)),0)=0),1,(IFERROR(INDEX(Aktiv!$E$6:$E$350,MATCH(A92,Aktiv!$A$6:$A$350,0)),0)*IFERROR(INDEX(Aktiv!$F$6:$F$350,MATCH(A92,Aktiv!$A$6:$A$350,0)),0)/1000000)/Steuerungsdaten!$B$6),IF(ISNUMBER(MATCH(IFERROR(INDEX(Aktiv!$C$6:$C$350,MATCH(A92,Aktiv!$A$6:$A$350,0)),""),{"Boden","Seite außen","Seite außen SY32","Rücken","Seite innen","Seite innen SY32","Seite innen SY32 DB","Fachboden klein","Fachboden groß","Klappenboden"},0)),1.2,1)-1),0))</f>
        <v>234</v>
      </c>
      <c r="E92" s="293">
        <f>IFERROR(INDEX(Aktiv!$G$6:$G$350,MATCH(A92,Aktiv!$A$6:$A$350,0)),"")</f>
        <v>198</v>
      </c>
      <c r="F92" s="294">
        <f t="shared" si="8"/>
        <v>-36</v>
      </c>
      <c r="G92" s="295">
        <f t="shared" si="9"/>
        <v>-0.15384615384615385</v>
      </c>
      <c r="H92" s="293">
        <f>IF(C92="","",ROUND(C92*Steuerungsdaten!$B$4*Steuerungsdaten!$B$8*IFERROR(VLOOKUP(IFERROR(INDEX(Aktiv!$C$6:$C$350,MATCH(A92,Aktiv!$A$6:$A$350,0)),""),Steuerungsdaten!$B$17:$E$37,4,FALSE),1)*POWER(IF(OR(IFERROR(INDEX(Aktiv!$E$6:$E$350,MATCH(A92,Aktiv!$A$6:$A$350,0)),0)=0,IFERROR(INDEX(Aktiv!$F$6:$F$350,MATCH(A92,Aktiv!$A$6:$A$350,0)),0)=0),1,(IFERROR(INDEX(Aktiv!$E$6:$E$350,MATCH(A92,Aktiv!$A$6:$A$350,0)),0)*IFERROR(INDEX(Aktiv!$F$6:$F$350,MATCH(A92,Aktiv!$A$6:$A$350,0)),0)/1000000)/Steuerungsdaten!$B$6),1-1),0))</f>
        <v>186</v>
      </c>
      <c r="I92" s="293">
        <f>IFERROR(INDEX(Aktiv!$H$6:$H$350,MATCH(A92,Aktiv!$A$6:$A$350,0)),"")</f>
        <v>678</v>
      </c>
      <c r="J92" s="294">
        <f t="shared" si="10"/>
        <v>492</v>
      </c>
      <c r="K92" s="296">
        <f t="shared" si="11"/>
        <v>2.6451612903225805</v>
      </c>
      <c r="L92" s="297">
        <f>IF(C92="","",ROUND(C92*Steuerungsdaten!$B$4*Steuerungsdaten!$B$9*IFERROR(VLOOKUP(IFERROR(INDEX(Aktiv!$C$6:$C$350,MATCH(A92,Aktiv!$A$6:$A$350,0)),""),Steuerungsdaten!$B$17:$G$37,6,FALSE),1)*POWER(IF(OR(IFERROR(INDEX(Aktiv!$E$6:$E$350,MATCH(A92,Aktiv!$A$6:$A$350,0)),0)=0,IFERROR(INDEX(Aktiv!$F$6:$F$350,MATCH(A92,Aktiv!$A$6:$A$350,0)),0)=0),1,(IFERROR(INDEX(Aktiv!$E$6:$E$350,MATCH(A92,Aktiv!$A$6:$A$350,0)),0)*IFERROR(INDEX(Aktiv!$F$6:$F$350,MATCH(A92,Aktiv!$A$6:$A$350,0)),0)/1000000)/Steuerungsdaten!$B$6),1-1),0))</f>
        <v>186</v>
      </c>
      <c r="M92" s="297">
        <f>IFERROR(INDEX(Aktiv!$I$6:$I$350,MATCH(A92,Aktiv!$A$6:$A$350,0)),"")</f>
        <v>706</v>
      </c>
      <c r="N92" s="298">
        <f t="shared" si="12"/>
        <v>520</v>
      </c>
      <c r="O92" s="296">
        <f t="shared" si="13"/>
        <v>2.795698924731183</v>
      </c>
      <c r="P92" s="297">
        <f>IF(C92="","",ROUND(C92*Steuerungsdaten!$B$4*Steuerungsdaten!$B$10*IFERROR(VLOOKUP(IFERROR(INDEX(Aktiv!$C$6:$C$350,MATCH(A92,Aktiv!$A$6:$A$350,0)),""),Steuerungsdaten!$B$17:$I$37,8,FALSE),1)*POWER(IF(OR(IFERROR(INDEX(Aktiv!$E$6:$E$350,MATCH(A92,Aktiv!$A$6:$A$350,0)),0)=0,IFERROR(INDEX(Aktiv!$F$6:$F$350,MATCH(A92,Aktiv!$A$6:$A$350,0)),0)=0),1,(IFERROR(INDEX(Aktiv!$E$6:$E$350,MATCH(A92,Aktiv!$A$6:$A$350,0)),0)*IFERROR(INDEX(Aktiv!$F$6:$F$350,MATCH(A92,Aktiv!$A$6:$A$350,0)),0)/1000000)/Steuerungsdaten!$B$6),1-1),0))</f>
        <v>203</v>
      </c>
      <c r="Q92" s="297">
        <f>IFERROR(INDEX(Aktiv!$J$6:$J$350,MATCH(A92,Aktiv!$A$6:$A$350,0)),"")</f>
        <v>786</v>
      </c>
      <c r="R92" s="298">
        <f t="shared" si="14"/>
        <v>583</v>
      </c>
      <c r="S92" s="296">
        <f t="shared" si="15"/>
        <v>2.8719211822660098</v>
      </c>
    </row>
    <row r="93" spans="1:19" x14ac:dyDescent="0.25">
      <c r="A93" s="292">
        <v>3324</v>
      </c>
      <c r="B93" s="292" t="s">
        <v>103</v>
      </c>
      <c r="C93" s="293">
        <f>IFERROR(INDEX(Aktiv!$O$6:$O$350,MATCH(A93,Aktiv!$A$6:$A$350,0)),"")</f>
        <v>264</v>
      </c>
      <c r="D93" s="293">
        <f>IF(C93="","",ROUND(C93*Steuerungsdaten!$B$4*Steuerungsdaten!$B$7*IFERROR(VLOOKUP(IFERROR(INDEX(Aktiv!$C$6:$C$350,MATCH(A93,Aktiv!$A$6:$A$350,0)),""),Steuerungsdaten!$B$17:$C$37,2,FALSE),1)*POWER(IF(OR(IFERROR(INDEX(Aktiv!$E$6:$E$350,MATCH(A93,Aktiv!$A$6:$A$350,0)),0)=0,IFERROR(INDEX(Aktiv!$F$6:$F$350,MATCH(A93,Aktiv!$A$6:$A$350,0)),0)=0),1,(IFERROR(INDEX(Aktiv!$E$6:$E$350,MATCH(A93,Aktiv!$A$6:$A$350,0)),0)*IFERROR(INDEX(Aktiv!$F$6:$F$350,MATCH(A93,Aktiv!$A$6:$A$350,0)),0)/1000000)/Steuerungsdaten!$B$6),IF(ISNUMBER(MATCH(IFERROR(INDEX(Aktiv!$C$6:$C$350,MATCH(A93,Aktiv!$A$6:$A$350,0)),""),{"Boden","Seite außen","Seite außen SY32","Rücken","Seite innen","Seite innen SY32","Seite innen SY32 DB","Fachboden klein","Fachboden groß","Klappenboden"},0)),1.2,1)-1),0))</f>
        <v>307</v>
      </c>
      <c r="E93" s="293">
        <f>IFERROR(INDEX(Aktiv!$G$6:$G$350,MATCH(A93,Aktiv!$A$6:$A$350,0)),"")</f>
        <v>248</v>
      </c>
      <c r="F93" s="294">
        <f t="shared" si="8"/>
        <v>-59</v>
      </c>
      <c r="G93" s="295">
        <f t="shared" si="9"/>
        <v>-0.19218241042345277</v>
      </c>
      <c r="H93" s="293">
        <f>IF(C93="","",ROUND(C93*Steuerungsdaten!$B$4*Steuerungsdaten!$B$8*IFERROR(VLOOKUP(IFERROR(INDEX(Aktiv!$C$6:$C$350,MATCH(A93,Aktiv!$A$6:$A$350,0)),""),Steuerungsdaten!$B$17:$E$37,4,FALSE),1)*POWER(IF(OR(IFERROR(INDEX(Aktiv!$E$6:$E$350,MATCH(A93,Aktiv!$A$6:$A$350,0)),0)=0,IFERROR(INDEX(Aktiv!$F$6:$F$350,MATCH(A93,Aktiv!$A$6:$A$350,0)),0)=0),1,(IFERROR(INDEX(Aktiv!$E$6:$E$350,MATCH(A93,Aktiv!$A$6:$A$350,0)),0)*IFERROR(INDEX(Aktiv!$F$6:$F$350,MATCH(A93,Aktiv!$A$6:$A$350,0)),0)/1000000)/Steuerungsdaten!$B$6),1-1),0))</f>
        <v>232</v>
      </c>
      <c r="I93" s="293">
        <f>IFERROR(INDEX(Aktiv!$H$6:$H$350,MATCH(A93,Aktiv!$A$6:$A$350,0)),"")</f>
        <v>852</v>
      </c>
      <c r="J93" s="294">
        <f t="shared" si="10"/>
        <v>620</v>
      </c>
      <c r="K93" s="296">
        <f t="shared" si="11"/>
        <v>2.6724137931034484</v>
      </c>
      <c r="L93" s="297">
        <f>IF(C93="","",ROUND(C93*Steuerungsdaten!$B$4*Steuerungsdaten!$B$9*IFERROR(VLOOKUP(IFERROR(INDEX(Aktiv!$C$6:$C$350,MATCH(A93,Aktiv!$A$6:$A$350,0)),""),Steuerungsdaten!$B$17:$G$37,6,FALSE),1)*POWER(IF(OR(IFERROR(INDEX(Aktiv!$E$6:$E$350,MATCH(A93,Aktiv!$A$6:$A$350,0)),0)=0,IFERROR(INDEX(Aktiv!$F$6:$F$350,MATCH(A93,Aktiv!$A$6:$A$350,0)),0)=0),1,(IFERROR(INDEX(Aktiv!$E$6:$E$350,MATCH(A93,Aktiv!$A$6:$A$350,0)),0)*IFERROR(INDEX(Aktiv!$F$6:$F$350,MATCH(A93,Aktiv!$A$6:$A$350,0)),0)/1000000)/Steuerungsdaten!$B$6),1-1),0))</f>
        <v>232</v>
      </c>
      <c r="M93" s="297">
        <f>IFERROR(INDEX(Aktiv!$I$6:$I$350,MATCH(A93,Aktiv!$A$6:$A$350,0)),"")</f>
        <v>887</v>
      </c>
      <c r="N93" s="298">
        <f t="shared" si="12"/>
        <v>655</v>
      </c>
      <c r="O93" s="296">
        <f t="shared" si="13"/>
        <v>2.8232758620689653</v>
      </c>
      <c r="P93" s="297">
        <f>IF(C93="","",ROUND(C93*Steuerungsdaten!$B$4*Steuerungsdaten!$B$10*IFERROR(VLOOKUP(IFERROR(INDEX(Aktiv!$C$6:$C$350,MATCH(A93,Aktiv!$A$6:$A$350,0)),""),Steuerungsdaten!$B$17:$I$37,8,FALSE),1)*POWER(IF(OR(IFERROR(INDEX(Aktiv!$E$6:$E$350,MATCH(A93,Aktiv!$A$6:$A$350,0)),0)=0,IFERROR(INDEX(Aktiv!$F$6:$F$350,MATCH(A93,Aktiv!$A$6:$A$350,0)),0)=0),1,(IFERROR(INDEX(Aktiv!$E$6:$E$350,MATCH(A93,Aktiv!$A$6:$A$350,0)),0)*IFERROR(INDEX(Aktiv!$F$6:$F$350,MATCH(A93,Aktiv!$A$6:$A$350,0)),0)/1000000)/Steuerungsdaten!$B$6),1-1),0))</f>
        <v>253</v>
      </c>
      <c r="Q93" s="297">
        <f>IFERROR(INDEX(Aktiv!$J$6:$J$350,MATCH(A93,Aktiv!$A$6:$A$350,0)),"")</f>
        <v>987</v>
      </c>
      <c r="R93" s="298">
        <f t="shared" si="14"/>
        <v>734</v>
      </c>
      <c r="S93" s="296">
        <f t="shared" si="15"/>
        <v>2.9011857707509883</v>
      </c>
    </row>
    <row r="94" spans="1:19" x14ac:dyDescent="0.25">
      <c r="A94" s="292">
        <v>3325</v>
      </c>
      <c r="B94" s="292" t="s">
        <v>104</v>
      </c>
      <c r="C94" s="293">
        <f>IFERROR(INDEX(Aktiv!$O$6:$O$350,MATCH(A94,Aktiv!$A$6:$A$350,0)),"")</f>
        <v>125</v>
      </c>
      <c r="D94" s="293">
        <f>IF(C94="","",ROUND(C94*Steuerungsdaten!$B$4*Steuerungsdaten!$B$7*IFERROR(VLOOKUP(IFERROR(INDEX(Aktiv!$C$6:$C$350,MATCH(A94,Aktiv!$A$6:$A$350,0)),""),Steuerungsdaten!$B$17:$C$37,2,FALSE),1)*POWER(IF(OR(IFERROR(INDEX(Aktiv!$E$6:$E$350,MATCH(A94,Aktiv!$A$6:$A$350,0)),0)=0,IFERROR(INDEX(Aktiv!$F$6:$F$350,MATCH(A94,Aktiv!$A$6:$A$350,0)),0)=0),1,(IFERROR(INDEX(Aktiv!$E$6:$E$350,MATCH(A94,Aktiv!$A$6:$A$350,0)),0)*IFERROR(INDEX(Aktiv!$F$6:$F$350,MATCH(A94,Aktiv!$A$6:$A$350,0)),0)/1000000)/Steuerungsdaten!$B$6),IF(ISNUMBER(MATCH(IFERROR(INDEX(Aktiv!$C$6:$C$350,MATCH(A94,Aktiv!$A$6:$A$350,0)),""),{"Boden","Seite außen","Seite außen SY32","Rücken","Seite innen","Seite innen SY32","Seite innen SY32 DB","Fachboden klein","Fachboden groß","Klappenboden"},0)),1.2,1)-1),0))</f>
        <v>124</v>
      </c>
      <c r="E94" s="293">
        <f>IFERROR(INDEX(Aktiv!$G$6:$G$350,MATCH(A94,Aktiv!$A$6:$A$350,0)),"")</f>
        <v>114</v>
      </c>
      <c r="F94" s="294">
        <f t="shared" si="8"/>
        <v>-10</v>
      </c>
      <c r="G94" s="295">
        <f t="shared" si="9"/>
        <v>-8.0645161290322578E-2</v>
      </c>
      <c r="H94" s="293">
        <f>IF(C94="","",ROUND(C94*Steuerungsdaten!$B$4*Steuerungsdaten!$B$8*IFERROR(VLOOKUP(IFERROR(INDEX(Aktiv!$C$6:$C$350,MATCH(A94,Aktiv!$A$6:$A$350,0)),""),Steuerungsdaten!$B$17:$E$37,4,FALSE),1)*POWER(IF(OR(IFERROR(INDEX(Aktiv!$E$6:$E$350,MATCH(A94,Aktiv!$A$6:$A$350,0)),0)=0,IFERROR(INDEX(Aktiv!$F$6:$F$350,MATCH(A94,Aktiv!$A$6:$A$350,0)),0)=0),1,(IFERROR(INDEX(Aktiv!$E$6:$E$350,MATCH(A94,Aktiv!$A$6:$A$350,0)),0)*IFERROR(INDEX(Aktiv!$F$6:$F$350,MATCH(A94,Aktiv!$A$6:$A$350,0)),0)/1000000)/Steuerungsdaten!$B$6),1-1),0))</f>
        <v>110</v>
      </c>
      <c r="I94" s="293">
        <f>IFERROR(INDEX(Aktiv!$H$6:$H$350,MATCH(A94,Aktiv!$A$6:$A$350,0)),"")</f>
        <v>391</v>
      </c>
      <c r="J94" s="294">
        <f t="shared" si="10"/>
        <v>281</v>
      </c>
      <c r="K94" s="296">
        <f t="shared" si="11"/>
        <v>2.5545454545454547</v>
      </c>
      <c r="L94" s="297">
        <f>IF(C94="","",ROUND(C94*Steuerungsdaten!$B$4*Steuerungsdaten!$B$9*IFERROR(VLOOKUP(IFERROR(INDEX(Aktiv!$C$6:$C$350,MATCH(A94,Aktiv!$A$6:$A$350,0)),""),Steuerungsdaten!$B$17:$G$37,6,FALSE),1)*POWER(IF(OR(IFERROR(INDEX(Aktiv!$E$6:$E$350,MATCH(A94,Aktiv!$A$6:$A$350,0)),0)=0,IFERROR(INDEX(Aktiv!$F$6:$F$350,MATCH(A94,Aktiv!$A$6:$A$350,0)),0)=0),1,(IFERROR(INDEX(Aktiv!$E$6:$E$350,MATCH(A94,Aktiv!$A$6:$A$350,0)),0)*IFERROR(INDEX(Aktiv!$F$6:$F$350,MATCH(A94,Aktiv!$A$6:$A$350,0)),0)/1000000)/Steuerungsdaten!$B$6),1-1),0))</f>
        <v>110</v>
      </c>
      <c r="M94" s="297">
        <f>IFERROR(INDEX(Aktiv!$I$6:$I$350,MATCH(A94,Aktiv!$A$6:$A$350,0)),"")</f>
        <v>407</v>
      </c>
      <c r="N94" s="298">
        <f t="shared" si="12"/>
        <v>297</v>
      </c>
      <c r="O94" s="296">
        <f t="shared" si="13"/>
        <v>2.7</v>
      </c>
      <c r="P94" s="297">
        <f>IF(C94="","",ROUND(C94*Steuerungsdaten!$B$4*Steuerungsdaten!$B$10*IFERROR(VLOOKUP(IFERROR(INDEX(Aktiv!$C$6:$C$350,MATCH(A94,Aktiv!$A$6:$A$350,0)),""),Steuerungsdaten!$B$17:$I$37,8,FALSE),1)*POWER(IF(OR(IFERROR(INDEX(Aktiv!$E$6:$E$350,MATCH(A94,Aktiv!$A$6:$A$350,0)),0)=0,IFERROR(INDEX(Aktiv!$F$6:$F$350,MATCH(A94,Aktiv!$A$6:$A$350,0)),0)=0),1,(IFERROR(INDEX(Aktiv!$E$6:$E$350,MATCH(A94,Aktiv!$A$6:$A$350,0)),0)*IFERROR(INDEX(Aktiv!$F$6:$F$350,MATCH(A94,Aktiv!$A$6:$A$350,0)),0)/1000000)/Steuerungsdaten!$B$6),1-1),0))</f>
        <v>120</v>
      </c>
      <c r="Q94" s="297">
        <f>IFERROR(INDEX(Aktiv!$J$6:$J$350,MATCH(A94,Aktiv!$A$6:$A$350,0)),"")</f>
        <v>453</v>
      </c>
      <c r="R94" s="298">
        <f t="shared" si="14"/>
        <v>333</v>
      </c>
      <c r="S94" s="296">
        <f t="shared" si="15"/>
        <v>2.7749999999999999</v>
      </c>
    </row>
    <row r="95" spans="1:19" x14ac:dyDescent="0.25">
      <c r="A95" s="292">
        <v>3326</v>
      </c>
      <c r="B95" s="292" t="s">
        <v>105</v>
      </c>
      <c r="C95" s="293">
        <f>IFERROR(INDEX(Aktiv!$O$6:$O$350,MATCH(A95,Aktiv!$A$6:$A$350,0)),"")</f>
        <v>143</v>
      </c>
      <c r="D95" s="293">
        <f>IF(C95="","",ROUND(C95*Steuerungsdaten!$B$4*Steuerungsdaten!$B$7*IFERROR(VLOOKUP(IFERROR(INDEX(Aktiv!$C$6:$C$350,MATCH(A95,Aktiv!$A$6:$A$350,0)),""),Steuerungsdaten!$B$17:$C$37,2,FALSE),1)*POWER(IF(OR(IFERROR(INDEX(Aktiv!$E$6:$E$350,MATCH(A95,Aktiv!$A$6:$A$350,0)),0)=0,IFERROR(INDEX(Aktiv!$F$6:$F$350,MATCH(A95,Aktiv!$A$6:$A$350,0)),0)=0),1,(IFERROR(INDEX(Aktiv!$E$6:$E$350,MATCH(A95,Aktiv!$A$6:$A$350,0)),0)*IFERROR(INDEX(Aktiv!$F$6:$F$350,MATCH(A95,Aktiv!$A$6:$A$350,0)),0)/1000000)/Steuerungsdaten!$B$6),IF(ISNUMBER(MATCH(IFERROR(INDEX(Aktiv!$C$6:$C$350,MATCH(A95,Aktiv!$A$6:$A$350,0)),""),{"Boden","Seite außen","Seite außen SY32","Rücken","Seite innen","Seite innen SY32","Seite innen SY32 DB","Fachboden klein","Fachboden groß","Klappenboden"},0)),1.2,1)-1),0))</f>
        <v>147</v>
      </c>
      <c r="E95" s="293">
        <f>IFERROR(INDEX(Aktiv!$G$6:$G$350,MATCH(A95,Aktiv!$A$6:$A$350,0)),"")</f>
        <v>133</v>
      </c>
      <c r="F95" s="294">
        <f t="shared" si="8"/>
        <v>-14</v>
      </c>
      <c r="G95" s="295">
        <f t="shared" si="9"/>
        <v>-9.5238095238095233E-2</v>
      </c>
      <c r="H95" s="293">
        <f>IF(C95="","",ROUND(C95*Steuerungsdaten!$B$4*Steuerungsdaten!$B$8*IFERROR(VLOOKUP(IFERROR(INDEX(Aktiv!$C$6:$C$350,MATCH(A95,Aktiv!$A$6:$A$350,0)),""),Steuerungsdaten!$B$17:$E$37,4,FALSE),1)*POWER(IF(OR(IFERROR(INDEX(Aktiv!$E$6:$E$350,MATCH(A95,Aktiv!$A$6:$A$350,0)),0)=0,IFERROR(INDEX(Aktiv!$F$6:$F$350,MATCH(A95,Aktiv!$A$6:$A$350,0)),0)=0),1,(IFERROR(INDEX(Aktiv!$E$6:$E$350,MATCH(A95,Aktiv!$A$6:$A$350,0)),0)*IFERROR(INDEX(Aktiv!$F$6:$F$350,MATCH(A95,Aktiv!$A$6:$A$350,0)),0)/1000000)/Steuerungsdaten!$B$6),1-1),0))</f>
        <v>126</v>
      </c>
      <c r="I95" s="293">
        <f>IFERROR(INDEX(Aktiv!$H$6:$H$350,MATCH(A95,Aktiv!$A$6:$A$350,0)),"")</f>
        <v>456</v>
      </c>
      <c r="J95" s="294">
        <f t="shared" si="10"/>
        <v>330</v>
      </c>
      <c r="K95" s="296">
        <f t="shared" si="11"/>
        <v>2.6190476190476191</v>
      </c>
      <c r="L95" s="297">
        <f>IF(C95="","",ROUND(C95*Steuerungsdaten!$B$4*Steuerungsdaten!$B$9*IFERROR(VLOOKUP(IFERROR(INDEX(Aktiv!$C$6:$C$350,MATCH(A95,Aktiv!$A$6:$A$350,0)),""),Steuerungsdaten!$B$17:$G$37,6,FALSE),1)*POWER(IF(OR(IFERROR(INDEX(Aktiv!$E$6:$E$350,MATCH(A95,Aktiv!$A$6:$A$350,0)),0)=0,IFERROR(INDEX(Aktiv!$F$6:$F$350,MATCH(A95,Aktiv!$A$6:$A$350,0)),0)=0),1,(IFERROR(INDEX(Aktiv!$E$6:$E$350,MATCH(A95,Aktiv!$A$6:$A$350,0)),0)*IFERROR(INDEX(Aktiv!$F$6:$F$350,MATCH(A95,Aktiv!$A$6:$A$350,0)),0)/1000000)/Steuerungsdaten!$B$6),1-1),0))</f>
        <v>126</v>
      </c>
      <c r="M95" s="297">
        <f>IFERROR(INDEX(Aktiv!$I$6:$I$350,MATCH(A95,Aktiv!$A$6:$A$350,0)),"")</f>
        <v>475</v>
      </c>
      <c r="N95" s="298">
        <f t="shared" si="12"/>
        <v>349</v>
      </c>
      <c r="O95" s="296">
        <f t="shared" si="13"/>
        <v>2.7698412698412698</v>
      </c>
      <c r="P95" s="297">
        <f>IF(C95="","",ROUND(C95*Steuerungsdaten!$B$4*Steuerungsdaten!$B$10*IFERROR(VLOOKUP(IFERROR(INDEX(Aktiv!$C$6:$C$350,MATCH(A95,Aktiv!$A$6:$A$350,0)),""),Steuerungsdaten!$B$17:$I$37,8,FALSE),1)*POWER(IF(OR(IFERROR(INDEX(Aktiv!$E$6:$E$350,MATCH(A95,Aktiv!$A$6:$A$350,0)),0)=0,IFERROR(INDEX(Aktiv!$F$6:$F$350,MATCH(A95,Aktiv!$A$6:$A$350,0)),0)=0),1,(IFERROR(INDEX(Aktiv!$E$6:$E$350,MATCH(A95,Aktiv!$A$6:$A$350,0)),0)*IFERROR(INDEX(Aktiv!$F$6:$F$350,MATCH(A95,Aktiv!$A$6:$A$350,0)),0)/1000000)/Steuerungsdaten!$B$6),1-1),0))</f>
        <v>137</v>
      </c>
      <c r="Q95" s="297">
        <f>IFERROR(INDEX(Aktiv!$J$6:$J$350,MATCH(A95,Aktiv!$A$6:$A$350,0)),"")</f>
        <v>529</v>
      </c>
      <c r="R95" s="298">
        <f t="shared" si="14"/>
        <v>392</v>
      </c>
      <c r="S95" s="296">
        <f t="shared" si="15"/>
        <v>2.8613138686131387</v>
      </c>
    </row>
    <row r="96" spans="1:19" x14ac:dyDescent="0.25">
      <c r="A96" s="292">
        <v>3327</v>
      </c>
      <c r="B96" s="292" t="s">
        <v>106</v>
      </c>
      <c r="C96" s="293">
        <f>IFERROR(INDEX(Aktiv!$O$6:$O$350,MATCH(A96,Aktiv!$A$6:$A$350,0)),"")</f>
        <v>197</v>
      </c>
      <c r="D96" s="293">
        <f>IF(C96="","",ROUND(C96*Steuerungsdaten!$B$4*Steuerungsdaten!$B$7*IFERROR(VLOOKUP(IFERROR(INDEX(Aktiv!$C$6:$C$350,MATCH(A96,Aktiv!$A$6:$A$350,0)),""),Steuerungsdaten!$B$17:$C$37,2,FALSE),1)*POWER(IF(OR(IFERROR(INDEX(Aktiv!$E$6:$E$350,MATCH(A96,Aktiv!$A$6:$A$350,0)),0)=0,IFERROR(INDEX(Aktiv!$F$6:$F$350,MATCH(A96,Aktiv!$A$6:$A$350,0)),0)=0),1,(IFERROR(INDEX(Aktiv!$E$6:$E$350,MATCH(A96,Aktiv!$A$6:$A$350,0)),0)*IFERROR(INDEX(Aktiv!$F$6:$F$350,MATCH(A96,Aktiv!$A$6:$A$350,0)),0)/1000000)/Steuerungsdaten!$B$6),IF(ISNUMBER(MATCH(IFERROR(INDEX(Aktiv!$C$6:$C$350,MATCH(A96,Aktiv!$A$6:$A$350,0)),""),{"Boden","Seite außen","Seite außen SY32","Rücken","Seite innen","Seite innen SY32","Seite innen SY32 DB","Fachboden klein","Fachboden groß","Klappenboden"},0)),1.2,1)-1),0))</f>
        <v>216</v>
      </c>
      <c r="E96" s="293">
        <f>IFERROR(INDEX(Aktiv!$G$6:$G$350,MATCH(A96,Aktiv!$A$6:$A$350,0)),"")</f>
        <v>184</v>
      </c>
      <c r="F96" s="294">
        <f t="shared" si="8"/>
        <v>-32</v>
      </c>
      <c r="G96" s="295">
        <f t="shared" si="9"/>
        <v>-0.14814814814814814</v>
      </c>
      <c r="H96" s="293">
        <f>IF(C96="","",ROUND(C96*Steuerungsdaten!$B$4*Steuerungsdaten!$B$8*IFERROR(VLOOKUP(IFERROR(INDEX(Aktiv!$C$6:$C$350,MATCH(A96,Aktiv!$A$6:$A$350,0)),""),Steuerungsdaten!$B$17:$E$37,4,FALSE),1)*POWER(IF(OR(IFERROR(INDEX(Aktiv!$E$6:$E$350,MATCH(A96,Aktiv!$A$6:$A$350,0)),0)=0,IFERROR(INDEX(Aktiv!$F$6:$F$350,MATCH(A96,Aktiv!$A$6:$A$350,0)),0)=0),1,(IFERROR(INDEX(Aktiv!$E$6:$E$350,MATCH(A96,Aktiv!$A$6:$A$350,0)),0)*IFERROR(INDEX(Aktiv!$F$6:$F$350,MATCH(A96,Aktiv!$A$6:$A$350,0)),0)/1000000)/Steuerungsdaten!$B$6),1-1),0))</f>
        <v>173</v>
      </c>
      <c r="I96" s="293">
        <f>IFERROR(INDEX(Aktiv!$H$6:$H$350,MATCH(A96,Aktiv!$A$6:$A$350,0)),"")</f>
        <v>630</v>
      </c>
      <c r="J96" s="294">
        <f t="shared" si="10"/>
        <v>457</v>
      </c>
      <c r="K96" s="296">
        <f t="shared" si="11"/>
        <v>2.6416184971098264</v>
      </c>
      <c r="L96" s="297">
        <f>IF(C96="","",ROUND(C96*Steuerungsdaten!$B$4*Steuerungsdaten!$B$9*IFERROR(VLOOKUP(IFERROR(INDEX(Aktiv!$C$6:$C$350,MATCH(A96,Aktiv!$A$6:$A$350,0)),""),Steuerungsdaten!$B$17:$G$37,6,FALSE),1)*POWER(IF(OR(IFERROR(INDEX(Aktiv!$E$6:$E$350,MATCH(A96,Aktiv!$A$6:$A$350,0)),0)=0,IFERROR(INDEX(Aktiv!$F$6:$F$350,MATCH(A96,Aktiv!$A$6:$A$350,0)),0)=0),1,(IFERROR(INDEX(Aktiv!$E$6:$E$350,MATCH(A96,Aktiv!$A$6:$A$350,0)),0)*IFERROR(INDEX(Aktiv!$F$6:$F$350,MATCH(A96,Aktiv!$A$6:$A$350,0)),0)/1000000)/Steuerungsdaten!$B$6),1-1),0))</f>
        <v>173</v>
      </c>
      <c r="M96" s="297">
        <f>IFERROR(INDEX(Aktiv!$I$6:$I$350,MATCH(A96,Aktiv!$A$6:$A$350,0)),"")</f>
        <v>656</v>
      </c>
      <c r="N96" s="298">
        <f t="shared" si="12"/>
        <v>483</v>
      </c>
      <c r="O96" s="296">
        <f t="shared" si="13"/>
        <v>2.7919075144508669</v>
      </c>
      <c r="P96" s="297">
        <f>IF(C96="","",ROUND(C96*Steuerungsdaten!$B$4*Steuerungsdaten!$B$10*IFERROR(VLOOKUP(IFERROR(INDEX(Aktiv!$C$6:$C$350,MATCH(A96,Aktiv!$A$6:$A$350,0)),""),Steuerungsdaten!$B$17:$I$37,8,FALSE),1)*POWER(IF(OR(IFERROR(INDEX(Aktiv!$E$6:$E$350,MATCH(A96,Aktiv!$A$6:$A$350,0)),0)=0,IFERROR(INDEX(Aktiv!$F$6:$F$350,MATCH(A96,Aktiv!$A$6:$A$350,0)),0)=0),1,(IFERROR(INDEX(Aktiv!$E$6:$E$350,MATCH(A96,Aktiv!$A$6:$A$350,0)),0)*IFERROR(INDEX(Aktiv!$F$6:$F$350,MATCH(A96,Aktiv!$A$6:$A$350,0)),0)/1000000)/Steuerungsdaten!$B$6),1-1),0))</f>
        <v>189</v>
      </c>
      <c r="Q96" s="297">
        <f>IFERROR(INDEX(Aktiv!$J$6:$J$350,MATCH(A96,Aktiv!$A$6:$A$350,0)),"")</f>
        <v>730</v>
      </c>
      <c r="R96" s="298">
        <f t="shared" si="14"/>
        <v>541</v>
      </c>
      <c r="S96" s="296">
        <f t="shared" si="15"/>
        <v>2.8624338624338623</v>
      </c>
    </row>
    <row r="97" spans="1:19" x14ac:dyDescent="0.25">
      <c r="A97" s="292">
        <v>3328</v>
      </c>
      <c r="B97" s="292" t="s">
        <v>107</v>
      </c>
      <c r="C97" s="293">
        <f>IFERROR(INDEX(Aktiv!$O$6:$O$350,MATCH(A97,Aktiv!$A$6:$A$350,0)),"")</f>
        <v>264</v>
      </c>
      <c r="D97" s="293">
        <f>IF(C97="","",ROUND(C97*Steuerungsdaten!$B$4*Steuerungsdaten!$B$7*IFERROR(VLOOKUP(IFERROR(INDEX(Aktiv!$C$6:$C$350,MATCH(A97,Aktiv!$A$6:$A$350,0)),""),Steuerungsdaten!$B$17:$C$37,2,FALSE),1)*POWER(IF(OR(IFERROR(INDEX(Aktiv!$E$6:$E$350,MATCH(A97,Aktiv!$A$6:$A$350,0)),0)=0,IFERROR(INDEX(Aktiv!$F$6:$F$350,MATCH(A97,Aktiv!$A$6:$A$350,0)),0)=0),1,(IFERROR(INDEX(Aktiv!$E$6:$E$350,MATCH(A97,Aktiv!$A$6:$A$350,0)),0)*IFERROR(INDEX(Aktiv!$F$6:$F$350,MATCH(A97,Aktiv!$A$6:$A$350,0)),0)/1000000)/Steuerungsdaten!$B$6),IF(ISNUMBER(MATCH(IFERROR(INDEX(Aktiv!$C$6:$C$350,MATCH(A97,Aktiv!$A$6:$A$350,0)),""),{"Boden","Seite außen","Seite außen SY32","Rücken","Seite innen","Seite innen SY32","Seite innen SY32 DB","Fachboden klein","Fachboden groß","Klappenboden"},0)),1.2,1)-1),0))</f>
        <v>307</v>
      </c>
      <c r="E97" s="293" t="str">
        <f>IFERROR(INDEX(Aktiv!$G$6:$G$350,MATCH(A97,Aktiv!$A$6:$A$350,0)),"")</f>
        <v>-</v>
      </c>
      <c r="F97" s="294" t="e">
        <f t="shared" si="8"/>
        <v>#VALUE!</v>
      </c>
      <c r="G97" s="295" t="e">
        <f t="shared" si="9"/>
        <v>#VALUE!</v>
      </c>
      <c r="H97" s="293">
        <f>IF(C97="","",ROUND(C97*Steuerungsdaten!$B$4*Steuerungsdaten!$B$8*IFERROR(VLOOKUP(IFERROR(INDEX(Aktiv!$C$6:$C$350,MATCH(A97,Aktiv!$A$6:$A$350,0)),""),Steuerungsdaten!$B$17:$E$37,4,FALSE),1)*POWER(IF(OR(IFERROR(INDEX(Aktiv!$E$6:$E$350,MATCH(A97,Aktiv!$A$6:$A$350,0)),0)=0,IFERROR(INDEX(Aktiv!$F$6:$F$350,MATCH(A97,Aktiv!$A$6:$A$350,0)),0)=0),1,(IFERROR(INDEX(Aktiv!$E$6:$E$350,MATCH(A97,Aktiv!$A$6:$A$350,0)),0)*IFERROR(INDEX(Aktiv!$F$6:$F$350,MATCH(A97,Aktiv!$A$6:$A$350,0)),0)/1000000)/Steuerungsdaten!$B$6),1-1),0))</f>
        <v>232</v>
      </c>
      <c r="I97" s="293" t="str">
        <f>IFERROR(INDEX(Aktiv!$H$6:$H$350,MATCH(A97,Aktiv!$A$6:$A$350,0)),"")</f>
        <v>-</v>
      </c>
      <c r="J97" s="294" t="e">
        <f t="shared" si="10"/>
        <v>#VALUE!</v>
      </c>
      <c r="K97" s="296" t="e">
        <f t="shared" si="11"/>
        <v>#VALUE!</v>
      </c>
      <c r="L97" s="297">
        <f>IF(C97="","",ROUND(C97*Steuerungsdaten!$B$4*Steuerungsdaten!$B$9*IFERROR(VLOOKUP(IFERROR(INDEX(Aktiv!$C$6:$C$350,MATCH(A97,Aktiv!$A$6:$A$350,0)),""),Steuerungsdaten!$B$17:$G$37,6,FALSE),1)*POWER(IF(OR(IFERROR(INDEX(Aktiv!$E$6:$E$350,MATCH(A97,Aktiv!$A$6:$A$350,0)),0)=0,IFERROR(INDEX(Aktiv!$F$6:$F$350,MATCH(A97,Aktiv!$A$6:$A$350,0)),0)=0),1,(IFERROR(INDEX(Aktiv!$E$6:$E$350,MATCH(A97,Aktiv!$A$6:$A$350,0)),0)*IFERROR(INDEX(Aktiv!$F$6:$F$350,MATCH(A97,Aktiv!$A$6:$A$350,0)),0)/1000000)/Steuerungsdaten!$B$6),1-1),0))</f>
        <v>232</v>
      </c>
      <c r="M97" s="297" t="str">
        <f>IFERROR(INDEX(Aktiv!$I$6:$I$350,MATCH(A97,Aktiv!$A$6:$A$350,0)),"")</f>
        <v>-</v>
      </c>
      <c r="N97" s="298" t="e">
        <f t="shared" si="12"/>
        <v>#VALUE!</v>
      </c>
      <c r="O97" s="296" t="e">
        <f t="shared" si="13"/>
        <v>#VALUE!</v>
      </c>
      <c r="P97" s="297">
        <f>IF(C97="","",ROUND(C97*Steuerungsdaten!$B$4*Steuerungsdaten!$B$10*IFERROR(VLOOKUP(IFERROR(INDEX(Aktiv!$C$6:$C$350,MATCH(A97,Aktiv!$A$6:$A$350,0)),""),Steuerungsdaten!$B$17:$I$37,8,FALSE),1)*POWER(IF(OR(IFERROR(INDEX(Aktiv!$E$6:$E$350,MATCH(A97,Aktiv!$A$6:$A$350,0)),0)=0,IFERROR(INDEX(Aktiv!$F$6:$F$350,MATCH(A97,Aktiv!$A$6:$A$350,0)),0)=0),1,(IFERROR(INDEX(Aktiv!$E$6:$E$350,MATCH(A97,Aktiv!$A$6:$A$350,0)),0)*IFERROR(INDEX(Aktiv!$F$6:$F$350,MATCH(A97,Aktiv!$A$6:$A$350,0)),0)/1000000)/Steuerungsdaten!$B$6),1-1),0))</f>
        <v>253</v>
      </c>
      <c r="Q97" s="297" t="str">
        <f>IFERROR(INDEX(Aktiv!$J$6:$J$350,MATCH(A97,Aktiv!$A$6:$A$350,0)),"")</f>
        <v>-</v>
      </c>
      <c r="R97" s="298" t="e">
        <f t="shared" si="14"/>
        <v>#VALUE!</v>
      </c>
      <c r="S97" s="296" t="e">
        <f t="shared" si="15"/>
        <v>#VALUE!</v>
      </c>
    </row>
    <row r="98" spans="1:19" x14ac:dyDescent="0.25">
      <c r="A98" s="292">
        <v>3329</v>
      </c>
      <c r="B98" s="292" t="s">
        <v>108</v>
      </c>
      <c r="C98" s="293">
        <f>IFERROR(INDEX(Aktiv!$O$6:$O$350,MATCH(A98,Aktiv!$A$6:$A$350,0)),"")</f>
        <v>329</v>
      </c>
      <c r="D98" s="293">
        <f>IF(C98="","",ROUND(C98*Steuerungsdaten!$B$4*Steuerungsdaten!$B$7*IFERROR(VLOOKUP(IFERROR(INDEX(Aktiv!$C$6:$C$350,MATCH(A98,Aktiv!$A$6:$A$350,0)),""),Steuerungsdaten!$B$17:$C$37,2,FALSE),1)*POWER(IF(OR(IFERROR(INDEX(Aktiv!$E$6:$E$350,MATCH(A98,Aktiv!$A$6:$A$350,0)),0)=0,IFERROR(INDEX(Aktiv!$F$6:$F$350,MATCH(A98,Aktiv!$A$6:$A$350,0)),0)=0),1,(IFERROR(INDEX(Aktiv!$E$6:$E$350,MATCH(A98,Aktiv!$A$6:$A$350,0)),0)*IFERROR(INDEX(Aktiv!$F$6:$F$350,MATCH(A98,Aktiv!$A$6:$A$350,0)),0)/1000000)/Steuerungsdaten!$B$6),IF(ISNUMBER(MATCH(IFERROR(INDEX(Aktiv!$C$6:$C$350,MATCH(A98,Aktiv!$A$6:$A$350,0)),""),{"Boden","Seite außen","Seite außen SY32","Rücken","Seite innen","Seite innen SY32","Seite innen SY32 DB","Fachboden klein","Fachboden groß","Klappenboden"},0)),1.2,1)-1),0))</f>
        <v>400</v>
      </c>
      <c r="E98" s="293" t="str">
        <f>IFERROR(INDEX(Aktiv!$G$6:$G$350,MATCH(A98,Aktiv!$A$6:$A$350,0)),"")</f>
        <v>-</v>
      </c>
      <c r="F98" s="294" t="e">
        <f t="shared" si="8"/>
        <v>#VALUE!</v>
      </c>
      <c r="G98" s="295" t="e">
        <f t="shared" si="9"/>
        <v>#VALUE!</v>
      </c>
      <c r="H98" s="293">
        <f>IF(C98="","",ROUND(C98*Steuerungsdaten!$B$4*Steuerungsdaten!$B$8*IFERROR(VLOOKUP(IFERROR(INDEX(Aktiv!$C$6:$C$350,MATCH(A98,Aktiv!$A$6:$A$350,0)),""),Steuerungsdaten!$B$17:$E$37,4,FALSE),1)*POWER(IF(OR(IFERROR(INDEX(Aktiv!$E$6:$E$350,MATCH(A98,Aktiv!$A$6:$A$350,0)),0)=0,IFERROR(INDEX(Aktiv!$F$6:$F$350,MATCH(A98,Aktiv!$A$6:$A$350,0)),0)=0),1,(IFERROR(INDEX(Aktiv!$E$6:$E$350,MATCH(A98,Aktiv!$A$6:$A$350,0)),0)*IFERROR(INDEX(Aktiv!$F$6:$F$350,MATCH(A98,Aktiv!$A$6:$A$350,0)),0)/1000000)/Steuerungsdaten!$B$6),1-1),0))</f>
        <v>290</v>
      </c>
      <c r="I98" s="293" t="str">
        <f>IFERROR(INDEX(Aktiv!$H$6:$H$350,MATCH(A98,Aktiv!$A$6:$A$350,0)),"")</f>
        <v>-</v>
      </c>
      <c r="J98" s="294" t="e">
        <f t="shared" si="10"/>
        <v>#VALUE!</v>
      </c>
      <c r="K98" s="296" t="e">
        <f t="shared" si="11"/>
        <v>#VALUE!</v>
      </c>
      <c r="L98" s="297">
        <f>IF(C98="","",ROUND(C98*Steuerungsdaten!$B$4*Steuerungsdaten!$B$9*IFERROR(VLOOKUP(IFERROR(INDEX(Aktiv!$C$6:$C$350,MATCH(A98,Aktiv!$A$6:$A$350,0)),""),Steuerungsdaten!$B$17:$G$37,6,FALSE),1)*POWER(IF(OR(IFERROR(INDEX(Aktiv!$E$6:$E$350,MATCH(A98,Aktiv!$A$6:$A$350,0)),0)=0,IFERROR(INDEX(Aktiv!$F$6:$F$350,MATCH(A98,Aktiv!$A$6:$A$350,0)),0)=0),1,(IFERROR(INDEX(Aktiv!$E$6:$E$350,MATCH(A98,Aktiv!$A$6:$A$350,0)),0)*IFERROR(INDEX(Aktiv!$F$6:$F$350,MATCH(A98,Aktiv!$A$6:$A$350,0)),0)/1000000)/Steuerungsdaten!$B$6),1-1),0))</f>
        <v>290</v>
      </c>
      <c r="M98" s="297" t="str">
        <f>IFERROR(INDEX(Aktiv!$I$6:$I$350,MATCH(A98,Aktiv!$A$6:$A$350,0)),"")</f>
        <v>-</v>
      </c>
      <c r="N98" s="298" t="e">
        <f t="shared" si="12"/>
        <v>#VALUE!</v>
      </c>
      <c r="O98" s="296" t="e">
        <f t="shared" si="13"/>
        <v>#VALUE!</v>
      </c>
      <c r="P98" s="297">
        <f>IF(C98="","",ROUND(C98*Steuerungsdaten!$B$4*Steuerungsdaten!$B$10*IFERROR(VLOOKUP(IFERROR(INDEX(Aktiv!$C$6:$C$350,MATCH(A98,Aktiv!$A$6:$A$350,0)),""),Steuerungsdaten!$B$17:$I$37,8,FALSE),1)*POWER(IF(OR(IFERROR(INDEX(Aktiv!$E$6:$E$350,MATCH(A98,Aktiv!$A$6:$A$350,0)),0)=0,IFERROR(INDEX(Aktiv!$F$6:$F$350,MATCH(A98,Aktiv!$A$6:$A$350,0)),0)=0),1,(IFERROR(INDEX(Aktiv!$E$6:$E$350,MATCH(A98,Aktiv!$A$6:$A$350,0)),0)*IFERROR(INDEX(Aktiv!$F$6:$F$350,MATCH(A98,Aktiv!$A$6:$A$350,0)),0)/1000000)/Steuerungsdaten!$B$6),1-1),0))</f>
        <v>316</v>
      </c>
      <c r="Q98" s="297" t="str">
        <f>IFERROR(INDEX(Aktiv!$J$6:$J$350,MATCH(A98,Aktiv!$A$6:$A$350,0)),"")</f>
        <v>-</v>
      </c>
      <c r="R98" s="298" t="e">
        <f t="shared" si="14"/>
        <v>#VALUE!</v>
      </c>
      <c r="S98" s="296" t="e">
        <f t="shared" si="15"/>
        <v>#VALUE!</v>
      </c>
    </row>
    <row r="99" spans="1:19" x14ac:dyDescent="0.25">
      <c r="A99" s="292">
        <v>3500</v>
      </c>
      <c r="B99" s="292" t="s">
        <v>110</v>
      </c>
      <c r="C99" s="293">
        <f>IFERROR(INDEX(Aktiv!$O$6:$O$350,MATCH(A99,Aktiv!$A$6:$A$350,0)),"")</f>
        <v>34</v>
      </c>
      <c r="D99" s="293">
        <f>IF(C99="","",ROUND(C99*Steuerungsdaten!$B$4*Steuerungsdaten!$B$7*IFERROR(VLOOKUP(IFERROR(INDEX(Aktiv!$C$6:$C$350,MATCH(A99,Aktiv!$A$6:$A$350,0)),""),Steuerungsdaten!$B$17:$C$37,2,FALSE),1)*POWER(IF(OR(IFERROR(INDEX(Aktiv!$E$6:$E$350,MATCH(A99,Aktiv!$A$6:$A$350,0)),0)=0,IFERROR(INDEX(Aktiv!$F$6:$F$350,MATCH(A99,Aktiv!$A$6:$A$350,0)),0)=0),1,(IFERROR(INDEX(Aktiv!$E$6:$E$350,MATCH(A99,Aktiv!$A$6:$A$350,0)),0)*IFERROR(INDEX(Aktiv!$F$6:$F$350,MATCH(A99,Aktiv!$A$6:$A$350,0)),0)/1000000)/Steuerungsdaten!$B$6),IF(ISNUMBER(MATCH(IFERROR(INDEX(Aktiv!$C$6:$C$350,MATCH(A99,Aktiv!$A$6:$A$350,0)),""),{"Boden","Seite außen","Seite außen SY32","Rücken","Seite innen","Seite innen SY32","Seite innen SY32 DB","Fachboden klein","Fachboden groß","Klappenboden"},0)),1.2,1)-1),0))</f>
        <v>21</v>
      </c>
      <c r="E99" s="293">
        <f>IFERROR(INDEX(Aktiv!$G$6:$G$350,MATCH(A99,Aktiv!$A$6:$A$350,0)),"")</f>
        <v>25</v>
      </c>
      <c r="F99" s="294">
        <f t="shared" si="8"/>
        <v>4</v>
      </c>
      <c r="G99" s="295">
        <f t="shared" si="9"/>
        <v>0.19047619047619047</v>
      </c>
      <c r="H99" s="293">
        <f>IF(C99="","",ROUND(C99*Steuerungsdaten!$B$4*Steuerungsdaten!$B$8*IFERROR(VLOOKUP(IFERROR(INDEX(Aktiv!$C$6:$C$350,MATCH(A99,Aktiv!$A$6:$A$350,0)),""),Steuerungsdaten!$B$17:$E$37,4,FALSE),1)*POWER(IF(OR(IFERROR(INDEX(Aktiv!$E$6:$E$350,MATCH(A99,Aktiv!$A$6:$A$350,0)),0)=0,IFERROR(INDEX(Aktiv!$F$6:$F$350,MATCH(A99,Aktiv!$A$6:$A$350,0)),0)=0),1,(IFERROR(INDEX(Aktiv!$E$6:$E$350,MATCH(A99,Aktiv!$A$6:$A$350,0)),0)*IFERROR(INDEX(Aktiv!$F$6:$F$350,MATCH(A99,Aktiv!$A$6:$A$350,0)),0)/1000000)/Steuerungsdaten!$B$6),1-1),0))</f>
        <v>30</v>
      </c>
      <c r="I99" s="293">
        <f>IFERROR(INDEX(Aktiv!$H$6:$H$350,MATCH(A99,Aktiv!$A$6:$A$350,0)),"")</f>
        <v>103</v>
      </c>
      <c r="J99" s="294">
        <f t="shared" si="10"/>
        <v>73</v>
      </c>
      <c r="K99" s="296">
        <f t="shared" si="11"/>
        <v>2.4333333333333331</v>
      </c>
      <c r="L99" s="297">
        <f>IF(C99="","",ROUND(C99*Steuerungsdaten!$B$4*Steuerungsdaten!$B$9*IFERROR(VLOOKUP(IFERROR(INDEX(Aktiv!$C$6:$C$350,MATCH(A99,Aktiv!$A$6:$A$350,0)),""),Steuerungsdaten!$B$17:$G$37,6,FALSE),1)*POWER(IF(OR(IFERROR(INDEX(Aktiv!$E$6:$E$350,MATCH(A99,Aktiv!$A$6:$A$350,0)),0)=0,IFERROR(INDEX(Aktiv!$F$6:$F$350,MATCH(A99,Aktiv!$A$6:$A$350,0)),0)=0),1,(IFERROR(INDEX(Aktiv!$E$6:$E$350,MATCH(A99,Aktiv!$A$6:$A$350,0)),0)*IFERROR(INDEX(Aktiv!$F$6:$F$350,MATCH(A99,Aktiv!$A$6:$A$350,0)),0)/1000000)/Steuerungsdaten!$B$6),1-1),0))</f>
        <v>30</v>
      </c>
      <c r="M99" s="297">
        <f>IFERROR(INDEX(Aktiv!$I$6:$I$350,MATCH(A99,Aktiv!$A$6:$A$350,0)),"")</f>
        <v>120</v>
      </c>
      <c r="N99" s="298">
        <f t="shared" si="12"/>
        <v>90</v>
      </c>
      <c r="O99" s="296">
        <f t="shared" si="13"/>
        <v>3</v>
      </c>
      <c r="P99" s="297">
        <f>IF(C99="","",ROUND(C99*Steuerungsdaten!$B$4*Steuerungsdaten!$B$10*IFERROR(VLOOKUP(IFERROR(INDEX(Aktiv!$C$6:$C$350,MATCH(A99,Aktiv!$A$6:$A$350,0)),""),Steuerungsdaten!$B$17:$I$37,8,FALSE),1)*POWER(IF(OR(IFERROR(INDEX(Aktiv!$E$6:$E$350,MATCH(A99,Aktiv!$A$6:$A$350,0)),0)=0,IFERROR(INDEX(Aktiv!$F$6:$F$350,MATCH(A99,Aktiv!$A$6:$A$350,0)),0)=0),1,(IFERROR(INDEX(Aktiv!$E$6:$E$350,MATCH(A99,Aktiv!$A$6:$A$350,0)),0)*IFERROR(INDEX(Aktiv!$F$6:$F$350,MATCH(A99,Aktiv!$A$6:$A$350,0)),0)/1000000)/Steuerungsdaten!$B$6),1-1),0))</f>
        <v>33</v>
      </c>
      <c r="Q99" s="297">
        <f>IFERROR(INDEX(Aktiv!$J$6:$J$350,MATCH(A99,Aktiv!$A$6:$A$350,0)),"")</f>
        <v>145</v>
      </c>
      <c r="R99" s="298">
        <f t="shared" si="14"/>
        <v>112</v>
      </c>
      <c r="S99" s="296">
        <f t="shared" si="15"/>
        <v>3.393939393939394</v>
      </c>
    </row>
    <row r="100" spans="1:19" x14ac:dyDescent="0.25">
      <c r="A100" s="292">
        <v>3501</v>
      </c>
      <c r="B100" s="292" t="s">
        <v>111</v>
      </c>
      <c r="C100" s="293">
        <f>IFERROR(INDEX(Aktiv!$O$6:$O$350,MATCH(A100,Aktiv!$A$6:$A$350,0)),"")</f>
        <v>34</v>
      </c>
      <c r="D100" s="293">
        <f>IF(C100="","",ROUND(C100*Steuerungsdaten!$B$4*Steuerungsdaten!$B$7*IFERROR(VLOOKUP(IFERROR(INDEX(Aktiv!$C$6:$C$350,MATCH(A100,Aktiv!$A$6:$A$350,0)),""),Steuerungsdaten!$B$17:$C$37,2,FALSE),1)*POWER(IF(OR(IFERROR(INDEX(Aktiv!$E$6:$E$350,MATCH(A100,Aktiv!$A$6:$A$350,0)),0)=0,IFERROR(INDEX(Aktiv!$F$6:$F$350,MATCH(A100,Aktiv!$A$6:$A$350,0)),0)=0),1,(IFERROR(INDEX(Aktiv!$E$6:$E$350,MATCH(A100,Aktiv!$A$6:$A$350,0)),0)*IFERROR(INDEX(Aktiv!$F$6:$F$350,MATCH(A100,Aktiv!$A$6:$A$350,0)),0)/1000000)/Steuerungsdaten!$B$6),IF(ISNUMBER(MATCH(IFERROR(INDEX(Aktiv!$C$6:$C$350,MATCH(A100,Aktiv!$A$6:$A$350,0)),""),{"Boden","Seite außen","Seite außen SY32","Rücken","Seite innen","Seite innen SY32","Seite innen SY32 DB","Fachboden klein","Fachboden groß","Klappenboden"},0)),1.2,1)-1),0))</f>
        <v>25</v>
      </c>
      <c r="E100" s="293">
        <f>IFERROR(INDEX(Aktiv!$G$6:$G$350,MATCH(A100,Aktiv!$A$6:$A$350,0)),"")</f>
        <v>25</v>
      </c>
      <c r="F100" s="294">
        <f t="shared" si="8"/>
        <v>0</v>
      </c>
      <c r="G100" s="295">
        <f t="shared" si="9"/>
        <v>0</v>
      </c>
      <c r="H100" s="293">
        <f>IF(C100="","",ROUND(C100*Steuerungsdaten!$B$4*Steuerungsdaten!$B$8*IFERROR(VLOOKUP(IFERROR(INDEX(Aktiv!$C$6:$C$350,MATCH(A100,Aktiv!$A$6:$A$350,0)),""),Steuerungsdaten!$B$17:$E$37,4,FALSE),1)*POWER(IF(OR(IFERROR(INDEX(Aktiv!$E$6:$E$350,MATCH(A100,Aktiv!$A$6:$A$350,0)),0)=0,IFERROR(INDEX(Aktiv!$F$6:$F$350,MATCH(A100,Aktiv!$A$6:$A$350,0)),0)=0),1,(IFERROR(INDEX(Aktiv!$E$6:$E$350,MATCH(A100,Aktiv!$A$6:$A$350,0)),0)*IFERROR(INDEX(Aktiv!$F$6:$F$350,MATCH(A100,Aktiv!$A$6:$A$350,0)),0)/1000000)/Steuerungsdaten!$B$6),1-1),0))</f>
        <v>30</v>
      </c>
      <c r="I100" s="293">
        <f>IFERROR(INDEX(Aktiv!$H$6:$H$350,MATCH(A100,Aktiv!$A$6:$A$350,0)),"")</f>
        <v>103</v>
      </c>
      <c r="J100" s="294">
        <f t="shared" si="10"/>
        <v>73</v>
      </c>
      <c r="K100" s="296">
        <f t="shared" si="11"/>
        <v>2.4333333333333331</v>
      </c>
      <c r="L100" s="297">
        <f>IF(C100="","",ROUND(C100*Steuerungsdaten!$B$4*Steuerungsdaten!$B$9*IFERROR(VLOOKUP(IFERROR(INDEX(Aktiv!$C$6:$C$350,MATCH(A100,Aktiv!$A$6:$A$350,0)),""),Steuerungsdaten!$B$17:$G$37,6,FALSE),1)*POWER(IF(OR(IFERROR(INDEX(Aktiv!$E$6:$E$350,MATCH(A100,Aktiv!$A$6:$A$350,0)),0)=0,IFERROR(INDEX(Aktiv!$F$6:$F$350,MATCH(A100,Aktiv!$A$6:$A$350,0)),0)=0),1,(IFERROR(INDEX(Aktiv!$E$6:$E$350,MATCH(A100,Aktiv!$A$6:$A$350,0)),0)*IFERROR(INDEX(Aktiv!$F$6:$F$350,MATCH(A100,Aktiv!$A$6:$A$350,0)),0)/1000000)/Steuerungsdaten!$B$6),1-1),0))</f>
        <v>30</v>
      </c>
      <c r="M100" s="297">
        <f>IFERROR(INDEX(Aktiv!$I$6:$I$350,MATCH(A100,Aktiv!$A$6:$A$350,0)),"")</f>
        <v>120</v>
      </c>
      <c r="N100" s="298">
        <f t="shared" si="12"/>
        <v>90</v>
      </c>
      <c r="O100" s="296">
        <f t="shared" si="13"/>
        <v>3</v>
      </c>
      <c r="P100" s="297">
        <f>IF(C100="","",ROUND(C100*Steuerungsdaten!$B$4*Steuerungsdaten!$B$10*IFERROR(VLOOKUP(IFERROR(INDEX(Aktiv!$C$6:$C$350,MATCH(A100,Aktiv!$A$6:$A$350,0)),""),Steuerungsdaten!$B$17:$I$37,8,FALSE),1)*POWER(IF(OR(IFERROR(INDEX(Aktiv!$E$6:$E$350,MATCH(A100,Aktiv!$A$6:$A$350,0)),0)=0,IFERROR(INDEX(Aktiv!$F$6:$F$350,MATCH(A100,Aktiv!$A$6:$A$350,0)),0)=0),1,(IFERROR(INDEX(Aktiv!$E$6:$E$350,MATCH(A100,Aktiv!$A$6:$A$350,0)),0)*IFERROR(INDEX(Aktiv!$F$6:$F$350,MATCH(A100,Aktiv!$A$6:$A$350,0)),0)/1000000)/Steuerungsdaten!$B$6),1-1),0))</f>
        <v>33</v>
      </c>
      <c r="Q100" s="297">
        <f>IFERROR(INDEX(Aktiv!$J$6:$J$350,MATCH(A100,Aktiv!$A$6:$A$350,0)),"")</f>
        <v>145</v>
      </c>
      <c r="R100" s="298">
        <f t="shared" si="14"/>
        <v>112</v>
      </c>
      <c r="S100" s="296">
        <f t="shared" si="15"/>
        <v>3.393939393939394</v>
      </c>
    </row>
    <row r="101" spans="1:19" x14ac:dyDescent="0.25">
      <c r="A101" s="292">
        <v>3502</v>
      </c>
      <c r="B101" s="292" t="s">
        <v>112</v>
      </c>
      <c r="C101" s="293">
        <f>IFERROR(INDEX(Aktiv!$O$6:$O$350,MATCH(A101,Aktiv!$A$6:$A$350,0)),"")</f>
        <v>52</v>
      </c>
      <c r="D101" s="293">
        <f>IF(C101="","",ROUND(C101*Steuerungsdaten!$B$4*Steuerungsdaten!$B$7*IFERROR(VLOOKUP(IFERROR(INDEX(Aktiv!$C$6:$C$350,MATCH(A101,Aktiv!$A$6:$A$350,0)),""),Steuerungsdaten!$B$17:$C$37,2,FALSE),1)*POWER(IF(OR(IFERROR(INDEX(Aktiv!$E$6:$E$350,MATCH(A101,Aktiv!$A$6:$A$350,0)),0)=0,IFERROR(INDEX(Aktiv!$F$6:$F$350,MATCH(A101,Aktiv!$A$6:$A$350,0)),0)=0),1,(IFERROR(INDEX(Aktiv!$E$6:$E$350,MATCH(A101,Aktiv!$A$6:$A$350,0)),0)*IFERROR(INDEX(Aktiv!$F$6:$F$350,MATCH(A101,Aktiv!$A$6:$A$350,0)),0)/1000000)/Steuerungsdaten!$B$6),IF(ISNUMBER(MATCH(IFERROR(INDEX(Aktiv!$C$6:$C$350,MATCH(A101,Aktiv!$A$6:$A$350,0)),""),{"Boden","Seite außen","Seite außen SY32","Rücken","Seite innen","Seite innen SY32","Seite innen SY32 DB","Fachboden klein","Fachboden groß","Klappenboden"},0)),1.2,1)-1),0))</f>
        <v>43</v>
      </c>
      <c r="E101" s="293">
        <f>IFERROR(INDEX(Aktiv!$G$6:$G$350,MATCH(A101,Aktiv!$A$6:$A$350,0)),"")</f>
        <v>46</v>
      </c>
      <c r="F101" s="294">
        <f t="shared" si="8"/>
        <v>3</v>
      </c>
      <c r="G101" s="295">
        <f t="shared" si="9"/>
        <v>6.9767441860465115E-2</v>
      </c>
      <c r="H101" s="293">
        <f>IF(C101="","",ROUND(C101*Steuerungsdaten!$B$4*Steuerungsdaten!$B$8*IFERROR(VLOOKUP(IFERROR(INDEX(Aktiv!$C$6:$C$350,MATCH(A101,Aktiv!$A$6:$A$350,0)),""),Steuerungsdaten!$B$17:$E$37,4,FALSE),1)*POWER(IF(OR(IFERROR(INDEX(Aktiv!$E$6:$E$350,MATCH(A101,Aktiv!$A$6:$A$350,0)),0)=0,IFERROR(INDEX(Aktiv!$F$6:$F$350,MATCH(A101,Aktiv!$A$6:$A$350,0)),0)=0),1,(IFERROR(INDEX(Aktiv!$E$6:$E$350,MATCH(A101,Aktiv!$A$6:$A$350,0)),0)*IFERROR(INDEX(Aktiv!$F$6:$F$350,MATCH(A101,Aktiv!$A$6:$A$350,0)),0)/1000000)/Steuerungsdaten!$B$6),1-1),0))</f>
        <v>46</v>
      </c>
      <c r="I101" s="293">
        <f>IFERROR(INDEX(Aktiv!$H$6:$H$350,MATCH(A101,Aktiv!$A$6:$A$350,0)),"")</f>
        <v>156</v>
      </c>
      <c r="J101" s="294">
        <f t="shared" si="10"/>
        <v>110</v>
      </c>
      <c r="K101" s="296">
        <f t="shared" si="11"/>
        <v>2.3913043478260869</v>
      </c>
      <c r="L101" s="297">
        <f>IF(C101="","",ROUND(C101*Steuerungsdaten!$B$4*Steuerungsdaten!$B$9*IFERROR(VLOOKUP(IFERROR(INDEX(Aktiv!$C$6:$C$350,MATCH(A101,Aktiv!$A$6:$A$350,0)),""),Steuerungsdaten!$B$17:$G$37,6,FALSE),1)*POWER(IF(OR(IFERROR(INDEX(Aktiv!$E$6:$E$350,MATCH(A101,Aktiv!$A$6:$A$350,0)),0)=0,IFERROR(INDEX(Aktiv!$F$6:$F$350,MATCH(A101,Aktiv!$A$6:$A$350,0)),0)=0),1,(IFERROR(INDEX(Aktiv!$E$6:$E$350,MATCH(A101,Aktiv!$A$6:$A$350,0)),0)*IFERROR(INDEX(Aktiv!$F$6:$F$350,MATCH(A101,Aktiv!$A$6:$A$350,0)),0)/1000000)/Steuerungsdaten!$B$6),1-1),0))</f>
        <v>46</v>
      </c>
      <c r="M101" s="297">
        <f>IFERROR(INDEX(Aktiv!$I$6:$I$350,MATCH(A101,Aktiv!$A$6:$A$350,0)),"")</f>
        <v>163</v>
      </c>
      <c r="N101" s="298">
        <f t="shared" si="12"/>
        <v>117</v>
      </c>
      <c r="O101" s="296">
        <f t="shared" si="13"/>
        <v>2.5434782608695654</v>
      </c>
      <c r="P101" s="297">
        <f>IF(C101="","",ROUND(C101*Steuerungsdaten!$B$4*Steuerungsdaten!$B$10*IFERROR(VLOOKUP(IFERROR(INDEX(Aktiv!$C$6:$C$350,MATCH(A101,Aktiv!$A$6:$A$350,0)),""),Steuerungsdaten!$B$17:$I$37,8,FALSE),1)*POWER(IF(OR(IFERROR(INDEX(Aktiv!$E$6:$E$350,MATCH(A101,Aktiv!$A$6:$A$350,0)),0)=0,IFERROR(INDEX(Aktiv!$F$6:$F$350,MATCH(A101,Aktiv!$A$6:$A$350,0)),0)=0),1,(IFERROR(INDEX(Aktiv!$E$6:$E$350,MATCH(A101,Aktiv!$A$6:$A$350,0)),0)*IFERROR(INDEX(Aktiv!$F$6:$F$350,MATCH(A101,Aktiv!$A$6:$A$350,0)),0)/1000000)/Steuerungsdaten!$B$6),1-1),0))</f>
        <v>50</v>
      </c>
      <c r="Q101" s="297">
        <f>IFERROR(INDEX(Aktiv!$J$6:$J$350,MATCH(A101,Aktiv!$A$6:$A$350,0)),"")</f>
        <v>181</v>
      </c>
      <c r="R101" s="298">
        <f t="shared" si="14"/>
        <v>131</v>
      </c>
      <c r="S101" s="296">
        <f t="shared" si="15"/>
        <v>2.62</v>
      </c>
    </row>
    <row r="102" spans="1:19" x14ac:dyDescent="0.25">
      <c r="A102" s="292">
        <v>3503</v>
      </c>
      <c r="B102" s="292" t="s">
        <v>113</v>
      </c>
      <c r="C102" s="293">
        <f>IFERROR(INDEX(Aktiv!$O$6:$O$350,MATCH(A102,Aktiv!$A$6:$A$350,0)),"")</f>
        <v>76</v>
      </c>
      <c r="D102" s="293">
        <f>IF(C102="","",ROUND(C102*Steuerungsdaten!$B$4*Steuerungsdaten!$B$7*IFERROR(VLOOKUP(IFERROR(INDEX(Aktiv!$C$6:$C$350,MATCH(A102,Aktiv!$A$6:$A$350,0)),""),Steuerungsdaten!$B$17:$C$37,2,FALSE),1)*POWER(IF(OR(IFERROR(INDEX(Aktiv!$E$6:$E$350,MATCH(A102,Aktiv!$A$6:$A$350,0)),0)=0,IFERROR(INDEX(Aktiv!$F$6:$F$350,MATCH(A102,Aktiv!$A$6:$A$350,0)),0)=0),1,(IFERROR(INDEX(Aktiv!$E$6:$E$350,MATCH(A102,Aktiv!$A$6:$A$350,0)),0)*IFERROR(INDEX(Aktiv!$F$6:$F$350,MATCH(A102,Aktiv!$A$6:$A$350,0)),0)/1000000)/Steuerungsdaten!$B$6),IF(ISNUMBER(MATCH(IFERROR(INDEX(Aktiv!$C$6:$C$350,MATCH(A102,Aktiv!$A$6:$A$350,0)),""),{"Boden","Seite außen","Seite außen SY32","Rücken","Seite innen","Seite innen SY32","Seite innen SY32 DB","Fachboden klein","Fachboden groß","Klappenboden"},0)),1.2,1)-1),0))</f>
        <v>68</v>
      </c>
      <c r="E102" s="293">
        <f>IFERROR(INDEX(Aktiv!$G$6:$G$350,MATCH(A102,Aktiv!$A$6:$A$350,0)),"")</f>
        <v>68</v>
      </c>
      <c r="F102" s="294">
        <f t="shared" si="8"/>
        <v>0</v>
      </c>
      <c r="G102" s="295">
        <f t="shared" si="9"/>
        <v>0</v>
      </c>
      <c r="H102" s="293">
        <f>IF(C102="","",ROUND(C102*Steuerungsdaten!$B$4*Steuerungsdaten!$B$8*IFERROR(VLOOKUP(IFERROR(INDEX(Aktiv!$C$6:$C$350,MATCH(A102,Aktiv!$A$6:$A$350,0)),""),Steuerungsdaten!$B$17:$E$37,4,FALSE),1)*POWER(IF(OR(IFERROR(INDEX(Aktiv!$E$6:$E$350,MATCH(A102,Aktiv!$A$6:$A$350,0)),0)=0,IFERROR(INDEX(Aktiv!$F$6:$F$350,MATCH(A102,Aktiv!$A$6:$A$350,0)),0)=0),1,(IFERROR(INDEX(Aktiv!$E$6:$E$350,MATCH(A102,Aktiv!$A$6:$A$350,0)),0)*IFERROR(INDEX(Aktiv!$F$6:$F$350,MATCH(A102,Aktiv!$A$6:$A$350,0)),0)/1000000)/Steuerungsdaten!$B$6),1-1),0))</f>
        <v>67</v>
      </c>
      <c r="I102" s="293">
        <f>IFERROR(INDEX(Aktiv!$H$6:$H$350,MATCH(A102,Aktiv!$A$6:$A$350,0)),"")</f>
        <v>235</v>
      </c>
      <c r="J102" s="294">
        <f t="shared" si="10"/>
        <v>168</v>
      </c>
      <c r="K102" s="296">
        <f t="shared" si="11"/>
        <v>2.5074626865671643</v>
      </c>
      <c r="L102" s="297">
        <f>IF(C102="","",ROUND(C102*Steuerungsdaten!$B$4*Steuerungsdaten!$B$9*IFERROR(VLOOKUP(IFERROR(INDEX(Aktiv!$C$6:$C$350,MATCH(A102,Aktiv!$A$6:$A$350,0)),""),Steuerungsdaten!$B$17:$G$37,6,FALSE),1)*POWER(IF(OR(IFERROR(INDEX(Aktiv!$E$6:$E$350,MATCH(A102,Aktiv!$A$6:$A$350,0)),0)=0,IFERROR(INDEX(Aktiv!$F$6:$F$350,MATCH(A102,Aktiv!$A$6:$A$350,0)),0)=0),1,(IFERROR(INDEX(Aktiv!$E$6:$E$350,MATCH(A102,Aktiv!$A$6:$A$350,0)),0)*IFERROR(INDEX(Aktiv!$F$6:$F$350,MATCH(A102,Aktiv!$A$6:$A$350,0)),0)/1000000)/Steuerungsdaten!$B$6),1-1),0))</f>
        <v>67</v>
      </c>
      <c r="M102" s="297">
        <f>IFERROR(INDEX(Aktiv!$I$6:$I$350,MATCH(A102,Aktiv!$A$6:$A$350,0)),"")</f>
        <v>244</v>
      </c>
      <c r="N102" s="298">
        <f t="shared" si="12"/>
        <v>177</v>
      </c>
      <c r="O102" s="296">
        <f t="shared" si="13"/>
        <v>2.6417910447761193</v>
      </c>
      <c r="P102" s="297">
        <f>IF(C102="","",ROUND(C102*Steuerungsdaten!$B$4*Steuerungsdaten!$B$10*IFERROR(VLOOKUP(IFERROR(INDEX(Aktiv!$C$6:$C$350,MATCH(A102,Aktiv!$A$6:$A$350,0)),""),Steuerungsdaten!$B$17:$I$37,8,FALSE),1)*POWER(IF(OR(IFERROR(INDEX(Aktiv!$E$6:$E$350,MATCH(A102,Aktiv!$A$6:$A$350,0)),0)=0,IFERROR(INDEX(Aktiv!$F$6:$F$350,MATCH(A102,Aktiv!$A$6:$A$350,0)),0)=0),1,(IFERROR(INDEX(Aktiv!$E$6:$E$350,MATCH(A102,Aktiv!$A$6:$A$350,0)),0)*IFERROR(INDEX(Aktiv!$F$6:$F$350,MATCH(A102,Aktiv!$A$6:$A$350,0)),0)/1000000)/Steuerungsdaten!$B$6),1-1),0))</f>
        <v>73</v>
      </c>
      <c r="Q102" s="297">
        <f>IFERROR(INDEX(Aktiv!$J$6:$J$350,MATCH(A102,Aktiv!$A$6:$A$350,0)),"")</f>
        <v>272</v>
      </c>
      <c r="R102" s="298">
        <f t="shared" si="14"/>
        <v>199</v>
      </c>
      <c r="S102" s="296">
        <f t="shared" si="15"/>
        <v>2.7260273972602738</v>
      </c>
    </row>
    <row r="103" spans="1:19" x14ac:dyDescent="0.25">
      <c r="A103" s="292">
        <v>3504</v>
      </c>
      <c r="B103" s="292" t="s">
        <v>114</v>
      </c>
      <c r="C103" s="293">
        <f>IFERROR(INDEX(Aktiv!$O$6:$O$350,MATCH(A103,Aktiv!$A$6:$A$350,0)),"")</f>
        <v>100</v>
      </c>
      <c r="D103" s="293">
        <f>IF(C103="","",ROUND(C103*Steuerungsdaten!$B$4*Steuerungsdaten!$B$7*IFERROR(VLOOKUP(IFERROR(INDEX(Aktiv!$C$6:$C$350,MATCH(A103,Aktiv!$A$6:$A$350,0)),""),Steuerungsdaten!$B$17:$C$37,2,FALSE),1)*POWER(IF(OR(IFERROR(INDEX(Aktiv!$E$6:$E$350,MATCH(A103,Aktiv!$A$6:$A$350,0)),0)=0,IFERROR(INDEX(Aktiv!$F$6:$F$350,MATCH(A103,Aktiv!$A$6:$A$350,0)),0)=0),1,(IFERROR(INDEX(Aktiv!$E$6:$E$350,MATCH(A103,Aktiv!$A$6:$A$350,0)),0)*IFERROR(INDEX(Aktiv!$F$6:$F$350,MATCH(A103,Aktiv!$A$6:$A$350,0)),0)/1000000)/Steuerungsdaten!$B$6),IF(ISNUMBER(MATCH(IFERROR(INDEX(Aktiv!$C$6:$C$350,MATCH(A103,Aktiv!$A$6:$A$350,0)),""),{"Boden","Seite außen","Seite außen SY32","Rücken","Seite innen","Seite innen SY32","Seite innen SY32 DB","Fachboden klein","Fachboden groß","Klappenboden"},0)),1.2,1)-1),0))</f>
        <v>95</v>
      </c>
      <c r="E103" s="293">
        <f>IFERROR(INDEX(Aktiv!$G$6:$G$350,MATCH(A103,Aktiv!$A$6:$A$350,0)),"")</f>
        <v>91</v>
      </c>
      <c r="F103" s="294">
        <f t="shared" si="8"/>
        <v>-4</v>
      </c>
      <c r="G103" s="295">
        <f t="shared" si="9"/>
        <v>-4.2105263157894736E-2</v>
      </c>
      <c r="H103" s="293">
        <f>IF(C103="","",ROUND(C103*Steuerungsdaten!$B$4*Steuerungsdaten!$B$8*IFERROR(VLOOKUP(IFERROR(INDEX(Aktiv!$C$6:$C$350,MATCH(A103,Aktiv!$A$6:$A$350,0)),""),Steuerungsdaten!$B$17:$E$37,4,FALSE),1)*POWER(IF(OR(IFERROR(INDEX(Aktiv!$E$6:$E$350,MATCH(A103,Aktiv!$A$6:$A$350,0)),0)=0,IFERROR(INDEX(Aktiv!$F$6:$F$350,MATCH(A103,Aktiv!$A$6:$A$350,0)),0)=0),1,(IFERROR(INDEX(Aktiv!$E$6:$E$350,MATCH(A103,Aktiv!$A$6:$A$350,0)),0)*IFERROR(INDEX(Aktiv!$F$6:$F$350,MATCH(A103,Aktiv!$A$6:$A$350,0)),0)/1000000)/Steuerungsdaten!$B$6),1-1),0))</f>
        <v>88</v>
      </c>
      <c r="I103" s="293">
        <f>IFERROR(INDEX(Aktiv!$H$6:$H$350,MATCH(A103,Aktiv!$A$6:$A$350,0)),"")</f>
        <v>313</v>
      </c>
      <c r="J103" s="294">
        <f t="shared" si="10"/>
        <v>225</v>
      </c>
      <c r="K103" s="296">
        <f t="shared" si="11"/>
        <v>2.5568181818181817</v>
      </c>
      <c r="L103" s="297">
        <f>IF(C103="","",ROUND(C103*Steuerungsdaten!$B$4*Steuerungsdaten!$B$9*IFERROR(VLOOKUP(IFERROR(INDEX(Aktiv!$C$6:$C$350,MATCH(A103,Aktiv!$A$6:$A$350,0)),""),Steuerungsdaten!$B$17:$G$37,6,FALSE),1)*POWER(IF(OR(IFERROR(INDEX(Aktiv!$E$6:$E$350,MATCH(A103,Aktiv!$A$6:$A$350,0)),0)=0,IFERROR(INDEX(Aktiv!$F$6:$F$350,MATCH(A103,Aktiv!$A$6:$A$350,0)),0)=0),1,(IFERROR(INDEX(Aktiv!$E$6:$E$350,MATCH(A103,Aktiv!$A$6:$A$350,0)),0)*IFERROR(INDEX(Aktiv!$F$6:$F$350,MATCH(A103,Aktiv!$A$6:$A$350,0)),0)/1000000)/Steuerungsdaten!$B$6),1-1),0))</f>
        <v>88</v>
      </c>
      <c r="M103" s="297">
        <f>IFERROR(INDEX(Aktiv!$I$6:$I$350,MATCH(A103,Aktiv!$A$6:$A$350,0)),"")</f>
        <v>326</v>
      </c>
      <c r="N103" s="298">
        <f t="shared" si="12"/>
        <v>238</v>
      </c>
      <c r="O103" s="296">
        <f t="shared" si="13"/>
        <v>2.7045454545454546</v>
      </c>
      <c r="P103" s="297">
        <f>IF(C103="","",ROUND(C103*Steuerungsdaten!$B$4*Steuerungsdaten!$B$10*IFERROR(VLOOKUP(IFERROR(INDEX(Aktiv!$C$6:$C$350,MATCH(A103,Aktiv!$A$6:$A$350,0)),""),Steuerungsdaten!$B$17:$I$37,8,FALSE),1)*POWER(IF(OR(IFERROR(INDEX(Aktiv!$E$6:$E$350,MATCH(A103,Aktiv!$A$6:$A$350,0)),0)=0,IFERROR(INDEX(Aktiv!$F$6:$F$350,MATCH(A103,Aktiv!$A$6:$A$350,0)),0)=0),1,(IFERROR(INDEX(Aktiv!$E$6:$E$350,MATCH(A103,Aktiv!$A$6:$A$350,0)),0)*IFERROR(INDEX(Aktiv!$F$6:$F$350,MATCH(A103,Aktiv!$A$6:$A$350,0)),0)/1000000)/Steuerungsdaten!$B$6),1-1),0))</f>
        <v>96</v>
      </c>
      <c r="Q103" s="297">
        <f>IFERROR(INDEX(Aktiv!$J$6:$J$350,MATCH(A103,Aktiv!$A$6:$A$350,0)),"")</f>
        <v>363</v>
      </c>
      <c r="R103" s="298">
        <f t="shared" si="14"/>
        <v>267</v>
      </c>
      <c r="S103" s="296">
        <f t="shared" si="15"/>
        <v>2.78125</v>
      </c>
    </row>
    <row r="104" spans="1:19" x14ac:dyDescent="0.25">
      <c r="A104" s="292">
        <v>3505</v>
      </c>
      <c r="B104" s="292" t="s">
        <v>115</v>
      </c>
      <c r="C104" s="293">
        <f>IFERROR(INDEX(Aktiv!$O$6:$O$350,MATCH(A104,Aktiv!$A$6:$A$350,0)),"")</f>
        <v>125</v>
      </c>
      <c r="D104" s="293">
        <f>IF(C104="","",ROUND(C104*Steuerungsdaten!$B$4*Steuerungsdaten!$B$7*IFERROR(VLOOKUP(IFERROR(INDEX(Aktiv!$C$6:$C$350,MATCH(A104,Aktiv!$A$6:$A$350,0)),""),Steuerungsdaten!$B$17:$C$37,2,FALSE),1)*POWER(IF(OR(IFERROR(INDEX(Aktiv!$E$6:$E$350,MATCH(A104,Aktiv!$A$6:$A$350,0)),0)=0,IFERROR(INDEX(Aktiv!$F$6:$F$350,MATCH(A104,Aktiv!$A$6:$A$350,0)),0)=0),1,(IFERROR(INDEX(Aktiv!$E$6:$E$350,MATCH(A104,Aktiv!$A$6:$A$350,0)),0)*IFERROR(INDEX(Aktiv!$F$6:$F$350,MATCH(A104,Aktiv!$A$6:$A$350,0)),0)/1000000)/Steuerungsdaten!$B$6),IF(ISNUMBER(MATCH(IFERROR(INDEX(Aktiv!$C$6:$C$350,MATCH(A104,Aktiv!$A$6:$A$350,0)),""),{"Boden","Seite außen","Seite außen SY32","Rücken","Seite innen","Seite innen SY32","Seite innen SY32 DB","Fachboden klein","Fachboden groß","Klappenboden"},0)),1.2,1)-1),0))</f>
        <v>124</v>
      </c>
      <c r="E104" s="293">
        <f>IFERROR(INDEX(Aktiv!$G$6:$G$350,MATCH(A104,Aktiv!$A$6:$A$350,0)),"")</f>
        <v>114</v>
      </c>
      <c r="F104" s="294">
        <f t="shared" si="8"/>
        <v>-10</v>
      </c>
      <c r="G104" s="295">
        <f t="shared" si="9"/>
        <v>-8.0645161290322578E-2</v>
      </c>
      <c r="H104" s="293">
        <f>IF(C104="","",ROUND(C104*Steuerungsdaten!$B$4*Steuerungsdaten!$B$8*IFERROR(VLOOKUP(IFERROR(INDEX(Aktiv!$C$6:$C$350,MATCH(A104,Aktiv!$A$6:$A$350,0)),""),Steuerungsdaten!$B$17:$E$37,4,FALSE),1)*POWER(IF(OR(IFERROR(INDEX(Aktiv!$E$6:$E$350,MATCH(A104,Aktiv!$A$6:$A$350,0)),0)=0,IFERROR(INDEX(Aktiv!$F$6:$F$350,MATCH(A104,Aktiv!$A$6:$A$350,0)),0)=0),1,(IFERROR(INDEX(Aktiv!$E$6:$E$350,MATCH(A104,Aktiv!$A$6:$A$350,0)),0)*IFERROR(INDEX(Aktiv!$F$6:$F$350,MATCH(A104,Aktiv!$A$6:$A$350,0)),0)/1000000)/Steuerungsdaten!$B$6),1-1),0))</f>
        <v>110</v>
      </c>
      <c r="I104" s="293">
        <f>IFERROR(INDEX(Aktiv!$H$6:$H$350,MATCH(A104,Aktiv!$A$6:$A$350,0)),"")</f>
        <v>391</v>
      </c>
      <c r="J104" s="294">
        <f t="shared" si="10"/>
        <v>281</v>
      </c>
      <c r="K104" s="296">
        <f t="shared" si="11"/>
        <v>2.5545454545454547</v>
      </c>
      <c r="L104" s="297">
        <f>IF(C104="","",ROUND(C104*Steuerungsdaten!$B$4*Steuerungsdaten!$B$9*IFERROR(VLOOKUP(IFERROR(INDEX(Aktiv!$C$6:$C$350,MATCH(A104,Aktiv!$A$6:$A$350,0)),""),Steuerungsdaten!$B$17:$G$37,6,FALSE),1)*POWER(IF(OR(IFERROR(INDEX(Aktiv!$E$6:$E$350,MATCH(A104,Aktiv!$A$6:$A$350,0)),0)=0,IFERROR(INDEX(Aktiv!$F$6:$F$350,MATCH(A104,Aktiv!$A$6:$A$350,0)),0)=0),1,(IFERROR(INDEX(Aktiv!$E$6:$E$350,MATCH(A104,Aktiv!$A$6:$A$350,0)),0)*IFERROR(INDEX(Aktiv!$F$6:$F$350,MATCH(A104,Aktiv!$A$6:$A$350,0)),0)/1000000)/Steuerungsdaten!$B$6),1-1),0))</f>
        <v>110</v>
      </c>
      <c r="M104" s="297">
        <f>IFERROR(INDEX(Aktiv!$I$6:$I$350,MATCH(A104,Aktiv!$A$6:$A$350,0)),"")</f>
        <v>407</v>
      </c>
      <c r="N104" s="298">
        <f t="shared" si="12"/>
        <v>297</v>
      </c>
      <c r="O104" s="296">
        <f t="shared" si="13"/>
        <v>2.7</v>
      </c>
      <c r="P104" s="297">
        <f>IF(C104="","",ROUND(C104*Steuerungsdaten!$B$4*Steuerungsdaten!$B$10*IFERROR(VLOOKUP(IFERROR(INDEX(Aktiv!$C$6:$C$350,MATCH(A104,Aktiv!$A$6:$A$350,0)),""),Steuerungsdaten!$B$17:$I$37,8,FALSE),1)*POWER(IF(OR(IFERROR(INDEX(Aktiv!$E$6:$E$350,MATCH(A104,Aktiv!$A$6:$A$350,0)),0)=0,IFERROR(INDEX(Aktiv!$F$6:$F$350,MATCH(A104,Aktiv!$A$6:$A$350,0)),0)=0),1,(IFERROR(INDEX(Aktiv!$E$6:$E$350,MATCH(A104,Aktiv!$A$6:$A$350,0)),0)*IFERROR(INDEX(Aktiv!$F$6:$F$350,MATCH(A104,Aktiv!$A$6:$A$350,0)),0)/1000000)/Steuerungsdaten!$B$6),1-1),0))</f>
        <v>120</v>
      </c>
      <c r="Q104" s="297">
        <f>IFERROR(INDEX(Aktiv!$J$6:$J$350,MATCH(A104,Aktiv!$A$6:$A$350,0)),"")</f>
        <v>453</v>
      </c>
      <c r="R104" s="298">
        <f t="shared" si="14"/>
        <v>333</v>
      </c>
      <c r="S104" s="296">
        <f t="shared" si="15"/>
        <v>2.7749999999999999</v>
      </c>
    </row>
    <row r="105" spans="1:19" x14ac:dyDescent="0.25">
      <c r="A105" s="292">
        <v>3506</v>
      </c>
      <c r="B105" s="292" t="s">
        <v>116</v>
      </c>
      <c r="C105" s="293">
        <f>IFERROR(INDEX(Aktiv!$O$6:$O$350,MATCH(A105,Aktiv!$A$6:$A$350,0)),"")</f>
        <v>43</v>
      </c>
      <c r="D105" s="293">
        <f>IF(C105="","",ROUND(C105*Steuerungsdaten!$B$4*Steuerungsdaten!$B$7*IFERROR(VLOOKUP(IFERROR(INDEX(Aktiv!$C$6:$C$350,MATCH(A105,Aktiv!$A$6:$A$350,0)),""),Steuerungsdaten!$B$17:$C$37,2,FALSE),1)*POWER(IF(OR(IFERROR(INDEX(Aktiv!$E$6:$E$350,MATCH(A105,Aktiv!$A$6:$A$350,0)),0)=0,IFERROR(INDEX(Aktiv!$F$6:$F$350,MATCH(A105,Aktiv!$A$6:$A$350,0)),0)=0),1,(IFERROR(INDEX(Aktiv!$E$6:$E$350,MATCH(A105,Aktiv!$A$6:$A$350,0)),0)*IFERROR(INDEX(Aktiv!$F$6:$F$350,MATCH(A105,Aktiv!$A$6:$A$350,0)),0)/1000000)/Steuerungsdaten!$B$6),IF(ISNUMBER(MATCH(IFERROR(INDEX(Aktiv!$C$6:$C$350,MATCH(A105,Aktiv!$A$6:$A$350,0)),""),{"Boden","Seite außen","Seite außen SY32","Rücken","Seite innen","Seite innen SY32","Seite innen SY32 DB","Fachboden klein","Fachboden groß","Klappenboden"},0)),1.2,1)-1),0))</f>
        <v>30</v>
      </c>
      <c r="E105" s="293">
        <f>IFERROR(INDEX(Aktiv!$G$6:$G$350,MATCH(A105,Aktiv!$A$6:$A$350,0)),"")</f>
        <v>25</v>
      </c>
      <c r="F105" s="294">
        <f t="shared" si="8"/>
        <v>-5</v>
      </c>
      <c r="G105" s="295">
        <f t="shared" si="9"/>
        <v>-0.16666666666666666</v>
      </c>
      <c r="H105" s="293">
        <f>IF(C105="","",ROUND(C105*Steuerungsdaten!$B$4*Steuerungsdaten!$B$8*IFERROR(VLOOKUP(IFERROR(INDEX(Aktiv!$C$6:$C$350,MATCH(A105,Aktiv!$A$6:$A$350,0)),""),Steuerungsdaten!$B$17:$E$37,4,FALSE),1)*POWER(IF(OR(IFERROR(INDEX(Aktiv!$E$6:$E$350,MATCH(A105,Aktiv!$A$6:$A$350,0)),0)=0,IFERROR(INDEX(Aktiv!$F$6:$F$350,MATCH(A105,Aktiv!$A$6:$A$350,0)),0)=0),1,(IFERROR(INDEX(Aktiv!$E$6:$E$350,MATCH(A105,Aktiv!$A$6:$A$350,0)),0)*IFERROR(INDEX(Aktiv!$F$6:$F$350,MATCH(A105,Aktiv!$A$6:$A$350,0)),0)/1000000)/Steuerungsdaten!$B$6),1-1),0))</f>
        <v>38</v>
      </c>
      <c r="I105" s="293">
        <f>IFERROR(INDEX(Aktiv!$H$6:$H$350,MATCH(A105,Aktiv!$A$6:$A$350,0)),"")</f>
        <v>103</v>
      </c>
      <c r="J105" s="294">
        <f t="shared" si="10"/>
        <v>65</v>
      </c>
      <c r="K105" s="296">
        <f t="shared" si="11"/>
        <v>1.7105263157894737</v>
      </c>
      <c r="L105" s="297">
        <f>IF(C105="","",ROUND(C105*Steuerungsdaten!$B$4*Steuerungsdaten!$B$9*IFERROR(VLOOKUP(IFERROR(INDEX(Aktiv!$C$6:$C$350,MATCH(A105,Aktiv!$A$6:$A$350,0)),""),Steuerungsdaten!$B$17:$G$37,6,FALSE),1)*POWER(IF(OR(IFERROR(INDEX(Aktiv!$E$6:$E$350,MATCH(A105,Aktiv!$A$6:$A$350,0)),0)=0,IFERROR(INDEX(Aktiv!$F$6:$F$350,MATCH(A105,Aktiv!$A$6:$A$350,0)),0)=0),1,(IFERROR(INDEX(Aktiv!$E$6:$E$350,MATCH(A105,Aktiv!$A$6:$A$350,0)),0)*IFERROR(INDEX(Aktiv!$F$6:$F$350,MATCH(A105,Aktiv!$A$6:$A$350,0)),0)/1000000)/Steuerungsdaten!$B$6),1-1),0))</f>
        <v>38</v>
      </c>
      <c r="M105" s="297">
        <f>IFERROR(INDEX(Aktiv!$I$6:$I$350,MATCH(A105,Aktiv!$A$6:$A$350,0)),"")</f>
        <v>120</v>
      </c>
      <c r="N105" s="298">
        <f t="shared" si="12"/>
        <v>82</v>
      </c>
      <c r="O105" s="296">
        <f t="shared" si="13"/>
        <v>2.1578947368421053</v>
      </c>
      <c r="P105" s="297">
        <f>IF(C105="","",ROUND(C105*Steuerungsdaten!$B$4*Steuerungsdaten!$B$10*IFERROR(VLOOKUP(IFERROR(INDEX(Aktiv!$C$6:$C$350,MATCH(A105,Aktiv!$A$6:$A$350,0)),""),Steuerungsdaten!$B$17:$I$37,8,FALSE),1)*POWER(IF(OR(IFERROR(INDEX(Aktiv!$E$6:$E$350,MATCH(A105,Aktiv!$A$6:$A$350,0)),0)=0,IFERROR(INDEX(Aktiv!$F$6:$F$350,MATCH(A105,Aktiv!$A$6:$A$350,0)),0)=0),1,(IFERROR(INDEX(Aktiv!$E$6:$E$350,MATCH(A105,Aktiv!$A$6:$A$350,0)),0)*IFERROR(INDEX(Aktiv!$F$6:$F$350,MATCH(A105,Aktiv!$A$6:$A$350,0)),0)/1000000)/Steuerungsdaten!$B$6),1-1),0))</f>
        <v>41</v>
      </c>
      <c r="Q105" s="297">
        <f>IFERROR(INDEX(Aktiv!$J$6:$J$350,MATCH(A105,Aktiv!$A$6:$A$350,0)),"")</f>
        <v>145</v>
      </c>
      <c r="R105" s="298">
        <f t="shared" si="14"/>
        <v>104</v>
      </c>
      <c r="S105" s="296">
        <f t="shared" si="15"/>
        <v>2.5365853658536586</v>
      </c>
    </row>
    <row r="106" spans="1:19" x14ac:dyDescent="0.25">
      <c r="A106" s="292">
        <v>3507</v>
      </c>
      <c r="B106" s="292" t="s">
        <v>117</v>
      </c>
      <c r="C106" s="293">
        <f>IFERROR(INDEX(Aktiv!$O$6:$O$350,MATCH(A106,Aktiv!$A$6:$A$350,0)),"")</f>
        <v>43</v>
      </c>
      <c r="D106" s="293">
        <f>IF(C106="","",ROUND(C106*Steuerungsdaten!$B$4*Steuerungsdaten!$B$7*IFERROR(VLOOKUP(IFERROR(INDEX(Aktiv!$C$6:$C$350,MATCH(A106,Aktiv!$A$6:$A$350,0)),""),Steuerungsdaten!$B$17:$C$37,2,FALSE),1)*POWER(IF(OR(IFERROR(INDEX(Aktiv!$E$6:$E$350,MATCH(A106,Aktiv!$A$6:$A$350,0)),0)=0,IFERROR(INDEX(Aktiv!$F$6:$F$350,MATCH(A106,Aktiv!$A$6:$A$350,0)),0)=0),1,(IFERROR(INDEX(Aktiv!$E$6:$E$350,MATCH(A106,Aktiv!$A$6:$A$350,0)),0)*IFERROR(INDEX(Aktiv!$F$6:$F$350,MATCH(A106,Aktiv!$A$6:$A$350,0)),0)/1000000)/Steuerungsdaten!$B$6),IF(ISNUMBER(MATCH(IFERROR(INDEX(Aktiv!$C$6:$C$350,MATCH(A106,Aktiv!$A$6:$A$350,0)),""),{"Boden","Seite außen","Seite außen SY32","Rücken","Seite innen","Seite innen SY32","Seite innen SY32 DB","Fachboden klein","Fachboden groß","Klappenboden"},0)),1.2,1)-1),0))</f>
        <v>34</v>
      </c>
      <c r="E106" s="293">
        <f>IFERROR(INDEX(Aktiv!$G$6:$G$350,MATCH(A106,Aktiv!$A$6:$A$350,0)),"")</f>
        <v>37</v>
      </c>
      <c r="F106" s="294">
        <f t="shared" si="8"/>
        <v>3</v>
      </c>
      <c r="G106" s="295">
        <f t="shared" si="9"/>
        <v>8.8235294117647065E-2</v>
      </c>
      <c r="H106" s="293">
        <f>IF(C106="","",ROUND(C106*Steuerungsdaten!$B$4*Steuerungsdaten!$B$8*IFERROR(VLOOKUP(IFERROR(INDEX(Aktiv!$C$6:$C$350,MATCH(A106,Aktiv!$A$6:$A$350,0)),""),Steuerungsdaten!$B$17:$E$37,4,FALSE),1)*POWER(IF(OR(IFERROR(INDEX(Aktiv!$E$6:$E$350,MATCH(A106,Aktiv!$A$6:$A$350,0)),0)=0,IFERROR(INDEX(Aktiv!$F$6:$F$350,MATCH(A106,Aktiv!$A$6:$A$350,0)),0)=0),1,(IFERROR(INDEX(Aktiv!$E$6:$E$350,MATCH(A106,Aktiv!$A$6:$A$350,0)),0)*IFERROR(INDEX(Aktiv!$F$6:$F$350,MATCH(A106,Aktiv!$A$6:$A$350,0)),0)/1000000)/Steuerungsdaten!$B$6),1-1),0))</f>
        <v>38</v>
      </c>
      <c r="I106" s="293">
        <f>IFERROR(INDEX(Aktiv!$H$6:$H$350,MATCH(A106,Aktiv!$A$6:$A$350,0)),"")</f>
        <v>126</v>
      </c>
      <c r="J106" s="294">
        <f t="shared" si="10"/>
        <v>88</v>
      </c>
      <c r="K106" s="296">
        <f t="shared" si="11"/>
        <v>2.3157894736842106</v>
      </c>
      <c r="L106" s="297">
        <f>IF(C106="","",ROUND(C106*Steuerungsdaten!$B$4*Steuerungsdaten!$B$9*IFERROR(VLOOKUP(IFERROR(INDEX(Aktiv!$C$6:$C$350,MATCH(A106,Aktiv!$A$6:$A$350,0)),""),Steuerungsdaten!$B$17:$G$37,6,FALSE),1)*POWER(IF(OR(IFERROR(INDEX(Aktiv!$E$6:$E$350,MATCH(A106,Aktiv!$A$6:$A$350,0)),0)=0,IFERROR(INDEX(Aktiv!$F$6:$F$350,MATCH(A106,Aktiv!$A$6:$A$350,0)),0)=0),1,(IFERROR(INDEX(Aktiv!$E$6:$E$350,MATCH(A106,Aktiv!$A$6:$A$350,0)),0)*IFERROR(INDEX(Aktiv!$F$6:$F$350,MATCH(A106,Aktiv!$A$6:$A$350,0)),0)/1000000)/Steuerungsdaten!$B$6),1-1),0))</f>
        <v>38</v>
      </c>
      <c r="M106" s="297">
        <f>IFERROR(INDEX(Aktiv!$I$6:$I$350,MATCH(A106,Aktiv!$A$6:$A$350,0)),"")</f>
        <v>131</v>
      </c>
      <c r="N106" s="298">
        <f t="shared" si="12"/>
        <v>93</v>
      </c>
      <c r="O106" s="296">
        <f t="shared" si="13"/>
        <v>2.4473684210526314</v>
      </c>
      <c r="P106" s="297">
        <f>IF(C106="","",ROUND(C106*Steuerungsdaten!$B$4*Steuerungsdaten!$B$10*IFERROR(VLOOKUP(IFERROR(INDEX(Aktiv!$C$6:$C$350,MATCH(A106,Aktiv!$A$6:$A$350,0)),""),Steuerungsdaten!$B$17:$I$37,8,FALSE),1)*POWER(IF(OR(IFERROR(INDEX(Aktiv!$E$6:$E$350,MATCH(A106,Aktiv!$A$6:$A$350,0)),0)=0,IFERROR(INDEX(Aktiv!$F$6:$F$350,MATCH(A106,Aktiv!$A$6:$A$350,0)),0)=0),1,(IFERROR(INDEX(Aktiv!$E$6:$E$350,MATCH(A106,Aktiv!$A$6:$A$350,0)),0)*IFERROR(INDEX(Aktiv!$F$6:$F$350,MATCH(A106,Aktiv!$A$6:$A$350,0)),0)/1000000)/Steuerungsdaten!$B$6),1-1),0))</f>
        <v>41</v>
      </c>
      <c r="Q106" s="297">
        <f>IFERROR(INDEX(Aktiv!$J$6:$J$350,MATCH(A106,Aktiv!$A$6:$A$350,0)),"")</f>
        <v>146</v>
      </c>
      <c r="R106" s="298">
        <f t="shared" si="14"/>
        <v>105</v>
      </c>
      <c r="S106" s="296">
        <f t="shared" si="15"/>
        <v>2.5609756097560976</v>
      </c>
    </row>
    <row r="107" spans="1:19" x14ac:dyDescent="0.25">
      <c r="A107" s="292">
        <v>3508</v>
      </c>
      <c r="B107" s="292" t="s">
        <v>118</v>
      </c>
      <c r="C107" s="293">
        <f>IFERROR(INDEX(Aktiv!$O$6:$O$350,MATCH(A107,Aktiv!$A$6:$A$350,0)),"")</f>
        <v>82</v>
      </c>
      <c r="D107" s="293">
        <f>IF(C107="","",ROUND(C107*Steuerungsdaten!$B$4*Steuerungsdaten!$B$7*IFERROR(VLOOKUP(IFERROR(INDEX(Aktiv!$C$6:$C$350,MATCH(A107,Aktiv!$A$6:$A$350,0)),""),Steuerungsdaten!$B$17:$C$37,2,FALSE),1)*POWER(IF(OR(IFERROR(INDEX(Aktiv!$E$6:$E$350,MATCH(A107,Aktiv!$A$6:$A$350,0)),0)=0,IFERROR(INDEX(Aktiv!$F$6:$F$350,MATCH(A107,Aktiv!$A$6:$A$350,0)),0)=0),1,(IFERROR(INDEX(Aktiv!$E$6:$E$350,MATCH(A107,Aktiv!$A$6:$A$350,0)),0)*IFERROR(INDEX(Aktiv!$F$6:$F$350,MATCH(A107,Aktiv!$A$6:$A$350,0)),0)/1000000)/Steuerungsdaten!$B$6),IF(ISNUMBER(MATCH(IFERROR(INDEX(Aktiv!$C$6:$C$350,MATCH(A107,Aktiv!$A$6:$A$350,0)),""),{"Boden","Seite außen","Seite außen SY32","Rücken","Seite innen","Seite innen SY32","Seite innen SY32 DB","Fachboden klein","Fachboden groß","Klappenboden"},0)),1.2,1)-1),0))</f>
        <v>75</v>
      </c>
      <c r="E107" s="293">
        <f>IFERROR(INDEX(Aktiv!$G$6:$G$350,MATCH(A107,Aktiv!$A$6:$A$350,0)),"")</f>
        <v>73</v>
      </c>
      <c r="F107" s="294">
        <f t="shared" si="8"/>
        <v>-2</v>
      </c>
      <c r="G107" s="295">
        <f t="shared" si="9"/>
        <v>-2.6666666666666668E-2</v>
      </c>
      <c r="H107" s="293">
        <f>IF(C107="","",ROUND(C107*Steuerungsdaten!$B$4*Steuerungsdaten!$B$8*IFERROR(VLOOKUP(IFERROR(INDEX(Aktiv!$C$6:$C$350,MATCH(A107,Aktiv!$A$6:$A$350,0)),""),Steuerungsdaten!$B$17:$E$37,4,FALSE),1)*POWER(IF(OR(IFERROR(INDEX(Aktiv!$E$6:$E$350,MATCH(A107,Aktiv!$A$6:$A$350,0)),0)=0,IFERROR(INDEX(Aktiv!$F$6:$F$350,MATCH(A107,Aktiv!$A$6:$A$350,0)),0)=0),1,(IFERROR(INDEX(Aktiv!$E$6:$E$350,MATCH(A107,Aktiv!$A$6:$A$350,0)),0)*IFERROR(INDEX(Aktiv!$F$6:$F$350,MATCH(A107,Aktiv!$A$6:$A$350,0)),0)/1000000)/Steuerungsdaten!$B$6),1-1),0))</f>
        <v>72</v>
      </c>
      <c r="I107" s="293">
        <f>IFERROR(INDEX(Aktiv!$H$6:$H$350,MATCH(A107,Aktiv!$A$6:$A$350,0)),"")</f>
        <v>252</v>
      </c>
      <c r="J107" s="294">
        <f t="shared" si="10"/>
        <v>180</v>
      </c>
      <c r="K107" s="296">
        <f t="shared" si="11"/>
        <v>2.5</v>
      </c>
      <c r="L107" s="297">
        <f>IF(C107="","",ROUND(C107*Steuerungsdaten!$B$4*Steuerungsdaten!$B$9*IFERROR(VLOOKUP(IFERROR(INDEX(Aktiv!$C$6:$C$350,MATCH(A107,Aktiv!$A$6:$A$350,0)),""),Steuerungsdaten!$B$17:$G$37,6,FALSE),1)*POWER(IF(OR(IFERROR(INDEX(Aktiv!$E$6:$E$350,MATCH(A107,Aktiv!$A$6:$A$350,0)),0)=0,IFERROR(INDEX(Aktiv!$F$6:$F$350,MATCH(A107,Aktiv!$A$6:$A$350,0)),0)=0),1,(IFERROR(INDEX(Aktiv!$E$6:$E$350,MATCH(A107,Aktiv!$A$6:$A$350,0)),0)*IFERROR(INDEX(Aktiv!$F$6:$F$350,MATCH(A107,Aktiv!$A$6:$A$350,0)),0)/1000000)/Steuerungsdaten!$B$6),1-1),0))</f>
        <v>72</v>
      </c>
      <c r="M107" s="297">
        <f>IFERROR(INDEX(Aktiv!$I$6:$I$350,MATCH(A107,Aktiv!$A$6:$A$350,0)),"")</f>
        <v>262</v>
      </c>
      <c r="N107" s="298">
        <f t="shared" si="12"/>
        <v>190</v>
      </c>
      <c r="O107" s="296">
        <f t="shared" si="13"/>
        <v>2.6388888888888888</v>
      </c>
      <c r="P107" s="297">
        <f>IF(C107="","",ROUND(C107*Steuerungsdaten!$B$4*Steuerungsdaten!$B$10*IFERROR(VLOOKUP(IFERROR(INDEX(Aktiv!$C$6:$C$350,MATCH(A107,Aktiv!$A$6:$A$350,0)),""),Steuerungsdaten!$B$17:$I$37,8,FALSE),1)*POWER(IF(OR(IFERROR(INDEX(Aktiv!$E$6:$E$350,MATCH(A107,Aktiv!$A$6:$A$350,0)),0)=0,IFERROR(INDEX(Aktiv!$F$6:$F$350,MATCH(A107,Aktiv!$A$6:$A$350,0)),0)=0),1,(IFERROR(INDEX(Aktiv!$E$6:$E$350,MATCH(A107,Aktiv!$A$6:$A$350,0)),0)*IFERROR(INDEX(Aktiv!$F$6:$F$350,MATCH(A107,Aktiv!$A$6:$A$350,0)),0)/1000000)/Steuerungsdaten!$B$6),1-1),0))</f>
        <v>79</v>
      </c>
      <c r="Q107" s="297">
        <f>IFERROR(INDEX(Aktiv!$J$6:$J$350,MATCH(A107,Aktiv!$A$6:$A$350,0)),"")</f>
        <v>292</v>
      </c>
      <c r="R107" s="298">
        <f t="shared" si="14"/>
        <v>213</v>
      </c>
      <c r="S107" s="296">
        <f t="shared" si="15"/>
        <v>2.6962025316455698</v>
      </c>
    </row>
    <row r="108" spans="1:19" x14ac:dyDescent="0.25">
      <c r="A108" s="292">
        <v>3509</v>
      </c>
      <c r="B108" s="292" t="s">
        <v>119</v>
      </c>
      <c r="C108" s="293">
        <f>IFERROR(INDEX(Aktiv!$O$6:$O$350,MATCH(A108,Aktiv!$A$6:$A$350,0)),"")</f>
        <v>119</v>
      </c>
      <c r="D108" s="293">
        <f>IF(C108="","",ROUND(C108*Steuerungsdaten!$B$4*Steuerungsdaten!$B$7*IFERROR(VLOOKUP(IFERROR(INDEX(Aktiv!$C$6:$C$350,MATCH(A108,Aktiv!$A$6:$A$350,0)),""),Steuerungsdaten!$B$17:$C$37,2,FALSE),1)*POWER(IF(OR(IFERROR(INDEX(Aktiv!$E$6:$E$350,MATCH(A108,Aktiv!$A$6:$A$350,0)),0)=0,IFERROR(INDEX(Aktiv!$F$6:$F$350,MATCH(A108,Aktiv!$A$6:$A$350,0)),0)=0),1,(IFERROR(INDEX(Aktiv!$E$6:$E$350,MATCH(A108,Aktiv!$A$6:$A$350,0)),0)*IFERROR(INDEX(Aktiv!$F$6:$F$350,MATCH(A108,Aktiv!$A$6:$A$350,0)),0)/1000000)/Steuerungsdaten!$B$6),IF(ISNUMBER(MATCH(IFERROR(INDEX(Aktiv!$C$6:$C$350,MATCH(A108,Aktiv!$A$6:$A$350,0)),""),{"Boden","Seite außen","Seite außen SY32","Rücken","Seite innen","Seite innen SY32","Seite innen SY32 DB","Fachboden klein","Fachboden groß","Klappenboden"},0)),1.2,1)-1),0))</f>
        <v>118</v>
      </c>
      <c r="E108" s="293">
        <f>IFERROR(INDEX(Aktiv!$G$6:$G$350,MATCH(A108,Aktiv!$A$6:$A$350,0)),"")</f>
        <v>110</v>
      </c>
      <c r="F108" s="294">
        <f t="shared" si="8"/>
        <v>-8</v>
      </c>
      <c r="G108" s="295">
        <f t="shared" si="9"/>
        <v>-6.7796610169491525E-2</v>
      </c>
      <c r="H108" s="293">
        <f>IF(C108="","",ROUND(C108*Steuerungsdaten!$B$4*Steuerungsdaten!$B$8*IFERROR(VLOOKUP(IFERROR(INDEX(Aktiv!$C$6:$C$350,MATCH(A108,Aktiv!$A$6:$A$350,0)),""),Steuerungsdaten!$B$17:$E$37,4,FALSE),1)*POWER(IF(OR(IFERROR(INDEX(Aktiv!$E$6:$E$350,MATCH(A108,Aktiv!$A$6:$A$350,0)),0)=0,IFERROR(INDEX(Aktiv!$F$6:$F$350,MATCH(A108,Aktiv!$A$6:$A$350,0)),0)=0),1,(IFERROR(INDEX(Aktiv!$E$6:$E$350,MATCH(A108,Aktiv!$A$6:$A$350,0)),0)*IFERROR(INDEX(Aktiv!$F$6:$F$350,MATCH(A108,Aktiv!$A$6:$A$350,0)),0)/1000000)/Steuerungsdaten!$B$6),1-1),0))</f>
        <v>105</v>
      </c>
      <c r="I108" s="293">
        <f>IFERROR(INDEX(Aktiv!$H$6:$H$350,MATCH(A108,Aktiv!$A$6:$A$350,0)),"")</f>
        <v>378</v>
      </c>
      <c r="J108" s="294">
        <f t="shared" si="10"/>
        <v>273</v>
      </c>
      <c r="K108" s="296">
        <f t="shared" si="11"/>
        <v>2.6</v>
      </c>
      <c r="L108" s="297">
        <f>IF(C108="","",ROUND(C108*Steuerungsdaten!$B$4*Steuerungsdaten!$B$9*IFERROR(VLOOKUP(IFERROR(INDEX(Aktiv!$C$6:$C$350,MATCH(A108,Aktiv!$A$6:$A$350,0)),""),Steuerungsdaten!$B$17:$G$37,6,FALSE),1)*POWER(IF(OR(IFERROR(INDEX(Aktiv!$E$6:$E$350,MATCH(A108,Aktiv!$A$6:$A$350,0)),0)=0,IFERROR(INDEX(Aktiv!$F$6:$F$350,MATCH(A108,Aktiv!$A$6:$A$350,0)),0)=0),1,(IFERROR(INDEX(Aktiv!$E$6:$E$350,MATCH(A108,Aktiv!$A$6:$A$350,0)),0)*IFERROR(INDEX(Aktiv!$F$6:$F$350,MATCH(A108,Aktiv!$A$6:$A$350,0)),0)/1000000)/Steuerungsdaten!$B$6),1-1),0))</f>
        <v>105</v>
      </c>
      <c r="M108" s="297">
        <f>IFERROR(INDEX(Aktiv!$I$6:$I$350,MATCH(A108,Aktiv!$A$6:$A$350,0)),"")</f>
        <v>394</v>
      </c>
      <c r="N108" s="298">
        <f t="shared" si="12"/>
        <v>289</v>
      </c>
      <c r="O108" s="296">
        <f t="shared" si="13"/>
        <v>2.7523809523809524</v>
      </c>
      <c r="P108" s="297">
        <f>IF(C108="","",ROUND(C108*Steuerungsdaten!$B$4*Steuerungsdaten!$B$10*IFERROR(VLOOKUP(IFERROR(INDEX(Aktiv!$C$6:$C$350,MATCH(A108,Aktiv!$A$6:$A$350,0)),""),Steuerungsdaten!$B$17:$I$37,8,FALSE),1)*POWER(IF(OR(IFERROR(INDEX(Aktiv!$E$6:$E$350,MATCH(A108,Aktiv!$A$6:$A$350,0)),0)=0,IFERROR(INDEX(Aktiv!$F$6:$F$350,MATCH(A108,Aktiv!$A$6:$A$350,0)),0)=0),1,(IFERROR(INDEX(Aktiv!$E$6:$E$350,MATCH(A108,Aktiv!$A$6:$A$350,0)),0)*IFERROR(INDEX(Aktiv!$F$6:$F$350,MATCH(A108,Aktiv!$A$6:$A$350,0)),0)/1000000)/Steuerungsdaten!$B$6),1-1),0))</f>
        <v>114</v>
      </c>
      <c r="Q108" s="297">
        <f>IFERROR(INDEX(Aktiv!$J$6:$J$350,MATCH(A108,Aktiv!$A$6:$A$350,0)),"")</f>
        <v>438</v>
      </c>
      <c r="R108" s="298">
        <f t="shared" si="14"/>
        <v>324</v>
      </c>
      <c r="S108" s="296">
        <f t="shared" si="15"/>
        <v>2.8421052631578947</v>
      </c>
    </row>
    <row r="109" spans="1:19" x14ac:dyDescent="0.25">
      <c r="A109" s="292">
        <v>3510</v>
      </c>
      <c r="B109" s="292" t="s">
        <v>120</v>
      </c>
      <c r="C109" s="293">
        <f>IFERROR(INDEX(Aktiv!$O$6:$O$350,MATCH(A109,Aktiv!$A$6:$A$350,0)),"")</f>
        <v>158</v>
      </c>
      <c r="D109" s="293">
        <f>IF(C109="","",ROUND(C109*Steuerungsdaten!$B$4*Steuerungsdaten!$B$7*IFERROR(VLOOKUP(IFERROR(INDEX(Aktiv!$C$6:$C$350,MATCH(A109,Aktiv!$A$6:$A$350,0)),""),Steuerungsdaten!$B$17:$C$37,2,FALSE),1)*POWER(IF(OR(IFERROR(INDEX(Aktiv!$E$6:$E$350,MATCH(A109,Aktiv!$A$6:$A$350,0)),0)=0,IFERROR(INDEX(Aktiv!$F$6:$F$350,MATCH(A109,Aktiv!$A$6:$A$350,0)),0)=0),1,(IFERROR(INDEX(Aktiv!$E$6:$E$350,MATCH(A109,Aktiv!$A$6:$A$350,0)),0)*IFERROR(INDEX(Aktiv!$F$6:$F$350,MATCH(A109,Aktiv!$A$6:$A$350,0)),0)/1000000)/Steuerungsdaten!$B$6),IF(ISNUMBER(MATCH(IFERROR(INDEX(Aktiv!$C$6:$C$350,MATCH(A109,Aktiv!$A$6:$A$350,0)),""),{"Boden","Seite außen","Seite außen SY32","Rücken","Seite innen","Seite innen SY32","Seite innen SY32 DB","Fachboden klein","Fachboden groß","Klappenboden"},0)),1.2,1)-1),0))</f>
        <v>165</v>
      </c>
      <c r="E109" s="293">
        <f>IFERROR(INDEX(Aktiv!$G$6:$G$350,MATCH(A109,Aktiv!$A$6:$A$350,0)),"")</f>
        <v>147</v>
      </c>
      <c r="F109" s="294">
        <f t="shared" si="8"/>
        <v>-18</v>
      </c>
      <c r="G109" s="295">
        <f t="shared" si="9"/>
        <v>-0.10909090909090909</v>
      </c>
      <c r="H109" s="293">
        <f>IF(C109="","",ROUND(C109*Steuerungsdaten!$B$4*Steuerungsdaten!$B$8*IFERROR(VLOOKUP(IFERROR(INDEX(Aktiv!$C$6:$C$350,MATCH(A109,Aktiv!$A$6:$A$350,0)),""),Steuerungsdaten!$B$17:$E$37,4,FALSE),1)*POWER(IF(OR(IFERROR(INDEX(Aktiv!$E$6:$E$350,MATCH(A109,Aktiv!$A$6:$A$350,0)),0)=0,IFERROR(INDEX(Aktiv!$F$6:$F$350,MATCH(A109,Aktiv!$A$6:$A$350,0)),0)=0),1,(IFERROR(INDEX(Aktiv!$E$6:$E$350,MATCH(A109,Aktiv!$A$6:$A$350,0)),0)*IFERROR(INDEX(Aktiv!$F$6:$F$350,MATCH(A109,Aktiv!$A$6:$A$350,0)),0)/1000000)/Steuerungsdaten!$B$6),1-1),0))</f>
        <v>139</v>
      </c>
      <c r="I109" s="293">
        <f>IFERROR(INDEX(Aktiv!$H$6:$H$350,MATCH(A109,Aktiv!$A$6:$A$350,0)),"")</f>
        <v>504</v>
      </c>
      <c r="J109" s="294">
        <f t="shared" si="10"/>
        <v>365</v>
      </c>
      <c r="K109" s="296">
        <f t="shared" si="11"/>
        <v>2.6258992805755397</v>
      </c>
      <c r="L109" s="297">
        <f>IF(C109="","",ROUND(C109*Steuerungsdaten!$B$4*Steuerungsdaten!$B$9*IFERROR(VLOOKUP(IFERROR(INDEX(Aktiv!$C$6:$C$350,MATCH(A109,Aktiv!$A$6:$A$350,0)),""),Steuerungsdaten!$B$17:$G$37,6,FALSE),1)*POWER(IF(OR(IFERROR(INDEX(Aktiv!$E$6:$E$350,MATCH(A109,Aktiv!$A$6:$A$350,0)),0)=0,IFERROR(INDEX(Aktiv!$F$6:$F$350,MATCH(A109,Aktiv!$A$6:$A$350,0)),0)=0),1,(IFERROR(INDEX(Aktiv!$E$6:$E$350,MATCH(A109,Aktiv!$A$6:$A$350,0)),0)*IFERROR(INDEX(Aktiv!$F$6:$F$350,MATCH(A109,Aktiv!$A$6:$A$350,0)),0)/1000000)/Steuerungsdaten!$B$6),1-1),0))</f>
        <v>139</v>
      </c>
      <c r="M109" s="297">
        <f>IFERROR(INDEX(Aktiv!$I$6:$I$350,MATCH(A109,Aktiv!$A$6:$A$350,0)),"")</f>
        <v>525</v>
      </c>
      <c r="N109" s="298">
        <f t="shared" si="12"/>
        <v>386</v>
      </c>
      <c r="O109" s="296">
        <f t="shared" si="13"/>
        <v>2.7769784172661871</v>
      </c>
      <c r="P109" s="297">
        <f>IF(C109="","",ROUND(C109*Steuerungsdaten!$B$4*Steuerungsdaten!$B$10*IFERROR(VLOOKUP(IFERROR(INDEX(Aktiv!$C$6:$C$350,MATCH(A109,Aktiv!$A$6:$A$350,0)),""),Steuerungsdaten!$B$17:$I$37,8,FALSE),1)*POWER(IF(OR(IFERROR(INDEX(Aktiv!$E$6:$E$350,MATCH(A109,Aktiv!$A$6:$A$350,0)),0)=0,IFERROR(INDEX(Aktiv!$F$6:$F$350,MATCH(A109,Aktiv!$A$6:$A$350,0)),0)=0),1,(IFERROR(INDEX(Aktiv!$E$6:$E$350,MATCH(A109,Aktiv!$A$6:$A$350,0)),0)*IFERROR(INDEX(Aktiv!$F$6:$F$350,MATCH(A109,Aktiv!$A$6:$A$350,0)),0)/1000000)/Steuerungsdaten!$B$6),1-1),0))</f>
        <v>152</v>
      </c>
      <c r="Q109" s="297">
        <f>IFERROR(INDEX(Aktiv!$J$6:$J$350,MATCH(A109,Aktiv!$A$6:$A$350,0)),"")</f>
        <v>584</v>
      </c>
      <c r="R109" s="298">
        <f t="shared" si="14"/>
        <v>432</v>
      </c>
      <c r="S109" s="296">
        <f t="shared" si="15"/>
        <v>2.8421052631578947</v>
      </c>
    </row>
    <row r="110" spans="1:19" x14ac:dyDescent="0.25">
      <c r="A110" s="292">
        <v>3511</v>
      </c>
      <c r="B110" s="292" t="s">
        <v>121</v>
      </c>
      <c r="C110" s="293">
        <f>IFERROR(INDEX(Aktiv!$O$6:$O$350,MATCH(A110,Aktiv!$A$6:$A$350,0)),"")</f>
        <v>197</v>
      </c>
      <c r="D110" s="293">
        <f>IF(C110="","",ROUND(C110*Steuerungsdaten!$B$4*Steuerungsdaten!$B$7*IFERROR(VLOOKUP(IFERROR(INDEX(Aktiv!$C$6:$C$350,MATCH(A110,Aktiv!$A$6:$A$350,0)),""),Steuerungsdaten!$B$17:$C$37,2,FALSE),1)*POWER(IF(OR(IFERROR(INDEX(Aktiv!$E$6:$E$350,MATCH(A110,Aktiv!$A$6:$A$350,0)),0)=0,IFERROR(INDEX(Aktiv!$F$6:$F$350,MATCH(A110,Aktiv!$A$6:$A$350,0)),0)=0),1,(IFERROR(INDEX(Aktiv!$E$6:$E$350,MATCH(A110,Aktiv!$A$6:$A$350,0)),0)*IFERROR(INDEX(Aktiv!$F$6:$F$350,MATCH(A110,Aktiv!$A$6:$A$350,0)),0)/1000000)/Steuerungsdaten!$B$6),IF(ISNUMBER(MATCH(IFERROR(INDEX(Aktiv!$C$6:$C$350,MATCH(A110,Aktiv!$A$6:$A$350,0)),""),{"Boden","Seite außen","Seite außen SY32","Rücken","Seite innen","Seite innen SY32","Seite innen SY32 DB","Fachboden klein","Fachboden groß","Klappenboden"},0)),1.2,1)-1),0))</f>
        <v>216</v>
      </c>
      <c r="E110" s="293">
        <f>IFERROR(INDEX(Aktiv!$G$6:$G$350,MATCH(A110,Aktiv!$A$6:$A$350,0)),"")</f>
        <v>184</v>
      </c>
      <c r="F110" s="294">
        <f t="shared" si="8"/>
        <v>-32</v>
      </c>
      <c r="G110" s="295">
        <f t="shared" si="9"/>
        <v>-0.14814814814814814</v>
      </c>
      <c r="H110" s="293">
        <f>IF(C110="","",ROUND(C110*Steuerungsdaten!$B$4*Steuerungsdaten!$B$8*IFERROR(VLOOKUP(IFERROR(INDEX(Aktiv!$C$6:$C$350,MATCH(A110,Aktiv!$A$6:$A$350,0)),""),Steuerungsdaten!$B$17:$E$37,4,FALSE),1)*POWER(IF(OR(IFERROR(INDEX(Aktiv!$E$6:$E$350,MATCH(A110,Aktiv!$A$6:$A$350,0)),0)=0,IFERROR(INDEX(Aktiv!$F$6:$F$350,MATCH(A110,Aktiv!$A$6:$A$350,0)),0)=0),1,(IFERROR(INDEX(Aktiv!$E$6:$E$350,MATCH(A110,Aktiv!$A$6:$A$350,0)),0)*IFERROR(INDEX(Aktiv!$F$6:$F$350,MATCH(A110,Aktiv!$A$6:$A$350,0)),0)/1000000)/Steuerungsdaten!$B$6),1-1),0))</f>
        <v>173</v>
      </c>
      <c r="I110" s="293">
        <f>IFERROR(INDEX(Aktiv!$H$6:$H$350,MATCH(A110,Aktiv!$A$6:$A$350,0)),"")</f>
        <v>630</v>
      </c>
      <c r="J110" s="294">
        <f t="shared" si="10"/>
        <v>457</v>
      </c>
      <c r="K110" s="296">
        <f t="shared" si="11"/>
        <v>2.6416184971098264</v>
      </c>
      <c r="L110" s="297">
        <f>IF(C110="","",ROUND(C110*Steuerungsdaten!$B$4*Steuerungsdaten!$B$9*IFERROR(VLOOKUP(IFERROR(INDEX(Aktiv!$C$6:$C$350,MATCH(A110,Aktiv!$A$6:$A$350,0)),""),Steuerungsdaten!$B$17:$G$37,6,FALSE),1)*POWER(IF(OR(IFERROR(INDEX(Aktiv!$E$6:$E$350,MATCH(A110,Aktiv!$A$6:$A$350,0)),0)=0,IFERROR(INDEX(Aktiv!$F$6:$F$350,MATCH(A110,Aktiv!$A$6:$A$350,0)),0)=0),1,(IFERROR(INDEX(Aktiv!$E$6:$E$350,MATCH(A110,Aktiv!$A$6:$A$350,0)),0)*IFERROR(INDEX(Aktiv!$F$6:$F$350,MATCH(A110,Aktiv!$A$6:$A$350,0)),0)/1000000)/Steuerungsdaten!$B$6),1-1),0))</f>
        <v>173</v>
      </c>
      <c r="M110" s="297">
        <f>IFERROR(INDEX(Aktiv!$I$6:$I$350,MATCH(A110,Aktiv!$A$6:$A$350,0)),"")</f>
        <v>656</v>
      </c>
      <c r="N110" s="298">
        <f t="shared" si="12"/>
        <v>483</v>
      </c>
      <c r="O110" s="296">
        <f t="shared" si="13"/>
        <v>2.7919075144508669</v>
      </c>
      <c r="P110" s="297">
        <f>IF(C110="","",ROUND(C110*Steuerungsdaten!$B$4*Steuerungsdaten!$B$10*IFERROR(VLOOKUP(IFERROR(INDEX(Aktiv!$C$6:$C$350,MATCH(A110,Aktiv!$A$6:$A$350,0)),""),Steuerungsdaten!$B$17:$I$37,8,FALSE),1)*POWER(IF(OR(IFERROR(INDEX(Aktiv!$E$6:$E$350,MATCH(A110,Aktiv!$A$6:$A$350,0)),0)=0,IFERROR(INDEX(Aktiv!$F$6:$F$350,MATCH(A110,Aktiv!$A$6:$A$350,0)),0)=0),1,(IFERROR(INDEX(Aktiv!$E$6:$E$350,MATCH(A110,Aktiv!$A$6:$A$350,0)),0)*IFERROR(INDEX(Aktiv!$F$6:$F$350,MATCH(A110,Aktiv!$A$6:$A$350,0)),0)/1000000)/Steuerungsdaten!$B$6),1-1),0))</f>
        <v>189</v>
      </c>
      <c r="Q110" s="297">
        <f>IFERROR(INDEX(Aktiv!$J$6:$J$350,MATCH(A110,Aktiv!$A$6:$A$350,0)),"")</f>
        <v>730</v>
      </c>
      <c r="R110" s="298">
        <f t="shared" si="14"/>
        <v>541</v>
      </c>
      <c r="S110" s="296">
        <f t="shared" si="15"/>
        <v>2.8624338624338623</v>
      </c>
    </row>
    <row r="111" spans="1:19" x14ac:dyDescent="0.25">
      <c r="A111" s="292">
        <v>3512</v>
      </c>
      <c r="B111" s="292" t="s">
        <v>122</v>
      </c>
      <c r="C111" s="293">
        <f>IFERROR(INDEX(Aktiv!$O$6:$O$350,MATCH(A111,Aktiv!$A$6:$A$350,0)),"")</f>
        <v>56</v>
      </c>
      <c r="D111" s="293">
        <f>IF(C111="","",ROUND(C111*Steuerungsdaten!$B$4*Steuerungsdaten!$B$7*IFERROR(VLOOKUP(IFERROR(INDEX(Aktiv!$C$6:$C$350,MATCH(A111,Aktiv!$A$6:$A$350,0)),""),Steuerungsdaten!$B$17:$C$37,2,FALSE),1)*POWER(IF(OR(IFERROR(INDEX(Aktiv!$E$6:$E$350,MATCH(A111,Aktiv!$A$6:$A$350,0)),0)=0,IFERROR(INDEX(Aktiv!$F$6:$F$350,MATCH(A111,Aktiv!$A$6:$A$350,0)),0)=0),1,(IFERROR(INDEX(Aktiv!$E$6:$E$350,MATCH(A111,Aktiv!$A$6:$A$350,0)),0)*IFERROR(INDEX(Aktiv!$F$6:$F$350,MATCH(A111,Aktiv!$A$6:$A$350,0)),0)/1000000)/Steuerungsdaten!$B$6),IF(ISNUMBER(MATCH(IFERROR(INDEX(Aktiv!$C$6:$C$350,MATCH(A111,Aktiv!$A$6:$A$350,0)),""),{"Boden","Seite außen","Seite außen SY32","Rücken","Seite innen","Seite innen SY32","Seite innen SY32 DB","Fachboden klein","Fachboden groß","Klappenboden"},0)),1.2,1)-1),0))</f>
        <v>41</v>
      </c>
      <c r="E111" s="293" t="str">
        <f>IFERROR(INDEX(Aktiv!$G$6:$G$350,MATCH(A111,Aktiv!$A$6:$A$350,0)),"")</f>
        <v>-</v>
      </c>
      <c r="F111" s="294" t="e">
        <f t="shared" si="8"/>
        <v>#VALUE!</v>
      </c>
      <c r="G111" s="295" t="e">
        <f t="shared" si="9"/>
        <v>#VALUE!</v>
      </c>
      <c r="H111" s="293">
        <f>IF(C111="","",ROUND(C111*Steuerungsdaten!$B$4*Steuerungsdaten!$B$8*IFERROR(VLOOKUP(IFERROR(INDEX(Aktiv!$C$6:$C$350,MATCH(A111,Aktiv!$A$6:$A$350,0)),""),Steuerungsdaten!$B$17:$E$37,4,FALSE),1)*POWER(IF(OR(IFERROR(INDEX(Aktiv!$E$6:$E$350,MATCH(A111,Aktiv!$A$6:$A$350,0)),0)=0,IFERROR(INDEX(Aktiv!$F$6:$F$350,MATCH(A111,Aktiv!$A$6:$A$350,0)),0)=0),1,(IFERROR(INDEX(Aktiv!$E$6:$E$350,MATCH(A111,Aktiv!$A$6:$A$350,0)),0)*IFERROR(INDEX(Aktiv!$F$6:$F$350,MATCH(A111,Aktiv!$A$6:$A$350,0)),0)/1000000)/Steuerungsdaten!$B$6),1-1),0))</f>
        <v>49</v>
      </c>
      <c r="I111" s="293" t="str">
        <f>IFERROR(INDEX(Aktiv!$H$6:$H$350,MATCH(A111,Aktiv!$A$6:$A$350,0)),"")</f>
        <v>-</v>
      </c>
      <c r="J111" s="294" t="e">
        <f t="shared" si="10"/>
        <v>#VALUE!</v>
      </c>
      <c r="K111" s="296" t="e">
        <f t="shared" si="11"/>
        <v>#VALUE!</v>
      </c>
      <c r="L111" s="297">
        <f>IF(C111="","",ROUND(C111*Steuerungsdaten!$B$4*Steuerungsdaten!$B$9*IFERROR(VLOOKUP(IFERROR(INDEX(Aktiv!$C$6:$C$350,MATCH(A111,Aktiv!$A$6:$A$350,0)),""),Steuerungsdaten!$B$17:$G$37,6,FALSE),1)*POWER(IF(OR(IFERROR(INDEX(Aktiv!$E$6:$E$350,MATCH(A111,Aktiv!$A$6:$A$350,0)),0)=0,IFERROR(INDEX(Aktiv!$F$6:$F$350,MATCH(A111,Aktiv!$A$6:$A$350,0)),0)=0),1,(IFERROR(INDEX(Aktiv!$E$6:$E$350,MATCH(A111,Aktiv!$A$6:$A$350,0)),0)*IFERROR(INDEX(Aktiv!$F$6:$F$350,MATCH(A111,Aktiv!$A$6:$A$350,0)),0)/1000000)/Steuerungsdaten!$B$6),1-1),0))</f>
        <v>49</v>
      </c>
      <c r="M111" s="297" t="str">
        <f>IFERROR(INDEX(Aktiv!$I$6:$I$350,MATCH(A111,Aktiv!$A$6:$A$350,0)),"")</f>
        <v>-</v>
      </c>
      <c r="N111" s="298" t="e">
        <f t="shared" si="12"/>
        <v>#VALUE!</v>
      </c>
      <c r="O111" s="296" t="e">
        <f t="shared" si="13"/>
        <v>#VALUE!</v>
      </c>
      <c r="P111" s="297">
        <f>IF(C111="","",ROUND(C111*Steuerungsdaten!$B$4*Steuerungsdaten!$B$10*IFERROR(VLOOKUP(IFERROR(INDEX(Aktiv!$C$6:$C$350,MATCH(A111,Aktiv!$A$6:$A$350,0)),""),Steuerungsdaten!$B$17:$I$37,8,FALSE),1)*POWER(IF(OR(IFERROR(INDEX(Aktiv!$E$6:$E$350,MATCH(A111,Aktiv!$A$6:$A$350,0)),0)=0,IFERROR(INDEX(Aktiv!$F$6:$F$350,MATCH(A111,Aktiv!$A$6:$A$350,0)),0)=0),1,(IFERROR(INDEX(Aktiv!$E$6:$E$350,MATCH(A111,Aktiv!$A$6:$A$350,0)),0)*IFERROR(INDEX(Aktiv!$F$6:$F$350,MATCH(A111,Aktiv!$A$6:$A$350,0)),0)/1000000)/Steuerungsdaten!$B$6),1-1),0))</f>
        <v>54</v>
      </c>
      <c r="Q111" s="297" t="str">
        <f>IFERROR(INDEX(Aktiv!$J$6:$J$350,MATCH(A111,Aktiv!$A$6:$A$350,0)),"")</f>
        <v>-</v>
      </c>
      <c r="R111" s="298" t="e">
        <f t="shared" si="14"/>
        <v>#VALUE!</v>
      </c>
      <c r="S111" s="296" t="e">
        <f t="shared" si="15"/>
        <v>#VALUE!</v>
      </c>
    </row>
    <row r="112" spans="1:19" x14ac:dyDescent="0.25">
      <c r="A112" s="292">
        <v>3513</v>
      </c>
      <c r="B112" s="292" t="s">
        <v>123</v>
      </c>
      <c r="C112" s="293">
        <f>IFERROR(INDEX(Aktiv!$O$6:$O$350,MATCH(A112,Aktiv!$A$6:$A$350,0)),"")</f>
        <v>70</v>
      </c>
      <c r="D112" s="293">
        <f>IF(C112="","",ROUND(C112*Steuerungsdaten!$B$4*Steuerungsdaten!$B$7*IFERROR(VLOOKUP(IFERROR(INDEX(Aktiv!$C$6:$C$350,MATCH(A112,Aktiv!$A$6:$A$350,0)),""),Steuerungsdaten!$B$17:$C$37,2,FALSE),1)*POWER(IF(OR(IFERROR(INDEX(Aktiv!$E$6:$E$350,MATCH(A112,Aktiv!$A$6:$A$350,0)),0)=0,IFERROR(INDEX(Aktiv!$F$6:$F$350,MATCH(A112,Aktiv!$A$6:$A$350,0)),0)=0),1,(IFERROR(INDEX(Aktiv!$E$6:$E$350,MATCH(A112,Aktiv!$A$6:$A$350,0)),0)*IFERROR(INDEX(Aktiv!$F$6:$F$350,MATCH(A112,Aktiv!$A$6:$A$350,0)),0)/1000000)/Steuerungsdaten!$B$6),IF(ISNUMBER(MATCH(IFERROR(INDEX(Aktiv!$C$6:$C$350,MATCH(A112,Aktiv!$A$6:$A$350,0)),""),{"Boden","Seite außen","Seite außen SY32","Rücken","Seite innen","Seite innen SY32","Seite innen SY32 DB","Fachboden klein","Fachboden groß","Klappenboden"},0)),1.2,1)-1),0))</f>
        <v>54</v>
      </c>
      <c r="E112" s="293" t="str">
        <f>IFERROR(INDEX(Aktiv!$G$6:$G$350,MATCH(A112,Aktiv!$A$6:$A$350,0)),"")</f>
        <v>-</v>
      </c>
      <c r="F112" s="294" t="e">
        <f t="shared" si="8"/>
        <v>#VALUE!</v>
      </c>
      <c r="G112" s="295" t="e">
        <f t="shared" si="9"/>
        <v>#VALUE!</v>
      </c>
      <c r="H112" s="293">
        <f>IF(C112="","",ROUND(C112*Steuerungsdaten!$B$4*Steuerungsdaten!$B$8*IFERROR(VLOOKUP(IFERROR(INDEX(Aktiv!$C$6:$C$350,MATCH(A112,Aktiv!$A$6:$A$350,0)),""),Steuerungsdaten!$B$17:$E$37,4,FALSE),1)*POWER(IF(OR(IFERROR(INDEX(Aktiv!$E$6:$E$350,MATCH(A112,Aktiv!$A$6:$A$350,0)),0)=0,IFERROR(INDEX(Aktiv!$F$6:$F$350,MATCH(A112,Aktiv!$A$6:$A$350,0)),0)=0),1,(IFERROR(INDEX(Aktiv!$E$6:$E$350,MATCH(A112,Aktiv!$A$6:$A$350,0)),0)*IFERROR(INDEX(Aktiv!$F$6:$F$350,MATCH(A112,Aktiv!$A$6:$A$350,0)),0)/1000000)/Steuerungsdaten!$B$6),1-1),0))</f>
        <v>62</v>
      </c>
      <c r="I112" s="293" t="str">
        <f>IFERROR(INDEX(Aktiv!$H$6:$H$350,MATCH(A112,Aktiv!$A$6:$A$350,0)),"")</f>
        <v>-</v>
      </c>
      <c r="J112" s="294" t="e">
        <f t="shared" si="10"/>
        <v>#VALUE!</v>
      </c>
      <c r="K112" s="296" t="e">
        <f t="shared" si="11"/>
        <v>#VALUE!</v>
      </c>
      <c r="L112" s="297">
        <f>IF(C112="","",ROUND(C112*Steuerungsdaten!$B$4*Steuerungsdaten!$B$9*IFERROR(VLOOKUP(IFERROR(INDEX(Aktiv!$C$6:$C$350,MATCH(A112,Aktiv!$A$6:$A$350,0)),""),Steuerungsdaten!$B$17:$G$37,6,FALSE),1)*POWER(IF(OR(IFERROR(INDEX(Aktiv!$E$6:$E$350,MATCH(A112,Aktiv!$A$6:$A$350,0)),0)=0,IFERROR(INDEX(Aktiv!$F$6:$F$350,MATCH(A112,Aktiv!$A$6:$A$350,0)),0)=0),1,(IFERROR(INDEX(Aktiv!$E$6:$E$350,MATCH(A112,Aktiv!$A$6:$A$350,0)),0)*IFERROR(INDEX(Aktiv!$F$6:$F$350,MATCH(A112,Aktiv!$A$6:$A$350,0)),0)/1000000)/Steuerungsdaten!$B$6),1-1),0))</f>
        <v>62</v>
      </c>
      <c r="M112" s="297" t="str">
        <f>IFERROR(INDEX(Aktiv!$I$6:$I$350,MATCH(A112,Aktiv!$A$6:$A$350,0)),"")</f>
        <v>-</v>
      </c>
      <c r="N112" s="298" t="e">
        <f t="shared" si="12"/>
        <v>#VALUE!</v>
      </c>
      <c r="O112" s="296" t="e">
        <f t="shared" si="13"/>
        <v>#VALUE!</v>
      </c>
      <c r="P112" s="297">
        <f>IF(C112="","",ROUND(C112*Steuerungsdaten!$B$4*Steuerungsdaten!$B$10*IFERROR(VLOOKUP(IFERROR(INDEX(Aktiv!$C$6:$C$350,MATCH(A112,Aktiv!$A$6:$A$350,0)),""),Steuerungsdaten!$B$17:$I$37,8,FALSE),1)*POWER(IF(OR(IFERROR(INDEX(Aktiv!$E$6:$E$350,MATCH(A112,Aktiv!$A$6:$A$350,0)),0)=0,IFERROR(INDEX(Aktiv!$F$6:$F$350,MATCH(A112,Aktiv!$A$6:$A$350,0)),0)=0),1,(IFERROR(INDEX(Aktiv!$E$6:$E$350,MATCH(A112,Aktiv!$A$6:$A$350,0)),0)*IFERROR(INDEX(Aktiv!$F$6:$F$350,MATCH(A112,Aktiv!$A$6:$A$350,0)),0)/1000000)/Steuerungsdaten!$B$6),1-1),0))</f>
        <v>67</v>
      </c>
      <c r="Q112" s="297" t="str">
        <f>IFERROR(INDEX(Aktiv!$J$6:$J$350,MATCH(A112,Aktiv!$A$6:$A$350,0)),"")</f>
        <v>-</v>
      </c>
      <c r="R112" s="298" t="e">
        <f t="shared" si="14"/>
        <v>#VALUE!</v>
      </c>
      <c r="S112" s="296" t="e">
        <f t="shared" si="15"/>
        <v>#VALUE!</v>
      </c>
    </row>
    <row r="113" spans="1:19" x14ac:dyDescent="0.25">
      <c r="A113" s="292">
        <v>3514</v>
      </c>
      <c r="B113" s="292" t="s">
        <v>124</v>
      </c>
      <c r="C113" s="293">
        <f>IFERROR(INDEX(Aktiv!$O$6:$O$350,MATCH(A113,Aktiv!$A$6:$A$350,0)),"")</f>
        <v>56</v>
      </c>
      <c r="D113" s="293">
        <f>IF(C113="","",ROUND(C113*Steuerungsdaten!$B$4*Steuerungsdaten!$B$7*IFERROR(VLOOKUP(IFERROR(INDEX(Aktiv!$C$6:$C$350,MATCH(A113,Aktiv!$A$6:$A$350,0)),""),Steuerungsdaten!$B$17:$C$37,2,FALSE),1)*POWER(IF(OR(IFERROR(INDEX(Aktiv!$E$6:$E$350,MATCH(A113,Aktiv!$A$6:$A$350,0)),0)=0,IFERROR(INDEX(Aktiv!$F$6:$F$350,MATCH(A113,Aktiv!$A$6:$A$350,0)),0)=0),1,(IFERROR(INDEX(Aktiv!$E$6:$E$350,MATCH(A113,Aktiv!$A$6:$A$350,0)),0)*IFERROR(INDEX(Aktiv!$F$6:$F$350,MATCH(A113,Aktiv!$A$6:$A$350,0)),0)/1000000)/Steuerungsdaten!$B$6),IF(ISNUMBER(MATCH(IFERROR(INDEX(Aktiv!$C$6:$C$350,MATCH(A113,Aktiv!$A$6:$A$350,0)),""),{"Boden","Seite außen","Seite außen SY32","Rücken","Seite innen","Seite innen SY32","Seite innen SY32 DB","Fachboden klein","Fachboden groß","Klappenboden"},0)),1.2,1)-1),0))</f>
        <v>47</v>
      </c>
      <c r="E113" s="293" t="str">
        <f>IFERROR(INDEX(Aktiv!$G$6:$G$350,MATCH(A113,Aktiv!$A$6:$A$350,0)),"")</f>
        <v>-</v>
      </c>
      <c r="F113" s="294" t="e">
        <f t="shared" si="8"/>
        <v>#VALUE!</v>
      </c>
      <c r="G113" s="295" t="e">
        <f t="shared" si="9"/>
        <v>#VALUE!</v>
      </c>
      <c r="H113" s="293">
        <f>IF(C113="","",ROUND(C113*Steuerungsdaten!$B$4*Steuerungsdaten!$B$8*IFERROR(VLOOKUP(IFERROR(INDEX(Aktiv!$C$6:$C$350,MATCH(A113,Aktiv!$A$6:$A$350,0)),""),Steuerungsdaten!$B$17:$E$37,4,FALSE),1)*POWER(IF(OR(IFERROR(INDEX(Aktiv!$E$6:$E$350,MATCH(A113,Aktiv!$A$6:$A$350,0)),0)=0,IFERROR(INDEX(Aktiv!$F$6:$F$350,MATCH(A113,Aktiv!$A$6:$A$350,0)),0)=0),1,(IFERROR(INDEX(Aktiv!$E$6:$E$350,MATCH(A113,Aktiv!$A$6:$A$350,0)),0)*IFERROR(INDEX(Aktiv!$F$6:$F$350,MATCH(A113,Aktiv!$A$6:$A$350,0)),0)/1000000)/Steuerungsdaten!$B$6),1-1),0))</f>
        <v>49</v>
      </c>
      <c r="I113" s="293" t="str">
        <f>IFERROR(INDEX(Aktiv!$H$6:$H$350,MATCH(A113,Aktiv!$A$6:$A$350,0)),"")</f>
        <v>-</v>
      </c>
      <c r="J113" s="294" t="e">
        <f t="shared" si="10"/>
        <v>#VALUE!</v>
      </c>
      <c r="K113" s="296" t="e">
        <f t="shared" si="11"/>
        <v>#VALUE!</v>
      </c>
      <c r="L113" s="297">
        <f>IF(C113="","",ROUND(C113*Steuerungsdaten!$B$4*Steuerungsdaten!$B$9*IFERROR(VLOOKUP(IFERROR(INDEX(Aktiv!$C$6:$C$350,MATCH(A113,Aktiv!$A$6:$A$350,0)),""),Steuerungsdaten!$B$17:$G$37,6,FALSE),1)*POWER(IF(OR(IFERROR(INDEX(Aktiv!$E$6:$E$350,MATCH(A113,Aktiv!$A$6:$A$350,0)),0)=0,IFERROR(INDEX(Aktiv!$F$6:$F$350,MATCH(A113,Aktiv!$A$6:$A$350,0)),0)=0),1,(IFERROR(INDEX(Aktiv!$E$6:$E$350,MATCH(A113,Aktiv!$A$6:$A$350,0)),0)*IFERROR(INDEX(Aktiv!$F$6:$F$350,MATCH(A113,Aktiv!$A$6:$A$350,0)),0)/1000000)/Steuerungsdaten!$B$6),1-1),0))</f>
        <v>49</v>
      </c>
      <c r="M113" s="297" t="str">
        <f>IFERROR(INDEX(Aktiv!$I$6:$I$350,MATCH(A113,Aktiv!$A$6:$A$350,0)),"")</f>
        <v>-</v>
      </c>
      <c r="N113" s="298" t="e">
        <f t="shared" si="12"/>
        <v>#VALUE!</v>
      </c>
      <c r="O113" s="296" t="e">
        <f t="shared" si="13"/>
        <v>#VALUE!</v>
      </c>
      <c r="P113" s="297">
        <f>IF(C113="","",ROUND(C113*Steuerungsdaten!$B$4*Steuerungsdaten!$B$10*IFERROR(VLOOKUP(IFERROR(INDEX(Aktiv!$C$6:$C$350,MATCH(A113,Aktiv!$A$6:$A$350,0)),""),Steuerungsdaten!$B$17:$I$37,8,FALSE),1)*POWER(IF(OR(IFERROR(INDEX(Aktiv!$E$6:$E$350,MATCH(A113,Aktiv!$A$6:$A$350,0)),0)=0,IFERROR(INDEX(Aktiv!$F$6:$F$350,MATCH(A113,Aktiv!$A$6:$A$350,0)),0)=0),1,(IFERROR(INDEX(Aktiv!$E$6:$E$350,MATCH(A113,Aktiv!$A$6:$A$350,0)),0)*IFERROR(INDEX(Aktiv!$F$6:$F$350,MATCH(A113,Aktiv!$A$6:$A$350,0)),0)/1000000)/Steuerungsdaten!$B$6),1-1),0))</f>
        <v>54</v>
      </c>
      <c r="Q113" s="297" t="str">
        <f>IFERROR(INDEX(Aktiv!$J$6:$J$350,MATCH(A113,Aktiv!$A$6:$A$350,0)),"")</f>
        <v>-</v>
      </c>
      <c r="R113" s="298" t="e">
        <f t="shared" si="14"/>
        <v>#VALUE!</v>
      </c>
      <c r="S113" s="296" t="e">
        <f t="shared" si="15"/>
        <v>#VALUE!</v>
      </c>
    </row>
    <row r="114" spans="1:19" x14ac:dyDescent="0.25">
      <c r="A114" s="292">
        <v>3515</v>
      </c>
      <c r="B114" s="292" t="s">
        <v>125</v>
      </c>
      <c r="C114" s="293">
        <f>IFERROR(INDEX(Aktiv!$O$6:$O$350,MATCH(A114,Aktiv!$A$6:$A$350,0)),"")</f>
        <v>70</v>
      </c>
      <c r="D114" s="293">
        <f>IF(C114="","",ROUND(C114*Steuerungsdaten!$B$4*Steuerungsdaten!$B$7*IFERROR(VLOOKUP(IFERROR(INDEX(Aktiv!$C$6:$C$350,MATCH(A114,Aktiv!$A$6:$A$350,0)),""),Steuerungsdaten!$B$17:$C$37,2,FALSE),1)*POWER(IF(OR(IFERROR(INDEX(Aktiv!$E$6:$E$350,MATCH(A114,Aktiv!$A$6:$A$350,0)),0)=0,IFERROR(INDEX(Aktiv!$F$6:$F$350,MATCH(A114,Aktiv!$A$6:$A$350,0)),0)=0),1,(IFERROR(INDEX(Aktiv!$E$6:$E$350,MATCH(A114,Aktiv!$A$6:$A$350,0)),0)*IFERROR(INDEX(Aktiv!$F$6:$F$350,MATCH(A114,Aktiv!$A$6:$A$350,0)),0)/1000000)/Steuerungsdaten!$B$6),IF(ISNUMBER(MATCH(IFERROR(INDEX(Aktiv!$C$6:$C$350,MATCH(A114,Aktiv!$A$6:$A$350,0)),""),{"Boden","Seite außen","Seite außen SY32","Rücken","Seite innen","Seite innen SY32","Seite innen SY32 DB","Fachboden klein","Fachboden groß","Klappenboden"},0)),1.2,1)-1),0))</f>
        <v>62</v>
      </c>
      <c r="E114" s="293" t="str">
        <f>IFERROR(INDEX(Aktiv!$G$6:$G$350,MATCH(A114,Aktiv!$A$6:$A$350,0)),"")</f>
        <v>-</v>
      </c>
      <c r="F114" s="294" t="e">
        <f t="shared" si="8"/>
        <v>#VALUE!</v>
      </c>
      <c r="G114" s="295" t="e">
        <f t="shared" si="9"/>
        <v>#VALUE!</v>
      </c>
      <c r="H114" s="293">
        <f>IF(C114="","",ROUND(C114*Steuerungsdaten!$B$4*Steuerungsdaten!$B$8*IFERROR(VLOOKUP(IFERROR(INDEX(Aktiv!$C$6:$C$350,MATCH(A114,Aktiv!$A$6:$A$350,0)),""),Steuerungsdaten!$B$17:$E$37,4,FALSE),1)*POWER(IF(OR(IFERROR(INDEX(Aktiv!$E$6:$E$350,MATCH(A114,Aktiv!$A$6:$A$350,0)),0)=0,IFERROR(INDEX(Aktiv!$F$6:$F$350,MATCH(A114,Aktiv!$A$6:$A$350,0)),0)=0),1,(IFERROR(INDEX(Aktiv!$E$6:$E$350,MATCH(A114,Aktiv!$A$6:$A$350,0)),0)*IFERROR(INDEX(Aktiv!$F$6:$F$350,MATCH(A114,Aktiv!$A$6:$A$350,0)),0)/1000000)/Steuerungsdaten!$B$6),1-1),0))</f>
        <v>62</v>
      </c>
      <c r="I114" s="293" t="str">
        <f>IFERROR(INDEX(Aktiv!$H$6:$H$350,MATCH(A114,Aktiv!$A$6:$A$350,0)),"")</f>
        <v>-</v>
      </c>
      <c r="J114" s="294" t="e">
        <f t="shared" si="10"/>
        <v>#VALUE!</v>
      </c>
      <c r="K114" s="296" t="e">
        <f t="shared" si="11"/>
        <v>#VALUE!</v>
      </c>
      <c r="L114" s="297">
        <f>IF(C114="","",ROUND(C114*Steuerungsdaten!$B$4*Steuerungsdaten!$B$9*IFERROR(VLOOKUP(IFERROR(INDEX(Aktiv!$C$6:$C$350,MATCH(A114,Aktiv!$A$6:$A$350,0)),""),Steuerungsdaten!$B$17:$G$37,6,FALSE),1)*POWER(IF(OR(IFERROR(INDEX(Aktiv!$E$6:$E$350,MATCH(A114,Aktiv!$A$6:$A$350,0)),0)=0,IFERROR(INDEX(Aktiv!$F$6:$F$350,MATCH(A114,Aktiv!$A$6:$A$350,0)),0)=0),1,(IFERROR(INDEX(Aktiv!$E$6:$E$350,MATCH(A114,Aktiv!$A$6:$A$350,0)),0)*IFERROR(INDEX(Aktiv!$F$6:$F$350,MATCH(A114,Aktiv!$A$6:$A$350,0)),0)/1000000)/Steuerungsdaten!$B$6),1-1),0))</f>
        <v>62</v>
      </c>
      <c r="M114" s="297" t="str">
        <f>IFERROR(INDEX(Aktiv!$I$6:$I$350,MATCH(A114,Aktiv!$A$6:$A$350,0)),"")</f>
        <v>-</v>
      </c>
      <c r="N114" s="298" t="e">
        <f t="shared" si="12"/>
        <v>#VALUE!</v>
      </c>
      <c r="O114" s="296" t="e">
        <f t="shared" si="13"/>
        <v>#VALUE!</v>
      </c>
      <c r="P114" s="297">
        <f>IF(C114="","",ROUND(C114*Steuerungsdaten!$B$4*Steuerungsdaten!$B$10*IFERROR(VLOOKUP(IFERROR(INDEX(Aktiv!$C$6:$C$350,MATCH(A114,Aktiv!$A$6:$A$350,0)),""),Steuerungsdaten!$B$17:$I$37,8,FALSE),1)*POWER(IF(OR(IFERROR(INDEX(Aktiv!$E$6:$E$350,MATCH(A114,Aktiv!$A$6:$A$350,0)),0)=0,IFERROR(INDEX(Aktiv!$F$6:$F$350,MATCH(A114,Aktiv!$A$6:$A$350,0)),0)=0),1,(IFERROR(INDEX(Aktiv!$E$6:$E$350,MATCH(A114,Aktiv!$A$6:$A$350,0)),0)*IFERROR(INDEX(Aktiv!$F$6:$F$350,MATCH(A114,Aktiv!$A$6:$A$350,0)),0)/1000000)/Steuerungsdaten!$B$6),1-1),0))</f>
        <v>67</v>
      </c>
      <c r="Q114" s="297" t="str">
        <f>IFERROR(INDEX(Aktiv!$J$6:$J$350,MATCH(A114,Aktiv!$A$6:$A$350,0)),"")</f>
        <v>-</v>
      </c>
      <c r="R114" s="298" t="e">
        <f t="shared" si="14"/>
        <v>#VALUE!</v>
      </c>
      <c r="S114" s="296" t="e">
        <f t="shared" si="15"/>
        <v>#VALUE!</v>
      </c>
    </row>
    <row r="115" spans="1:19" x14ac:dyDescent="0.25">
      <c r="A115" s="292">
        <v>3516</v>
      </c>
      <c r="B115" s="292" t="s">
        <v>126</v>
      </c>
      <c r="C115" s="293">
        <f>IFERROR(INDEX(Aktiv!$O$6:$O$350,MATCH(A115,Aktiv!$A$6:$A$350,0)),"")</f>
        <v>107</v>
      </c>
      <c r="D115" s="293">
        <f>IF(C115="","",ROUND(C115*Steuerungsdaten!$B$4*Steuerungsdaten!$B$7*IFERROR(VLOOKUP(IFERROR(INDEX(Aktiv!$C$6:$C$350,MATCH(A115,Aktiv!$A$6:$A$350,0)),""),Steuerungsdaten!$B$17:$C$37,2,FALSE),1)*POWER(IF(OR(IFERROR(INDEX(Aktiv!$E$6:$E$350,MATCH(A115,Aktiv!$A$6:$A$350,0)),0)=0,IFERROR(INDEX(Aktiv!$F$6:$F$350,MATCH(A115,Aktiv!$A$6:$A$350,0)),0)=0),1,(IFERROR(INDEX(Aktiv!$E$6:$E$350,MATCH(A115,Aktiv!$A$6:$A$350,0)),0)*IFERROR(INDEX(Aktiv!$F$6:$F$350,MATCH(A115,Aktiv!$A$6:$A$350,0)),0)/1000000)/Steuerungsdaten!$B$6),IF(ISNUMBER(MATCH(IFERROR(INDEX(Aktiv!$C$6:$C$350,MATCH(A115,Aktiv!$A$6:$A$350,0)),""),{"Boden","Seite außen","Seite außen SY32","Rücken","Seite innen","Seite innen SY32","Seite innen SY32 DB","Fachboden klein","Fachboden groß","Klappenboden"},0)),1.2,1)-1),0))</f>
        <v>103</v>
      </c>
      <c r="E115" s="293" t="str">
        <f>IFERROR(INDEX(Aktiv!$G$6:$G$350,MATCH(A115,Aktiv!$A$6:$A$350,0)),"")</f>
        <v>-</v>
      </c>
      <c r="F115" s="294" t="e">
        <f t="shared" si="8"/>
        <v>#VALUE!</v>
      </c>
      <c r="G115" s="295" t="e">
        <f t="shared" si="9"/>
        <v>#VALUE!</v>
      </c>
      <c r="H115" s="293">
        <f>IF(C115="","",ROUND(C115*Steuerungsdaten!$B$4*Steuerungsdaten!$B$8*IFERROR(VLOOKUP(IFERROR(INDEX(Aktiv!$C$6:$C$350,MATCH(A115,Aktiv!$A$6:$A$350,0)),""),Steuerungsdaten!$B$17:$E$37,4,FALSE),1)*POWER(IF(OR(IFERROR(INDEX(Aktiv!$E$6:$E$350,MATCH(A115,Aktiv!$A$6:$A$350,0)),0)=0,IFERROR(INDEX(Aktiv!$F$6:$F$350,MATCH(A115,Aktiv!$A$6:$A$350,0)),0)=0),1,(IFERROR(INDEX(Aktiv!$E$6:$E$350,MATCH(A115,Aktiv!$A$6:$A$350,0)),0)*IFERROR(INDEX(Aktiv!$F$6:$F$350,MATCH(A115,Aktiv!$A$6:$A$350,0)),0)/1000000)/Steuerungsdaten!$B$6),1-1),0))</f>
        <v>94</v>
      </c>
      <c r="I115" s="293" t="str">
        <f>IFERROR(INDEX(Aktiv!$H$6:$H$350,MATCH(A115,Aktiv!$A$6:$A$350,0)),"")</f>
        <v>-</v>
      </c>
      <c r="J115" s="294" t="e">
        <f t="shared" si="10"/>
        <v>#VALUE!</v>
      </c>
      <c r="K115" s="296" t="e">
        <f t="shared" si="11"/>
        <v>#VALUE!</v>
      </c>
      <c r="L115" s="297">
        <f>IF(C115="","",ROUND(C115*Steuerungsdaten!$B$4*Steuerungsdaten!$B$9*IFERROR(VLOOKUP(IFERROR(INDEX(Aktiv!$C$6:$C$350,MATCH(A115,Aktiv!$A$6:$A$350,0)),""),Steuerungsdaten!$B$17:$G$37,6,FALSE),1)*POWER(IF(OR(IFERROR(INDEX(Aktiv!$E$6:$E$350,MATCH(A115,Aktiv!$A$6:$A$350,0)),0)=0,IFERROR(INDEX(Aktiv!$F$6:$F$350,MATCH(A115,Aktiv!$A$6:$A$350,0)),0)=0),1,(IFERROR(INDEX(Aktiv!$E$6:$E$350,MATCH(A115,Aktiv!$A$6:$A$350,0)),0)*IFERROR(INDEX(Aktiv!$F$6:$F$350,MATCH(A115,Aktiv!$A$6:$A$350,0)),0)/1000000)/Steuerungsdaten!$B$6),1-1),0))</f>
        <v>94</v>
      </c>
      <c r="M115" s="297" t="str">
        <f>IFERROR(INDEX(Aktiv!$I$6:$I$350,MATCH(A115,Aktiv!$A$6:$A$350,0)),"")</f>
        <v>-</v>
      </c>
      <c r="N115" s="298" t="e">
        <f t="shared" si="12"/>
        <v>#VALUE!</v>
      </c>
      <c r="O115" s="296" t="e">
        <f t="shared" si="13"/>
        <v>#VALUE!</v>
      </c>
      <c r="P115" s="297">
        <f>IF(C115="","",ROUND(C115*Steuerungsdaten!$B$4*Steuerungsdaten!$B$10*IFERROR(VLOOKUP(IFERROR(INDEX(Aktiv!$C$6:$C$350,MATCH(A115,Aktiv!$A$6:$A$350,0)),""),Steuerungsdaten!$B$17:$I$37,8,FALSE),1)*POWER(IF(OR(IFERROR(INDEX(Aktiv!$E$6:$E$350,MATCH(A115,Aktiv!$A$6:$A$350,0)),0)=0,IFERROR(INDEX(Aktiv!$F$6:$F$350,MATCH(A115,Aktiv!$A$6:$A$350,0)),0)=0),1,(IFERROR(INDEX(Aktiv!$E$6:$E$350,MATCH(A115,Aktiv!$A$6:$A$350,0)),0)*IFERROR(INDEX(Aktiv!$F$6:$F$350,MATCH(A115,Aktiv!$A$6:$A$350,0)),0)/1000000)/Steuerungsdaten!$B$6),1-1),0))</f>
        <v>103</v>
      </c>
      <c r="Q115" s="297" t="str">
        <f>IFERROR(INDEX(Aktiv!$J$6:$J$350,MATCH(A115,Aktiv!$A$6:$A$350,0)),"")</f>
        <v>-</v>
      </c>
      <c r="R115" s="298" t="e">
        <f t="shared" si="14"/>
        <v>#VALUE!</v>
      </c>
      <c r="S115" s="296" t="e">
        <f t="shared" si="15"/>
        <v>#VALUE!</v>
      </c>
    </row>
    <row r="116" spans="1:19" x14ac:dyDescent="0.25">
      <c r="A116" s="292">
        <v>3517</v>
      </c>
      <c r="B116" s="292" t="s">
        <v>127</v>
      </c>
      <c r="C116" s="293">
        <f>IFERROR(INDEX(Aktiv!$O$6:$O$350,MATCH(A116,Aktiv!$A$6:$A$350,0)),"")</f>
        <v>134</v>
      </c>
      <c r="D116" s="293">
        <f>IF(C116="","",ROUND(C116*Steuerungsdaten!$B$4*Steuerungsdaten!$B$7*IFERROR(VLOOKUP(IFERROR(INDEX(Aktiv!$C$6:$C$350,MATCH(A116,Aktiv!$A$6:$A$350,0)),""),Steuerungsdaten!$B$17:$C$37,2,FALSE),1)*POWER(IF(OR(IFERROR(INDEX(Aktiv!$E$6:$E$350,MATCH(A116,Aktiv!$A$6:$A$350,0)),0)=0,IFERROR(INDEX(Aktiv!$F$6:$F$350,MATCH(A116,Aktiv!$A$6:$A$350,0)),0)=0),1,(IFERROR(INDEX(Aktiv!$E$6:$E$350,MATCH(A116,Aktiv!$A$6:$A$350,0)),0)*IFERROR(INDEX(Aktiv!$F$6:$F$350,MATCH(A116,Aktiv!$A$6:$A$350,0)),0)/1000000)/Steuerungsdaten!$B$6),IF(ISNUMBER(MATCH(IFERROR(INDEX(Aktiv!$C$6:$C$350,MATCH(A116,Aktiv!$A$6:$A$350,0)),""),{"Boden","Seite außen","Seite außen SY32","Rücken","Seite innen","Seite innen SY32","Seite innen SY32 DB","Fachboden klein","Fachboden groß","Klappenboden"},0)),1.2,1)-1),0))</f>
        <v>136</v>
      </c>
      <c r="E116" s="293" t="str">
        <f>IFERROR(INDEX(Aktiv!$G$6:$G$350,MATCH(A116,Aktiv!$A$6:$A$350,0)),"")</f>
        <v>-</v>
      </c>
      <c r="F116" s="294" t="e">
        <f t="shared" si="8"/>
        <v>#VALUE!</v>
      </c>
      <c r="G116" s="295" t="e">
        <f t="shared" si="9"/>
        <v>#VALUE!</v>
      </c>
      <c r="H116" s="293">
        <f>IF(C116="","",ROUND(C116*Steuerungsdaten!$B$4*Steuerungsdaten!$B$8*IFERROR(VLOOKUP(IFERROR(INDEX(Aktiv!$C$6:$C$350,MATCH(A116,Aktiv!$A$6:$A$350,0)),""),Steuerungsdaten!$B$17:$E$37,4,FALSE),1)*POWER(IF(OR(IFERROR(INDEX(Aktiv!$E$6:$E$350,MATCH(A116,Aktiv!$A$6:$A$350,0)),0)=0,IFERROR(INDEX(Aktiv!$F$6:$F$350,MATCH(A116,Aktiv!$A$6:$A$350,0)),0)=0),1,(IFERROR(INDEX(Aktiv!$E$6:$E$350,MATCH(A116,Aktiv!$A$6:$A$350,0)),0)*IFERROR(INDEX(Aktiv!$F$6:$F$350,MATCH(A116,Aktiv!$A$6:$A$350,0)),0)/1000000)/Steuerungsdaten!$B$6),1-1),0))</f>
        <v>118</v>
      </c>
      <c r="I116" s="293" t="str">
        <f>IFERROR(INDEX(Aktiv!$H$6:$H$350,MATCH(A116,Aktiv!$A$6:$A$350,0)),"")</f>
        <v>-</v>
      </c>
      <c r="J116" s="294" t="e">
        <f t="shared" si="10"/>
        <v>#VALUE!</v>
      </c>
      <c r="K116" s="296" t="e">
        <f t="shared" si="11"/>
        <v>#VALUE!</v>
      </c>
      <c r="L116" s="297">
        <f>IF(C116="","",ROUND(C116*Steuerungsdaten!$B$4*Steuerungsdaten!$B$9*IFERROR(VLOOKUP(IFERROR(INDEX(Aktiv!$C$6:$C$350,MATCH(A116,Aktiv!$A$6:$A$350,0)),""),Steuerungsdaten!$B$17:$G$37,6,FALSE),1)*POWER(IF(OR(IFERROR(INDEX(Aktiv!$E$6:$E$350,MATCH(A116,Aktiv!$A$6:$A$350,0)),0)=0,IFERROR(INDEX(Aktiv!$F$6:$F$350,MATCH(A116,Aktiv!$A$6:$A$350,0)),0)=0),1,(IFERROR(INDEX(Aktiv!$E$6:$E$350,MATCH(A116,Aktiv!$A$6:$A$350,0)),0)*IFERROR(INDEX(Aktiv!$F$6:$F$350,MATCH(A116,Aktiv!$A$6:$A$350,0)),0)/1000000)/Steuerungsdaten!$B$6),1-1),0))</f>
        <v>118</v>
      </c>
      <c r="M116" s="297" t="str">
        <f>IFERROR(INDEX(Aktiv!$I$6:$I$350,MATCH(A116,Aktiv!$A$6:$A$350,0)),"")</f>
        <v>-</v>
      </c>
      <c r="N116" s="298" t="e">
        <f t="shared" si="12"/>
        <v>#VALUE!</v>
      </c>
      <c r="O116" s="296" t="e">
        <f t="shared" si="13"/>
        <v>#VALUE!</v>
      </c>
      <c r="P116" s="297">
        <f>IF(C116="","",ROUND(C116*Steuerungsdaten!$B$4*Steuerungsdaten!$B$10*IFERROR(VLOOKUP(IFERROR(INDEX(Aktiv!$C$6:$C$350,MATCH(A116,Aktiv!$A$6:$A$350,0)),""),Steuerungsdaten!$B$17:$I$37,8,FALSE),1)*POWER(IF(OR(IFERROR(INDEX(Aktiv!$E$6:$E$350,MATCH(A116,Aktiv!$A$6:$A$350,0)),0)=0,IFERROR(INDEX(Aktiv!$F$6:$F$350,MATCH(A116,Aktiv!$A$6:$A$350,0)),0)=0),1,(IFERROR(INDEX(Aktiv!$E$6:$E$350,MATCH(A116,Aktiv!$A$6:$A$350,0)),0)*IFERROR(INDEX(Aktiv!$F$6:$F$350,MATCH(A116,Aktiv!$A$6:$A$350,0)),0)/1000000)/Steuerungsdaten!$B$6),1-1),0))</f>
        <v>129</v>
      </c>
      <c r="Q116" s="297" t="str">
        <f>IFERROR(INDEX(Aktiv!$J$6:$J$350,MATCH(A116,Aktiv!$A$6:$A$350,0)),"")</f>
        <v>-</v>
      </c>
      <c r="R116" s="298" t="e">
        <f t="shared" si="14"/>
        <v>#VALUE!</v>
      </c>
      <c r="S116" s="296" t="e">
        <f t="shared" si="15"/>
        <v>#VALUE!</v>
      </c>
    </row>
    <row r="117" spans="1:19" x14ac:dyDescent="0.25">
      <c r="A117" s="292">
        <v>3518</v>
      </c>
      <c r="B117" s="292" t="s">
        <v>128</v>
      </c>
      <c r="C117" s="293">
        <f>IFERROR(INDEX(Aktiv!$O$6:$O$350,MATCH(A117,Aktiv!$A$6:$A$350,0)),"")</f>
        <v>161</v>
      </c>
      <c r="D117" s="293">
        <f>IF(C117="","",ROUND(C117*Steuerungsdaten!$B$4*Steuerungsdaten!$B$7*IFERROR(VLOOKUP(IFERROR(INDEX(Aktiv!$C$6:$C$350,MATCH(A117,Aktiv!$A$6:$A$350,0)),""),Steuerungsdaten!$B$17:$C$37,2,FALSE),1)*POWER(IF(OR(IFERROR(INDEX(Aktiv!$E$6:$E$350,MATCH(A117,Aktiv!$A$6:$A$350,0)),0)=0,IFERROR(INDEX(Aktiv!$F$6:$F$350,MATCH(A117,Aktiv!$A$6:$A$350,0)),0)=0),1,(IFERROR(INDEX(Aktiv!$E$6:$E$350,MATCH(A117,Aktiv!$A$6:$A$350,0)),0)*IFERROR(INDEX(Aktiv!$F$6:$F$350,MATCH(A117,Aktiv!$A$6:$A$350,0)),0)/1000000)/Steuerungsdaten!$B$6),IF(ISNUMBER(MATCH(IFERROR(INDEX(Aktiv!$C$6:$C$350,MATCH(A117,Aktiv!$A$6:$A$350,0)),""),{"Boden","Seite außen","Seite außen SY32","Rücken","Seite innen","Seite innen SY32","Seite innen SY32 DB","Fachboden klein","Fachboden groß","Klappenboden"},0)),1.2,1)-1),0))</f>
        <v>169</v>
      </c>
      <c r="E117" s="293" t="str">
        <f>IFERROR(INDEX(Aktiv!$G$6:$G$350,MATCH(A117,Aktiv!$A$6:$A$350,0)),"")</f>
        <v>-</v>
      </c>
      <c r="F117" s="294" t="e">
        <f t="shared" si="8"/>
        <v>#VALUE!</v>
      </c>
      <c r="G117" s="295" t="e">
        <f t="shared" si="9"/>
        <v>#VALUE!</v>
      </c>
      <c r="H117" s="293">
        <f>IF(C117="","",ROUND(C117*Steuerungsdaten!$B$4*Steuerungsdaten!$B$8*IFERROR(VLOOKUP(IFERROR(INDEX(Aktiv!$C$6:$C$350,MATCH(A117,Aktiv!$A$6:$A$350,0)),""),Steuerungsdaten!$B$17:$E$37,4,FALSE),1)*POWER(IF(OR(IFERROR(INDEX(Aktiv!$E$6:$E$350,MATCH(A117,Aktiv!$A$6:$A$350,0)),0)=0,IFERROR(INDEX(Aktiv!$F$6:$F$350,MATCH(A117,Aktiv!$A$6:$A$350,0)),0)=0),1,(IFERROR(INDEX(Aktiv!$E$6:$E$350,MATCH(A117,Aktiv!$A$6:$A$350,0)),0)*IFERROR(INDEX(Aktiv!$F$6:$F$350,MATCH(A117,Aktiv!$A$6:$A$350,0)),0)/1000000)/Steuerungsdaten!$B$6),1-1),0))</f>
        <v>142</v>
      </c>
      <c r="I117" s="293" t="str">
        <f>IFERROR(INDEX(Aktiv!$H$6:$H$350,MATCH(A117,Aktiv!$A$6:$A$350,0)),"")</f>
        <v>-</v>
      </c>
      <c r="J117" s="294" t="e">
        <f t="shared" si="10"/>
        <v>#VALUE!</v>
      </c>
      <c r="K117" s="296" t="e">
        <f t="shared" si="11"/>
        <v>#VALUE!</v>
      </c>
      <c r="L117" s="297">
        <f>IF(C117="","",ROUND(C117*Steuerungsdaten!$B$4*Steuerungsdaten!$B$9*IFERROR(VLOOKUP(IFERROR(INDEX(Aktiv!$C$6:$C$350,MATCH(A117,Aktiv!$A$6:$A$350,0)),""),Steuerungsdaten!$B$17:$G$37,6,FALSE),1)*POWER(IF(OR(IFERROR(INDEX(Aktiv!$E$6:$E$350,MATCH(A117,Aktiv!$A$6:$A$350,0)),0)=0,IFERROR(INDEX(Aktiv!$F$6:$F$350,MATCH(A117,Aktiv!$A$6:$A$350,0)),0)=0),1,(IFERROR(INDEX(Aktiv!$E$6:$E$350,MATCH(A117,Aktiv!$A$6:$A$350,0)),0)*IFERROR(INDEX(Aktiv!$F$6:$F$350,MATCH(A117,Aktiv!$A$6:$A$350,0)),0)/1000000)/Steuerungsdaten!$B$6),1-1),0))</f>
        <v>142</v>
      </c>
      <c r="M117" s="297" t="str">
        <f>IFERROR(INDEX(Aktiv!$I$6:$I$350,MATCH(A117,Aktiv!$A$6:$A$350,0)),"")</f>
        <v>-</v>
      </c>
      <c r="N117" s="298" t="e">
        <f t="shared" si="12"/>
        <v>#VALUE!</v>
      </c>
      <c r="O117" s="296" t="e">
        <f t="shared" si="13"/>
        <v>#VALUE!</v>
      </c>
      <c r="P117" s="297">
        <f>IF(C117="","",ROUND(C117*Steuerungsdaten!$B$4*Steuerungsdaten!$B$10*IFERROR(VLOOKUP(IFERROR(INDEX(Aktiv!$C$6:$C$350,MATCH(A117,Aktiv!$A$6:$A$350,0)),""),Steuerungsdaten!$B$17:$I$37,8,FALSE),1)*POWER(IF(OR(IFERROR(INDEX(Aktiv!$E$6:$E$350,MATCH(A117,Aktiv!$A$6:$A$350,0)),0)=0,IFERROR(INDEX(Aktiv!$F$6:$F$350,MATCH(A117,Aktiv!$A$6:$A$350,0)),0)=0),1,(IFERROR(INDEX(Aktiv!$E$6:$E$350,MATCH(A117,Aktiv!$A$6:$A$350,0)),0)*IFERROR(INDEX(Aktiv!$F$6:$F$350,MATCH(A117,Aktiv!$A$6:$A$350,0)),0)/1000000)/Steuerungsdaten!$B$6),1-1),0))</f>
        <v>155</v>
      </c>
      <c r="Q117" s="297" t="str">
        <f>IFERROR(INDEX(Aktiv!$J$6:$J$350,MATCH(A117,Aktiv!$A$6:$A$350,0)),"")</f>
        <v>-</v>
      </c>
      <c r="R117" s="298" t="e">
        <f t="shared" si="14"/>
        <v>#VALUE!</v>
      </c>
      <c r="S117" s="296" t="e">
        <f t="shared" si="15"/>
        <v>#VALUE!</v>
      </c>
    </row>
    <row r="118" spans="1:19" x14ac:dyDescent="0.25">
      <c r="A118" s="292">
        <v>3519</v>
      </c>
      <c r="B118" s="292" t="s">
        <v>129</v>
      </c>
      <c r="C118" s="293">
        <f>IFERROR(INDEX(Aktiv!$O$6:$O$350,MATCH(A118,Aktiv!$A$6:$A$350,0)),"")</f>
        <v>200</v>
      </c>
      <c r="D118" s="293">
        <f>IF(C118="","",ROUND(C118*Steuerungsdaten!$B$4*Steuerungsdaten!$B$7*IFERROR(VLOOKUP(IFERROR(INDEX(Aktiv!$C$6:$C$350,MATCH(A118,Aktiv!$A$6:$A$350,0)),""),Steuerungsdaten!$B$17:$C$37,2,FALSE),1)*POWER(IF(OR(IFERROR(INDEX(Aktiv!$E$6:$E$350,MATCH(A118,Aktiv!$A$6:$A$350,0)),0)=0,IFERROR(INDEX(Aktiv!$F$6:$F$350,MATCH(A118,Aktiv!$A$6:$A$350,0)),0)=0),1,(IFERROR(INDEX(Aktiv!$E$6:$E$350,MATCH(A118,Aktiv!$A$6:$A$350,0)),0)*IFERROR(INDEX(Aktiv!$F$6:$F$350,MATCH(A118,Aktiv!$A$6:$A$350,0)),0)/1000000)/Steuerungsdaten!$B$6),IF(ISNUMBER(MATCH(IFERROR(INDEX(Aktiv!$C$6:$C$350,MATCH(A118,Aktiv!$A$6:$A$350,0)),""),{"Boden","Seite außen","Seite außen SY32","Rücken","Seite innen","Seite innen SY32","Seite innen SY32 DB","Fachboden klein","Fachboden groß","Klappenboden"},0)),1.2,1)-1),0))</f>
        <v>220</v>
      </c>
      <c r="E118" s="293" t="str">
        <f>IFERROR(INDEX(Aktiv!$G$6:$G$350,MATCH(A118,Aktiv!$A$6:$A$350,0)),"")</f>
        <v>-</v>
      </c>
      <c r="F118" s="294" t="e">
        <f t="shared" si="8"/>
        <v>#VALUE!</v>
      </c>
      <c r="G118" s="295" t="e">
        <f t="shared" si="9"/>
        <v>#VALUE!</v>
      </c>
      <c r="H118" s="293">
        <f>IF(C118="","",ROUND(C118*Steuerungsdaten!$B$4*Steuerungsdaten!$B$8*IFERROR(VLOOKUP(IFERROR(INDEX(Aktiv!$C$6:$C$350,MATCH(A118,Aktiv!$A$6:$A$350,0)),""),Steuerungsdaten!$B$17:$E$37,4,FALSE),1)*POWER(IF(OR(IFERROR(INDEX(Aktiv!$E$6:$E$350,MATCH(A118,Aktiv!$A$6:$A$350,0)),0)=0,IFERROR(INDEX(Aktiv!$F$6:$F$350,MATCH(A118,Aktiv!$A$6:$A$350,0)),0)=0),1,(IFERROR(INDEX(Aktiv!$E$6:$E$350,MATCH(A118,Aktiv!$A$6:$A$350,0)),0)*IFERROR(INDEX(Aktiv!$F$6:$F$350,MATCH(A118,Aktiv!$A$6:$A$350,0)),0)/1000000)/Steuerungsdaten!$B$6),1-1),0))</f>
        <v>176</v>
      </c>
      <c r="I118" s="293" t="str">
        <f>IFERROR(INDEX(Aktiv!$H$6:$H$350,MATCH(A118,Aktiv!$A$6:$A$350,0)),"")</f>
        <v>-</v>
      </c>
      <c r="J118" s="294" t="e">
        <f t="shared" si="10"/>
        <v>#VALUE!</v>
      </c>
      <c r="K118" s="296" t="e">
        <f t="shared" si="11"/>
        <v>#VALUE!</v>
      </c>
      <c r="L118" s="297">
        <f>IF(C118="","",ROUND(C118*Steuerungsdaten!$B$4*Steuerungsdaten!$B$9*IFERROR(VLOOKUP(IFERROR(INDEX(Aktiv!$C$6:$C$350,MATCH(A118,Aktiv!$A$6:$A$350,0)),""),Steuerungsdaten!$B$17:$G$37,6,FALSE),1)*POWER(IF(OR(IFERROR(INDEX(Aktiv!$E$6:$E$350,MATCH(A118,Aktiv!$A$6:$A$350,0)),0)=0,IFERROR(INDEX(Aktiv!$F$6:$F$350,MATCH(A118,Aktiv!$A$6:$A$350,0)),0)=0),1,(IFERROR(INDEX(Aktiv!$E$6:$E$350,MATCH(A118,Aktiv!$A$6:$A$350,0)),0)*IFERROR(INDEX(Aktiv!$F$6:$F$350,MATCH(A118,Aktiv!$A$6:$A$350,0)),0)/1000000)/Steuerungsdaten!$B$6),1-1),0))</f>
        <v>176</v>
      </c>
      <c r="M118" s="297" t="str">
        <f>IFERROR(INDEX(Aktiv!$I$6:$I$350,MATCH(A118,Aktiv!$A$6:$A$350,0)),"")</f>
        <v>-</v>
      </c>
      <c r="N118" s="298" t="e">
        <f t="shared" si="12"/>
        <v>#VALUE!</v>
      </c>
      <c r="O118" s="296" t="e">
        <f t="shared" si="13"/>
        <v>#VALUE!</v>
      </c>
      <c r="P118" s="297">
        <f>IF(C118="","",ROUND(C118*Steuerungsdaten!$B$4*Steuerungsdaten!$B$10*IFERROR(VLOOKUP(IFERROR(INDEX(Aktiv!$C$6:$C$350,MATCH(A118,Aktiv!$A$6:$A$350,0)),""),Steuerungsdaten!$B$17:$I$37,8,FALSE),1)*POWER(IF(OR(IFERROR(INDEX(Aktiv!$E$6:$E$350,MATCH(A118,Aktiv!$A$6:$A$350,0)),0)=0,IFERROR(INDEX(Aktiv!$F$6:$F$350,MATCH(A118,Aktiv!$A$6:$A$350,0)),0)=0),1,(IFERROR(INDEX(Aktiv!$E$6:$E$350,MATCH(A118,Aktiv!$A$6:$A$350,0)),0)*IFERROR(INDEX(Aktiv!$F$6:$F$350,MATCH(A118,Aktiv!$A$6:$A$350,0)),0)/1000000)/Steuerungsdaten!$B$6),1-1),0))</f>
        <v>192</v>
      </c>
      <c r="Q118" s="297" t="str">
        <f>IFERROR(INDEX(Aktiv!$J$6:$J$350,MATCH(A118,Aktiv!$A$6:$A$350,0)),"")</f>
        <v>-</v>
      </c>
      <c r="R118" s="298" t="e">
        <f t="shared" si="14"/>
        <v>#VALUE!</v>
      </c>
      <c r="S118" s="296" t="e">
        <f t="shared" si="15"/>
        <v>#VALUE!</v>
      </c>
    </row>
    <row r="119" spans="1:19" x14ac:dyDescent="0.25">
      <c r="A119" s="292">
        <v>3520</v>
      </c>
      <c r="B119" s="292" t="s">
        <v>130</v>
      </c>
      <c r="C119" s="293">
        <f>IFERROR(INDEX(Aktiv!$O$6:$O$350,MATCH(A119,Aktiv!$A$6:$A$350,0)),"")</f>
        <v>211</v>
      </c>
      <c r="D119" s="293">
        <f>IF(C119="","",ROUND(C119*Steuerungsdaten!$B$4*Steuerungsdaten!$B$7*IFERROR(VLOOKUP(IFERROR(INDEX(Aktiv!$C$6:$C$350,MATCH(A119,Aktiv!$A$6:$A$350,0)),""),Steuerungsdaten!$B$17:$C$37,2,FALSE),1)*POWER(IF(OR(IFERROR(INDEX(Aktiv!$E$6:$E$350,MATCH(A119,Aktiv!$A$6:$A$350,0)),0)=0,IFERROR(INDEX(Aktiv!$F$6:$F$350,MATCH(A119,Aktiv!$A$6:$A$350,0)),0)=0),1,(IFERROR(INDEX(Aktiv!$E$6:$E$350,MATCH(A119,Aktiv!$A$6:$A$350,0)),0)*IFERROR(INDEX(Aktiv!$F$6:$F$350,MATCH(A119,Aktiv!$A$6:$A$350,0)),0)/1000000)/Steuerungsdaten!$B$6),IF(ISNUMBER(MATCH(IFERROR(INDEX(Aktiv!$C$6:$C$350,MATCH(A119,Aktiv!$A$6:$A$350,0)),""),{"Boden","Seite außen","Seite außen SY32","Rücken","Seite innen","Seite innen SY32","Seite innen SY32 DB","Fachboden klein","Fachboden groß","Klappenboden"},0)),1.2,1)-1),0))</f>
        <v>234</v>
      </c>
      <c r="E119" s="293" t="str">
        <f>IFERROR(INDEX(Aktiv!$G$6:$G$350,MATCH(A119,Aktiv!$A$6:$A$350,0)),"")</f>
        <v>-</v>
      </c>
      <c r="F119" s="294" t="e">
        <f t="shared" si="8"/>
        <v>#VALUE!</v>
      </c>
      <c r="G119" s="295" t="e">
        <f t="shared" si="9"/>
        <v>#VALUE!</v>
      </c>
      <c r="H119" s="293">
        <f>IF(C119="","",ROUND(C119*Steuerungsdaten!$B$4*Steuerungsdaten!$B$8*IFERROR(VLOOKUP(IFERROR(INDEX(Aktiv!$C$6:$C$350,MATCH(A119,Aktiv!$A$6:$A$350,0)),""),Steuerungsdaten!$B$17:$E$37,4,FALSE),1)*POWER(IF(OR(IFERROR(INDEX(Aktiv!$E$6:$E$350,MATCH(A119,Aktiv!$A$6:$A$350,0)),0)=0,IFERROR(INDEX(Aktiv!$F$6:$F$350,MATCH(A119,Aktiv!$A$6:$A$350,0)),0)=0),1,(IFERROR(INDEX(Aktiv!$E$6:$E$350,MATCH(A119,Aktiv!$A$6:$A$350,0)),0)*IFERROR(INDEX(Aktiv!$F$6:$F$350,MATCH(A119,Aktiv!$A$6:$A$350,0)),0)/1000000)/Steuerungsdaten!$B$6),1-1),0))</f>
        <v>186</v>
      </c>
      <c r="I119" s="293" t="str">
        <f>IFERROR(INDEX(Aktiv!$H$6:$H$350,MATCH(A119,Aktiv!$A$6:$A$350,0)),"")</f>
        <v>-</v>
      </c>
      <c r="J119" s="294" t="e">
        <f t="shared" si="10"/>
        <v>#VALUE!</v>
      </c>
      <c r="K119" s="296" t="e">
        <f t="shared" si="11"/>
        <v>#VALUE!</v>
      </c>
      <c r="L119" s="297">
        <f>IF(C119="","",ROUND(C119*Steuerungsdaten!$B$4*Steuerungsdaten!$B$9*IFERROR(VLOOKUP(IFERROR(INDEX(Aktiv!$C$6:$C$350,MATCH(A119,Aktiv!$A$6:$A$350,0)),""),Steuerungsdaten!$B$17:$G$37,6,FALSE),1)*POWER(IF(OR(IFERROR(INDEX(Aktiv!$E$6:$E$350,MATCH(A119,Aktiv!$A$6:$A$350,0)),0)=0,IFERROR(INDEX(Aktiv!$F$6:$F$350,MATCH(A119,Aktiv!$A$6:$A$350,0)),0)=0),1,(IFERROR(INDEX(Aktiv!$E$6:$E$350,MATCH(A119,Aktiv!$A$6:$A$350,0)),0)*IFERROR(INDEX(Aktiv!$F$6:$F$350,MATCH(A119,Aktiv!$A$6:$A$350,0)),0)/1000000)/Steuerungsdaten!$B$6),1-1),0))</f>
        <v>186</v>
      </c>
      <c r="M119" s="297" t="str">
        <f>IFERROR(INDEX(Aktiv!$I$6:$I$350,MATCH(A119,Aktiv!$A$6:$A$350,0)),"")</f>
        <v>-</v>
      </c>
      <c r="N119" s="298" t="e">
        <f t="shared" si="12"/>
        <v>#VALUE!</v>
      </c>
      <c r="O119" s="296" t="e">
        <f t="shared" si="13"/>
        <v>#VALUE!</v>
      </c>
      <c r="P119" s="297">
        <f>IF(C119="","",ROUND(C119*Steuerungsdaten!$B$4*Steuerungsdaten!$B$10*IFERROR(VLOOKUP(IFERROR(INDEX(Aktiv!$C$6:$C$350,MATCH(A119,Aktiv!$A$6:$A$350,0)),""),Steuerungsdaten!$B$17:$I$37,8,FALSE),1)*POWER(IF(OR(IFERROR(INDEX(Aktiv!$E$6:$E$350,MATCH(A119,Aktiv!$A$6:$A$350,0)),0)=0,IFERROR(INDEX(Aktiv!$F$6:$F$350,MATCH(A119,Aktiv!$A$6:$A$350,0)),0)=0),1,(IFERROR(INDEX(Aktiv!$E$6:$E$350,MATCH(A119,Aktiv!$A$6:$A$350,0)),0)*IFERROR(INDEX(Aktiv!$F$6:$F$350,MATCH(A119,Aktiv!$A$6:$A$350,0)),0)/1000000)/Steuerungsdaten!$B$6),1-1),0))</f>
        <v>203</v>
      </c>
      <c r="Q119" s="297" t="str">
        <f>IFERROR(INDEX(Aktiv!$J$6:$J$350,MATCH(A119,Aktiv!$A$6:$A$350,0)),"")</f>
        <v>-</v>
      </c>
      <c r="R119" s="298" t="e">
        <f t="shared" si="14"/>
        <v>#VALUE!</v>
      </c>
      <c r="S119" s="296" t="e">
        <f t="shared" si="15"/>
        <v>#VALUE!</v>
      </c>
    </row>
    <row r="120" spans="1:19" x14ac:dyDescent="0.25">
      <c r="A120" s="292">
        <v>3521</v>
      </c>
      <c r="B120" s="292" t="s">
        <v>131</v>
      </c>
      <c r="C120" s="293">
        <f>IFERROR(INDEX(Aktiv!$O$6:$O$350,MATCH(A120,Aktiv!$A$6:$A$350,0)),"")</f>
        <v>264</v>
      </c>
      <c r="D120" s="293">
        <f>IF(C120="","",ROUND(C120*Steuerungsdaten!$B$4*Steuerungsdaten!$B$7*IFERROR(VLOOKUP(IFERROR(INDEX(Aktiv!$C$6:$C$350,MATCH(A120,Aktiv!$A$6:$A$350,0)),""),Steuerungsdaten!$B$17:$C$37,2,FALSE),1)*POWER(IF(OR(IFERROR(INDEX(Aktiv!$E$6:$E$350,MATCH(A120,Aktiv!$A$6:$A$350,0)),0)=0,IFERROR(INDEX(Aktiv!$F$6:$F$350,MATCH(A120,Aktiv!$A$6:$A$350,0)),0)=0),1,(IFERROR(INDEX(Aktiv!$E$6:$E$350,MATCH(A120,Aktiv!$A$6:$A$350,0)),0)*IFERROR(INDEX(Aktiv!$F$6:$F$350,MATCH(A120,Aktiv!$A$6:$A$350,0)),0)/1000000)/Steuerungsdaten!$B$6),IF(ISNUMBER(MATCH(IFERROR(INDEX(Aktiv!$C$6:$C$350,MATCH(A120,Aktiv!$A$6:$A$350,0)),""),{"Boden","Seite außen","Seite außen SY32","Rücken","Seite innen","Seite innen SY32","Seite innen SY32 DB","Fachboden klein","Fachboden groß","Klappenboden"},0)),1.2,1)-1),0))</f>
        <v>307</v>
      </c>
      <c r="E120" s="293" t="str">
        <f>IFERROR(INDEX(Aktiv!$G$6:$G$350,MATCH(A120,Aktiv!$A$6:$A$350,0)),"")</f>
        <v>-</v>
      </c>
      <c r="F120" s="294" t="e">
        <f t="shared" si="8"/>
        <v>#VALUE!</v>
      </c>
      <c r="G120" s="295" t="e">
        <f t="shared" si="9"/>
        <v>#VALUE!</v>
      </c>
      <c r="H120" s="293">
        <f>IF(C120="","",ROUND(C120*Steuerungsdaten!$B$4*Steuerungsdaten!$B$8*IFERROR(VLOOKUP(IFERROR(INDEX(Aktiv!$C$6:$C$350,MATCH(A120,Aktiv!$A$6:$A$350,0)),""),Steuerungsdaten!$B$17:$E$37,4,FALSE),1)*POWER(IF(OR(IFERROR(INDEX(Aktiv!$E$6:$E$350,MATCH(A120,Aktiv!$A$6:$A$350,0)),0)=0,IFERROR(INDEX(Aktiv!$F$6:$F$350,MATCH(A120,Aktiv!$A$6:$A$350,0)),0)=0),1,(IFERROR(INDEX(Aktiv!$E$6:$E$350,MATCH(A120,Aktiv!$A$6:$A$350,0)),0)*IFERROR(INDEX(Aktiv!$F$6:$F$350,MATCH(A120,Aktiv!$A$6:$A$350,0)),0)/1000000)/Steuerungsdaten!$B$6),1-1),0))</f>
        <v>232</v>
      </c>
      <c r="I120" s="293" t="str">
        <f>IFERROR(INDEX(Aktiv!$H$6:$H$350,MATCH(A120,Aktiv!$A$6:$A$350,0)),"")</f>
        <v>-</v>
      </c>
      <c r="J120" s="294" t="e">
        <f t="shared" si="10"/>
        <v>#VALUE!</v>
      </c>
      <c r="K120" s="296" t="e">
        <f t="shared" si="11"/>
        <v>#VALUE!</v>
      </c>
      <c r="L120" s="297">
        <f>IF(C120="","",ROUND(C120*Steuerungsdaten!$B$4*Steuerungsdaten!$B$9*IFERROR(VLOOKUP(IFERROR(INDEX(Aktiv!$C$6:$C$350,MATCH(A120,Aktiv!$A$6:$A$350,0)),""),Steuerungsdaten!$B$17:$G$37,6,FALSE),1)*POWER(IF(OR(IFERROR(INDEX(Aktiv!$E$6:$E$350,MATCH(A120,Aktiv!$A$6:$A$350,0)),0)=0,IFERROR(INDEX(Aktiv!$F$6:$F$350,MATCH(A120,Aktiv!$A$6:$A$350,0)),0)=0),1,(IFERROR(INDEX(Aktiv!$E$6:$E$350,MATCH(A120,Aktiv!$A$6:$A$350,0)),0)*IFERROR(INDEX(Aktiv!$F$6:$F$350,MATCH(A120,Aktiv!$A$6:$A$350,0)),0)/1000000)/Steuerungsdaten!$B$6),1-1),0))</f>
        <v>232</v>
      </c>
      <c r="M120" s="297" t="str">
        <f>IFERROR(INDEX(Aktiv!$I$6:$I$350,MATCH(A120,Aktiv!$A$6:$A$350,0)),"")</f>
        <v>-</v>
      </c>
      <c r="N120" s="298" t="e">
        <f t="shared" si="12"/>
        <v>#VALUE!</v>
      </c>
      <c r="O120" s="296" t="e">
        <f t="shared" si="13"/>
        <v>#VALUE!</v>
      </c>
      <c r="P120" s="297">
        <f>IF(C120="","",ROUND(C120*Steuerungsdaten!$B$4*Steuerungsdaten!$B$10*IFERROR(VLOOKUP(IFERROR(INDEX(Aktiv!$C$6:$C$350,MATCH(A120,Aktiv!$A$6:$A$350,0)),""),Steuerungsdaten!$B$17:$I$37,8,FALSE),1)*POWER(IF(OR(IFERROR(INDEX(Aktiv!$E$6:$E$350,MATCH(A120,Aktiv!$A$6:$A$350,0)),0)=0,IFERROR(INDEX(Aktiv!$F$6:$F$350,MATCH(A120,Aktiv!$A$6:$A$350,0)),0)=0),1,(IFERROR(INDEX(Aktiv!$E$6:$E$350,MATCH(A120,Aktiv!$A$6:$A$350,0)),0)*IFERROR(INDEX(Aktiv!$F$6:$F$350,MATCH(A120,Aktiv!$A$6:$A$350,0)),0)/1000000)/Steuerungsdaten!$B$6),1-1),0))</f>
        <v>253</v>
      </c>
      <c r="Q120" s="297" t="str">
        <f>IFERROR(INDEX(Aktiv!$J$6:$J$350,MATCH(A120,Aktiv!$A$6:$A$350,0)),"")</f>
        <v>-</v>
      </c>
      <c r="R120" s="298" t="e">
        <f t="shared" si="14"/>
        <v>#VALUE!</v>
      </c>
      <c r="S120" s="296" t="e">
        <f t="shared" si="15"/>
        <v>#VALUE!</v>
      </c>
    </row>
    <row r="121" spans="1:19" x14ac:dyDescent="0.25">
      <c r="A121" s="292">
        <v>3522</v>
      </c>
      <c r="B121" s="292" t="s">
        <v>132</v>
      </c>
      <c r="C121" s="293">
        <f>IFERROR(INDEX(Aktiv!$O$6:$O$350,MATCH(A121,Aktiv!$A$6:$A$350,0)),"")</f>
        <v>264</v>
      </c>
      <c r="D121" s="293">
        <f>IF(C121="","",ROUND(C121*Steuerungsdaten!$B$4*Steuerungsdaten!$B$7*IFERROR(VLOOKUP(IFERROR(INDEX(Aktiv!$C$6:$C$350,MATCH(A121,Aktiv!$A$6:$A$350,0)),""),Steuerungsdaten!$B$17:$C$37,2,FALSE),1)*POWER(IF(OR(IFERROR(INDEX(Aktiv!$E$6:$E$350,MATCH(A121,Aktiv!$A$6:$A$350,0)),0)=0,IFERROR(INDEX(Aktiv!$F$6:$F$350,MATCH(A121,Aktiv!$A$6:$A$350,0)),0)=0),1,(IFERROR(INDEX(Aktiv!$E$6:$E$350,MATCH(A121,Aktiv!$A$6:$A$350,0)),0)*IFERROR(INDEX(Aktiv!$F$6:$F$350,MATCH(A121,Aktiv!$A$6:$A$350,0)),0)/1000000)/Steuerungsdaten!$B$6),IF(ISNUMBER(MATCH(IFERROR(INDEX(Aktiv!$C$6:$C$350,MATCH(A121,Aktiv!$A$6:$A$350,0)),""),{"Boden","Seite außen","Seite außen SY32","Rücken","Seite innen","Seite innen SY32","Seite innen SY32 DB","Fachboden klein","Fachboden groß","Klappenboden"},0)),1.2,1)-1),0))</f>
        <v>307</v>
      </c>
      <c r="E121" s="293" t="str">
        <f>IFERROR(INDEX(Aktiv!$G$6:$G$350,MATCH(A121,Aktiv!$A$6:$A$350,0)),"")</f>
        <v>-</v>
      </c>
      <c r="F121" s="294" t="e">
        <f t="shared" si="8"/>
        <v>#VALUE!</v>
      </c>
      <c r="G121" s="295" t="e">
        <f t="shared" si="9"/>
        <v>#VALUE!</v>
      </c>
      <c r="H121" s="293">
        <f>IF(C121="","",ROUND(C121*Steuerungsdaten!$B$4*Steuerungsdaten!$B$8*IFERROR(VLOOKUP(IFERROR(INDEX(Aktiv!$C$6:$C$350,MATCH(A121,Aktiv!$A$6:$A$350,0)),""),Steuerungsdaten!$B$17:$E$37,4,FALSE),1)*POWER(IF(OR(IFERROR(INDEX(Aktiv!$E$6:$E$350,MATCH(A121,Aktiv!$A$6:$A$350,0)),0)=0,IFERROR(INDEX(Aktiv!$F$6:$F$350,MATCH(A121,Aktiv!$A$6:$A$350,0)),0)=0),1,(IFERROR(INDEX(Aktiv!$E$6:$E$350,MATCH(A121,Aktiv!$A$6:$A$350,0)),0)*IFERROR(INDEX(Aktiv!$F$6:$F$350,MATCH(A121,Aktiv!$A$6:$A$350,0)),0)/1000000)/Steuerungsdaten!$B$6),1-1),0))</f>
        <v>232</v>
      </c>
      <c r="I121" s="293" t="str">
        <f>IFERROR(INDEX(Aktiv!$H$6:$H$350,MATCH(A121,Aktiv!$A$6:$A$350,0)),"")</f>
        <v>-</v>
      </c>
      <c r="J121" s="294" t="e">
        <f t="shared" si="10"/>
        <v>#VALUE!</v>
      </c>
      <c r="K121" s="296" t="e">
        <f t="shared" si="11"/>
        <v>#VALUE!</v>
      </c>
      <c r="L121" s="297">
        <f>IF(C121="","",ROUND(C121*Steuerungsdaten!$B$4*Steuerungsdaten!$B$9*IFERROR(VLOOKUP(IFERROR(INDEX(Aktiv!$C$6:$C$350,MATCH(A121,Aktiv!$A$6:$A$350,0)),""),Steuerungsdaten!$B$17:$G$37,6,FALSE),1)*POWER(IF(OR(IFERROR(INDEX(Aktiv!$E$6:$E$350,MATCH(A121,Aktiv!$A$6:$A$350,0)),0)=0,IFERROR(INDEX(Aktiv!$F$6:$F$350,MATCH(A121,Aktiv!$A$6:$A$350,0)),0)=0),1,(IFERROR(INDEX(Aktiv!$E$6:$E$350,MATCH(A121,Aktiv!$A$6:$A$350,0)),0)*IFERROR(INDEX(Aktiv!$F$6:$F$350,MATCH(A121,Aktiv!$A$6:$A$350,0)),0)/1000000)/Steuerungsdaten!$B$6),1-1),0))</f>
        <v>232</v>
      </c>
      <c r="M121" s="297" t="str">
        <f>IFERROR(INDEX(Aktiv!$I$6:$I$350,MATCH(A121,Aktiv!$A$6:$A$350,0)),"")</f>
        <v>-</v>
      </c>
      <c r="N121" s="298" t="e">
        <f t="shared" si="12"/>
        <v>#VALUE!</v>
      </c>
      <c r="O121" s="296" t="e">
        <f t="shared" si="13"/>
        <v>#VALUE!</v>
      </c>
      <c r="P121" s="297">
        <f>IF(C121="","",ROUND(C121*Steuerungsdaten!$B$4*Steuerungsdaten!$B$10*IFERROR(VLOOKUP(IFERROR(INDEX(Aktiv!$C$6:$C$350,MATCH(A121,Aktiv!$A$6:$A$350,0)),""),Steuerungsdaten!$B$17:$I$37,8,FALSE),1)*POWER(IF(OR(IFERROR(INDEX(Aktiv!$E$6:$E$350,MATCH(A121,Aktiv!$A$6:$A$350,0)),0)=0,IFERROR(INDEX(Aktiv!$F$6:$F$350,MATCH(A121,Aktiv!$A$6:$A$350,0)),0)=0),1,(IFERROR(INDEX(Aktiv!$E$6:$E$350,MATCH(A121,Aktiv!$A$6:$A$350,0)),0)*IFERROR(INDEX(Aktiv!$F$6:$F$350,MATCH(A121,Aktiv!$A$6:$A$350,0)),0)/1000000)/Steuerungsdaten!$B$6),1-1),0))</f>
        <v>253</v>
      </c>
      <c r="Q121" s="297" t="str">
        <f>IFERROR(INDEX(Aktiv!$J$6:$J$350,MATCH(A121,Aktiv!$A$6:$A$350,0)),"")</f>
        <v>-</v>
      </c>
      <c r="R121" s="298" t="e">
        <f t="shared" si="14"/>
        <v>#VALUE!</v>
      </c>
      <c r="S121" s="296" t="e">
        <f t="shared" si="15"/>
        <v>#VALUE!</v>
      </c>
    </row>
    <row r="122" spans="1:19" x14ac:dyDescent="0.25">
      <c r="A122" s="292">
        <v>3523</v>
      </c>
      <c r="B122" s="292" t="s">
        <v>133</v>
      </c>
      <c r="C122" s="293">
        <f>IFERROR(INDEX(Aktiv!$O$6:$O$350,MATCH(A122,Aktiv!$A$6:$A$350,0)),"")</f>
        <v>329</v>
      </c>
      <c r="D122" s="293">
        <f>IF(C122="","",ROUND(C122*Steuerungsdaten!$B$4*Steuerungsdaten!$B$7*IFERROR(VLOOKUP(IFERROR(INDEX(Aktiv!$C$6:$C$350,MATCH(A122,Aktiv!$A$6:$A$350,0)),""),Steuerungsdaten!$B$17:$C$37,2,FALSE),1)*POWER(IF(OR(IFERROR(INDEX(Aktiv!$E$6:$E$350,MATCH(A122,Aktiv!$A$6:$A$350,0)),0)=0,IFERROR(INDEX(Aktiv!$F$6:$F$350,MATCH(A122,Aktiv!$A$6:$A$350,0)),0)=0),1,(IFERROR(INDEX(Aktiv!$E$6:$E$350,MATCH(A122,Aktiv!$A$6:$A$350,0)),0)*IFERROR(INDEX(Aktiv!$F$6:$F$350,MATCH(A122,Aktiv!$A$6:$A$350,0)),0)/1000000)/Steuerungsdaten!$B$6),IF(ISNUMBER(MATCH(IFERROR(INDEX(Aktiv!$C$6:$C$350,MATCH(A122,Aktiv!$A$6:$A$350,0)),""),{"Boden","Seite außen","Seite außen SY32","Rücken","Seite innen","Seite innen SY32","Seite innen SY32 DB","Fachboden klein","Fachboden groß","Klappenboden"},0)),1.2,1)-1),0))</f>
        <v>400</v>
      </c>
      <c r="E122" s="293" t="str">
        <f>IFERROR(INDEX(Aktiv!$G$6:$G$350,MATCH(A122,Aktiv!$A$6:$A$350,0)),"")</f>
        <v>-</v>
      </c>
      <c r="F122" s="294" t="e">
        <f t="shared" si="8"/>
        <v>#VALUE!</v>
      </c>
      <c r="G122" s="295" t="e">
        <f t="shared" si="9"/>
        <v>#VALUE!</v>
      </c>
      <c r="H122" s="293">
        <f>IF(C122="","",ROUND(C122*Steuerungsdaten!$B$4*Steuerungsdaten!$B$8*IFERROR(VLOOKUP(IFERROR(INDEX(Aktiv!$C$6:$C$350,MATCH(A122,Aktiv!$A$6:$A$350,0)),""),Steuerungsdaten!$B$17:$E$37,4,FALSE),1)*POWER(IF(OR(IFERROR(INDEX(Aktiv!$E$6:$E$350,MATCH(A122,Aktiv!$A$6:$A$350,0)),0)=0,IFERROR(INDEX(Aktiv!$F$6:$F$350,MATCH(A122,Aktiv!$A$6:$A$350,0)),0)=0),1,(IFERROR(INDEX(Aktiv!$E$6:$E$350,MATCH(A122,Aktiv!$A$6:$A$350,0)),0)*IFERROR(INDEX(Aktiv!$F$6:$F$350,MATCH(A122,Aktiv!$A$6:$A$350,0)),0)/1000000)/Steuerungsdaten!$B$6),1-1),0))</f>
        <v>290</v>
      </c>
      <c r="I122" s="293" t="str">
        <f>IFERROR(INDEX(Aktiv!$H$6:$H$350,MATCH(A122,Aktiv!$A$6:$A$350,0)),"")</f>
        <v>-</v>
      </c>
      <c r="J122" s="294" t="e">
        <f t="shared" si="10"/>
        <v>#VALUE!</v>
      </c>
      <c r="K122" s="296" t="e">
        <f t="shared" si="11"/>
        <v>#VALUE!</v>
      </c>
      <c r="L122" s="297">
        <f>IF(C122="","",ROUND(C122*Steuerungsdaten!$B$4*Steuerungsdaten!$B$9*IFERROR(VLOOKUP(IFERROR(INDEX(Aktiv!$C$6:$C$350,MATCH(A122,Aktiv!$A$6:$A$350,0)),""),Steuerungsdaten!$B$17:$G$37,6,FALSE),1)*POWER(IF(OR(IFERROR(INDEX(Aktiv!$E$6:$E$350,MATCH(A122,Aktiv!$A$6:$A$350,0)),0)=0,IFERROR(INDEX(Aktiv!$F$6:$F$350,MATCH(A122,Aktiv!$A$6:$A$350,0)),0)=0),1,(IFERROR(INDEX(Aktiv!$E$6:$E$350,MATCH(A122,Aktiv!$A$6:$A$350,0)),0)*IFERROR(INDEX(Aktiv!$F$6:$F$350,MATCH(A122,Aktiv!$A$6:$A$350,0)),0)/1000000)/Steuerungsdaten!$B$6),1-1),0))</f>
        <v>290</v>
      </c>
      <c r="M122" s="297" t="str">
        <f>IFERROR(INDEX(Aktiv!$I$6:$I$350,MATCH(A122,Aktiv!$A$6:$A$350,0)),"")</f>
        <v>-</v>
      </c>
      <c r="N122" s="298" t="e">
        <f t="shared" si="12"/>
        <v>#VALUE!</v>
      </c>
      <c r="O122" s="296" t="e">
        <f t="shared" si="13"/>
        <v>#VALUE!</v>
      </c>
      <c r="P122" s="297">
        <f>IF(C122="","",ROUND(C122*Steuerungsdaten!$B$4*Steuerungsdaten!$B$10*IFERROR(VLOOKUP(IFERROR(INDEX(Aktiv!$C$6:$C$350,MATCH(A122,Aktiv!$A$6:$A$350,0)),""),Steuerungsdaten!$B$17:$I$37,8,FALSE),1)*POWER(IF(OR(IFERROR(INDEX(Aktiv!$E$6:$E$350,MATCH(A122,Aktiv!$A$6:$A$350,0)),0)=0,IFERROR(INDEX(Aktiv!$F$6:$F$350,MATCH(A122,Aktiv!$A$6:$A$350,0)),0)=0),1,(IFERROR(INDEX(Aktiv!$E$6:$E$350,MATCH(A122,Aktiv!$A$6:$A$350,0)),0)*IFERROR(INDEX(Aktiv!$F$6:$F$350,MATCH(A122,Aktiv!$A$6:$A$350,0)),0)/1000000)/Steuerungsdaten!$B$6),1-1),0))</f>
        <v>316</v>
      </c>
      <c r="Q122" s="297" t="str">
        <f>IFERROR(INDEX(Aktiv!$J$6:$J$350,MATCH(A122,Aktiv!$A$6:$A$350,0)),"")</f>
        <v>-</v>
      </c>
      <c r="R122" s="298" t="e">
        <f t="shared" si="14"/>
        <v>#VALUE!</v>
      </c>
      <c r="S122" s="296" t="e">
        <f t="shared" si="15"/>
        <v>#VALUE!</v>
      </c>
    </row>
    <row r="123" spans="1:19" x14ac:dyDescent="0.25">
      <c r="A123" s="292">
        <v>3524</v>
      </c>
      <c r="B123" s="292" t="s">
        <v>134</v>
      </c>
      <c r="C123" s="293">
        <f>IFERROR(INDEX(Aktiv!$O$6:$O$350,MATCH(A123,Aktiv!$A$6:$A$350,0)),"")</f>
        <v>67</v>
      </c>
      <c r="D123" s="293">
        <f>IF(C123="","",ROUND(C123*Steuerungsdaten!$B$4*Steuerungsdaten!$B$7*IFERROR(VLOOKUP(IFERROR(INDEX(Aktiv!$C$6:$C$350,MATCH(A123,Aktiv!$A$6:$A$350,0)),""),Steuerungsdaten!$B$17:$C$37,2,FALSE),1)*POWER(IF(OR(IFERROR(INDEX(Aktiv!$E$6:$E$350,MATCH(A123,Aktiv!$A$6:$A$350,0)),0)=0,IFERROR(INDEX(Aktiv!$F$6:$F$350,MATCH(A123,Aktiv!$A$6:$A$350,0)),0)=0),1,(IFERROR(INDEX(Aktiv!$E$6:$E$350,MATCH(A123,Aktiv!$A$6:$A$350,0)),0)*IFERROR(INDEX(Aktiv!$F$6:$F$350,MATCH(A123,Aktiv!$A$6:$A$350,0)),0)/1000000)/Steuerungsdaten!$B$6),IF(ISNUMBER(MATCH(IFERROR(INDEX(Aktiv!$C$6:$C$350,MATCH(A123,Aktiv!$A$6:$A$350,0)),""),{"Boden","Seite außen","Seite außen SY32","Rücken","Seite innen","Seite innen SY32","Seite innen SY32 DB","Fachboden klein","Fachboden groß","Klappenboden"},0)),1.2,1)-1),0))</f>
        <v>58</v>
      </c>
      <c r="E123" s="293" t="str">
        <f>IFERROR(INDEX(Aktiv!$G$6:$G$350,MATCH(A123,Aktiv!$A$6:$A$350,0)),"")</f>
        <v>-</v>
      </c>
      <c r="F123" s="294" t="e">
        <f t="shared" si="8"/>
        <v>#VALUE!</v>
      </c>
      <c r="G123" s="295" t="e">
        <f t="shared" si="9"/>
        <v>#VALUE!</v>
      </c>
      <c r="H123" s="293">
        <f>IF(C123="","",ROUND(C123*Steuerungsdaten!$B$4*Steuerungsdaten!$B$8*IFERROR(VLOOKUP(IFERROR(INDEX(Aktiv!$C$6:$C$350,MATCH(A123,Aktiv!$A$6:$A$350,0)),""),Steuerungsdaten!$B$17:$E$37,4,FALSE),1)*POWER(IF(OR(IFERROR(INDEX(Aktiv!$E$6:$E$350,MATCH(A123,Aktiv!$A$6:$A$350,0)),0)=0,IFERROR(INDEX(Aktiv!$F$6:$F$350,MATCH(A123,Aktiv!$A$6:$A$350,0)),0)=0),1,(IFERROR(INDEX(Aktiv!$E$6:$E$350,MATCH(A123,Aktiv!$A$6:$A$350,0)),0)*IFERROR(INDEX(Aktiv!$F$6:$F$350,MATCH(A123,Aktiv!$A$6:$A$350,0)),0)/1000000)/Steuerungsdaten!$B$6),1-1),0))</f>
        <v>59</v>
      </c>
      <c r="I123" s="293" t="str">
        <f>IFERROR(INDEX(Aktiv!$H$6:$H$350,MATCH(A123,Aktiv!$A$6:$A$350,0)),"")</f>
        <v>-</v>
      </c>
      <c r="J123" s="294" t="e">
        <f t="shared" si="10"/>
        <v>#VALUE!</v>
      </c>
      <c r="K123" s="296" t="e">
        <f t="shared" si="11"/>
        <v>#VALUE!</v>
      </c>
      <c r="L123" s="297">
        <f>IF(C123="","",ROUND(C123*Steuerungsdaten!$B$4*Steuerungsdaten!$B$9*IFERROR(VLOOKUP(IFERROR(INDEX(Aktiv!$C$6:$C$350,MATCH(A123,Aktiv!$A$6:$A$350,0)),""),Steuerungsdaten!$B$17:$G$37,6,FALSE),1)*POWER(IF(OR(IFERROR(INDEX(Aktiv!$E$6:$E$350,MATCH(A123,Aktiv!$A$6:$A$350,0)),0)=0,IFERROR(INDEX(Aktiv!$F$6:$F$350,MATCH(A123,Aktiv!$A$6:$A$350,0)),0)=0),1,(IFERROR(INDEX(Aktiv!$E$6:$E$350,MATCH(A123,Aktiv!$A$6:$A$350,0)),0)*IFERROR(INDEX(Aktiv!$F$6:$F$350,MATCH(A123,Aktiv!$A$6:$A$350,0)),0)/1000000)/Steuerungsdaten!$B$6),1-1),0))</f>
        <v>59</v>
      </c>
      <c r="M123" s="297" t="str">
        <f>IFERROR(INDEX(Aktiv!$I$6:$I$350,MATCH(A123,Aktiv!$A$6:$A$350,0)),"")</f>
        <v>-</v>
      </c>
      <c r="N123" s="298" t="e">
        <f t="shared" si="12"/>
        <v>#VALUE!</v>
      </c>
      <c r="O123" s="296" t="e">
        <f t="shared" si="13"/>
        <v>#VALUE!</v>
      </c>
      <c r="P123" s="297">
        <f>IF(C123="","",ROUND(C123*Steuerungsdaten!$B$4*Steuerungsdaten!$B$10*IFERROR(VLOOKUP(IFERROR(INDEX(Aktiv!$C$6:$C$350,MATCH(A123,Aktiv!$A$6:$A$350,0)),""),Steuerungsdaten!$B$17:$I$37,8,FALSE),1)*POWER(IF(OR(IFERROR(INDEX(Aktiv!$E$6:$E$350,MATCH(A123,Aktiv!$A$6:$A$350,0)),0)=0,IFERROR(INDEX(Aktiv!$F$6:$F$350,MATCH(A123,Aktiv!$A$6:$A$350,0)),0)=0),1,(IFERROR(INDEX(Aktiv!$E$6:$E$350,MATCH(A123,Aktiv!$A$6:$A$350,0)),0)*IFERROR(INDEX(Aktiv!$F$6:$F$350,MATCH(A123,Aktiv!$A$6:$A$350,0)),0)/1000000)/Steuerungsdaten!$B$6),1-1),0))</f>
        <v>64</v>
      </c>
      <c r="Q123" s="297" t="str">
        <f>IFERROR(INDEX(Aktiv!$J$6:$J$350,MATCH(A123,Aktiv!$A$6:$A$350,0)),"")</f>
        <v>-</v>
      </c>
      <c r="R123" s="298" t="e">
        <f t="shared" si="14"/>
        <v>#VALUE!</v>
      </c>
      <c r="S123" s="296" t="e">
        <f t="shared" si="15"/>
        <v>#VALUE!</v>
      </c>
    </row>
    <row r="124" spans="1:19" x14ac:dyDescent="0.25">
      <c r="A124" s="292">
        <v>3600</v>
      </c>
      <c r="B124" s="292" t="s">
        <v>136</v>
      </c>
      <c r="C124" s="293">
        <f>IFERROR(INDEX(Aktiv!$O$6:$O$350,MATCH(A124,Aktiv!$A$6:$A$350,0)),"")</f>
        <v>34</v>
      </c>
      <c r="D124" s="293">
        <f>IF(C124="","",ROUND(C124*Steuerungsdaten!$B$4*Steuerungsdaten!$B$7*IFERROR(VLOOKUP(IFERROR(INDEX(Aktiv!$C$6:$C$350,MATCH(A124,Aktiv!$A$6:$A$350,0)),""),Steuerungsdaten!$B$17:$C$37,2,FALSE),1)*POWER(IF(OR(IFERROR(INDEX(Aktiv!$E$6:$E$350,MATCH(A124,Aktiv!$A$6:$A$350,0)),0)=0,IFERROR(INDEX(Aktiv!$F$6:$F$350,MATCH(A124,Aktiv!$A$6:$A$350,0)),0)=0),1,(IFERROR(INDEX(Aktiv!$E$6:$E$350,MATCH(A124,Aktiv!$A$6:$A$350,0)),0)*IFERROR(INDEX(Aktiv!$F$6:$F$350,MATCH(A124,Aktiv!$A$6:$A$350,0)),0)/1000000)/Steuerungsdaten!$B$6),IF(ISNUMBER(MATCH(IFERROR(INDEX(Aktiv!$C$6:$C$350,MATCH(A124,Aktiv!$A$6:$A$350,0)),""),{"Boden","Seite außen","Seite außen SY32","Rücken","Seite innen","Seite innen SY32","Seite innen SY32 DB","Fachboden klein","Fachboden groß","Klappenboden"},0)),1.2,1)-1),0))</f>
        <v>25</v>
      </c>
      <c r="E124" s="293">
        <f>IFERROR(INDEX(Aktiv!$G$6:$G$350,MATCH(A124,Aktiv!$A$6:$A$350,0)),"")</f>
        <v>25</v>
      </c>
      <c r="F124" s="294">
        <f t="shared" si="8"/>
        <v>0</v>
      </c>
      <c r="G124" s="295">
        <f t="shared" si="9"/>
        <v>0</v>
      </c>
      <c r="H124" s="293">
        <f>IF(C124="","",ROUND(C124*Steuerungsdaten!$B$4*Steuerungsdaten!$B$8*IFERROR(VLOOKUP(IFERROR(INDEX(Aktiv!$C$6:$C$350,MATCH(A124,Aktiv!$A$6:$A$350,0)),""),Steuerungsdaten!$B$17:$E$37,4,FALSE),1)*POWER(IF(OR(IFERROR(INDEX(Aktiv!$E$6:$E$350,MATCH(A124,Aktiv!$A$6:$A$350,0)),0)=0,IFERROR(INDEX(Aktiv!$F$6:$F$350,MATCH(A124,Aktiv!$A$6:$A$350,0)),0)=0),1,(IFERROR(INDEX(Aktiv!$E$6:$E$350,MATCH(A124,Aktiv!$A$6:$A$350,0)),0)*IFERROR(INDEX(Aktiv!$F$6:$F$350,MATCH(A124,Aktiv!$A$6:$A$350,0)),0)/1000000)/Steuerungsdaten!$B$6),1-1),0))</f>
        <v>30</v>
      </c>
      <c r="I124" s="293">
        <f>IFERROR(INDEX(Aktiv!$H$6:$H$350,MATCH(A124,Aktiv!$A$6:$A$350,0)),"")</f>
        <v>103</v>
      </c>
      <c r="J124" s="294">
        <f t="shared" si="10"/>
        <v>73</v>
      </c>
      <c r="K124" s="296">
        <f t="shared" si="11"/>
        <v>2.4333333333333331</v>
      </c>
      <c r="L124" s="297">
        <f>IF(C124="","",ROUND(C124*Steuerungsdaten!$B$4*Steuerungsdaten!$B$9*IFERROR(VLOOKUP(IFERROR(INDEX(Aktiv!$C$6:$C$350,MATCH(A124,Aktiv!$A$6:$A$350,0)),""),Steuerungsdaten!$B$17:$G$37,6,FALSE),1)*POWER(IF(OR(IFERROR(INDEX(Aktiv!$E$6:$E$350,MATCH(A124,Aktiv!$A$6:$A$350,0)),0)=0,IFERROR(INDEX(Aktiv!$F$6:$F$350,MATCH(A124,Aktiv!$A$6:$A$350,0)),0)=0),1,(IFERROR(INDEX(Aktiv!$E$6:$E$350,MATCH(A124,Aktiv!$A$6:$A$350,0)),0)*IFERROR(INDEX(Aktiv!$F$6:$F$350,MATCH(A124,Aktiv!$A$6:$A$350,0)),0)/1000000)/Steuerungsdaten!$B$6),1-1),0))</f>
        <v>30</v>
      </c>
      <c r="M124" s="297">
        <f>IFERROR(INDEX(Aktiv!$I$6:$I$350,MATCH(A124,Aktiv!$A$6:$A$350,0)),"")</f>
        <v>120</v>
      </c>
      <c r="N124" s="298">
        <f t="shared" si="12"/>
        <v>90</v>
      </c>
      <c r="O124" s="296">
        <f t="shared" si="13"/>
        <v>3</v>
      </c>
      <c r="P124" s="297">
        <f>IF(C124="","",ROUND(C124*Steuerungsdaten!$B$4*Steuerungsdaten!$B$10*IFERROR(VLOOKUP(IFERROR(INDEX(Aktiv!$C$6:$C$350,MATCH(A124,Aktiv!$A$6:$A$350,0)),""),Steuerungsdaten!$B$17:$I$37,8,FALSE),1)*POWER(IF(OR(IFERROR(INDEX(Aktiv!$E$6:$E$350,MATCH(A124,Aktiv!$A$6:$A$350,0)),0)=0,IFERROR(INDEX(Aktiv!$F$6:$F$350,MATCH(A124,Aktiv!$A$6:$A$350,0)),0)=0),1,(IFERROR(INDEX(Aktiv!$E$6:$E$350,MATCH(A124,Aktiv!$A$6:$A$350,0)),0)*IFERROR(INDEX(Aktiv!$F$6:$F$350,MATCH(A124,Aktiv!$A$6:$A$350,0)),0)/1000000)/Steuerungsdaten!$B$6),1-1),0))</f>
        <v>33</v>
      </c>
      <c r="Q124" s="297">
        <f>IFERROR(INDEX(Aktiv!$J$6:$J$350,MATCH(A124,Aktiv!$A$6:$A$350,0)),"")</f>
        <v>145</v>
      </c>
      <c r="R124" s="298">
        <f t="shared" si="14"/>
        <v>112</v>
      </c>
      <c r="S124" s="296">
        <f t="shared" si="15"/>
        <v>3.393939393939394</v>
      </c>
    </row>
    <row r="125" spans="1:19" x14ac:dyDescent="0.25">
      <c r="A125" s="292">
        <v>3601</v>
      </c>
      <c r="B125" s="292" t="s">
        <v>137</v>
      </c>
      <c r="C125" s="293">
        <f>IFERROR(INDEX(Aktiv!$O$6:$O$350,MATCH(A125,Aktiv!$A$6:$A$350,0)),"")</f>
        <v>52</v>
      </c>
      <c r="D125" s="293">
        <f>IF(C125="","",ROUND(C125*Steuerungsdaten!$B$4*Steuerungsdaten!$B$7*IFERROR(VLOOKUP(IFERROR(INDEX(Aktiv!$C$6:$C$350,MATCH(A125,Aktiv!$A$6:$A$350,0)),""),Steuerungsdaten!$B$17:$C$37,2,FALSE),1)*POWER(IF(OR(IFERROR(INDEX(Aktiv!$E$6:$E$350,MATCH(A125,Aktiv!$A$6:$A$350,0)),0)=0,IFERROR(INDEX(Aktiv!$F$6:$F$350,MATCH(A125,Aktiv!$A$6:$A$350,0)),0)=0),1,(IFERROR(INDEX(Aktiv!$E$6:$E$350,MATCH(A125,Aktiv!$A$6:$A$350,0)),0)*IFERROR(INDEX(Aktiv!$F$6:$F$350,MATCH(A125,Aktiv!$A$6:$A$350,0)),0)/1000000)/Steuerungsdaten!$B$6),IF(ISNUMBER(MATCH(IFERROR(INDEX(Aktiv!$C$6:$C$350,MATCH(A125,Aktiv!$A$6:$A$350,0)),""),{"Boden","Seite außen","Seite außen SY32","Rücken","Seite innen","Seite innen SY32","Seite innen SY32 DB","Fachboden klein","Fachboden groß","Klappenboden"},0)),1.2,1)-1),0))</f>
        <v>43</v>
      </c>
      <c r="E125" s="293">
        <f>IFERROR(INDEX(Aktiv!$G$6:$G$350,MATCH(A125,Aktiv!$A$6:$A$350,0)),"")</f>
        <v>46</v>
      </c>
      <c r="F125" s="294">
        <f t="shared" si="8"/>
        <v>3</v>
      </c>
      <c r="G125" s="295">
        <f t="shared" si="9"/>
        <v>6.9767441860465115E-2</v>
      </c>
      <c r="H125" s="293">
        <f>IF(C125="","",ROUND(C125*Steuerungsdaten!$B$4*Steuerungsdaten!$B$8*IFERROR(VLOOKUP(IFERROR(INDEX(Aktiv!$C$6:$C$350,MATCH(A125,Aktiv!$A$6:$A$350,0)),""),Steuerungsdaten!$B$17:$E$37,4,FALSE),1)*POWER(IF(OR(IFERROR(INDEX(Aktiv!$E$6:$E$350,MATCH(A125,Aktiv!$A$6:$A$350,0)),0)=0,IFERROR(INDEX(Aktiv!$F$6:$F$350,MATCH(A125,Aktiv!$A$6:$A$350,0)),0)=0),1,(IFERROR(INDEX(Aktiv!$E$6:$E$350,MATCH(A125,Aktiv!$A$6:$A$350,0)),0)*IFERROR(INDEX(Aktiv!$F$6:$F$350,MATCH(A125,Aktiv!$A$6:$A$350,0)),0)/1000000)/Steuerungsdaten!$B$6),1-1),0))</f>
        <v>46</v>
      </c>
      <c r="I125" s="293">
        <f>IFERROR(INDEX(Aktiv!$H$6:$H$350,MATCH(A125,Aktiv!$A$6:$A$350,0)),"")</f>
        <v>156</v>
      </c>
      <c r="J125" s="294">
        <f t="shared" si="10"/>
        <v>110</v>
      </c>
      <c r="K125" s="296">
        <f t="shared" si="11"/>
        <v>2.3913043478260869</v>
      </c>
      <c r="L125" s="297">
        <f>IF(C125="","",ROUND(C125*Steuerungsdaten!$B$4*Steuerungsdaten!$B$9*IFERROR(VLOOKUP(IFERROR(INDEX(Aktiv!$C$6:$C$350,MATCH(A125,Aktiv!$A$6:$A$350,0)),""),Steuerungsdaten!$B$17:$G$37,6,FALSE),1)*POWER(IF(OR(IFERROR(INDEX(Aktiv!$E$6:$E$350,MATCH(A125,Aktiv!$A$6:$A$350,0)),0)=0,IFERROR(INDEX(Aktiv!$F$6:$F$350,MATCH(A125,Aktiv!$A$6:$A$350,0)),0)=0),1,(IFERROR(INDEX(Aktiv!$E$6:$E$350,MATCH(A125,Aktiv!$A$6:$A$350,0)),0)*IFERROR(INDEX(Aktiv!$F$6:$F$350,MATCH(A125,Aktiv!$A$6:$A$350,0)),0)/1000000)/Steuerungsdaten!$B$6),1-1),0))</f>
        <v>46</v>
      </c>
      <c r="M125" s="297">
        <f>IFERROR(INDEX(Aktiv!$I$6:$I$350,MATCH(A125,Aktiv!$A$6:$A$350,0)),"")</f>
        <v>163</v>
      </c>
      <c r="N125" s="298">
        <f t="shared" si="12"/>
        <v>117</v>
      </c>
      <c r="O125" s="296">
        <f t="shared" si="13"/>
        <v>2.5434782608695654</v>
      </c>
      <c r="P125" s="297">
        <f>IF(C125="","",ROUND(C125*Steuerungsdaten!$B$4*Steuerungsdaten!$B$10*IFERROR(VLOOKUP(IFERROR(INDEX(Aktiv!$C$6:$C$350,MATCH(A125,Aktiv!$A$6:$A$350,0)),""),Steuerungsdaten!$B$17:$I$37,8,FALSE),1)*POWER(IF(OR(IFERROR(INDEX(Aktiv!$E$6:$E$350,MATCH(A125,Aktiv!$A$6:$A$350,0)),0)=0,IFERROR(INDEX(Aktiv!$F$6:$F$350,MATCH(A125,Aktiv!$A$6:$A$350,0)),0)=0),1,(IFERROR(INDEX(Aktiv!$E$6:$E$350,MATCH(A125,Aktiv!$A$6:$A$350,0)),0)*IFERROR(INDEX(Aktiv!$F$6:$F$350,MATCH(A125,Aktiv!$A$6:$A$350,0)),0)/1000000)/Steuerungsdaten!$B$6),1-1),0))</f>
        <v>50</v>
      </c>
      <c r="Q125" s="297">
        <f>IFERROR(INDEX(Aktiv!$J$6:$J$350,MATCH(A125,Aktiv!$A$6:$A$350,0)),"")</f>
        <v>181</v>
      </c>
      <c r="R125" s="298">
        <f t="shared" si="14"/>
        <v>131</v>
      </c>
      <c r="S125" s="296">
        <f t="shared" si="15"/>
        <v>2.62</v>
      </c>
    </row>
    <row r="126" spans="1:19" x14ac:dyDescent="0.25">
      <c r="A126" s="292">
        <v>3602</v>
      </c>
      <c r="B126" s="292" t="s">
        <v>138</v>
      </c>
      <c r="C126" s="293">
        <f>IFERROR(INDEX(Aktiv!$O$6:$O$350,MATCH(A126,Aktiv!$A$6:$A$350,0)),"")</f>
        <v>76</v>
      </c>
      <c r="D126" s="293">
        <f>IF(C126="","",ROUND(C126*Steuerungsdaten!$B$4*Steuerungsdaten!$B$7*IFERROR(VLOOKUP(IFERROR(INDEX(Aktiv!$C$6:$C$350,MATCH(A126,Aktiv!$A$6:$A$350,0)),""),Steuerungsdaten!$B$17:$C$37,2,FALSE),1)*POWER(IF(OR(IFERROR(INDEX(Aktiv!$E$6:$E$350,MATCH(A126,Aktiv!$A$6:$A$350,0)),0)=0,IFERROR(INDEX(Aktiv!$F$6:$F$350,MATCH(A126,Aktiv!$A$6:$A$350,0)),0)=0),1,(IFERROR(INDEX(Aktiv!$E$6:$E$350,MATCH(A126,Aktiv!$A$6:$A$350,0)),0)*IFERROR(INDEX(Aktiv!$F$6:$F$350,MATCH(A126,Aktiv!$A$6:$A$350,0)),0)/1000000)/Steuerungsdaten!$B$6),IF(ISNUMBER(MATCH(IFERROR(INDEX(Aktiv!$C$6:$C$350,MATCH(A126,Aktiv!$A$6:$A$350,0)),""),{"Boden","Seite außen","Seite außen SY32","Rücken","Seite innen","Seite innen SY32","Seite innen SY32 DB","Fachboden klein","Fachboden groß","Klappenboden"},0)),1.2,1)-1),0))</f>
        <v>68</v>
      </c>
      <c r="E126" s="293">
        <f>IFERROR(INDEX(Aktiv!$G$6:$G$350,MATCH(A126,Aktiv!$A$6:$A$350,0)),"")</f>
        <v>68</v>
      </c>
      <c r="F126" s="294">
        <f t="shared" si="8"/>
        <v>0</v>
      </c>
      <c r="G126" s="295">
        <f t="shared" si="9"/>
        <v>0</v>
      </c>
      <c r="H126" s="293">
        <f>IF(C126="","",ROUND(C126*Steuerungsdaten!$B$4*Steuerungsdaten!$B$8*IFERROR(VLOOKUP(IFERROR(INDEX(Aktiv!$C$6:$C$350,MATCH(A126,Aktiv!$A$6:$A$350,0)),""),Steuerungsdaten!$B$17:$E$37,4,FALSE),1)*POWER(IF(OR(IFERROR(INDEX(Aktiv!$E$6:$E$350,MATCH(A126,Aktiv!$A$6:$A$350,0)),0)=0,IFERROR(INDEX(Aktiv!$F$6:$F$350,MATCH(A126,Aktiv!$A$6:$A$350,0)),0)=0),1,(IFERROR(INDEX(Aktiv!$E$6:$E$350,MATCH(A126,Aktiv!$A$6:$A$350,0)),0)*IFERROR(INDEX(Aktiv!$F$6:$F$350,MATCH(A126,Aktiv!$A$6:$A$350,0)),0)/1000000)/Steuerungsdaten!$B$6),1-1),0))</f>
        <v>67</v>
      </c>
      <c r="I126" s="293">
        <f>IFERROR(INDEX(Aktiv!$H$6:$H$350,MATCH(A126,Aktiv!$A$6:$A$350,0)),"")</f>
        <v>235</v>
      </c>
      <c r="J126" s="294">
        <f t="shared" si="10"/>
        <v>168</v>
      </c>
      <c r="K126" s="296">
        <f t="shared" si="11"/>
        <v>2.5074626865671643</v>
      </c>
      <c r="L126" s="297">
        <f>IF(C126="","",ROUND(C126*Steuerungsdaten!$B$4*Steuerungsdaten!$B$9*IFERROR(VLOOKUP(IFERROR(INDEX(Aktiv!$C$6:$C$350,MATCH(A126,Aktiv!$A$6:$A$350,0)),""),Steuerungsdaten!$B$17:$G$37,6,FALSE),1)*POWER(IF(OR(IFERROR(INDEX(Aktiv!$E$6:$E$350,MATCH(A126,Aktiv!$A$6:$A$350,0)),0)=0,IFERROR(INDEX(Aktiv!$F$6:$F$350,MATCH(A126,Aktiv!$A$6:$A$350,0)),0)=0),1,(IFERROR(INDEX(Aktiv!$E$6:$E$350,MATCH(A126,Aktiv!$A$6:$A$350,0)),0)*IFERROR(INDEX(Aktiv!$F$6:$F$350,MATCH(A126,Aktiv!$A$6:$A$350,0)),0)/1000000)/Steuerungsdaten!$B$6),1-1),0))</f>
        <v>67</v>
      </c>
      <c r="M126" s="297">
        <f>IFERROR(INDEX(Aktiv!$I$6:$I$350,MATCH(A126,Aktiv!$A$6:$A$350,0)),"")</f>
        <v>244</v>
      </c>
      <c r="N126" s="298">
        <f t="shared" si="12"/>
        <v>177</v>
      </c>
      <c r="O126" s="296">
        <f t="shared" si="13"/>
        <v>2.6417910447761193</v>
      </c>
      <c r="P126" s="297">
        <f>IF(C126="","",ROUND(C126*Steuerungsdaten!$B$4*Steuerungsdaten!$B$10*IFERROR(VLOOKUP(IFERROR(INDEX(Aktiv!$C$6:$C$350,MATCH(A126,Aktiv!$A$6:$A$350,0)),""),Steuerungsdaten!$B$17:$I$37,8,FALSE),1)*POWER(IF(OR(IFERROR(INDEX(Aktiv!$E$6:$E$350,MATCH(A126,Aktiv!$A$6:$A$350,0)),0)=0,IFERROR(INDEX(Aktiv!$F$6:$F$350,MATCH(A126,Aktiv!$A$6:$A$350,0)),0)=0),1,(IFERROR(INDEX(Aktiv!$E$6:$E$350,MATCH(A126,Aktiv!$A$6:$A$350,0)),0)*IFERROR(INDEX(Aktiv!$F$6:$F$350,MATCH(A126,Aktiv!$A$6:$A$350,0)),0)/1000000)/Steuerungsdaten!$B$6),1-1),0))</f>
        <v>73</v>
      </c>
      <c r="Q126" s="297">
        <f>IFERROR(INDEX(Aktiv!$J$6:$J$350,MATCH(A126,Aktiv!$A$6:$A$350,0)),"")</f>
        <v>272</v>
      </c>
      <c r="R126" s="298">
        <f t="shared" si="14"/>
        <v>199</v>
      </c>
      <c r="S126" s="296">
        <f t="shared" si="15"/>
        <v>2.7260273972602738</v>
      </c>
    </row>
    <row r="127" spans="1:19" x14ac:dyDescent="0.25">
      <c r="A127" s="292">
        <v>3603</v>
      </c>
      <c r="B127" s="292" t="s">
        <v>139</v>
      </c>
      <c r="C127" s="293">
        <f>IFERROR(INDEX(Aktiv!$O$6:$O$350,MATCH(A127,Aktiv!$A$6:$A$350,0)),"")</f>
        <v>100</v>
      </c>
      <c r="D127" s="293">
        <f>IF(C127="","",ROUND(C127*Steuerungsdaten!$B$4*Steuerungsdaten!$B$7*IFERROR(VLOOKUP(IFERROR(INDEX(Aktiv!$C$6:$C$350,MATCH(A127,Aktiv!$A$6:$A$350,0)),""),Steuerungsdaten!$B$17:$C$37,2,FALSE),1)*POWER(IF(OR(IFERROR(INDEX(Aktiv!$E$6:$E$350,MATCH(A127,Aktiv!$A$6:$A$350,0)),0)=0,IFERROR(INDEX(Aktiv!$F$6:$F$350,MATCH(A127,Aktiv!$A$6:$A$350,0)),0)=0),1,(IFERROR(INDEX(Aktiv!$E$6:$E$350,MATCH(A127,Aktiv!$A$6:$A$350,0)),0)*IFERROR(INDEX(Aktiv!$F$6:$F$350,MATCH(A127,Aktiv!$A$6:$A$350,0)),0)/1000000)/Steuerungsdaten!$B$6),IF(ISNUMBER(MATCH(IFERROR(INDEX(Aktiv!$C$6:$C$350,MATCH(A127,Aktiv!$A$6:$A$350,0)),""),{"Boden","Seite außen","Seite außen SY32","Rücken","Seite innen","Seite innen SY32","Seite innen SY32 DB","Fachboden klein","Fachboden groß","Klappenboden"},0)),1.2,1)-1),0))</f>
        <v>95</v>
      </c>
      <c r="E127" s="293">
        <f>IFERROR(INDEX(Aktiv!$G$6:$G$350,MATCH(A127,Aktiv!$A$6:$A$350,0)),"")</f>
        <v>91</v>
      </c>
      <c r="F127" s="294">
        <f t="shared" si="8"/>
        <v>-4</v>
      </c>
      <c r="G127" s="295">
        <f t="shared" si="9"/>
        <v>-4.2105263157894736E-2</v>
      </c>
      <c r="H127" s="293">
        <f>IF(C127="","",ROUND(C127*Steuerungsdaten!$B$4*Steuerungsdaten!$B$8*IFERROR(VLOOKUP(IFERROR(INDEX(Aktiv!$C$6:$C$350,MATCH(A127,Aktiv!$A$6:$A$350,0)),""),Steuerungsdaten!$B$17:$E$37,4,FALSE),1)*POWER(IF(OR(IFERROR(INDEX(Aktiv!$E$6:$E$350,MATCH(A127,Aktiv!$A$6:$A$350,0)),0)=0,IFERROR(INDEX(Aktiv!$F$6:$F$350,MATCH(A127,Aktiv!$A$6:$A$350,0)),0)=0),1,(IFERROR(INDEX(Aktiv!$E$6:$E$350,MATCH(A127,Aktiv!$A$6:$A$350,0)),0)*IFERROR(INDEX(Aktiv!$F$6:$F$350,MATCH(A127,Aktiv!$A$6:$A$350,0)),0)/1000000)/Steuerungsdaten!$B$6),1-1),0))</f>
        <v>88</v>
      </c>
      <c r="I127" s="293">
        <f>IFERROR(INDEX(Aktiv!$H$6:$H$350,MATCH(A127,Aktiv!$A$6:$A$350,0)),"")</f>
        <v>313</v>
      </c>
      <c r="J127" s="294">
        <f t="shared" si="10"/>
        <v>225</v>
      </c>
      <c r="K127" s="296">
        <f t="shared" si="11"/>
        <v>2.5568181818181817</v>
      </c>
      <c r="L127" s="297">
        <f>IF(C127="","",ROUND(C127*Steuerungsdaten!$B$4*Steuerungsdaten!$B$9*IFERROR(VLOOKUP(IFERROR(INDEX(Aktiv!$C$6:$C$350,MATCH(A127,Aktiv!$A$6:$A$350,0)),""),Steuerungsdaten!$B$17:$G$37,6,FALSE),1)*POWER(IF(OR(IFERROR(INDEX(Aktiv!$E$6:$E$350,MATCH(A127,Aktiv!$A$6:$A$350,0)),0)=0,IFERROR(INDEX(Aktiv!$F$6:$F$350,MATCH(A127,Aktiv!$A$6:$A$350,0)),0)=0),1,(IFERROR(INDEX(Aktiv!$E$6:$E$350,MATCH(A127,Aktiv!$A$6:$A$350,0)),0)*IFERROR(INDEX(Aktiv!$F$6:$F$350,MATCH(A127,Aktiv!$A$6:$A$350,0)),0)/1000000)/Steuerungsdaten!$B$6),1-1),0))</f>
        <v>88</v>
      </c>
      <c r="M127" s="297">
        <f>IFERROR(INDEX(Aktiv!$I$6:$I$350,MATCH(A127,Aktiv!$A$6:$A$350,0)),"")</f>
        <v>326</v>
      </c>
      <c r="N127" s="298">
        <f t="shared" si="12"/>
        <v>238</v>
      </c>
      <c r="O127" s="296">
        <f t="shared" si="13"/>
        <v>2.7045454545454546</v>
      </c>
      <c r="P127" s="297">
        <f>IF(C127="","",ROUND(C127*Steuerungsdaten!$B$4*Steuerungsdaten!$B$10*IFERROR(VLOOKUP(IFERROR(INDEX(Aktiv!$C$6:$C$350,MATCH(A127,Aktiv!$A$6:$A$350,0)),""),Steuerungsdaten!$B$17:$I$37,8,FALSE),1)*POWER(IF(OR(IFERROR(INDEX(Aktiv!$E$6:$E$350,MATCH(A127,Aktiv!$A$6:$A$350,0)),0)=0,IFERROR(INDEX(Aktiv!$F$6:$F$350,MATCH(A127,Aktiv!$A$6:$A$350,0)),0)=0),1,(IFERROR(INDEX(Aktiv!$E$6:$E$350,MATCH(A127,Aktiv!$A$6:$A$350,0)),0)*IFERROR(INDEX(Aktiv!$F$6:$F$350,MATCH(A127,Aktiv!$A$6:$A$350,0)),0)/1000000)/Steuerungsdaten!$B$6),1-1),0))</f>
        <v>96</v>
      </c>
      <c r="Q127" s="297">
        <f>IFERROR(INDEX(Aktiv!$J$6:$J$350,MATCH(A127,Aktiv!$A$6:$A$350,0)),"")</f>
        <v>363</v>
      </c>
      <c r="R127" s="298">
        <f t="shared" si="14"/>
        <v>267</v>
      </c>
      <c r="S127" s="296">
        <f t="shared" si="15"/>
        <v>2.78125</v>
      </c>
    </row>
    <row r="128" spans="1:19" x14ac:dyDescent="0.25">
      <c r="A128" s="292">
        <v>3604</v>
      </c>
      <c r="B128" s="292" t="s">
        <v>140</v>
      </c>
      <c r="C128" s="293">
        <f>IFERROR(INDEX(Aktiv!$O$6:$O$350,MATCH(A128,Aktiv!$A$6:$A$350,0)),"")</f>
        <v>125</v>
      </c>
      <c r="D128" s="293">
        <f>IF(C128="","",ROUND(C128*Steuerungsdaten!$B$4*Steuerungsdaten!$B$7*IFERROR(VLOOKUP(IFERROR(INDEX(Aktiv!$C$6:$C$350,MATCH(A128,Aktiv!$A$6:$A$350,0)),""),Steuerungsdaten!$B$17:$C$37,2,FALSE),1)*POWER(IF(OR(IFERROR(INDEX(Aktiv!$E$6:$E$350,MATCH(A128,Aktiv!$A$6:$A$350,0)),0)=0,IFERROR(INDEX(Aktiv!$F$6:$F$350,MATCH(A128,Aktiv!$A$6:$A$350,0)),0)=0),1,(IFERROR(INDEX(Aktiv!$E$6:$E$350,MATCH(A128,Aktiv!$A$6:$A$350,0)),0)*IFERROR(INDEX(Aktiv!$F$6:$F$350,MATCH(A128,Aktiv!$A$6:$A$350,0)),0)/1000000)/Steuerungsdaten!$B$6),IF(ISNUMBER(MATCH(IFERROR(INDEX(Aktiv!$C$6:$C$350,MATCH(A128,Aktiv!$A$6:$A$350,0)),""),{"Boden","Seite außen","Seite außen SY32","Rücken","Seite innen","Seite innen SY32","Seite innen SY32 DB","Fachboden klein","Fachboden groß","Klappenboden"},0)),1.2,1)-1),0))</f>
        <v>124</v>
      </c>
      <c r="E128" s="293">
        <f>IFERROR(INDEX(Aktiv!$G$6:$G$350,MATCH(A128,Aktiv!$A$6:$A$350,0)),"")</f>
        <v>114</v>
      </c>
      <c r="F128" s="294">
        <f t="shared" si="8"/>
        <v>-10</v>
      </c>
      <c r="G128" s="295">
        <f t="shared" si="9"/>
        <v>-8.0645161290322578E-2</v>
      </c>
      <c r="H128" s="293">
        <f>IF(C128="","",ROUND(C128*Steuerungsdaten!$B$4*Steuerungsdaten!$B$8*IFERROR(VLOOKUP(IFERROR(INDEX(Aktiv!$C$6:$C$350,MATCH(A128,Aktiv!$A$6:$A$350,0)),""),Steuerungsdaten!$B$17:$E$37,4,FALSE),1)*POWER(IF(OR(IFERROR(INDEX(Aktiv!$E$6:$E$350,MATCH(A128,Aktiv!$A$6:$A$350,0)),0)=0,IFERROR(INDEX(Aktiv!$F$6:$F$350,MATCH(A128,Aktiv!$A$6:$A$350,0)),0)=0),1,(IFERROR(INDEX(Aktiv!$E$6:$E$350,MATCH(A128,Aktiv!$A$6:$A$350,0)),0)*IFERROR(INDEX(Aktiv!$F$6:$F$350,MATCH(A128,Aktiv!$A$6:$A$350,0)),0)/1000000)/Steuerungsdaten!$B$6),1-1),0))</f>
        <v>110</v>
      </c>
      <c r="I128" s="293">
        <f>IFERROR(INDEX(Aktiv!$H$6:$H$350,MATCH(A128,Aktiv!$A$6:$A$350,0)),"")</f>
        <v>391</v>
      </c>
      <c r="J128" s="294">
        <f t="shared" si="10"/>
        <v>281</v>
      </c>
      <c r="K128" s="296">
        <f t="shared" si="11"/>
        <v>2.5545454545454547</v>
      </c>
      <c r="L128" s="297">
        <f>IF(C128="","",ROUND(C128*Steuerungsdaten!$B$4*Steuerungsdaten!$B$9*IFERROR(VLOOKUP(IFERROR(INDEX(Aktiv!$C$6:$C$350,MATCH(A128,Aktiv!$A$6:$A$350,0)),""),Steuerungsdaten!$B$17:$G$37,6,FALSE),1)*POWER(IF(OR(IFERROR(INDEX(Aktiv!$E$6:$E$350,MATCH(A128,Aktiv!$A$6:$A$350,0)),0)=0,IFERROR(INDEX(Aktiv!$F$6:$F$350,MATCH(A128,Aktiv!$A$6:$A$350,0)),0)=0),1,(IFERROR(INDEX(Aktiv!$E$6:$E$350,MATCH(A128,Aktiv!$A$6:$A$350,0)),0)*IFERROR(INDEX(Aktiv!$F$6:$F$350,MATCH(A128,Aktiv!$A$6:$A$350,0)),0)/1000000)/Steuerungsdaten!$B$6),1-1),0))</f>
        <v>110</v>
      </c>
      <c r="M128" s="297">
        <f>IFERROR(INDEX(Aktiv!$I$6:$I$350,MATCH(A128,Aktiv!$A$6:$A$350,0)),"")</f>
        <v>407</v>
      </c>
      <c r="N128" s="298">
        <f t="shared" si="12"/>
        <v>297</v>
      </c>
      <c r="O128" s="296">
        <f t="shared" si="13"/>
        <v>2.7</v>
      </c>
      <c r="P128" s="297">
        <f>IF(C128="","",ROUND(C128*Steuerungsdaten!$B$4*Steuerungsdaten!$B$10*IFERROR(VLOOKUP(IFERROR(INDEX(Aktiv!$C$6:$C$350,MATCH(A128,Aktiv!$A$6:$A$350,0)),""),Steuerungsdaten!$B$17:$I$37,8,FALSE),1)*POWER(IF(OR(IFERROR(INDEX(Aktiv!$E$6:$E$350,MATCH(A128,Aktiv!$A$6:$A$350,0)),0)=0,IFERROR(INDEX(Aktiv!$F$6:$F$350,MATCH(A128,Aktiv!$A$6:$A$350,0)),0)=0),1,(IFERROR(INDEX(Aktiv!$E$6:$E$350,MATCH(A128,Aktiv!$A$6:$A$350,0)),0)*IFERROR(INDEX(Aktiv!$F$6:$F$350,MATCH(A128,Aktiv!$A$6:$A$350,0)),0)/1000000)/Steuerungsdaten!$B$6),1-1),0))</f>
        <v>120</v>
      </c>
      <c r="Q128" s="297">
        <f>IFERROR(INDEX(Aktiv!$J$6:$J$350,MATCH(A128,Aktiv!$A$6:$A$350,0)),"")</f>
        <v>453</v>
      </c>
      <c r="R128" s="298">
        <f t="shared" si="14"/>
        <v>333</v>
      </c>
      <c r="S128" s="296">
        <f t="shared" si="15"/>
        <v>2.7749999999999999</v>
      </c>
    </row>
    <row r="129" spans="1:19" x14ac:dyDescent="0.25">
      <c r="A129" s="292">
        <v>3605</v>
      </c>
      <c r="B129" s="292" t="s">
        <v>141</v>
      </c>
      <c r="C129" s="293">
        <f>IFERROR(INDEX(Aktiv!$O$6:$O$350,MATCH(A129,Aktiv!$A$6:$A$350,0)),"")</f>
        <v>43</v>
      </c>
      <c r="D129" s="293">
        <f>IF(C129="","",ROUND(C129*Steuerungsdaten!$B$4*Steuerungsdaten!$B$7*IFERROR(VLOOKUP(IFERROR(INDEX(Aktiv!$C$6:$C$350,MATCH(A129,Aktiv!$A$6:$A$350,0)),""),Steuerungsdaten!$B$17:$C$37,2,FALSE),1)*POWER(IF(OR(IFERROR(INDEX(Aktiv!$E$6:$E$350,MATCH(A129,Aktiv!$A$6:$A$350,0)),0)=0,IFERROR(INDEX(Aktiv!$F$6:$F$350,MATCH(A129,Aktiv!$A$6:$A$350,0)),0)=0),1,(IFERROR(INDEX(Aktiv!$E$6:$E$350,MATCH(A129,Aktiv!$A$6:$A$350,0)),0)*IFERROR(INDEX(Aktiv!$F$6:$F$350,MATCH(A129,Aktiv!$A$6:$A$350,0)),0)/1000000)/Steuerungsdaten!$B$6),IF(ISNUMBER(MATCH(IFERROR(INDEX(Aktiv!$C$6:$C$350,MATCH(A129,Aktiv!$A$6:$A$350,0)),""),{"Boden","Seite außen","Seite außen SY32","Rücken","Seite innen","Seite innen SY32","Seite innen SY32 DB","Fachboden klein","Fachboden groß","Klappenboden"},0)),1.2,1)-1),0))</f>
        <v>34</v>
      </c>
      <c r="E129" s="293">
        <f>IFERROR(INDEX(Aktiv!$G$6:$G$350,MATCH(A129,Aktiv!$A$6:$A$350,0)),"")</f>
        <v>37</v>
      </c>
      <c r="F129" s="294">
        <f t="shared" si="8"/>
        <v>3</v>
      </c>
      <c r="G129" s="295">
        <f t="shared" si="9"/>
        <v>8.8235294117647065E-2</v>
      </c>
      <c r="H129" s="293">
        <f>IF(C129="","",ROUND(C129*Steuerungsdaten!$B$4*Steuerungsdaten!$B$8*IFERROR(VLOOKUP(IFERROR(INDEX(Aktiv!$C$6:$C$350,MATCH(A129,Aktiv!$A$6:$A$350,0)),""),Steuerungsdaten!$B$17:$E$37,4,FALSE),1)*POWER(IF(OR(IFERROR(INDEX(Aktiv!$E$6:$E$350,MATCH(A129,Aktiv!$A$6:$A$350,0)),0)=0,IFERROR(INDEX(Aktiv!$F$6:$F$350,MATCH(A129,Aktiv!$A$6:$A$350,0)),0)=0),1,(IFERROR(INDEX(Aktiv!$E$6:$E$350,MATCH(A129,Aktiv!$A$6:$A$350,0)),0)*IFERROR(INDEX(Aktiv!$F$6:$F$350,MATCH(A129,Aktiv!$A$6:$A$350,0)),0)/1000000)/Steuerungsdaten!$B$6),1-1),0))</f>
        <v>38</v>
      </c>
      <c r="I129" s="293">
        <f>IFERROR(INDEX(Aktiv!$H$6:$H$350,MATCH(A129,Aktiv!$A$6:$A$350,0)),"")</f>
        <v>126</v>
      </c>
      <c r="J129" s="294">
        <f t="shared" si="10"/>
        <v>88</v>
      </c>
      <c r="K129" s="296">
        <f t="shared" si="11"/>
        <v>2.3157894736842106</v>
      </c>
      <c r="L129" s="297">
        <f>IF(C129="","",ROUND(C129*Steuerungsdaten!$B$4*Steuerungsdaten!$B$9*IFERROR(VLOOKUP(IFERROR(INDEX(Aktiv!$C$6:$C$350,MATCH(A129,Aktiv!$A$6:$A$350,0)),""),Steuerungsdaten!$B$17:$G$37,6,FALSE),1)*POWER(IF(OR(IFERROR(INDEX(Aktiv!$E$6:$E$350,MATCH(A129,Aktiv!$A$6:$A$350,0)),0)=0,IFERROR(INDEX(Aktiv!$F$6:$F$350,MATCH(A129,Aktiv!$A$6:$A$350,0)),0)=0),1,(IFERROR(INDEX(Aktiv!$E$6:$E$350,MATCH(A129,Aktiv!$A$6:$A$350,0)),0)*IFERROR(INDEX(Aktiv!$F$6:$F$350,MATCH(A129,Aktiv!$A$6:$A$350,0)),0)/1000000)/Steuerungsdaten!$B$6),1-1),0))</f>
        <v>38</v>
      </c>
      <c r="M129" s="297">
        <f>IFERROR(INDEX(Aktiv!$I$6:$I$350,MATCH(A129,Aktiv!$A$6:$A$350,0)),"")</f>
        <v>131</v>
      </c>
      <c r="N129" s="298">
        <f t="shared" si="12"/>
        <v>93</v>
      </c>
      <c r="O129" s="296">
        <f t="shared" si="13"/>
        <v>2.4473684210526314</v>
      </c>
      <c r="P129" s="297">
        <f>IF(C129="","",ROUND(C129*Steuerungsdaten!$B$4*Steuerungsdaten!$B$10*IFERROR(VLOOKUP(IFERROR(INDEX(Aktiv!$C$6:$C$350,MATCH(A129,Aktiv!$A$6:$A$350,0)),""),Steuerungsdaten!$B$17:$I$37,8,FALSE),1)*POWER(IF(OR(IFERROR(INDEX(Aktiv!$E$6:$E$350,MATCH(A129,Aktiv!$A$6:$A$350,0)),0)=0,IFERROR(INDEX(Aktiv!$F$6:$F$350,MATCH(A129,Aktiv!$A$6:$A$350,0)),0)=0),1,(IFERROR(INDEX(Aktiv!$E$6:$E$350,MATCH(A129,Aktiv!$A$6:$A$350,0)),0)*IFERROR(INDEX(Aktiv!$F$6:$F$350,MATCH(A129,Aktiv!$A$6:$A$350,0)),0)/1000000)/Steuerungsdaten!$B$6),1-1),0))</f>
        <v>41</v>
      </c>
      <c r="Q129" s="297">
        <f>IFERROR(INDEX(Aktiv!$J$6:$J$350,MATCH(A129,Aktiv!$A$6:$A$350,0)),"")</f>
        <v>146</v>
      </c>
      <c r="R129" s="298">
        <f t="shared" si="14"/>
        <v>105</v>
      </c>
      <c r="S129" s="296">
        <f t="shared" si="15"/>
        <v>2.5609756097560976</v>
      </c>
    </row>
    <row r="130" spans="1:19" x14ac:dyDescent="0.25">
      <c r="A130" s="292">
        <v>3606</v>
      </c>
      <c r="B130" s="292" t="s">
        <v>142</v>
      </c>
      <c r="C130" s="293">
        <f>IFERROR(INDEX(Aktiv!$O$6:$O$350,MATCH(A130,Aktiv!$A$6:$A$350,0)),"")</f>
        <v>82</v>
      </c>
      <c r="D130" s="293">
        <f>IF(C130="","",ROUND(C130*Steuerungsdaten!$B$4*Steuerungsdaten!$B$7*IFERROR(VLOOKUP(IFERROR(INDEX(Aktiv!$C$6:$C$350,MATCH(A130,Aktiv!$A$6:$A$350,0)),""),Steuerungsdaten!$B$17:$C$37,2,FALSE),1)*POWER(IF(OR(IFERROR(INDEX(Aktiv!$E$6:$E$350,MATCH(A130,Aktiv!$A$6:$A$350,0)),0)=0,IFERROR(INDEX(Aktiv!$F$6:$F$350,MATCH(A130,Aktiv!$A$6:$A$350,0)),0)=0),1,(IFERROR(INDEX(Aktiv!$E$6:$E$350,MATCH(A130,Aktiv!$A$6:$A$350,0)),0)*IFERROR(INDEX(Aktiv!$F$6:$F$350,MATCH(A130,Aktiv!$A$6:$A$350,0)),0)/1000000)/Steuerungsdaten!$B$6),IF(ISNUMBER(MATCH(IFERROR(INDEX(Aktiv!$C$6:$C$350,MATCH(A130,Aktiv!$A$6:$A$350,0)),""),{"Boden","Seite außen","Seite außen SY32","Rücken","Seite innen","Seite innen SY32","Seite innen SY32 DB","Fachboden klein","Fachboden groß","Klappenboden"},0)),1.2,1)-1),0))</f>
        <v>75</v>
      </c>
      <c r="E130" s="293">
        <f>IFERROR(INDEX(Aktiv!$G$6:$G$350,MATCH(A130,Aktiv!$A$6:$A$350,0)),"")</f>
        <v>73</v>
      </c>
      <c r="F130" s="294">
        <f t="shared" si="8"/>
        <v>-2</v>
      </c>
      <c r="G130" s="295">
        <f t="shared" si="9"/>
        <v>-2.6666666666666668E-2</v>
      </c>
      <c r="H130" s="293">
        <f>IF(C130="","",ROUND(C130*Steuerungsdaten!$B$4*Steuerungsdaten!$B$8*IFERROR(VLOOKUP(IFERROR(INDEX(Aktiv!$C$6:$C$350,MATCH(A130,Aktiv!$A$6:$A$350,0)),""),Steuerungsdaten!$B$17:$E$37,4,FALSE),1)*POWER(IF(OR(IFERROR(INDEX(Aktiv!$E$6:$E$350,MATCH(A130,Aktiv!$A$6:$A$350,0)),0)=0,IFERROR(INDEX(Aktiv!$F$6:$F$350,MATCH(A130,Aktiv!$A$6:$A$350,0)),0)=0),1,(IFERROR(INDEX(Aktiv!$E$6:$E$350,MATCH(A130,Aktiv!$A$6:$A$350,0)),0)*IFERROR(INDEX(Aktiv!$F$6:$F$350,MATCH(A130,Aktiv!$A$6:$A$350,0)),0)/1000000)/Steuerungsdaten!$B$6),1-1),0))</f>
        <v>72</v>
      </c>
      <c r="I130" s="293">
        <f>IFERROR(INDEX(Aktiv!$H$6:$H$350,MATCH(A130,Aktiv!$A$6:$A$350,0)),"")</f>
        <v>252</v>
      </c>
      <c r="J130" s="294">
        <f t="shared" si="10"/>
        <v>180</v>
      </c>
      <c r="K130" s="296">
        <f t="shared" si="11"/>
        <v>2.5</v>
      </c>
      <c r="L130" s="297">
        <f>IF(C130="","",ROUND(C130*Steuerungsdaten!$B$4*Steuerungsdaten!$B$9*IFERROR(VLOOKUP(IFERROR(INDEX(Aktiv!$C$6:$C$350,MATCH(A130,Aktiv!$A$6:$A$350,0)),""),Steuerungsdaten!$B$17:$G$37,6,FALSE),1)*POWER(IF(OR(IFERROR(INDEX(Aktiv!$E$6:$E$350,MATCH(A130,Aktiv!$A$6:$A$350,0)),0)=0,IFERROR(INDEX(Aktiv!$F$6:$F$350,MATCH(A130,Aktiv!$A$6:$A$350,0)),0)=0),1,(IFERROR(INDEX(Aktiv!$E$6:$E$350,MATCH(A130,Aktiv!$A$6:$A$350,0)),0)*IFERROR(INDEX(Aktiv!$F$6:$F$350,MATCH(A130,Aktiv!$A$6:$A$350,0)),0)/1000000)/Steuerungsdaten!$B$6),1-1),0))</f>
        <v>72</v>
      </c>
      <c r="M130" s="297">
        <f>IFERROR(INDEX(Aktiv!$I$6:$I$350,MATCH(A130,Aktiv!$A$6:$A$350,0)),"")</f>
        <v>262</v>
      </c>
      <c r="N130" s="298">
        <f t="shared" si="12"/>
        <v>190</v>
      </c>
      <c r="O130" s="296">
        <f t="shared" si="13"/>
        <v>2.6388888888888888</v>
      </c>
      <c r="P130" s="297">
        <f>IF(C130="","",ROUND(C130*Steuerungsdaten!$B$4*Steuerungsdaten!$B$10*IFERROR(VLOOKUP(IFERROR(INDEX(Aktiv!$C$6:$C$350,MATCH(A130,Aktiv!$A$6:$A$350,0)),""),Steuerungsdaten!$B$17:$I$37,8,FALSE),1)*POWER(IF(OR(IFERROR(INDEX(Aktiv!$E$6:$E$350,MATCH(A130,Aktiv!$A$6:$A$350,0)),0)=0,IFERROR(INDEX(Aktiv!$F$6:$F$350,MATCH(A130,Aktiv!$A$6:$A$350,0)),0)=0),1,(IFERROR(INDEX(Aktiv!$E$6:$E$350,MATCH(A130,Aktiv!$A$6:$A$350,0)),0)*IFERROR(INDEX(Aktiv!$F$6:$F$350,MATCH(A130,Aktiv!$A$6:$A$350,0)),0)/1000000)/Steuerungsdaten!$B$6),1-1),0))</f>
        <v>79</v>
      </c>
      <c r="Q130" s="297">
        <f>IFERROR(INDEX(Aktiv!$J$6:$J$350,MATCH(A130,Aktiv!$A$6:$A$350,0)),"")</f>
        <v>292</v>
      </c>
      <c r="R130" s="298">
        <f t="shared" si="14"/>
        <v>213</v>
      </c>
      <c r="S130" s="296">
        <f t="shared" si="15"/>
        <v>2.6962025316455698</v>
      </c>
    </row>
    <row r="131" spans="1:19" x14ac:dyDescent="0.25">
      <c r="A131" s="292">
        <v>3607</v>
      </c>
      <c r="B131" s="292" t="s">
        <v>143</v>
      </c>
      <c r="C131" s="293">
        <f>IFERROR(INDEX(Aktiv!$O$6:$O$350,MATCH(A131,Aktiv!$A$6:$A$350,0)),"")</f>
        <v>119</v>
      </c>
      <c r="D131" s="293">
        <f>IF(C131="","",ROUND(C131*Steuerungsdaten!$B$4*Steuerungsdaten!$B$7*IFERROR(VLOOKUP(IFERROR(INDEX(Aktiv!$C$6:$C$350,MATCH(A131,Aktiv!$A$6:$A$350,0)),""),Steuerungsdaten!$B$17:$C$37,2,FALSE),1)*POWER(IF(OR(IFERROR(INDEX(Aktiv!$E$6:$E$350,MATCH(A131,Aktiv!$A$6:$A$350,0)),0)=0,IFERROR(INDEX(Aktiv!$F$6:$F$350,MATCH(A131,Aktiv!$A$6:$A$350,0)),0)=0),1,(IFERROR(INDEX(Aktiv!$E$6:$E$350,MATCH(A131,Aktiv!$A$6:$A$350,0)),0)*IFERROR(INDEX(Aktiv!$F$6:$F$350,MATCH(A131,Aktiv!$A$6:$A$350,0)),0)/1000000)/Steuerungsdaten!$B$6),IF(ISNUMBER(MATCH(IFERROR(INDEX(Aktiv!$C$6:$C$350,MATCH(A131,Aktiv!$A$6:$A$350,0)),""),{"Boden","Seite außen","Seite außen SY32","Rücken","Seite innen","Seite innen SY32","Seite innen SY32 DB","Fachboden klein","Fachboden groß","Klappenboden"},0)),1.2,1)-1),0))</f>
        <v>118</v>
      </c>
      <c r="E131" s="293">
        <f>IFERROR(INDEX(Aktiv!$G$6:$G$350,MATCH(A131,Aktiv!$A$6:$A$350,0)),"")</f>
        <v>110</v>
      </c>
      <c r="F131" s="294">
        <f t="shared" si="8"/>
        <v>-8</v>
      </c>
      <c r="G131" s="295">
        <f t="shared" si="9"/>
        <v>-6.7796610169491525E-2</v>
      </c>
      <c r="H131" s="293">
        <f>IF(C131="","",ROUND(C131*Steuerungsdaten!$B$4*Steuerungsdaten!$B$8*IFERROR(VLOOKUP(IFERROR(INDEX(Aktiv!$C$6:$C$350,MATCH(A131,Aktiv!$A$6:$A$350,0)),""),Steuerungsdaten!$B$17:$E$37,4,FALSE),1)*POWER(IF(OR(IFERROR(INDEX(Aktiv!$E$6:$E$350,MATCH(A131,Aktiv!$A$6:$A$350,0)),0)=0,IFERROR(INDEX(Aktiv!$F$6:$F$350,MATCH(A131,Aktiv!$A$6:$A$350,0)),0)=0),1,(IFERROR(INDEX(Aktiv!$E$6:$E$350,MATCH(A131,Aktiv!$A$6:$A$350,0)),0)*IFERROR(INDEX(Aktiv!$F$6:$F$350,MATCH(A131,Aktiv!$A$6:$A$350,0)),0)/1000000)/Steuerungsdaten!$B$6),1-1),0))</f>
        <v>105</v>
      </c>
      <c r="I131" s="293">
        <f>IFERROR(INDEX(Aktiv!$H$6:$H$350,MATCH(A131,Aktiv!$A$6:$A$350,0)),"")</f>
        <v>378</v>
      </c>
      <c r="J131" s="294">
        <f t="shared" si="10"/>
        <v>273</v>
      </c>
      <c r="K131" s="296">
        <f t="shared" si="11"/>
        <v>2.6</v>
      </c>
      <c r="L131" s="297">
        <f>IF(C131="","",ROUND(C131*Steuerungsdaten!$B$4*Steuerungsdaten!$B$9*IFERROR(VLOOKUP(IFERROR(INDEX(Aktiv!$C$6:$C$350,MATCH(A131,Aktiv!$A$6:$A$350,0)),""),Steuerungsdaten!$B$17:$G$37,6,FALSE),1)*POWER(IF(OR(IFERROR(INDEX(Aktiv!$E$6:$E$350,MATCH(A131,Aktiv!$A$6:$A$350,0)),0)=0,IFERROR(INDEX(Aktiv!$F$6:$F$350,MATCH(A131,Aktiv!$A$6:$A$350,0)),0)=0),1,(IFERROR(INDEX(Aktiv!$E$6:$E$350,MATCH(A131,Aktiv!$A$6:$A$350,0)),0)*IFERROR(INDEX(Aktiv!$F$6:$F$350,MATCH(A131,Aktiv!$A$6:$A$350,0)),0)/1000000)/Steuerungsdaten!$B$6),1-1),0))</f>
        <v>105</v>
      </c>
      <c r="M131" s="297">
        <f>IFERROR(INDEX(Aktiv!$I$6:$I$350,MATCH(A131,Aktiv!$A$6:$A$350,0)),"")</f>
        <v>394</v>
      </c>
      <c r="N131" s="298">
        <f t="shared" si="12"/>
        <v>289</v>
      </c>
      <c r="O131" s="296">
        <f t="shared" si="13"/>
        <v>2.7523809523809524</v>
      </c>
      <c r="P131" s="297">
        <f>IF(C131="","",ROUND(C131*Steuerungsdaten!$B$4*Steuerungsdaten!$B$10*IFERROR(VLOOKUP(IFERROR(INDEX(Aktiv!$C$6:$C$350,MATCH(A131,Aktiv!$A$6:$A$350,0)),""),Steuerungsdaten!$B$17:$I$37,8,FALSE),1)*POWER(IF(OR(IFERROR(INDEX(Aktiv!$E$6:$E$350,MATCH(A131,Aktiv!$A$6:$A$350,0)),0)=0,IFERROR(INDEX(Aktiv!$F$6:$F$350,MATCH(A131,Aktiv!$A$6:$A$350,0)),0)=0),1,(IFERROR(INDEX(Aktiv!$E$6:$E$350,MATCH(A131,Aktiv!$A$6:$A$350,0)),0)*IFERROR(INDEX(Aktiv!$F$6:$F$350,MATCH(A131,Aktiv!$A$6:$A$350,0)),0)/1000000)/Steuerungsdaten!$B$6),1-1),0))</f>
        <v>114</v>
      </c>
      <c r="Q131" s="297">
        <f>IFERROR(INDEX(Aktiv!$J$6:$J$350,MATCH(A131,Aktiv!$A$6:$A$350,0)),"")</f>
        <v>438</v>
      </c>
      <c r="R131" s="298">
        <f t="shared" si="14"/>
        <v>324</v>
      </c>
      <c r="S131" s="296">
        <f t="shared" si="15"/>
        <v>2.8421052631578947</v>
      </c>
    </row>
    <row r="132" spans="1:19" x14ac:dyDescent="0.25">
      <c r="A132" s="292">
        <v>3608</v>
      </c>
      <c r="B132" s="292" t="s">
        <v>144</v>
      </c>
      <c r="C132" s="293">
        <f>IFERROR(INDEX(Aktiv!$O$6:$O$350,MATCH(A132,Aktiv!$A$6:$A$350,0)),"")</f>
        <v>158</v>
      </c>
      <c r="D132" s="293">
        <f>IF(C132="","",ROUND(C132*Steuerungsdaten!$B$4*Steuerungsdaten!$B$7*IFERROR(VLOOKUP(IFERROR(INDEX(Aktiv!$C$6:$C$350,MATCH(A132,Aktiv!$A$6:$A$350,0)),""),Steuerungsdaten!$B$17:$C$37,2,FALSE),1)*POWER(IF(OR(IFERROR(INDEX(Aktiv!$E$6:$E$350,MATCH(A132,Aktiv!$A$6:$A$350,0)),0)=0,IFERROR(INDEX(Aktiv!$F$6:$F$350,MATCH(A132,Aktiv!$A$6:$A$350,0)),0)=0),1,(IFERROR(INDEX(Aktiv!$E$6:$E$350,MATCH(A132,Aktiv!$A$6:$A$350,0)),0)*IFERROR(INDEX(Aktiv!$F$6:$F$350,MATCH(A132,Aktiv!$A$6:$A$350,0)),0)/1000000)/Steuerungsdaten!$B$6),IF(ISNUMBER(MATCH(IFERROR(INDEX(Aktiv!$C$6:$C$350,MATCH(A132,Aktiv!$A$6:$A$350,0)),""),{"Boden","Seite außen","Seite außen SY32","Rücken","Seite innen","Seite innen SY32","Seite innen SY32 DB","Fachboden klein","Fachboden groß","Klappenboden"},0)),1.2,1)-1),0))</f>
        <v>165</v>
      </c>
      <c r="E132" s="293">
        <f>IFERROR(INDEX(Aktiv!$G$6:$G$350,MATCH(A132,Aktiv!$A$6:$A$350,0)),"")</f>
        <v>147</v>
      </c>
      <c r="F132" s="294">
        <f t="shared" si="8"/>
        <v>-18</v>
      </c>
      <c r="G132" s="295">
        <f t="shared" si="9"/>
        <v>-0.10909090909090909</v>
      </c>
      <c r="H132" s="293">
        <f>IF(C132="","",ROUND(C132*Steuerungsdaten!$B$4*Steuerungsdaten!$B$8*IFERROR(VLOOKUP(IFERROR(INDEX(Aktiv!$C$6:$C$350,MATCH(A132,Aktiv!$A$6:$A$350,0)),""),Steuerungsdaten!$B$17:$E$37,4,FALSE),1)*POWER(IF(OR(IFERROR(INDEX(Aktiv!$E$6:$E$350,MATCH(A132,Aktiv!$A$6:$A$350,0)),0)=0,IFERROR(INDEX(Aktiv!$F$6:$F$350,MATCH(A132,Aktiv!$A$6:$A$350,0)),0)=0),1,(IFERROR(INDEX(Aktiv!$E$6:$E$350,MATCH(A132,Aktiv!$A$6:$A$350,0)),0)*IFERROR(INDEX(Aktiv!$F$6:$F$350,MATCH(A132,Aktiv!$A$6:$A$350,0)),0)/1000000)/Steuerungsdaten!$B$6),1-1),0))</f>
        <v>139</v>
      </c>
      <c r="I132" s="293">
        <f>IFERROR(INDEX(Aktiv!$H$6:$H$350,MATCH(A132,Aktiv!$A$6:$A$350,0)),"")</f>
        <v>504</v>
      </c>
      <c r="J132" s="294">
        <f t="shared" si="10"/>
        <v>365</v>
      </c>
      <c r="K132" s="296">
        <f t="shared" si="11"/>
        <v>2.6258992805755397</v>
      </c>
      <c r="L132" s="297">
        <f>IF(C132="","",ROUND(C132*Steuerungsdaten!$B$4*Steuerungsdaten!$B$9*IFERROR(VLOOKUP(IFERROR(INDEX(Aktiv!$C$6:$C$350,MATCH(A132,Aktiv!$A$6:$A$350,0)),""),Steuerungsdaten!$B$17:$G$37,6,FALSE),1)*POWER(IF(OR(IFERROR(INDEX(Aktiv!$E$6:$E$350,MATCH(A132,Aktiv!$A$6:$A$350,0)),0)=0,IFERROR(INDEX(Aktiv!$F$6:$F$350,MATCH(A132,Aktiv!$A$6:$A$350,0)),0)=0),1,(IFERROR(INDEX(Aktiv!$E$6:$E$350,MATCH(A132,Aktiv!$A$6:$A$350,0)),0)*IFERROR(INDEX(Aktiv!$F$6:$F$350,MATCH(A132,Aktiv!$A$6:$A$350,0)),0)/1000000)/Steuerungsdaten!$B$6),1-1),0))</f>
        <v>139</v>
      </c>
      <c r="M132" s="297">
        <f>IFERROR(INDEX(Aktiv!$I$6:$I$350,MATCH(A132,Aktiv!$A$6:$A$350,0)),"")</f>
        <v>525</v>
      </c>
      <c r="N132" s="298">
        <f t="shared" si="12"/>
        <v>386</v>
      </c>
      <c r="O132" s="296">
        <f t="shared" si="13"/>
        <v>2.7769784172661871</v>
      </c>
      <c r="P132" s="297">
        <f>IF(C132="","",ROUND(C132*Steuerungsdaten!$B$4*Steuerungsdaten!$B$10*IFERROR(VLOOKUP(IFERROR(INDEX(Aktiv!$C$6:$C$350,MATCH(A132,Aktiv!$A$6:$A$350,0)),""),Steuerungsdaten!$B$17:$I$37,8,FALSE),1)*POWER(IF(OR(IFERROR(INDEX(Aktiv!$E$6:$E$350,MATCH(A132,Aktiv!$A$6:$A$350,0)),0)=0,IFERROR(INDEX(Aktiv!$F$6:$F$350,MATCH(A132,Aktiv!$A$6:$A$350,0)),0)=0),1,(IFERROR(INDEX(Aktiv!$E$6:$E$350,MATCH(A132,Aktiv!$A$6:$A$350,0)),0)*IFERROR(INDEX(Aktiv!$F$6:$F$350,MATCH(A132,Aktiv!$A$6:$A$350,0)),0)/1000000)/Steuerungsdaten!$B$6),1-1),0))</f>
        <v>152</v>
      </c>
      <c r="Q132" s="297">
        <f>IFERROR(INDEX(Aktiv!$J$6:$J$350,MATCH(A132,Aktiv!$A$6:$A$350,0)),"")</f>
        <v>584</v>
      </c>
      <c r="R132" s="298">
        <f t="shared" si="14"/>
        <v>432</v>
      </c>
      <c r="S132" s="296">
        <f t="shared" si="15"/>
        <v>2.8421052631578947</v>
      </c>
    </row>
    <row r="133" spans="1:19" x14ac:dyDescent="0.25">
      <c r="A133" s="292">
        <v>3609</v>
      </c>
      <c r="B133" s="292" t="s">
        <v>145</v>
      </c>
      <c r="C133" s="293">
        <f>IFERROR(INDEX(Aktiv!$O$6:$O$350,MATCH(A133,Aktiv!$A$6:$A$350,0)),"")</f>
        <v>197</v>
      </c>
      <c r="D133" s="293">
        <f>IF(C133="","",ROUND(C133*Steuerungsdaten!$B$4*Steuerungsdaten!$B$7*IFERROR(VLOOKUP(IFERROR(INDEX(Aktiv!$C$6:$C$350,MATCH(A133,Aktiv!$A$6:$A$350,0)),""),Steuerungsdaten!$B$17:$C$37,2,FALSE),1)*POWER(IF(OR(IFERROR(INDEX(Aktiv!$E$6:$E$350,MATCH(A133,Aktiv!$A$6:$A$350,0)),0)=0,IFERROR(INDEX(Aktiv!$F$6:$F$350,MATCH(A133,Aktiv!$A$6:$A$350,0)),0)=0),1,(IFERROR(INDEX(Aktiv!$E$6:$E$350,MATCH(A133,Aktiv!$A$6:$A$350,0)),0)*IFERROR(INDEX(Aktiv!$F$6:$F$350,MATCH(A133,Aktiv!$A$6:$A$350,0)),0)/1000000)/Steuerungsdaten!$B$6),IF(ISNUMBER(MATCH(IFERROR(INDEX(Aktiv!$C$6:$C$350,MATCH(A133,Aktiv!$A$6:$A$350,0)),""),{"Boden","Seite außen","Seite außen SY32","Rücken","Seite innen","Seite innen SY32","Seite innen SY32 DB","Fachboden klein","Fachboden groß","Klappenboden"},0)),1.2,1)-1),0))</f>
        <v>216</v>
      </c>
      <c r="E133" s="293">
        <f>IFERROR(INDEX(Aktiv!$G$6:$G$350,MATCH(A133,Aktiv!$A$6:$A$350,0)),"")</f>
        <v>184</v>
      </c>
      <c r="F133" s="294">
        <f t="shared" ref="F133:F196" si="16">IF(OR(D133="",E133=""),"",E133-D133)</f>
        <v>-32</v>
      </c>
      <c r="G133" s="295">
        <f t="shared" ref="G133:G196" si="17">IF(OR(D133="",E133="",D133=0),"",(E133-D133)/D133)</f>
        <v>-0.14814814814814814</v>
      </c>
      <c r="H133" s="293">
        <f>IF(C133="","",ROUND(C133*Steuerungsdaten!$B$4*Steuerungsdaten!$B$8*IFERROR(VLOOKUP(IFERROR(INDEX(Aktiv!$C$6:$C$350,MATCH(A133,Aktiv!$A$6:$A$350,0)),""),Steuerungsdaten!$B$17:$E$37,4,FALSE),1)*POWER(IF(OR(IFERROR(INDEX(Aktiv!$E$6:$E$350,MATCH(A133,Aktiv!$A$6:$A$350,0)),0)=0,IFERROR(INDEX(Aktiv!$F$6:$F$350,MATCH(A133,Aktiv!$A$6:$A$350,0)),0)=0),1,(IFERROR(INDEX(Aktiv!$E$6:$E$350,MATCH(A133,Aktiv!$A$6:$A$350,0)),0)*IFERROR(INDEX(Aktiv!$F$6:$F$350,MATCH(A133,Aktiv!$A$6:$A$350,0)),0)/1000000)/Steuerungsdaten!$B$6),1-1),0))</f>
        <v>173</v>
      </c>
      <c r="I133" s="293">
        <f>IFERROR(INDEX(Aktiv!$H$6:$H$350,MATCH(A133,Aktiv!$A$6:$A$350,0)),"")</f>
        <v>630</v>
      </c>
      <c r="J133" s="294">
        <f t="shared" ref="J133:J196" si="18">IF(OR(H133="",I133=""),"",I133-H133)</f>
        <v>457</v>
      </c>
      <c r="K133" s="296">
        <f t="shared" ref="K133:K196" si="19">IF(OR(H133="",I133="",H133=0),"",(I133-H133)/H133)</f>
        <v>2.6416184971098264</v>
      </c>
      <c r="L133" s="297">
        <f>IF(C133="","",ROUND(C133*Steuerungsdaten!$B$4*Steuerungsdaten!$B$9*IFERROR(VLOOKUP(IFERROR(INDEX(Aktiv!$C$6:$C$350,MATCH(A133,Aktiv!$A$6:$A$350,0)),""),Steuerungsdaten!$B$17:$G$37,6,FALSE),1)*POWER(IF(OR(IFERROR(INDEX(Aktiv!$E$6:$E$350,MATCH(A133,Aktiv!$A$6:$A$350,0)),0)=0,IFERROR(INDEX(Aktiv!$F$6:$F$350,MATCH(A133,Aktiv!$A$6:$A$350,0)),0)=0),1,(IFERROR(INDEX(Aktiv!$E$6:$E$350,MATCH(A133,Aktiv!$A$6:$A$350,0)),0)*IFERROR(INDEX(Aktiv!$F$6:$F$350,MATCH(A133,Aktiv!$A$6:$A$350,0)),0)/1000000)/Steuerungsdaten!$B$6),1-1),0))</f>
        <v>173</v>
      </c>
      <c r="M133" s="297">
        <f>IFERROR(INDEX(Aktiv!$I$6:$I$350,MATCH(A133,Aktiv!$A$6:$A$350,0)),"")</f>
        <v>656</v>
      </c>
      <c r="N133" s="298">
        <f t="shared" ref="N133:N196" si="20">IF(OR(L133="",M133=""),"",M133-L133)</f>
        <v>483</v>
      </c>
      <c r="O133" s="296">
        <f t="shared" ref="O133:O196" si="21">IF(OR(L133="",M133="",L133=0),"",(M133-L133)/L133)</f>
        <v>2.7919075144508669</v>
      </c>
      <c r="P133" s="297">
        <f>IF(C133="","",ROUND(C133*Steuerungsdaten!$B$4*Steuerungsdaten!$B$10*IFERROR(VLOOKUP(IFERROR(INDEX(Aktiv!$C$6:$C$350,MATCH(A133,Aktiv!$A$6:$A$350,0)),""),Steuerungsdaten!$B$17:$I$37,8,FALSE),1)*POWER(IF(OR(IFERROR(INDEX(Aktiv!$E$6:$E$350,MATCH(A133,Aktiv!$A$6:$A$350,0)),0)=0,IFERROR(INDEX(Aktiv!$F$6:$F$350,MATCH(A133,Aktiv!$A$6:$A$350,0)),0)=0),1,(IFERROR(INDEX(Aktiv!$E$6:$E$350,MATCH(A133,Aktiv!$A$6:$A$350,0)),0)*IFERROR(INDEX(Aktiv!$F$6:$F$350,MATCH(A133,Aktiv!$A$6:$A$350,0)),0)/1000000)/Steuerungsdaten!$B$6),1-1),0))</f>
        <v>189</v>
      </c>
      <c r="Q133" s="297">
        <f>IFERROR(INDEX(Aktiv!$J$6:$J$350,MATCH(A133,Aktiv!$A$6:$A$350,0)),"")</f>
        <v>730</v>
      </c>
      <c r="R133" s="298">
        <f t="shared" ref="R133:R196" si="22">IF(OR(P133="",Q133=""),"",Q133-P133)</f>
        <v>541</v>
      </c>
      <c r="S133" s="296">
        <f t="shared" ref="S133:S196" si="23">IF(OR(P133="",Q133="",P133=0),"",(Q133-P133)/P133)</f>
        <v>2.8624338624338623</v>
      </c>
    </row>
    <row r="134" spans="1:19" x14ac:dyDescent="0.25">
      <c r="A134" s="292">
        <v>3610</v>
      </c>
      <c r="B134" s="292" t="s">
        <v>146</v>
      </c>
      <c r="C134" s="293">
        <f>IFERROR(INDEX(Aktiv!$O$6:$O$350,MATCH(A134,Aktiv!$A$6:$A$350,0)),"")</f>
        <v>107</v>
      </c>
      <c r="D134" s="293">
        <f>IF(C134="","",ROUND(C134*Steuerungsdaten!$B$4*Steuerungsdaten!$B$7*IFERROR(VLOOKUP(IFERROR(INDEX(Aktiv!$C$6:$C$350,MATCH(A134,Aktiv!$A$6:$A$350,0)),""),Steuerungsdaten!$B$17:$C$37,2,FALSE),1)*POWER(IF(OR(IFERROR(INDEX(Aktiv!$E$6:$E$350,MATCH(A134,Aktiv!$A$6:$A$350,0)),0)=0,IFERROR(INDEX(Aktiv!$F$6:$F$350,MATCH(A134,Aktiv!$A$6:$A$350,0)),0)=0),1,(IFERROR(INDEX(Aktiv!$E$6:$E$350,MATCH(A134,Aktiv!$A$6:$A$350,0)),0)*IFERROR(INDEX(Aktiv!$F$6:$F$350,MATCH(A134,Aktiv!$A$6:$A$350,0)),0)/1000000)/Steuerungsdaten!$B$6),IF(ISNUMBER(MATCH(IFERROR(INDEX(Aktiv!$C$6:$C$350,MATCH(A134,Aktiv!$A$6:$A$350,0)),""),{"Boden","Seite außen","Seite außen SY32","Rücken","Seite innen","Seite innen SY32","Seite innen SY32 DB","Fachboden klein","Fachboden groß","Klappenboden"},0)),1.2,1)-1),0))</f>
        <v>103</v>
      </c>
      <c r="E134" s="293" t="str">
        <f>IFERROR(INDEX(Aktiv!$G$6:$G$350,MATCH(A134,Aktiv!$A$6:$A$350,0)),"")</f>
        <v>-</v>
      </c>
      <c r="F134" s="294" t="e">
        <f t="shared" si="16"/>
        <v>#VALUE!</v>
      </c>
      <c r="G134" s="295" t="e">
        <f t="shared" si="17"/>
        <v>#VALUE!</v>
      </c>
      <c r="H134" s="293">
        <f>IF(C134="","",ROUND(C134*Steuerungsdaten!$B$4*Steuerungsdaten!$B$8*IFERROR(VLOOKUP(IFERROR(INDEX(Aktiv!$C$6:$C$350,MATCH(A134,Aktiv!$A$6:$A$350,0)),""),Steuerungsdaten!$B$17:$E$37,4,FALSE),1)*POWER(IF(OR(IFERROR(INDEX(Aktiv!$E$6:$E$350,MATCH(A134,Aktiv!$A$6:$A$350,0)),0)=0,IFERROR(INDEX(Aktiv!$F$6:$F$350,MATCH(A134,Aktiv!$A$6:$A$350,0)),0)=0),1,(IFERROR(INDEX(Aktiv!$E$6:$E$350,MATCH(A134,Aktiv!$A$6:$A$350,0)),0)*IFERROR(INDEX(Aktiv!$F$6:$F$350,MATCH(A134,Aktiv!$A$6:$A$350,0)),0)/1000000)/Steuerungsdaten!$B$6),1-1),0))</f>
        <v>94</v>
      </c>
      <c r="I134" s="293" t="str">
        <f>IFERROR(INDEX(Aktiv!$H$6:$H$350,MATCH(A134,Aktiv!$A$6:$A$350,0)),"")</f>
        <v>-</v>
      </c>
      <c r="J134" s="294" t="e">
        <f t="shared" si="18"/>
        <v>#VALUE!</v>
      </c>
      <c r="K134" s="296" t="e">
        <f t="shared" si="19"/>
        <v>#VALUE!</v>
      </c>
      <c r="L134" s="297">
        <f>IF(C134="","",ROUND(C134*Steuerungsdaten!$B$4*Steuerungsdaten!$B$9*IFERROR(VLOOKUP(IFERROR(INDEX(Aktiv!$C$6:$C$350,MATCH(A134,Aktiv!$A$6:$A$350,0)),""),Steuerungsdaten!$B$17:$G$37,6,FALSE),1)*POWER(IF(OR(IFERROR(INDEX(Aktiv!$E$6:$E$350,MATCH(A134,Aktiv!$A$6:$A$350,0)),0)=0,IFERROR(INDEX(Aktiv!$F$6:$F$350,MATCH(A134,Aktiv!$A$6:$A$350,0)),0)=0),1,(IFERROR(INDEX(Aktiv!$E$6:$E$350,MATCH(A134,Aktiv!$A$6:$A$350,0)),0)*IFERROR(INDEX(Aktiv!$F$6:$F$350,MATCH(A134,Aktiv!$A$6:$A$350,0)),0)/1000000)/Steuerungsdaten!$B$6),1-1),0))</f>
        <v>94</v>
      </c>
      <c r="M134" s="297" t="str">
        <f>IFERROR(INDEX(Aktiv!$I$6:$I$350,MATCH(A134,Aktiv!$A$6:$A$350,0)),"")</f>
        <v>-</v>
      </c>
      <c r="N134" s="298" t="e">
        <f t="shared" si="20"/>
        <v>#VALUE!</v>
      </c>
      <c r="O134" s="296" t="e">
        <f t="shared" si="21"/>
        <v>#VALUE!</v>
      </c>
      <c r="P134" s="297">
        <f>IF(C134="","",ROUND(C134*Steuerungsdaten!$B$4*Steuerungsdaten!$B$10*IFERROR(VLOOKUP(IFERROR(INDEX(Aktiv!$C$6:$C$350,MATCH(A134,Aktiv!$A$6:$A$350,0)),""),Steuerungsdaten!$B$17:$I$37,8,FALSE),1)*POWER(IF(OR(IFERROR(INDEX(Aktiv!$E$6:$E$350,MATCH(A134,Aktiv!$A$6:$A$350,0)),0)=0,IFERROR(INDEX(Aktiv!$F$6:$F$350,MATCH(A134,Aktiv!$A$6:$A$350,0)),0)=0),1,(IFERROR(INDEX(Aktiv!$E$6:$E$350,MATCH(A134,Aktiv!$A$6:$A$350,0)),0)*IFERROR(INDEX(Aktiv!$F$6:$F$350,MATCH(A134,Aktiv!$A$6:$A$350,0)),0)/1000000)/Steuerungsdaten!$B$6),1-1),0))</f>
        <v>103</v>
      </c>
      <c r="Q134" s="297" t="str">
        <f>IFERROR(INDEX(Aktiv!$J$6:$J$350,MATCH(A134,Aktiv!$A$6:$A$350,0)),"")</f>
        <v>-</v>
      </c>
      <c r="R134" s="298" t="e">
        <f t="shared" si="22"/>
        <v>#VALUE!</v>
      </c>
      <c r="S134" s="296" t="e">
        <f t="shared" si="23"/>
        <v>#VALUE!</v>
      </c>
    </row>
    <row r="135" spans="1:19" x14ac:dyDescent="0.25">
      <c r="A135" s="292">
        <v>3611</v>
      </c>
      <c r="B135" s="292" t="s">
        <v>147</v>
      </c>
      <c r="C135" s="293">
        <f>IFERROR(INDEX(Aktiv!$O$6:$O$350,MATCH(A135,Aktiv!$A$6:$A$350,0)),"")</f>
        <v>134</v>
      </c>
      <c r="D135" s="293">
        <f>IF(C135="","",ROUND(C135*Steuerungsdaten!$B$4*Steuerungsdaten!$B$7*IFERROR(VLOOKUP(IFERROR(INDEX(Aktiv!$C$6:$C$350,MATCH(A135,Aktiv!$A$6:$A$350,0)),""),Steuerungsdaten!$B$17:$C$37,2,FALSE),1)*POWER(IF(OR(IFERROR(INDEX(Aktiv!$E$6:$E$350,MATCH(A135,Aktiv!$A$6:$A$350,0)),0)=0,IFERROR(INDEX(Aktiv!$F$6:$F$350,MATCH(A135,Aktiv!$A$6:$A$350,0)),0)=0),1,(IFERROR(INDEX(Aktiv!$E$6:$E$350,MATCH(A135,Aktiv!$A$6:$A$350,0)),0)*IFERROR(INDEX(Aktiv!$F$6:$F$350,MATCH(A135,Aktiv!$A$6:$A$350,0)),0)/1000000)/Steuerungsdaten!$B$6),IF(ISNUMBER(MATCH(IFERROR(INDEX(Aktiv!$C$6:$C$350,MATCH(A135,Aktiv!$A$6:$A$350,0)),""),{"Boden","Seite außen","Seite außen SY32","Rücken","Seite innen","Seite innen SY32","Seite innen SY32 DB","Fachboden klein","Fachboden groß","Klappenboden"},0)),1.2,1)-1),0))</f>
        <v>136</v>
      </c>
      <c r="E135" s="293" t="str">
        <f>IFERROR(INDEX(Aktiv!$G$6:$G$350,MATCH(A135,Aktiv!$A$6:$A$350,0)),"")</f>
        <v>-</v>
      </c>
      <c r="F135" s="294" t="e">
        <f t="shared" si="16"/>
        <v>#VALUE!</v>
      </c>
      <c r="G135" s="295" t="e">
        <f t="shared" si="17"/>
        <v>#VALUE!</v>
      </c>
      <c r="H135" s="293">
        <f>IF(C135="","",ROUND(C135*Steuerungsdaten!$B$4*Steuerungsdaten!$B$8*IFERROR(VLOOKUP(IFERROR(INDEX(Aktiv!$C$6:$C$350,MATCH(A135,Aktiv!$A$6:$A$350,0)),""),Steuerungsdaten!$B$17:$E$37,4,FALSE),1)*POWER(IF(OR(IFERROR(INDEX(Aktiv!$E$6:$E$350,MATCH(A135,Aktiv!$A$6:$A$350,0)),0)=0,IFERROR(INDEX(Aktiv!$F$6:$F$350,MATCH(A135,Aktiv!$A$6:$A$350,0)),0)=0),1,(IFERROR(INDEX(Aktiv!$E$6:$E$350,MATCH(A135,Aktiv!$A$6:$A$350,0)),0)*IFERROR(INDEX(Aktiv!$F$6:$F$350,MATCH(A135,Aktiv!$A$6:$A$350,0)),0)/1000000)/Steuerungsdaten!$B$6),1-1),0))</f>
        <v>118</v>
      </c>
      <c r="I135" s="293" t="str">
        <f>IFERROR(INDEX(Aktiv!$H$6:$H$350,MATCH(A135,Aktiv!$A$6:$A$350,0)),"")</f>
        <v>-</v>
      </c>
      <c r="J135" s="294" t="e">
        <f t="shared" si="18"/>
        <v>#VALUE!</v>
      </c>
      <c r="K135" s="296" t="e">
        <f t="shared" si="19"/>
        <v>#VALUE!</v>
      </c>
      <c r="L135" s="297">
        <f>IF(C135="","",ROUND(C135*Steuerungsdaten!$B$4*Steuerungsdaten!$B$9*IFERROR(VLOOKUP(IFERROR(INDEX(Aktiv!$C$6:$C$350,MATCH(A135,Aktiv!$A$6:$A$350,0)),""),Steuerungsdaten!$B$17:$G$37,6,FALSE),1)*POWER(IF(OR(IFERROR(INDEX(Aktiv!$E$6:$E$350,MATCH(A135,Aktiv!$A$6:$A$350,0)),0)=0,IFERROR(INDEX(Aktiv!$F$6:$F$350,MATCH(A135,Aktiv!$A$6:$A$350,0)),0)=0),1,(IFERROR(INDEX(Aktiv!$E$6:$E$350,MATCH(A135,Aktiv!$A$6:$A$350,0)),0)*IFERROR(INDEX(Aktiv!$F$6:$F$350,MATCH(A135,Aktiv!$A$6:$A$350,0)),0)/1000000)/Steuerungsdaten!$B$6),1-1),0))</f>
        <v>118</v>
      </c>
      <c r="M135" s="297" t="str">
        <f>IFERROR(INDEX(Aktiv!$I$6:$I$350,MATCH(A135,Aktiv!$A$6:$A$350,0)),"")</f>
        <v>-</v>
      </c>
      <c r="N135" s="298" t="e">
        <f t="shared" si="20"/>
        <v>#VALUE!</v>
      </c>
      <c r="O135" s="296" t="e">
        <f t="shared" si="21"/>
        <v>#VALUE!</v>
      </c>
      <c r="P135" s="297">
        <f>IF(C135="","",ROUND(C135*Steuerungsdaten!$B$4*Steuerungsdaten!$B$10*IFERROR(VLOOKUP(IFERROR(INDEX(Aktiv!$C$6:$C$350,MATCH(A135,Aktiv!$A$6:$A$350,0)),""),Steuerungsdaten!$B$17:$I$37,8,FALSE),1)*POWER(IF(OR(IFERROR(INDEX(Aktiv!$E$6:$E$350,MATCH(A135,Aktiv!$A$6:$A$350,0)),0)=0,IFERROR(INDEX(Aktiv!$F$6:$F$350,MATCH(A135,Aktiv!$A$6:$A$350,0)),0)=0),1,(IFERROR(INDEX(Aktiv!$E$6:$E$350,MATCH(A135,Aktiv!$A$6:$A$350,0)),0)*IFERROR(INDEX(Aktiv!$F$6:$F$350,MATCH(A135,Aktiv!$A$6:$A$350,0)),0)/1000000)/Steuerungsdaten!$B$6),1-1),0))</f>
        <v>129</v>
      </c>
      <c r="Q135" s="297" t="str">
        <f>IFERROR(INDEX(Aktiv!$J$6:$J$350,MATCH(A135,Aktiv!$A$6:$A$350,0)),"")</f>
        <v>-</v>
      </c>
      <c r="R135" s="298" t="e">
        <f t="shared" si="22"/>
        <v>#VALUE!</v>
      </c>
      <c r="S135" s="296" t="e">
        <f t="shared" si="23"/>
        <v>#VALUE!</v>
      </c>
    </row>
    <row r="136" spans="1:19" x14ac:dyDescent="0.25">
      <c r="A136" s="292">
        <v>3612</v>
      </c>
      <c r="B136" s="292" t="s">
        <v>148</v>
      </c>
      <c r="C136" s="293">
        <f>IFERROR(INDEX(Aktiv!$O$6:$O$350,MATCH(A136,Aktiv!$A$6:$A$350,0)),"")</f>
        <v>161</v>
      </c>
      <c r="D136" s="293">
        <f>IF(C136="","",ROUND(C136*Steuerungsdaten!$B$4*Steuerungsdaten!$B$7*IFERROR(VLOOKUP(IFERROR(INDEX(Aktiv!$C$6:$C$350,MATCH(A136,Aktiv!$A$6:$A$350,0)),""),Steuerungsdaten!$B$17:$C$37,2,FALSE),1)*POWER(IF(OR(IFERROR(INDEX(Aktiv!$E$6:$E$350,MATCH(A136,Aktiv!$A$6:$A$350,0)),0)=0,IFERROR(INDEX(Aktiv!$F$6:$F$350,MATCH(A136,Aktiv!$A$6:$A$350,0)),0)=0),1,(IFERROR(INDEX(Aktiv!$E$6:$E$350,MATCH(A136,Aktiv!$A$6:$A$350,0)),0)*IFERROR(INDEX(Aktiv!$F$6:$F$350,MATCH(A136,Aktiv!$A$6:$A$350,0)),0)/1000000)/Steuerungsdaten!$B$6),IF(ISNUMBER(MATCH(IFERROR(INDEX(Aktiv!$C$6:$C$350,MATCH(A136,Aktiv!$A$6:$A$350,0)),""),{"Boden","Seite außen","Seite außen SY32","Rücken","Seite innen","Seite innen SY32","Seite innen SY32 DB","Fachboden klein","Fachboden groß","Klappenboden"},0)),1.2,1)-1),0))</f>
        <v>169</v>
      </c>
      <c r="E136" s="293" t="str">
        <f>IFERROR(INDEX(Aktiv!$G$6:$G$350,MATCH(A136,Aktiv!$A$6:$A$350,0)),"")</f>
        <v>-</v>
      </c>
      <c r="F136" s="294" t="e">
        <f t="shared" si="16"/>
        <v>#VALUE!</v>
      </c>
      <c r="G136" s="295" t="e">
        <f t="shared" si="17"/>
        <v>#VALUE!</v>
      </c>
      <c r="H136" s="293">
        <f>IF(C136="","",ROUND(C136*Steuerungsdaten!$B$4*Steuerungsdaten!$B$8*IFERROR(VLOOKUP(IFERROR(INDEX(Aktiv!$C$6:$C$350,MATCH(A136,Aktiv!$A$6:$A$350,0)),""),Steuerungsdaten!$B$17:$E$37,4,FALSE),1)*POWER(IF(OR(IFERROR(INDEX(Aktiv!$E$6:$E$350,MATCH(A136,Aktiv!$A$6:$A$350,0)),0)=0,IFERROR(INDEX(Aktiv!$F$6:$F$350,MATCH(A136,Aktiv!$A$6:$A$350,0)),0)=0),1,(IFERROR(INDEX(Aktiv!$E$6:$E$350,MATCH(A136,Aktiv!$A$6:$A$350,0)),0)*IFERROR(INDEX(Aktiv!$F$6:$F$350,MATCH(A136,Aktiv!$A$6:$A$350,0)),0)/1000000)/Steuerungsdaten!$B$6),1-1),0))</f>
        <v>142</v>
      </c>
      <c r="I136" s="293" t="str">
        <f>IFERROR(INDEX(Aktiv!$H$6:$H$350,MATCH(A136,Aktiv!$A$6:$A$350,0)),"")</f>
        <v>-</v>
      </c>
      <c r="J136" s="294" t="e">
        <f t="shared" si="18"/>
        <v>#VALUE!</v>
      </c>
      <c r="K136" s="296" t="e">
        <f t="shared" si="19"/>
        <v>#VALUE!</v>
      </c>
      <c r="L136" s="297">
        <f>IF(C136="","",ROUND(C136*Steuerungsdaten!$B$4*Steuerungsdaten!$B$9*IFERROR(VLOOKUP(IFERROR(INDEX(Aktiv!$C$6:$C$350,MATCH(A136,Aktiv!$A$6:$A$350,0)),""),Steuerungsdaten!$B$17:$G$37,6,FALSE),1)*POWER(IF(OR(IFERROR(INDEX(Aktiv!$E$6:$E$350,MATCH(A136,Aktiv!$A$6:$A$350,0)),0)=0,IFERROR(INDEX(Aktiv!$F$6:$F$350,MATCH(A136,Aktiv!$A$6:$A$350,0)),0)=0),1,(IFERROR(INDEX(Aktiv!$E$6:$E$350,MATCH(A136,Aktiv!$A$6:$A$350,0)),0)*IFERROR(INDEX(Aktiv!$F$6:$F$350,MATCH(A136,Aktiv!$A$6:$A$350,0)),0)/1000000)/Steuerungsdaten!$B$6),1-1),0))</f>
        <v>142</v>
      </c>
      <c r="M136" s="297" t="str">
        <f>IFERROR(INDEX(Aktiv!$I$6:$I$350,MATCH(A136,Aktiv!$A$6:$A$350,0)),"")</f>
        <v>-</v>
      </c>
      <c r="N136" s="298" t="e">
        <f t="shared" si="20"/>
        <v>#VALUE!</v>
      </c>
      <c r="O136" s="296" t="e">
        <f t="shared" si="21"/>
        <v>#VALUE!</v>
      </c>
      <c r="P136" s="297">
        <f>IF(C136="","",ROUND(C136*Steuerungsdaten!$B$4*Steuerungsdaten!$B$10*IFERROR(VLOOKUP(IFERROR(INDEX(Aktiv!$C$6:$C$350,MATCH(A136,Aktiv!$A$6:$A$350,0)),""),Steuerungsdaten!$B$17:$I$37,8,FALSE),1)*POWER(IF(OR(IFERROR(INDEX(Aktiv!$E$6:$E$350,MATCH(A136,Aktiv!$A$6:$A$350,0)),0)=0,IFERROR(INDEX(Aktiv!$F$6:$F$350,MATCH(A136,Aktiv!$A$6:$A$350,0)),0)=0),1,(IFERROR(INDEX(Aktiv!$E$6:$E$350,MATCH(A136,Aktiv!$A$6:$A$350,0)),0)*IFERROR(INDEX(Aktiv!$F$6:$F$350,MATCH(A136,Aktiv!$A$6:$A$350,0)),0)/1000000)/Steuerungsdaten!$B$6),1-1),0))</f>
        <v>155</v>
      </c>
      <c r="Q136" s="297" t="str">
        <f>IFERROR(INDEX(Aktiv!$J$6:$J$350,MATCH(A136,Aktiv!$A$6:$A$350,0)),"")</f>
        <v>-</v>
      </c>
      <c r="R136" s="298" t="e">
        <f t="shared" si="22"/>
        <v>#VALUE!</v>
      </c>
      <c r="S136" s="296" t="e">
        <f t="shared" si="23"/>
        <v>#VALUE!</v>
      </c>
    </row>
    <row r="137" spans="1:19" x14ac:dyDescent="0.25">
      <c r="A137" s="292">
        <v>3613</v>
      </c>
      <c r="B137" s="292" t="s">
        <v>149</v>
      </c>
      <c r="C137" s="293">
        <f>IFERROR(INDEX(Aktiv!$O$6:$O$350,MATCH(A137,Aktiv!$A$6:$A$350,0)),"")</f>
        <v>200</v>
      </c>
      <c r="D137" s="293">
        <f>IF(C137="","",ROUND(C137*Steuerungsdaten!$B$4*Steuerungsdaten!$B$7*IFERROR(VLOOKUP(IFERROR(INDEX(Aktiv!$C$6:$C$350,MATCH(A137,Aktiv!$A$6:$A$350,0)),""),Steuerungsdaten!$B$17:$C$37,2,FALSE),1)*POWER(IF(OR(IFERROR(INDEX(Aktiv!$E$6:$E$350,MATCH(A137,Aktiv!$A$6:$A$350,0)),0)=0,IFERROR(INDEX(Aktiv!$F$6:$F$350,MATCH(A137,Aktiv!$A$6:$A$350,0)),0)=0),1,(IFERROR(INDEX(Aktiv!$E$6:$E$350,MATCH(A137,Aktiv!$A$6:$A$350,0)),0)*IFERROR(INDEX(Aktiv!$F$6:$F$350,MATCH(A137,Aktiv!$A$6:$A$350,0)),0)/1000000)/Steuerungsdaten!$B$6),IF(ISNUMBER(MATCH(IFERROR(INDEX(Aktiv!$C$6:$C$350,MATCH(A137,Aktiv!$A$6:$A$350,0)),""),{"Boden","Seite außen","Seite außen SY32","Rücken","Seite innen","Seite innen SY32","Seite innen SY32 DB","Fachboden klein","Fachboden groß","Klappenboden"},0)),1.2,1)-1),0))</f>
        <v>220</v>
      </c>
      <c r="E137" s="293" t="str">
        <f>IFERROR(INDEX(Aktiv!$G$6:$G$350,MATCH(A137,Aktiv!$A$6:$A$350,0)),"")</f>
        <v>-</v>
      </c>
      <c r="F137" s="294" t="e">
        <f t="shared" si="16"/>
        <v>#VALUE!</v>
      </c>
      <c r="G137" s="295" t="e">
        <f t="shared" si="17"/>
        <v>#VALUE!</v>
      </c>
      <c r="H137" s="293">
        <f>IF(C137="","",ROUND(C137*Steuerungsdaten!$B$4*Steuerungsdaten!$B$8*IFERROR(VLOOKUP(IFERROR(INDEX(Aktiv!$C$6:$C$350,MATCH(A137,Aktiv!$A$6:$A$350,0)),""),Steuerungsdaten!$B$17:$E$37,4,FALSE),1)*POWER(IF(OR(IFERROR(INDEX(Aktiv!$E$6:$E$350,MATCH(A137,Aktiv!$A$6:$A$350,0)),0)=0,IFERROR(INDEX(Aktiv!$F$6:$F$350,MATCH(A137,Aktiv!$A$6:$A$350,0)),0)=0),1,(IFERROR(INDEX(Aktiv!$E$6:$E$350,MATCH(A137,Aktiv!$A$6:$A$350,0)),0)*IFERROR(INDEX(Aktiv!$F$6:$F$350,MATCH(A137,Aktiv!$A$6:$A$350,0)),0)/1000000)/Steuerungsdaten!$B$6),1-1),0))</f>
        <v>176</v>
      </c>
      <c r="I137" s="293" t="str">
        <f>IFERROR(INDEX(Aktiv!$H$6:$H$350,MATCH(A137,Aktiv!$A$6:$A$350,0)),"")</f>
        <v>-</v>
      </c>
      <c r="J137" s="294" t="e">
        <f t="shared" si="18"/>
        <v>#VALUE!</v>
      </c>
      <c r="K137" s="296" t="e">
        <f t="shared" si="19"/>
        <v>#VALUE!</v>
      </c>
      <c r="L137" s="297">
        <f>IF(C137="","",ROUND(C137*Steuerungsdaten!$B$4*Steuerungsdaten!$B$9*IFERROR(VLOOKUP(IFERROR(INDEX(Aktiv!$C$6:$C$350,MATCH(A137,Aktiv!$A$6:$A$350,0)),""),Steuerungsdaten!$B$17:$G$37,6,FALSE),1)*POWER(IF(OR(IFERROR(INDEX(Aktiv!$E$6:$E$350,MATCH(A137,Aktiv!$A$6:$A$350,0)),0)=0,IFERROR(INDEX(Aktiv!$F$6:$F$350,MATCH(A137,Aktiv!$A$6:$A$350,0)),0)=0),1,(IFERROR(INDEX(Aktiv!$E$6:$E$350,MATCH(A137,Aktiv!$A$6:$A$350,0)),0)*IFERROR(INDEX(Aktiv!$F$6:$F$350,MATCH(A137,Aktiv!$A$6:$A$350,0)),0)/1000000)/Steuerungsdaten!$B$6),1-1),0))</f>
        <v>176</v>
      </c>
      <c r="M137" s="297" t="str">
        <f>IFERROR(INDEX(Aktiv!$I$6:$I$350,MATCH(A137,Aktiv!$A$6:$A$350,0)),"")</f>
        <v>-</v>
      </c>
      <c r="N137" s="298" t="e">
        <f t="shared" si="20"/>
        <v>#VALUE!</v>
      </c>
      <c r="O137" s="296" t="e">
        <f t="shared" si="21"/>
        <v>#VALUE!</v>
      </c>
      <c r="P137" s="297">
        <f>IF(C137="","",ROUND(C137*Steuerungsdaten!$B$4*Steuerungsdaten!$B$10*IFERROR(VLOOKUP(IFERROR(INDEX(Aktiv!$C$6:$C$350,MATCH(A137,Aktiv!$A$6:$A$350,0)),""),Steuerungsdaten!$B$17:$I$37,8,FALSE),1)*POWER(IF(OR(IFERROR(INDEX(Aktiv!$E$6:$E$350,MATCH(A137,Aktiv!$A$6:$A$350,0)),0)=0,IFERROR(INDEX(Aktiv!$F$6:$F$350,MATCH(A137,Aktiv!$A$6:$A$350,0)),0)=0),1,(IFERROR(INDEX(Aktiv!$E$6:$E$350,MATCH(A137,Aktiv!$A$6:$A$350,0)),0)*IFERROR(INDEX(Aktiv!$F$6:$F$350,MATCH(A137,Aktiv!$A$6:$A$350,0)),0)/1000000)/Steuerungsdaten!$B$6),1-1),0))</f>
        <v>192</v>
      </c>
      <c r="Q137" s="297" t="str">
        <f>IFERROR(INDEX(Aktiv!$J$6:$J$350,MATCH(A137,Aktiv!$A$6:$A$350,0)),"")</f>
        <v>-</v>
      </c>
      <c r="R137" s="298" t="e">
        <f t="shared" si="22"/>
        <v>#VALUE!</v>
      </c>
      <c r="S137" s="296" t="e">
        <f t="shared" si="23"/>
        <v>#VALUE!</v>
      </c>
    </row>
    <row r="138" spans="1:19" x14ac:dyDescent="0.25">
      <c r="A138" s="292">
        <v>3614</v>
      </c>
      <c r="B138" s="292" t="s">
        <v>150</v>
      </c>
      <c r="C138" s="293">
        <f>IFERROR(INDEX(Aktiv!$O$6:$O$350,MATCH(A138,Aktiv!$A$6:$A$350,0)),"")</f>
        <v>211</v>
      </c>
      <c r="D138" s="293">
        <f>IF(C138="","",ROUND(C138*Steuerungsdaten!$B$4*Steuerungsdaten!$B$7*IFERROR(VLOOKUP(IFERROR(INDEX(Aktiv!$C$6:$C$350,MATCH(A138,Aktiv!$A$6:$A$350,0)),""),Steuerungsdaten!$B$17:$C$37,2,FALSE),1)*POWER(IF(OR(IFERROR(INDEX(Aktiv!$E$6:$E$350,MATCH(A138,Aktiv!$A$6:$A$350,0)),0)=0,IFERROR(INDEX(Aktiv!$F$6:$F$350,MATCH(A138,Aktiv!$A$6:$A$350,0)),0)=0),1,(IFERROR(INDEX(Aktiv!$E$6:$E$350,MATCH(A138,Aktiv!$A$6:$A$350,0)),0)*IFERROR(INDEX(Aktiv!$F$6:$F$350,MATCH(A138,Aktiv!$A$6:$A$350,0)),0)/1000000)/Steuerungsdaten!$B$6),IF(ISNUMBER(MATCH(IFERROR(INDEX(Aktiv!$C$6:$C$350,MATCH(A138,Aktiv!$A$6:$A$350,0)),""),{"Boden","Seite außen","Seite außen SY32","Rücken","Seite innen","Seite innen SY32","Seite innen SY32 DB","Fachboden klein","Fachboden groß","Klappenboden"},0)),1.2,1)-1),0))</f>
        <v>234</v>
      </c>
      <c r="E138" s="293" t="str">
        <f>IFERROR(INDEX(Aktiv!$G$6:$G$350,MATCH(A138,Aktiv!$A$6:$A$350,0)),"")</f>
        <v>-</v>
      </c>
      <c r="F138" s="294" t="e">
        <f t="shared" si="16"/>
        <v>#VALUE!</v>
      </c>
      <c r="G138" s="295" t="e">
        <f t="shared" si="17"/>
        <v>#VALUE!</v>
      </c>
      <c r="H138" s="293">
        <f>IF(C138="","",ROUND(C138*Steuerungsdaten!$B$4*Steuerungsdaten!$B$8*IFERROR(VLOOKUP(IFERROR(INDEX(Aktiv!$C$6:$C$350,MATCH(A138,Aktiv!$A$6:$A$350,0)),""),Steuerungsdaten!$B$17:$E$37,4,FALSE),1)*POWER(IF(OR(IFERROR(INDEX(Aktiv!$E$6:$E$350,MATCH(A138,Aktiv!$A$6:$A$350,0)),0)=0,IFERROR(INDEX(Aktiv!$F$6:$F$350,MATCH(A138,Aktiv!$A$6:$A$350,0)),0)=0),1,(IFERROR(INDEX(Aktiv!$E$6:$E$350,MATCH(A138,Aktiv!$A$6:$A$350,0)),0)*IFERROR(INDEX(Aktiv!$F$6:$F$350,MATCH(A138,Aktiv!$A$6:$A$350,0)),0)/1000000)/Steuerungsdaten!$B$6),1-1),0))</f>
        <v>186</v>
      </c>
      <c r="I138" s="293" t="str">
        <f>IFERROR(INDEX(Aktiv!$H$6:$H$350,MATCH(A138,Aktiv!$A$6:$A$350,0)),"")</f>
        <v>-</v>
      </c>
      <c r="J138" s="294" t="e">
        <f t="shared" si="18"/>
        <v>#VALUE!</v>
      </c>
      <c r="K138" s="296" t="e">
        <f t="shared" si="19"/>
        <v>#VALUE!</v>
      </c>
      <c r="L138" s="297">
        <f>IF(C138="","",ROUND(C138*Steuerungsdaten!$B$4*Steuerungsdaten!$B$9*IFERROR(VLOOKUP(IFERROR(INDEX(Aktiv!$C$6:$C$350,MATCH(A138,Aktiv!$A$6:$A$350,0)),""),Steuerungsdaten!$B$17:$G$37,6,FALSE),1)*POWER(IF(OR(IFERROR(INDEX(Aktiv!$E$6:$E$350,MATCH(A138,Aktiv!$A$6:$A$350,0)),0)=0,IFERROR(INDEX(Aktiv!$F$6:$F$350,MATCH(A138,Aktiv!$A$6:$A$350,0)),0)=0),1,(IFERROR(INDEX(Aktiv!$E$6:$E$350,MATCH(A138,Aktiv!$A$6:$A$350,0)),0)*IFERROR(INDEX(Aktiv!$F$6:$F$350,MATCH(A138,Aktiv!$A$6:$A$350,0)),0)/1000000)/Steuerungsdaten!$B$6),1-1),0))</f>
        <v>186</v>
      </c>
      <c r="M138" s="297" t="str">
        <f>IFERROR(INDEX(Aktiv!$I$6:$I$350,MATCH(A138,Aktiv!$A$6:$A$350,0)),"")</f>
        <v>-</v>
      </c>
      <c r="N138" s="298" t="e">
        <f t="shared" si="20"/>
        <v>#VALUE!</v>
      </c>
      <c r="O138" s="296" t="e">
        <f t="shared" si="21"/>
        <v>#VALUE!</v>
      </c>
      <c r="P138" s="297">
        <f>IF(C138="","",ROUND(C138*Steuerungsdaten!$B$4*Steuerungsdaten!$B$10*IFERROR(VLOOKUP(IFERROR(INDEX(Aktiv!$C$6:$C$350,MATCH(A138,Aktiv!$A$6:$A$350,0)),""),Steuerungsdaten!$B$17:$I$37,8,FALSE),1)*POWER(IF(OR(IFERROR(INDEX(Aktiv!$E$6:$E$350,MATCH(A138,Aktiv!$A$6:$A$350,0)),0)=0,IFERROR(INDEX(Aktiv!$F$6:$F$350,MATCH(A138,Aktiv!$A$6:$A$350,0)),0)=0),1,(IFERROR(INDEX(Aktiv!$E$6:$E$350,MATCH(A138,Aktiv!$A$6:$A$350,0)),0)*IFERROR(INDEX(Aktiv!$F$6:$F$350,MATCH(A138,Aktiv!$A$6:$A$350,0)),0)/1000000)/Steuerungsdaten!$B$6),1-1),0))</f>
        <v>203</v>
      </c>
      <c r="Q138" s="297" t="str">
        <f>IFERROR(INDEX(Aktiv!$J$6:$J$350,MATCH(A138,Aktiv!$A$6:$A$350,0)),"")</f>
        <v>-</v>
      </c>
      <c r="R138" s="298" t="e">
        <f t="shared" si="22"/>
        <v>#VALUE!</v>
      </c>
      <c r="S138" s="296" t="e">
        <f t="shared" si="23"/>
        <v>#VALUE!</v>
      </c>
    </row>
    <row r="139" spans="1:19" x14ac:dyDescent="0.25">
      <c r="A139" s="292">
        <v>3615</v>
      </c>
      <c r="B139" s="292" t="s">
        <v>151</v>
      </c>
      <c r="C139" s="293">
        <f>IFERROR(INDEX(Aktiv!$O$6:$O$350,MATCH(A139,Aktiv!$A$6:$A$350,0)),"")</f>
        <v>264</v>
      </c>
      <c r="D139" s="293">
        <f>IF(C139="","",ROUND(C139*Steuerungsdaten!$B$4*Steuerungsdaten!$B$7*IFERROR(VLOOKUP(IFERROR(INDEX(Aktiv!$C$6:$C$350,MATCH(A139,Aktiv!$A$6:$A$350,0)),""),Steuerungsdaten!$B$17:$C$37,2,FALSE),1)*POWER(IF(OR(IFERROR(INDEX(Aktiv!$E$6:$E$350,MATCH(A139,Aktiv!$A$6:$A$350,0)),0)=0,IFERROR(INDEX(Aktiv!$F$6:$F$350,MATCH(A139,Aktiv!$A$6:$A$350,0)),0)=0),1,(IFERROR(INDEX(Aktiv!$E$6:$E$350,MATCH(A139,Aktiv!$A$6:$A$350,0)),0)*IFERROR(INDEX(Aktiv!$F$6:$F$350,MATCH(A139,Aktiv!$A$6:$A$350,0)),0)/1000000)/Steuerungsdaten!$B$6),IF(ISNUMBER(MATCH(IFERROR(INDEX(Aktiv!$C$6:$C$350,MATCH(A139,Aktiv!$A$6:$A$350,0)),""),{"Boden","Seite außen","Seite außen SY32","Rücken","Seite innen","Seite innen SY32","Seite innen SY32 DB","Fachboden klein","Fachboden groß","Klappenboden"},0)),1.2,1)-1),0))</f>
        <v>307</v>
      </c>
      <c r="E139" s="293" t="str">
        <f>IFERROR(INDEX(Aktiv!$G$6:$G$350,MATCH(A139,Aktiv!$A$6:$A$350,0)),"")</f>
        <v>-</v>
      </c>
      <c r="F139" s="294" t="e">
        <f t="shared" si="16"/>
        <v>#VALUE!</v>
      </c>
      <c r="G139" s="295" t="e">
        <f t="shared" si="17"/>
        <v>#VALUE!</v>
      </c>
      <c r="H139" s="293">
        <f>IF(C139="","",ROUND(C139*Steuerungsdaten!$B$4*Steuerungsdaten!$B$8*IFERROR(VLOOKUP(IFERROR(INDEX(Aktiv!$C$6:$C$350,MATCH(A139,Aktiv!$A$6:$A$350,0)),""),Steuerungsdaten!$B$17:$E$37,4,FALSE),1)*POWER(IF(OR(IFERROR(INDEX(Aktiv!$E$6:$E$350,MATCH(A139,Aktiv!$A$6:$A$350,0)),0)=0,IFERROR(INDEX(Aktiv!$F$6:$F$350,MATCH(A139,Aktiv!$A$6:$A$350,0)),0)=0),1,(IFERROR(INDEX(Aktiv!$E$6:$E$350,MATCH(A139,Aktiv!$A$6:$A$350,0)),0)*IFERROR(INDEX(Aktiv!$F$6:$F$350,MATCH(A139,Aktiv!$A$6:$A$350,0)),0)/1000000)/Steuerungsdaten!$B$6),1-1),0))</f>
        <v>232</v>
      </c>
      <c r="I139" s="293" t="str">
        <f>IFERROR(INDEX(Aktiv!$H$6:$H$350,MATCH(A139,Aktiv!$A$6:$A$350,0)),"")</f>
        <v>-</v>
      </c>
      <c r="J139" s="294" t="e">
        <f t="shared" si="18"/>
        <v>#VALUE!</v>
      </c>
      <c r="K139" s="296" t="e">
        <f t="shared" si="19"/>
        <v>#VALUE!</v>
      </c>
      <c r="L139" s="297">
        <f>IF(C139="","",ROUND(C139*Steuerungsdaten!$B$4*Steuerungsdaten!$B$9*IFERROR(VLOOKUP(IFERROR(INDEX(Aktiv!$C$6:$C$350,MATCH(A139,Aktiv!$A$6:$A$350,0)),""),Steuerungsdaten!$B$17:$G$37,6,FALSE),1)*POWER(IF(OR(IFERROR(INDEX(Aktiv!$E$6:$E$350,MATCH(A139,Aktiv!$A$6:$A$350,0)),0)=0,IFERROR(INDEX(Aktiv!$F$6:$F$350,MATCH(A139,Aktiv!$A$6:$A$350,0)),0)=0),1,(IFERROR(INDEX(Aktiv!$E$6:$E$350,MATCH(A139,Aktiv!$A$6:$A$350,0)),0)*IFERROR(INDEX(Aktiv!$F$6:$F$350,MATCH(A139,Aktiv!$A$6:$A$350,0)),0)/1000000)/Steuerungsdaten!$B$6),1-1),0))</f>
        <v>232</v>
      </c>
      <c r="M139" s="297" t="str">
        <f>IFERROR(INDEX(Aktiv!$I$6:$I$350,MATCH(A139,Aktiv!$A$6:$A$350,0)),"")</f>
        <v>-</v>
      </c>
      <c r="N139" s="298" t="e">
        <f t="shared" si="20"/>
        <v>#VALUE!</v>
      </c>
      <c r="O139" s="296" t="e">
        <f t="shared" si="21"/>
        <v>#VALUE!</v>
      </c>
      <c r="P139" s="297">
        <f>IF(C139="","",ROUND(C139*Steuerungsdaten!$B$4*Steuerungsdaten!$B$10*IFERROR(VLOOKUP(IFERROR(INDEX(Aktiv!$C$6:$C$350,MATCH(A139,Aktiv!$A$6:$A$350,0)),""),Steuerungsdaten!$B$17:$I$37,8,FALSE),1)*POWER(IF(OR(IFERROR(INDEX(Aktiv!$E$6:$E$350,MATCH(A139,Aktiv!$A$6:$A$350,0)),0)=0,IFERROR(INDEX(Aktiv!$F$6:$F$350,MATCH(A139,Aktiv!$A$6:$A$350,0)),0)=0),1,(IFERROR(INDEX(Aktiv!$E$6:$E$350,MATCH(A139,Aktiv!$A$6:$A$350,0)),0)*IFERROR(INDEX(Aktiv!$F$6:$F$350,MATCH(A139,Aktiv!$A$6:$A$350,0)),0)/1000000)/Steuerungsdaten!$B$6),1-1),0))</f>
        <v>253</v>
      </c>
      <c r="Q139" s="297" t="str">
        <f>IFERROR(INDEX(Aktiv!$J$6:$J$350,MATCH(A139,Aktiv!$A$6:$A$350,0)),"")</f>
        <v>-</v>
      </c>
      <c r="R139" s="298" t="e">
        <f t="shared" si="22"/>
        <v>#VALUE!</v>
      </c>
      <c r="S139" s="296" t="e">
        <f t="shared" si="23"/>
        <v>#VALUE!</v>
      </c>
    </row>
    <row r="140" spans="1:19" x14ac:dyDescent="0.25">
      <c r="A140" s="292">
        <v>3616</v>
      </c>
      <c r="B140" s="292" t="s">
        <v>152</v>
      </c>
      <c r="C140" s="293">
        <f>IFERROR(INDEX(Aktiv!$O$6:$O$350,MATCH(A140,Aktiv!$A$6:$A$350,0)),"")</f>
        <v>264</v>
      </c>
      <c r="D140" s="293">
        <f>IF(C140="","",ROUND(C140*Steuerungsdaten!$B$4*Steuerungsdaten!$B$7*IFERROR(VLOOKUP(IFERROR(INDEX(Aktiv!$C$6:$C$350,MATCH(A140,Aktiv!$A$6:$A$350,0)),""),Steuerungsdaten!$B$17:$C$37,2,FALSE),1)*POWER(IF(OR(IFERROR(INDEX(Aktiv!$E$6:$E$350,MATCH(A140,Aktiv!$A$6:$A$350,0)),0)=0,IFERROR(INDEX(Aktiv!$F$6:$F$350,MATCH(A140,Aktiv!$A$6:$A$350,0)),0)=0),1,(IFERROR(INDEX(Aktiv!$E$6:$E$350,MATCH(A140,Aktiv!$A$6:$A$350,0)),0)*IFERROR(INDEX(Aktiv!$F$6:$F$350,MATCH(A140,Aktiv!$A$6:$A$350,0)),0)/1000000)/Steuerungsdaten!$B$6),IF(ISNUMBER(MATCH(IFERROR(INDEX(Aktiv!$C$6:$C$350,MATCH(A140,Aktiv!$A$6:$A$350,0)),""),{"Boden","Seite außen","Seite außen SY32","Rücken","Seite innen","Seite innen SY32","Seite innen SY32 DB","Fachboden klein","Fachboden groß","Klappenboden"},0)),1.2,1)-1),0))</f>
        <v>307</v>
      </c>
      <c r="E140" s="293" t="str">
        <f>IFERROR(INDEX(Aktiv!$G$6:$G$350,MATCH(A140,Aktiv!$A$6:$A$350,0)),"")</f>
        <v>-</v>
      </c>
      <c r="F140" s="294" t="e">
        <f t="shared" si="16"/>
        <v>#VALUE!</v>
      </c>
      <c r="G140" s="295" t="e">
        <f t="shared" si="17"/>
        <v>#VALUE!</v>
      </c>
      <c r="H140" s="293">
        <f>IF(C140="","",ROUND(C140*Steuerungsdaten!$B$4*Steuerungsdaten!$B$8*IFERROR(VLOOKUP(IFERROR(INDEX(Aktiv!$C$6:$C$350,MATCH(A140,Aktiv!$A$6:$A$350,0)),""),Steuerungsdaten!$B$17:$E$37,4,FALSE),1)*POWER(IF(OR(IFERROR(INDEX(Aktiv!$E$6:$E$350,MATCH(A140,Aktiv!$A$6:$A$350,0)),0)=0,IFERROR(INDEX(Aktiv!$F$6:$F$350,MATCH(A140,Aktiv!$A$6:$A$350,0)),0)=0),1,(IFERROR(INDEX(Aktiv!$E$6:$E$350,MATCH(A140,Aktiv!$A$6:$A$350,0)),0)*IFERROR(INDEX(Aktiv!$F$6:$F$350,MATCH(A140,Aktiv!$A$6:$A$350,0)),0)/1000000)/Steuerungsdaten!$B$6),1-1),0))</f>
        <v>232</v>
      </c>
      <c r="I140" s="293" t="str">
        <f>IFERROR(INDEX(Aktiv!$H$6:$H$350,MATCH(A140,Aktiv!$A$6:$A$350,0)),"")</f>
        <v>-</v>
      </c>
      <c r="J140" s="294" t="e">
        <f t="shared" si="18"/>
        <v>#VALUE!</v>
      </c>
      <c r="K140" s="296" t="e">
        <f t="shared" si="19"/>
        <v>#VALUE!</v>
      </c>
      <c r="L140" s="297">
        <f>IF(C140="","",ROUND(C140*Steuerungsdaten!$B$4*Steuerungsdaten!$B$9*IFERROR(VLOOKUP(IFERROR(INDEX(Aktiv!$C$6:$C$350,MATCH(A140,Aktiv!$A$6:$A$350,0)),""),Steuerungsdaten!$B$17:$G$37,6,FALSE),1)*POWER(IF(OR(IFERROR(INDEX(Aktiv!$E$6:$E$350,MATCH(A140,Aktiv!$A$6:$A$350,0)),0)=0,IFERROR(INDEX(Aktiv!$F$6:$F$350,MATCH(A140,Aktiv!$A$6:$A$350,0)),0)=0),1,(IFERROR(INDEX(Aktiv!$E$6:$E$350,MATCH(A140,Aktiv!$A$6:$A$350,0)),0)*IFERROR(INDEX(Aktiv!$F$6:$F$350,MATCH(A140,Aktiv!$A$6:$A$350,0)),0)/1000000)/Steuerungsdaten!$B$6),1-1),0))</f>
        <v>232</v>
      </c>
      <c r="M140" s="297" t="str">
        <f>IFERROR(INDEX(Aktiv!$I$6:$I$350,MATCH(A140,Aktiv!$A$6:$A$350,0)),"")</f>
        <v>-</v>
      </c>
      <c r="N140" s="298" t="e">
        <f t="shared" si="20"/>
        <v>#VALUE!</v>
      </c>
      <c r="O140" s="296" t="e">
        <f t="shared" si="21"/>
        <v>#VALUE!</v>
      </c>
      <c r="P140" s="297">
        <f>IF(C140="","",ROUND(C140*Steuerungsdaten!$B$4*Steuerungsdaten!$B$10*IFERROR(VLOOKUP(IFERROR(INDEX(Aktiv!$C$6:$C$350,MATCH(A140,Aktiv!$A$6:$A$350,0)),""),Steuerungsdaten!$B$17:$I$37,8,FALSE),1)*POWER(IF(OR(IFERROR(INDEX(Aktiv!$E$6:$E$350,MATCH(A140,Aktiv!$A$6:$A$350,0)),0)=0,IFERROR(INDEX(Aktiv!$F$6:$F$350,MATCH(A140,Aktiv!$A$6:$A$350,0)),0)=0),1,(IFERROR(INDEX(Aktiv!$E$6:$E$350,MATCH(A140,Aktiv!$A$6:$A$350,0)),0)*IFERROR(INDEX(Aktiv!$F$6:$F$350,MATCH(A140,Aktiv!$A$6:$A$350,0)),0)/1000000)/Steuerungsdaten!$B$6),1-1),0))</f>
        <v>253</v>
      </c>
      <c r="Q140" s="297" t="str">
        <f>IFERROR(INDEX(Aktiv!$J$6:$J$350,MATCH(A140,Aktiv!$A$6:$A$350,0)),"")</f>
        <v>-</v>
      </c>
      <c r="R140" s="298" t="e">
        <f t="shared" si="22"/>
        <v>#VALUE!</v>
      </c>
      <c r="S140" s="296" t="e">
        <f t="shared" si="23"/>
        <v>#VALUE!</v>
      </c>
    </row>
    <row r="141" spans="1:19" x14ac:dyDescent="0.25">
      <c r="A141" s="292">
        <v>3617</v>
      </c>
      <c r="B141" s="292" t="s">
        <v>153</v>
      </c>
      <c r="C141" s="293">
        <f>IFERROR(INDEX(Aktiv!$O$6:$O$350,MATCH(A141,Aktiv!$A$6:$A$350,0)),"")</f>
        <v>329</v>
      </c>
      <c r="D141" s="293">
        <f>IF(C141="","",ROUND(C141*Steuerungsdaten!$B$4*Steuerungsdaten!$B$7*IFERROR(VLOOKUP(IFERROR(INDEX(Aktiv!$C$6:$C$350,MATCH(A141,Aktiv!$A$6:$A$350,0)),""),Steuerungsdaten!$B$17:$C$37,2,FALSE),1)*POWER(IF(OR(IFERROR(INDEX(Aktiv!$E$6:$E$350,MATCH(A141,Aktiv!$A$6:$A$350,0)),0)=0,IFERROR(INDEX(Aktiv!$F$6:$F$350,MATCH(A141,Aktiv!$A$6:$A$350,0)),0)=0),1,(IFERROR(INDEX(Aktiv!$E$6:$E$350,MATCH(A141,Aktiv!$A$6:$A$350,0)),0)*IFERROR(INDEX(Aktiv!$F$6:$F$350,MATCH(A141,Aktiv!$A$6:$A$350,0)),0)/1000000)/Steuerungsdaten!$B$6),IF(ISNUMBER(MATCH(IFERROR(INDEX(Aktiv!$C$6:$C$350,MATCH(A141,Aktiv!$A$6:$A$350,0)),""),{"Boden","Seite außen","Seite außen SY32","Rücken","Seite innen","Seite innen SY32","Seite innen SY32 DB","Fachboden klein","Fachboden groß","Klappenboden"},0)),1.2,1)-1),0))</f>
        <v>400</v>
      </c>
      <c r="E141" s="293" t="str">
        <f>IFERROR(INDEX(Aktiv!$G$6:$G$350,MATCH(A141,Aktiv!$A$6:$A$350,0)),"")</f>
        <v>-</v>
      </c>
      <c r="F141" s="294" t="e">
        <f t="shared" si="16"/>
        <v>#VALUE!</v>
      </c>
      <c r="G141" s="295" t="e">
        <f t="shared" si="17"/>
        <v>#VALUE!</v>
      </c>
      <c r="H141" s="293">
        <f>IF(C141="","",ROUND(C141*Steuerungsdaten!$B$4*Steuerungsdaten!$B$8*IFERROR(VLOOKUP(IFERROR(INDEX(Aktiv!$C$6:$C$350,MATCH(A141,Aktiv!$A$6:$A$350,0)),""),Steuerungsdaten!$B$17:$E$37,4,FALSE),1)*POWER(IF(OR(IFERROR(INDEX(Aktiv!$E$6:$E$350,MATCH(A141,Aktiv!$A$6:$A$350,0)),0)=0,IFERROR(INDEX(Aktiv!$F$6:$F$350,MATCH(A141,Aktiv!$A$6:$A$350,0)),0)=0),1,(IFERROR(INDEX(Aktiv!$E$6:$E$350,MATCH(A141,Aktiv!$A$6:$A$350,0)),0)*IFERROR(INDEX(Aktiv!$F$6:$F$350,MATCH(A141,Aktiv!$A$6:$A$350,0)),0)/1000000)/Steuerungsdaten!$B$6),1-1),0))</f>
        <v>290</v>
      </c>
      <c r="I141" s="293" t="str">
        <f>IFERROR(INDEX(Aktiv!$H$6:$H$350,MATCH(A141,Aktiv!$A$6:$A$350,0)),"")</f>
        <v>-</v>
      </c>
      <c r="J141" s="294" t="e">
        <f t="shared" si="18"/>
        <v>#VALUE!</v>
      </c>
      <c r="K141" s="296" t="e">
        <f t="shared" si="19"/>
        <v>#VALUE!</v>
      </c>
      <c r="L141" s="297">
        <f>IF(C141="","",ROUND(C141*Steuerungsdaten!$B$4*Steuerungsdaten!$B$9*IFERROR(VLOOKUP(IFERROR(INDEX(Aktiv!$C$6:$C$350,MATCH(A141,Aktiv!$A$6:$A$350,0)),""),Steuerungsdaten!$B$17:$G$37,6,FALSE),1)*POWER(IF(OR(IFERROR(INDEX(Aktiv!$E$6:$E$350,MATCH(A141,Aktiv!$A$6:$A$350,0)),0)=0,IFERROR(INDEX(Aktiv!$F$6:$F$350,MATCH(A141,Aktiv!$A$6:$A$350,0)),0)=0),1,(IFERROR(INDEX(Aktiv!$E$6:$E$350,MATCH(A141,Aktiv!$A$6:$A$350,0)),0)*IFERROR(INDEX(Aktiv!$F$6:$F$350,MATCH(A141,Aktiv!$A$6:$A$350,0)),0)/1000000)/Steuerungsdaten!$B$6),1-1),0))</f>
        <v>290</v>
      </c>
      <c r="M141" s="297" t="str">
        <f>IFERROR(INDEX(Aktiv!$I$6:$I$350,MATCH(A141,Aktiv!$A$6:$A$350,0)),"")</f>
        <v>-</v>
      </c>
      <c r="N141" s="298" t="e">
        <f t="shared" si="20"/>
        <v>#VALUE!</v>
      </c>
      <c r="O141" s="296" t="e">
        <f t="shared" si="21"/>
        <v>#VALUE!</v>
      </c>
      <c r="P141" s="297">
        <f>IF(C141="","",ROUND(C141*Steuerungsdaten!$B$4*Steuerungsdaten!$B$10*IFERROR(VLOOKUP(IFERROR(INDEX(Aktiv!$C$6:$C$350,MATCH(A141,Aktiv!$A$6:$A$350,0)),""),Steuerungsdaten!$B$17:$I$37,8,FALSE),1)*POWER(IF(OR(IFERROR(INDEX(Aktiv!$E$6:$E$350,MATCH(A141,Aktiv!$A$6:$A$350,0)),0)=0,IFERROR(INDEX(Aktiv!$F$6:$F$350,MATCH(A141,Aktiv!$A$6:$A$350,0)),0)=0),1,(IFERROR(INDEX(Aktiv!$E$6:$E$350,MATCH(A141,Aktiv!$A$6:$A$350,0)),0)*IFERROR(INDEX(Aktiv!$F$6:$F$350,MATCH(A141,Aktiv!$A$6:$A$350,0)),0)/1000000)/Steuerungsdaten!$B$6),1-1),0))</f>
        <v>316</v>
      </c>
      <c r="Q141" s="297" t="str">
        <f>IFERROR(INDEX(Aktiv!$J$6:$J$350,MATCH(A141,Aktiv!$A$6:$A$350,0)),"")</f>
        <v>-</v>
      </c>
      <c r="R141" s="298" t="e">
        <f t="shared" si="22"/>
        <v>#VALUE!</v>
      </c>
      <c r="S141" s="296" t="e">
        <f t="shared" si="23"/>
        <v>#VALUE!</v>
      </c>
    </row>
    <row r="142" spans="1:19" x14ac:dyDescent="0.25">
      <c r="A142" s="292">
        <v>3620</v>
      </c>
      <c r="B142" s="292" t="s">
        <v>155</v>
      </c>
      <c r="C142" s="293">
        <f>IFERROR(INDEX(Aktiv!$O$6:$O$350,MATCH(A142,Aktiv!$A$6:$A$350,0)),"")</f>
        <v>34</v>
      </c>
      <c r="D142" s="293">
        <f>IF(C142="","",ROUND(C142*Steuerungsdaten!$B$4*Steuerungsdaten!$B$7*IFERROR(VLOOKUP(IFERROR(INDEX(Aktiv!$C$6:$C$350,MATCH(A142,Aktiv!$A$6:$A$350,0)),""),Steuerungsdaten!$B$17:$C$37,2,FALSE),1)*POWER(IF(OR(IFERROR(INDEX(Aktiv!$E$6:$E$350,MATCH(A142,Aktiv!$A$6:$A$350,0)),0)=0,IFERROR(INDEX(Aktiv!$F$6:$F$350,MATCH(A142,Aktiv!$A$6:$A$350,0)),0)=0),1,(IFERROR(INDEX(Aktiv!$E$6:$E$350,MATCH(A142,Aktiv!$A$6:$A$350,0)),0)*IFERROR(INDEX(Aktiv!$F$6:$F$350,MATCH(A142,Aktiv!$A$6:$A$350,0)),0)/1000000)/Steuerungsdaten!$B$6),IF(ISNUMBER(MATCH(IFERROR(INDEX(Aktiv!$C$6:$C$350,MATCH(A142,Aktiv!$A$6:$A$350,0)),""),{"Boden","Seite außen","Seite außen SY32","Rücken","Seite innen","Seite innen SY32","Seite innen SY32 DB","Fachboden klein","Fachboden groß","Klappenboden"},0)),1.2,1)-1),0))</f>
        <v>25</v>
      </c>
      <c r="E142" s="293">
        <f>IFERROR(INDEX(Aktiv!$G$6:$G$350,MATCH(A142,Aktiv!$A$6:$A$350,0)),"")</f>
        <v>25</v>
      </c>
      <c r="F142" s="294">
        <f t="shared" si="16"/>
        <v>0</v>
      </c>
      <c r="G142" s="295">
        <f t="shared" si="17"/>
        <v>0</v>
      </c>
      <c r="H142" s="293">
        <f>IF(C142="","",ROUND(C142*Steuerungsdaten!$B$4*Steuerungsdaten!$B$8*IFERROR(VLOOKUP(IFERROR(INDEX(Aktiv!$C$6:$C$350,MATCH(A142,Aktiv!$A$6:$A$350,0)),""),Steuerungsdaten!$B$17:$E$37,4,FALSE),1)*POWER(IF(OR(IFERROR(INDEX(Aktiv!$E$6:$E$350,MATCH(A142,Aktiv!$A$6:$A$350,0)),0)=0,IFERROR(INDEX(Aktiv!$F$6:$F$350,MATCH(A142,Aktiv!$A$6:$A$350,0)),0)=0),1,(IFERROR(INDEX(Aktiv!$E$6:$E$350,MATCH(A142,Aktiv!$A$6:$A$350,0)),0)*IFERROR(INDEX(Aktiv!$F$6:$F$350,MATCH(A142,Aktiv!$A$6:$A$350,0)),0)/1000000)/Steuerungsdaten!$B$6),1-1),0))</f>
        <v>30</v>
      </c>
      <c r="I142" s="293">
        <f>IFERROR(INDEX(Aktiv!$H$6:$H$350,MATCH(A142,Aktiv!$A$6:$A$350,0)),"")</f>
        <v>103</v>
      </c>
      <c r="J142" s="294">
        <f t="shared" si="18"/>
        <v>73</v>
      </c>
      <c r="K142" s="296">
        <f t="shared" si="19"/>
        <v>2.4333333333333331</v>
      </c>
      <c r="L142" s="297">
        <f>IF(C142="","",ROUND(C142*Steuerungsdaten!$B$4*Steuerungsdaten!$B$9*IFERROR(VLOOKUP(IFERROR(INDEX(Aktiv!$C$6:$C$350,MATCH(A142,Aktiv!$A$6:$A$350,0)),""),Steuerungsdaten!$B$17:$G$37,6,FALSE),1)*POWER(IF(OR(IFERROR(INDEX(Aktiv!$E$6:$E$350,MATCH(A142,Aktiv!$A$6:$A$350,0)),0)=0,IFERROR(INDEX(Aktiv!$F$6:$F$350,MATCH(A142,Aktiv!$A$6:$A$350,0)),0)=0),1,(IFERROR(INDEX(Aktiv!$E$6:$E$350,MATCH(A142,Aktiv!$A$6:$A$350,0)),0)*IFERROR(INDEX(Aktiv!$F$6:$F$350,MATCH(A142,Aktiv!$A$6:$A$350,0)),0)/1000000)/Steuerungsdaten!$B$6),1-1),0))</f>
        <v>30</v>
      </c>
      <c r="M142" s="297">
        <f>IFERROR(INDEX(Aktiv!$I$6:$I$350,MATCH(A142,Aktiv!$A$6:$A$350,0)),"")</f>
        <v>120</v>
      </c>
      <c r="N142" s="298">
        <f t="shared" si="20"/>
        <v>90</v>
      </c>
      <c r="O142" s="296">
        <f t="shared" si="21"/>
        <v>3</v>
      </c>
      <c r="P142" s="297">
        <f>IF(C142="","",ROUND(C142*Steuerungsdaten!$B$4*Steuerungsdaten!$B$10*IFERROR(VLOOKUP(IFERROR(INDEX(Aktiv!$C$6:$C$350,MATCH(A142,Aktiv!$A$6:$A$350,0)),""),Steuerungsdaten!$B$17:$I$37,8,FALSE),1)*POWER(IF(OR(IFERROR(INDEX(Aktiv!$E$6:$E$350,MATCH(A142,Aktiv!$A$6:$A$350,0)),0)=0,IFERROR(INDEX(Aktiv!$F$6:$F$350,MATCH(A142,Aktiv!$A$6:$A$350,0)),0)=0),1,(IFERROR(INDEX(Aktiv!$E$6:$E$350,MATCH(A142,Aktiv!$A$6:$A$350,0)),0)*IFERROR(INDEX(Aktiv!$F$6:$F$350,MATCH(A142,Aktiv!$A$6:$A$350,0)),0)/1000000)/Steuerungsdaten!$B$6),1-1),0))</f>
        <v>33</v>
      </c>
      <c r="Q142" s="297">
        <f>IFERROR(INDEX(Aktiv!$J$6:$J$350,MATCH(A142,Aktiv!$A$6:$A$350,0)),"")</f>
        <v>145</v>
      </c>
      <c r="R142" s="298">
        <f t="shared" si="22"/>
        <v>112</v>
      </c>
      <c r="S142" s="296">
        <f t="shared" si="23"/>
        <v>3.393939393939394</v>
      </c>
    </row>
    <row r="143" spans="1:19" x14ac:dyDescent="0.25">
      <c r="A143" s="292">
        <v>3621</v>
      </c>
      <c r="B143" s="292" t="s">
        <v>156</v>
      </c>
      <c r="C143" s="293">
        <f>IFERROR(INDEX(Aktiv!$O$6:$O$350,MATCH(A143,Aktiv!$A$6:$A$350,0)),"")</f>
        <v>52</v>
      </c>
      <c r="D143" s="293">
        <f>IF(C143="","",ROUND(C143*Steuerungsdaten!$B$4*Steuerungsdaten!$B$7*IFERROR(VLOOKUP(IFERROR(INDEX(Aktiv!$C$6:$C$350,MATCH(A143,Aktiv!$A$6:$A$350,0)),""),Steuerungsdaten!$B$17:$C$37,2,FALSE),1)*POWER(IF(OR(IFERROR(INDEX(Aktiv!$E$6:$E$350,MATCH(A143,Aktiv!$A$6:$A$350,0)),0)=0,IFERROR(INDEX(Aktiv!$F$6:$F$350,MATCH(A143,Aktiv!$A$6:$A$350,0)),0)=0),1,(IFERROR(INDEX(Aktiv!$E$6:$E$350,MATCH(A143,Aktiv!$A$6:$A$350,0)),0)*IFERROR(INDEX(Aktiv!$F$6:$F$350,MATCH(A143,Aktiv!$A$6:$A$350,0)),0)/1000000)/Steuerungsdaten!$B$6),IF(ISNUMBER(MATCH(IFERROR(INDEX(Aktiv!$C$6:$C$350,MATCH(A143,Aktiv!$A$6:$A$350,0)),""),{"Boden","Seite außen","Seite außen SY32","Rücken","Seite innen","Seite innen SY32","Seite innen SY32 DB","Fachboden klein","Fachboden groß","Klappenboden"},0)),1.2,1)-1),0))</f>
        <v>43</v>
      </c>
      <c r="E143" s="293">
        <f>IFERROR(INDEX(Aktiv!$G$6:$G$350,MATCH(A143,Aktiv!$A$6:$A$350,0)),"")</f>
        <v>46</v>
      </c>
      <c r="F143" s="294">
        <f t="shared" si="16"/>
        <v>3</v>
      </c>
      <c r="G143" s="295">
        <f t="shared" si="17"/>
        <v>6.9767441860465115E-2</v>
      </c>
      <c r="H143" s="293">
        <f>IF(C143="","",ROUND(C143*Steuerungsdaten!$B$4*Steuerungsdaten!$B$8*IFERROR(VLOOKUP(IFERROR(INDEX(Aktiv!$C$6:$C$350,MATCH(A143,Aktiv!$A$6:$A$350,0)),""),Steuerungsdaten!$B$17:$E$37,4,FALSE),1)*POWER(IF(OR(IFERROR(INDEX(Aktiv!$E$6:$E$350,MATCH(A143,Aktiv!$A$6:$A$350,0)),0)=0,IFERROR(INDEX(Aktiv!$F$6:$F$350,MATCH(A143,Aktiv!$A$6:$A$350,0)),0)=0),1,(IFERROR(INDEX(Aktiv!$E$6:$E$350,MATCH(A143,Aktiv!$A$6:$A$350,0)),0)*IFERROR(INDEX(Aktiv!$F$6:$F$350,MATCH(A143,Aktiv!$A$6:$A$350,0)),0)/1000000)/Steuerungsdaten!$B$6),1-1),0))</f>
        <v>46</v>
      </c>
      <c r="I143" s="293">
        <f>IFERROR(INDEX(Aktiv!$H$6:$H$350,MATCH(A143,Aktiv!$A$6:$A$350,0)),"")</f>
        <v>156</v>
      </c>
      <c r="J143" s="294">
        <f t="shared" si="18"/>
        <v>110</v>
      </c>
      <c r="K143" s="296">
        <f t="shared" si="19"/>
        <v>2.3913043478260869</v>
      </c>
      <c r="L143" s="297">
        <f>IF(C143="","",ROUND(C143*Steuerungsdaten!$B$4*Steuerungsdaten!$B$9*IFERROR(VLOOKUP(IFERROR(INDEX(Aktiv!$C$6:$C$350,MATCH(A143,Aktiv!$A$6:$A$350,0)),""),Steuerungsdaten!$B$17:$G$37,6,FALSE),1)*POWER(IF(OR(IFERROR(INDEX(Aktiv!$E$6:$E$350,MATCH(A143,Aktiv!$A$6:$A$350,0)),0)=0,IFERROR(INDEX(Aktiv!$F$6:$F$350,MATCH(A143,Aktiv!$A$6:$A$350,0)),0)=0),1,(IFERROR(INDEX(Aktiv!$E$6:$E$350,MATCH(A143,Aktiv!$A$6:$A$350,0)),0)*IFERROR(INDEX(Aktiv!$F$6:$F$350,MATCH(A143,Aktiv!$A$6:$A$350,0)),0)/1000000)/Steuerungsdaten!$B$6),1-1),0))</f>
        <v>46</v>
      </c>
      <c r="M143" s="297">
        <f>IFERROR(INDEX(Aktiv!$I$6:$I$350,MATCH(A143,Aktiv!$A$6:$A$350,0)),"")</f>
        <v>163</v>
      </c>
      <c r="N143" s="298">
        <f t="shared" si="20"/>
        <v>117</v>
      </c>
      <c r="O143" s="296">
        <f t="shared" si="21"/>
        <v>2.5434782608695654</v>
      </c>
      <c r="P143" s="297">
        <f>IF(C143="","",ROUND(C143*Steuerungsdaten!$B$4*Steuerungsdaten!$B$10*IFERROR(VLOOKUP(IFERROR(INDEX(Aktiv!$C$6:$C$350,MATCH(A143,Aktiv!$A$6:$A$350,0)),""),Steuerungsdaten!$B$17:$I$37,8,FALSE),1)*POWER(IF(OR(IFERROR(INDEX(Aktiv!$E$6:$E$350,MATCH(A143,Aktiv!$A$6:$A$350,0)),0)=0,IFERROR(INDEX(Aktiv!$F$6:$F$350,MATCH(A143,Aktiv!$A$6:$A$350,0)),0)=0),1,(IFERROR(INDEX(Aktiv!$E$6:$E$350,MATCH(A143,Aktiv!$A$6:$A$350,0)),0)*IFERROR(INDEX(Aktiv!$F$6:$F$350,MATCH(A143,Aktiv!$A$6:$A$350,0)),0)/1000000)/Steuerungsdaten!$B$6),1-1),0))</f>
        <v>50</v>
      </c>
      <c r="Q143" s="297">
        <f>IFERROR(INDEX(Aktiv!$J$6:$J$350,MATCH(A143,Aktiv!$A$6:$A$350,0)),"")</f>
        <v>181</v>
      </c>
      <c r="R143" s="298">
        <f t="shared" si="22"/>
        <v>131</v>
      </c>
      <c r="S143" s="296">
        <f t="shared" si="23"/>
        <v>2.62</v>
      </c>
    </row>
    <row r="144" spans="1:19" x14ac:dyDescent="0.25">
      <c r="A144" s="292">
        <v>3622</v>
      </c>
      <c r="B144" s="292" t="s">
        <v>157</v>
      </c>
      <c r="C144" s="293">
        <f>IFERROR(INDEX(Aktiv!$O$6:$O$350,MATCH(A144,Aktiv!$A$6:$A$350,0)),"")</f>
        <v>76</v>
      </c>
      <c r="D144" s="293">
        <f>IF(C144="","",ROUND(C144*Steuerungsdaten!$B$4*Steuerungsdaten!$B$7*IFERROR(VLOOKUP(IFERROR(INDEX(Aktiv!$C$6:$C$350,MATCH(A144,Aktiv!$A$6:$A$350,0)),""),Steuerungsdaten!$B$17:$C$37,2,FALSE),1)*POWER(IF(OR(IFERROR(INDEX(Aktiv!$E$6:$E$350,MATCH(A144,Aktiv!$A$6:$A$350,0)),0)=0,IFERROR(INDEX(Aktiv!$F$6:$F$350,MATCH(A144,Aktiv!$A$6:$A$350,0)),0)=0),1,(IFERROR(INDEX(Aktiv!$E$6:$E$350,MATCH(A144,Aktiv!$A$6:$A$350,0)),0)*IFERROR(INDEX(Aktiv!$F$6:$F$350,MATCH(A144,Aktiv!$A$6:$A$350,0)),0)/1000000)/Steuerungsdaten!$B$6),IF(ISNUMBER(MATCH(IFERROR(INDEX(Aktiv!$C$6:$C$350,MATCH(A144,Aktiv!$A$6:$A$350,0)),""),{"Boden","Seite außen","Seite außen SY32","Rücken","Seite innen","Seite innen SY32","Seite innen SY32 DB","Fachboden klein","Fachboden groß","Klappenboden"},0)),1.2,1)-1),0))</f>
        <v>68</v>
      </c>
      <c r="E144" s="293">
        <f>IFERROR(INDEX(Aktiv!$G$6:$G$350,MATCH(A144,Aktiv!$A$6:$A$350,0)),"")</f>
        <v>68</v>
      </c>
      <c r="F144" s="294">
        <f t="shared" si="16"/>
        <v>0</v>
      </c>
      <c r="G144" s="295">
        <f t="shared" si="17"/>
        <v>0</v>
      </c>
      <c r="H144" s="293">
        <f>IF(C144="","",ROUND(C144*Steuerungsdaten!$B$4*Steuerungsdaten!$B$8*IFERROR(VLOOKUP(IFERROR(INDEX(Aktiv!$C$6:$C$350,MATCH(A144,Aktiv!$A$6:$A$350,0)),""),Steuerungsdaten!$B$17:$E$37,4,FALSE),1)*POWER(IF(OR(IFERROR(INDEX(Aktiv!$E$6:$E$350,MATCH(A144,Aktiv!$A$6:$A$350,0)),0)=0,IFERROR(INDEX(Aktiv!$F$6:$F$350,MATCH(A144,Aktiv!$A$6:$A$350,0)),0)=0),1,(IFERROR(INDEX(Aktiv!$E$6:$E$350,MATCH(A144,Aktiv!$A$6:$A$350,0)),0)*IFERROR(INDEX(Aktiv!$F$6:$F$350,MATCH(A144,Aktiv!$A$6:$A$350,0)),0)/1000000)/Steuerungsdaten!$B$6),1-1),0))</f>
        <v>67</v>
      </c>
      <c r="I144" s="293">
        <f>IFERROR(INDEX(Aktiv!$H$6:$H$350,MATCH(A144,Aktiv!$A$6:$A$350,0)),"")</f>
        <v>235</v>
      </c>
      <c r="J144" s="294">
        <f t="shared" si="18"/>
        <v>168</v>
      </c>
      <c r="K144" s="296">
        <f t="shared" si="19"/>
        <v>2.5074626865671643</v>
      </c>
      <c r="L144" s="297">
        <f>IF(C144="","",ROUND(C144*Steuerungsdaten!$B$4*Steuerungsdaten!$B$9*IFERROR(VLOOKUP(IFERROR(INDEX(Aktiv!$C$6:$C$350,MATCH(A144,Aktiv!$A$6:$A$350,0)),""),Steuerungsdaten!$B$17:$G$37,6,FALSE),1)*POWER(IF(OR(IFERROR(INDEX(Aktiv!$E$6:$E$350,MATCH(A144,Aktiv!$A$6:$A$350,0)),0)=0,IFERROR(INDEX(Aktiv!$F$6:$F$350,MATCH(A144,Aktiv!$A$6:$A$350,0)),0)=0),1,(IFERROR(INDEX(Aktiv!$E$6:$E$350,MATCH(A144,Aktiv!$A$6:$A$350,0)),0)*IFERROR(INDEX(Aktiv!$F$6:$F$350,MATCH(A144,Aktiv!$A$6:$A$350,0)),0)/1000000)/Steuerungsdaten!$B$6),1-1),0))</f>
        <v>67</v>
      </c>
      <c r="M144" s="297">
        <f>IFERROR(INDEX(Aktiv!$I$6:$I$350,MATCH(A144,Aktiv!$A$6:$A$350,0)),"")</f>
        <v>244</v>
      </c>
      <c r="N144" s="298">
        <f t="shared" si="20"/>
        <v>177</v>
      </c>
      <c r="O144" s="296">
        <f t="shared" si="21"/>
        <v>2.6417910447761193</v>
      </c>
      <c r="P144" s="297">
        <f>IF(C144="","",ROUND(C144*Steuerungsdaten!$B$4*Steuerungsdaten!$B$10*IFERROR(VLOOKUP(IFERROR(INDEX(Aktiv!$C$6:$C$350,MATCH(A144,Aktiv!$A$6:$A$350,0)),""),Steuerungsdaten!$B$17:$I$37,8,FALSE),1)*POWER(IF(OR(IFERROR(INDEX(Aktiv!$E$6:$E$350,MATCH(A144,Aktiv!$A$6:$A$350,0)),0)=0,IFERROR(INDEX(Aktiv!$F$6:$F$350,MATCH(A144,Aktiv!$A$6:$A$350,0)),0)=0),1,(IFERROR(INDEX(Aktiv!$E$6:$E$350,MATCH(A144,Aktiv!$A$6:$A$350,0)),0)*IFERROR(INDEX(Aktiv!$F$6:$F$350,MATCH(A144,Aktiv!$A$6:$A$350,0)),0)/1000000)/Steuerungsdaten!$B$6),1-1),0))</f>
        <v>73</v>
      </c>
      <c r="Q144" s="297">
        <f>IFERROR(INDEX(Aktiv!$J$6:$J$350,MATCH(A144,Aktiv!$A$6:$A$350,0)),"")</f>
        <v>272</v>
      </c>
      <c r="R144" s="298">
        <f t="shared" si="22"/>
        <v>199</v>
      </c>
      <c r="S144" s="296">
        <f t="shared" si="23"/>
        <v>2.7260273972602738</v>
      </c>
    </row>
    <row r="145" spans="1:19" x14ac:dyDescent="0.25">
      <c r="A145" s="292">
        <v>3623</v>
      </c>
      <c r="B145" s="292" t="s">
        <v>158</v>
      </c>
      <c r="C145" s="293">
        <f>IFERROR(INDEX(Aktiv!$O$6:$O$350,MATCH(A145,Aktiv!$A$6:$A$350,0)),"")</f>
        <v>100</v>
      </c>
      <c r="D145" s="293">
        <f>IF(C145="","",ROUND(C145*Steuerungsdaten!$B$4*Steuerungsdaten!$B$7*IFERROR(VLOOKUP(IFERROR(INDEX(Aktiv!$C$6:$C$350,MATCH(A145,Aktiv!$A$6:$A$350,0)),""),Steuerungsdaten!$B$17:$C$37,2,FALSE),1)*POWER(IF(OR(IFERROR(INDEX(Aktiv!$E$6:$E$350,MATCH(A145,Aktiv!$A$6:$A$350,0)),0)=0,IFERROR(INDEX(Aktiv!$F$6:$F$350,MATCH(A145,Aktiv!$A$6:$A$350,0)),0)=0),1,(IFERROR(INDEX(Aktiv!$E$6:$E$350,MATCH(A145,Aktiv!$A$6:$A$350,0)),0)*IFERROR(INDEX(Aktiv!$F$6:$F$350,MATCH(A145,Aktiv!$A$6:$A$350,0)),0)/1000000)/Steuerungsdaten!$B$6),IF(ISNUMBER(MATCH(IFERROR(INDEX(Aktiv!$C$6:$C$350,MATCH(A145,Aktiv!$A$6:$A$350,0)),""),{"Boden","Seite außen","Seite außen SY32","Rücken","Seite innen","Seite innen SY32","Seite innen SY32 DB","Fachboden klein","Fachboden groß","Klappenboden"},0)),1.2,1)-1),0))</f>
        <v>95</v>
      </c>
      <c r="E145" s="293">
        <f>IFERROR(INDEX(Aktiv!$G$6:$G$350,MATCH(A145,Aktiv!$A$6:$A$350,0)),"")</f>
        <v>91</v>
      </c>
      <c r="F145" s="294">
        <f t="shared" si="16"/>
        <v>-4</v>
      </c>
      <c r="G145" s="295">
        <f t="shared" si="17"/>
        <v>-4.2105263157894736E-2</v>
      </c>
      <c r="H145" s="293">
        <f>IF(C145="","",ROUND(C145*Steuerungsdaten!$B$4*Steuerungsdaten!$B$8*IFERROR(VLOOKUP(IFERROR(INDEX(Aktiv!$C$6:$C$350,MATCH(A145,Aktiv!$A$6:$A$350,0)),""),Steuerungsdaten!$B$17:$E$37,4,FALSE),1)*POWER(IF(OR(IFERROR(INDEX(Aktiv!$E$6:$E$350,MATCH(A145,Aktiv!$A$6:$A$350,0)),0)=0,IFERROR(INDEX(Aktiv!$F$6:$F$350,MATCH(A145,Aktiv!$A$6:$A$350,0)),0)=0),1,(IFERROR(INDEX(Aktiv!$E$6:$E$350,MATCH(A145,Aktiv!$A$6:$A$350,0)),0)*IFERROR(INDEX(Aktiv!$F$6:$F$350,MATCH(A145,Aktiv!$A$6:$A$350,0)),0)/1000000)/Steuerungsdaten!$B$6),1-1),0))</f>
        <v>88</v>
      </c>
      <c r="I145" s="293">
        <f>IFERROR(INDEX(Aktiv!$H$6:$H$350,MATCH(A145,Aktiv!$A$6:$A$350,0)),"")</f>
        <v>313</v>
      </c>
      <c r="J145" s="294">
        <f t="shared" si="18"/>
        <v>225</v>
      </c>
      <c r="K145" s="296">
        <f t="shared" si="19"/>
        <v>2.5568181818181817</v>
      </c>
      <c r="L145" s="297">
        <f>IF(C145="","",ROUND(C145*Steuerungsdaten!$B$4*Steuerungsdaten!$B$9*IFERROR(VLOOKUP(IFERROR(INDEX(Aktiv!$C$6:$C$350,MATCH(A145,Aktiv!$A$6:$A$350,0)),""),Steuerungsdaten!$B$17:$G$37,6,FALSE),1)*POWER(IF(OR(IFERROR(INDEX(Aktiv!$E$6:$E$350,MATCH(A145,Aktiv!$A$6:$A$350,0)),0)=0,IFERROR(INDEX(Aktiv!$F$6:$F$350,MATCH(A145,Aktiv!$A$6:$A$350,0)),0)=0),1,(IFERROR(INDEX(Aktiv!$E$6:$E$350,MATCH(A145,Aktiv!$A$6:$A$350,0)),0)*IFERROR(INDEX(Aktiv!$F$6:$F$350,MATCH(A145,Aktiv!$A$6:$A$350,0)),0)/1000000)/Steuerungsdaten!$B$6),1-1),0))</f>
        <v>88</v>
      </c>
      <c r="M145" s="297">
        <f>IFERROR(INDEX(Aktiv!$I$6:$I$350,MATCH(A145,Aktiv!$A$6:$A$350,0)),"")</f>
        <v>326</v>
      </c>
      <c r="N145" s="298">
        <f t="shared" si="20"/>
        <v>238</v>
      </c>
      <c r="O145" s="296">
        <f t="shared" si="21"/>
        <v>2.7045454545454546</v>
      </c>
      <c r="P145" s="297">
        <f>IF(C145="","",ROUND(C145*Steuerungsdaten!$B$4*Steuerungsdaten!$B$10*IFERROR(VLOOKUP(IFERROR(INDEX(Aktiv!$C$6:$C$350,MATCH(A145,Aktiv!$A$6:$A$350,0)),""),Steuerungsdaten!$B$17:$I$37,8,FALSE),1)*POWER(IF(OR(IFERROR(INDEX(Aktiv!$E$6:$E$350,MATCH(A145,Aktiv!$A$6:$A$350,0)),0)=0,IFERROR(INDEX(Aktiv!$F$6:$F$350,MATCH(A145,Aktiv!$A$6:$A$350,0)),0)=0),1,(IFERROR(INDEX(Aktiv!$E$6:$E$350,MATCH(A145,Aktiv!$A$6:$A$350,0)),0)*IFERROR(INDEX(Aktiv!$F$6:$F$350,MATCH(A145,Aktiv!$A$6:$A$350,0)),0)/1000000)/Steuerungsdaten!$B$6),1-1),0))</f>
        <v>96</v>
      </c>
      <c r="Q145" s="297">
        <f>IFERROR(INDEX(Aktiv!$J$6:$J$350,MATCH(A145,Aktiv!$A$6:$A$350,0)),"")</f>
        <v>363</v>
      </c>
      <c r="R145" s="298">
        <f t="shared" si="22"/>
        <v>267</v>
      </c>
      <c r="S145" s="296">
        <f t="shared" si="23"/>
        <v>2.78125</v>
      </c>
    </row>
    <row r="146" spans="1:19" x14ac:dyDescent="0.25">
      <c r="A146" s="292">
        <v>3624</v>
      </c>
      <c r="B146" s="292" t="s">
        <v>159</v>
      </c>
      <c r="C146" s="293">
        <f>IFERROR(INDEX(Aktiv!$O$6:$O$350,MATCH(A146,Aktiv!$A$6:$A$350,0)),"")</f>
        <v>125</v>
      </c>
      <c r="D146" s="293">
        <f>IF(C146="","",ROUND(C146*Steuerungsdaten!$B$4*Steuerungsdaten!$B$7*IFERROR(VLOOKUP(IFERROR(INDEX(Aktiv!$C$6:$C$350,MATCH(A146,Aktiv!$A$6:$A$350,0)),""),Steuerungsdaten!$B$17:$C$37,2,FALSE),1)*POWER(IF(OR(IFERROR(INDEX(Aktiv!$E$6:$E$350,MATCH(A146,Aktiv!$A$6:$A$350,0)),0)=0,IFERROR(INDEX(Aktiv!$F$6:$F$350,MATCH(A146,Aktiv!$A$6:$A$350,0)),0)=0),1,(IFERROR(INDEX(Aktiv!$E$6:$E$350,MATCH(A146,Aktiv!$A$6:$A$350,0)),0)*IFERROR(INDEX(Aktiv!$F$6:$F$350,MATCH(A146,Aktiv!$A$6:$A$350,0)),0)/1000000)/Steuerungsdaten!$B$6),IF(ISNUMBER(MATCH(IFERROR(INDEX(Aktiv!$C$6:$C$350,MATCH(A146,Aktiv!$A$6:$A$350,0)),""),{"Boden","Seite außen","Seite außen SY32","Rücken","Seite innen","Seite innen SY32","Seite innen SY32 DB","Fachboden klein","Fachboden groß","Klappenboden"},0)),1.2,1)-1),0))</f>
        <v>124</v>
      </c>
      <c r="E146" s="293">
        <f>IFERROR(INDEX(Aktiv!$G$6:$G$350,MATCH(A146,Aktiv!$A$6:$A$350,0)),"")</f>
        <v>114</v>
      </c>
      <c r="F146" s="294">
        <f t="shared" si="16"/>
        <v>-10</v>
      </c>
      <c r="G146" s="295">
        <f t="shared" si="17"/>
        <v>-8.0645161290322578E-2</v>
      </c>
      <c r="H146" s="293">
        <f>IF(C146="","",ROUND(C146*Steuerungsdaten!$B$4*Steuerungsdaten!$B$8*IFERROR(VLOOKUP(IFERROR(INDEX(Aktiv!$C$6:$C$350,MATCH(A146,Aktiv!$A$6:$A$350,0)),""),Steuerungsdaten!$B$17:$E$37,4,FALSE),1)*POWER(IF(OR(IFERROR(INDEX(Aktiv!$E$6:$E$350,MATCH(A146,Aktiv!$A$6:$A$350,0)),0)=0,IFERROR(INDEX(Aktiv!$F$6:$F$350,MATCH(A146,Aktiv!$A$6:$A$350,0)),0)=0),1,(IFERROR(INDEX(Aktiv!$E$6:$E$350,MATCH(A146,Aktiv!$A$6:$A$350,0)),0)*IFERROR(INDEX(Aktiv!$F$6:$F$350,MATCH(A146,Aktiv!$A$6:$A$350,0)),0)/1000000)/Steuerungsdaten!$B$6),1-1),0))</f>
        <v>110</v>
      </c>
      <c r="I146" s="293">
        <f>IFERROR(INDEX(Aktiv!$H$6:$H$350,MATCH(A146,Aktiv!$A$6:$A$350,0)),"")</f>
        <v>391</v>
      </c>
      <c r="J146" s="294">
        <f t="shared" si="18"/>
        <v>281</v>
      </c>
      <c r="K146" s="296">
        <f t="shared" si="19"/>
        <v>2.5545454545454547</v>
      </c>
      <c r="L146" s="297">
        <f>IF(C146="","",ROUND(C146*Steuerungsdaten!$B$4*Steuerungsdaten!$B$9*IFERROR(VLOOKUP(IFERROR(INDEX(Aktiv!$C$6:$C$350,MATCH(A146,Aktiv!$A$6:$A$350,0)),""),Steuerungsdaten!$B$17:$G$37,6,FALSE),1)*POWER(IF(OR(IFERROR(INDEX(Aktiv!$E$6:$E$350,MATCH(A146,Aktiv!$A$6:$A$350,0)),0)=0,IFERROR(INDEX(Aktiv!$F$6:$F$350,MATCH(A146,Aktiv!$A$6:$A$350,0)),0)=0),1,(IFERROR(INDEX(Aktiv!$E$6:$E$350,MATCH(A146,Aktiv!$A$6:$A$350,0)),0)*IFERROR(INDEX(Aktiv!$F$6:$F$350,MATCH(A146,Aktiv!$A$6:$A$350,0)),0)/1000000)/Steuerungsdaten!$B$6),1-1),0))</f>
        <v>110</v>
      </c>
      <c r="M146" s="297">
        <f>IFERROR(INDEX(Aktiv!$I$6:$I$350,MATCH(A146,Aktiv!$A$6:$A$350,0)),"")</f>
        <v>407</v>
      </c>
      <c r="N146" s="298">
        <f t="shared" si="20"/>
        <v>297</v>
      </c>
      <c r="O146" s="296">
        <f t="shared" si="21"/>
        <v>2.7</v>
      </c>
      <c r="P146" s="297">
        <f>IF(C146="","",ROUND(C146*Steuerungsdaten!$B$4*Steuerungsdaten!$B$10*IFERROR(VLOOKUP(IFERROR(INDEX(Aktiv!$C$6:$C$350,MATCH(A146,Aktiv!$A$6:$A$350,0)),""),Steuerungsdaten!$B$17:$I$37,8,FALSE),1)*POWER(IF(OR(IFERROR(INDEX(Aktiv!$E$6:$E$350,MATCH(A146,Aktiv!$A$6:$A$350,0)),0)=0,IFERROR(INDEX(Aktiv!$F$6:$F$350,MATCH(A146,Aktiv!$A$6:$A$350,0)),0)=0),1,(IFERROR(INDEX(Aktiv!$E$6:$E$350,MATCH(A146,Aktiv!$A$6:$A$350,0)),0)*IFERROR(INDEX(Aktiv!$F$6:$F$350,MATCH(A146,Aktiv!$A$6:$A$350,0)),0)/1000000)/Steuerungsdaten!$B$6),1-1),0))</f>
        <v>120</v>
      </c>
      <c r="Q146" s="297">
        <f>IFERROR(INDEX(Aktiv!$J$6:$J$350,MATCH(A146,Aktiv!$A$6:$A$350,0)),"")</f>
        <v>453</v>
      </c>
      <c r="R146" s="298">
        <f t="shared" si="22"/>
        <v>333</v>
      </c>
      <c r="S146" s="296">
        <f t="shared" si="23"/>
        <v>2.7749999999999999</v>
      </c>
    </row>
    <row r="147" spans="1:19" x14ac:dyDescent="0.25">
      <c r="A147" s="292">
        <v>3625</v>
      </c>
      <c r="B147" s="292" t="s">
        <v>160</v>
      </c>
      <c r="C147" s="293">
        <f>IFERROR(INDEX(Aktiv!$O$6:$O$350,MATCH(A147,Aktiv!$A$6:$A$350,0)),"")</f>
        <v>43</v>
      </c>
      <c r="D147" s="293">
        <f>IF(C147="","",ROUND(C147*Steuerungsdaten!$B$4*Steuerungsdaten!$B$7*IFERROR(VLOOKUP(IFERROR(INDEX(Aktiv!$C$6:$C$350,MATCH(A147,Aktiv!$A$6:$A$350,0)),""),Steuerungsdaten!$B$17:$C$37,2,FALSE),1)*POWER(IF(OR(IFERROR(INDEX(Aktiv!$E$6:$E$350,MATCH(A147,Aktiv!$A$6:$A$350,0)),0)=0,IFERROR(INDEX(Aktiv!$F$6:$F$350,MATCH(A147,Aktiv!$A$6:$A$350,0)),0)=0),1,(IFERROR(INDEX(Aktiv!$E$6:$E$350,MATCH(A147,Aktiv!$A$6:$A$350,0)),0)*IFERROR(INDEX(Aktiv!$F$6:$F$350,MATCH(A147,Aktiv!$A$6:$A$350,0)),0)/1000000)/Steuerungsdaten!$B$6),IF(ISNUMBER(MATCH(IFERROR(INDEX(Aktiv!$C$6:$C$350,MATCH(A147,Aktiv!$A$6:$A$350,0)),""),{"Boden","Seite außen","Seite außen SY32","Rücken","Seite innen","Seite innen SY32","Seite innen SY32 DB","Fachboden klein","Fachboden groß","Klappenboden"},0)),1.2,1)-1),0))</f>
        <v>34</v>
      </c>
      <c r="E147" s="293">
        <f>IFERROR(INDEX(Aktiv!$G$6:$G$350,MATCH(A147,Aktiv!$A$6:$A$350,0)),"")</f>
        <v>37</v>
      </c>
      <c r="F147" s="294">
        <f t="shared" si="16"/>
        <v>3</v>
      </c>
      <c r="G147" s="295">
        <f t="shared" si="17"/>
        <v>8.8235294117647065E-2</v>
      </c>
      <c r="H147" s="293">
        <f>IF(C147="","",ROUND(C147*Steuerungsdaten!$B$4*Steuerungsdaten!$B$8*IFERROR(VLOOKUP(IFERROR(INDEX(Aktiv!$C$6:$C$350,MATCH(A147,Aktiv!$A$6:$A$350,0)),""),Steuerungsdaten!$B$17:$E$37,4,FALSE),1)*POWER(IF(OR(IFERROR(INDEX(Aktiv!$E$6:$E$350,MATCH(A147,Aktiv!$A$6:$A$350,0)),0)=0,IFERROR(INDEX(Aktiv!$F$6:$F$350,MATCH(A147,Aktiv!$A$6:$A$350,0)),0)=0),1,(IFERROR(INDEX(Aktiv!$E$6:$E$350,MATCH(A147,Aktiv!$A$6:$A$350,0)),0)*IFERROR(INDEX(Aktiv!$F$6:$F$350,MATCH(A147,Aktiv!$A$6:$A$350,0)),0)/1000000)/Steuerungsdaten!$B$6),1-1),0))</f>
        <v>38</v>
      </c>
      <c r="I147" s="293">
        <f>IFERROR(INDEX(Aktiv!$H$6:$H$350,MATCH(A147,Aktiv!$A$6:$A$350,0)),"")</f>
        <v>126</v>
      </c>
      <c r="J147" s="294">
        <f t="shared" si="18"/>
        <v>88</v>
      </c>
      <c r="K147" s="296">
        <f t="shared" si="19"/>
        <v>2.3157894736842106</v>
      </c>
      <c r="L147" s="297">
        <f>IF(C147="","",ROUND(C147*Steuerungsdaten!$B$4*Steuerungsdaten!$B$9*IFERROR(VLOOKUP(IFERROR(INDEX(Aktiv!$C$6:$C$350,MATCH(A147,Aktiv!$A$6:$A$350,0)),""),Steuerungsdaten!$B$17:$G$37,6,FALSE),1)*POWER(IF(OR(IFERROR(INDEX(Aktiv!$E$6:$E$350,MATCH(A147,Aktiv!$A$6:$A$350,0)),0)=0,IFERROR(INDEX(Aktiv!$F$6:$F$350,MATCH(A147,Aktiv!$A$6:$A$350,0)),0)=0),1,(IFERROR(INDEX(Aktiv!$E$6:$E$350,MATCH(A147,Aktiv!$A$6:$A$350,0)),0)*IFERROR(INDEX(Aktiv!$F$6:$F$350,MATCH(A147,Aktiv!$A$6:$A$350,0)),0)/1000000)/Steuerungsdaten!$B$6),1-1),0))</f>
        <v>38</v>
      </c>
      <c r="M147" s="297">
        <f>IFERROR(INDEX(Aktiv!$I$6:$I$350,MATCH(A147,Aktiv!$A$6:$A$350,0)),"")</f>
        <v>131</v>
      </c>
      <c r="N147" s="298">
        <f t="shared" si="20"/>
        <v>93</v>
      </c>
      <c r="O147" s="296">
        <f t="shared" si="21"/>
        <v>2.4473684210526314</v>
      </c>
      <c r="P147" s="297">
        <f>IF(C147="","",ROUND(C147*Steuerungsdaten!$B$4*Steuerungsdaten!$B$10*IFERROR(VLOOKUP(IFERROR(INDEX(Aktiv!$C$6:$C$350,MATCH(A147,Aktiv!$A$6:$A$350,0)),""),Steuerungsdaten!$B$17:$I$37,8,FALSE),1)*POWER(IF(OR(IFERROR(INDEX(Aktiv!$E$6:$E$350,MATCH(A147,Aktiv!$A$6:$A$350,0)),0)=0,IFERROR(INDEX(Aktiv!$F$6:$F$350,MATCH(A147,Aktiv!$A$6:$A$350,0)),0)=0),1,(IFERROR(INDEX(Aktiv!$E$6:$E$350,MATCH(A147,Aktiv!$A$6:$A$350,0)),0)*IFERROR(INDEX(Aktiv!$F$6:$F$350,MATCH(A147,Aktiv!$A$6:$A$350,0)),0)/1000000)/Steuerungsdaten!$B$6),1-1),0))</f>
        <v>41</v>
      </c>
      <c r="Q147" s="297">
        <f>IFERROR(INDEX(Aktiv!$J$6:$J$350,MATCH(A147,Aktiv!$A$6:$A$350,0)),"")</f>
        <v>146</v>
      </c>
      <c r="R147" s="298">
        <f t="shared" si="22"/>
        <v>105</v>
      </c>
      <c r="S147" s="296">
        <f t="shared" si="23"/>
        <v>2.5609756097560976</v>
      </c>
    </row>
    <row r="148" spans="1:19" x14ac:dyDescent="0.25">
      <c r="A148" s="292">
        <v>3626</v>
      </c>
      <c r="B148" s="292" t="s">
        <v>161</v>
      </c>
      <c r="C148" s="293">
        <f>IFERROR(INDEX(Aktiv!$O$6:$O$350,MATCH(A148,Aktiv!$A$6:$A$350,0)),"")</f>
        <v>82</v>
      </c>
      <c r="D148" s="293">
        <f>IF(C148="","",ROUND(C148*Steuerungsdaten!$B$4*Steuerungsdaten!$B$7*IFERROR(VLOOKUP(IFERROR(INDEX(Aktiv!$C$6:$C$350,MATCH(A148,Aktiv!$A$6:$A$350,0)),""),Steuerungsdaten!$B$17:$C$37,2,FALSE),1)*POWER(IF(OR(IFERROR(INDEX(Aktiv!$E$6:$E$350,MATCH(A148,Aktiv!$A$6:$A$350,0)),0)=0,IFERROR(INDEX(Aktiv!$F$6:$F$350,MATCH(A148,Aktiv!$A$6:$A$350,0)),0)=0),1,(IFERROR(INDEX(Aktiv!$E$6:$E$350,MATCH(A148,Aktiv!$A$6:$A$350,0)),0)*IFERROR(INDEX(Aktiv!$F$6:$F$350,MATCH(A148,Aktiv!$A$6:$A$350,0)),0)/1000000)/Steuerungsdaten!$B$6),IF(ISNUMBER(MATCH(IFERROR(INDEX(Aktiv!$C$6:$C$350,MATCH(A148,Aktiv!$A$6:$A$350,0)),""),{"Boden","Seite außen","Seite außen SY32","Rücken","Seite innen","Seite innen SY32","Seite innen SY32 DB","Fachboden klein","Fachboden groß","Klappenboden"},0)),1.2,1)-1),0))</f>
        <v>75</v>
      </c>
      <c r="E148" s="293">
        <f>IFERROR(INDEX(Aktiv!$G$6:$G$350,MATCH(A148,Aktiv!$A$6:$A$350,0)),"")</f>
        <v>73</v>
      </c>
      <c r="F148" s="294">
        <f t="shared" si="16"/>
        <v>-2</v>
      </c>
      <c r="G148" s="295">
        <f t="shared" si="17"/>
        <v>-2.6666666666666668E-2</v>
      </c>
      <c r="H148" s="293">
        <f>IF(C148="","",ROUND(C148*Steuerungsdaten!$B$4*Steuerungsdaten!$B$8*IFERROR(VLOOKUP(IFERROR(INDEX(Aktiv!$C$6:$C$350,MATCH(A148,Aktiv!$A$6:$A$350,0)),""),Steuerungsdaten!$B$17:$E$37,4,FALSE),1)*POWER(IF(OR(IFERROR(INDEX(Aktiv!$E$6:$E$350,MATCH(A148,Aktiv!$A$6:$A$350,0)),0)=0,IFERROR(INDEX(Aktiv!$F$6:$F$350,MATCH(A148,Aktiv!$A$6:$A$350,0)),0)=0),1,(IFERROR(INDEX(Aktiv!$E$6:$E$350,MATCH(A148,Aktiv!$A$6:$A$350,0)),0)*IFERROR(INDEX(Aktiv!$F$6:$F$350,MATCH(A148,Aktiv!$A$6:$A$350,0)),0)/1000000)/Steuerungsdaten!$B$6),1-1),0))</f>
        <v>72</v>
      </c>
      <c r="I148" s="293">
        <f>IFERROR(INDEX(Aktiv!$H$6:$H$350,MATCH(A148,Aktiv!$A$6:$A$350,0)),"")</f>
        <v>252</v>
      </c>
      <c r="J148" s="294">
        <f t="shared" si="18"/>
        <v>180</v>
      </c>
      <c r="K148" s="296">
        <f t="shared" si="19"/>
        <v>2.5</v>
      </c>
      <c r="L148" s="297">
        <f>IF(C148="","",ROUND(C148*Steuerungsdaten!$B$4*Steuerungsdaten!$B$9*IFERROR(VLOOKUP(IFERROR(INDEX(Aktiv!$C$6:$C$350,MATCH(A148,Aktiv!$A$6:$A$350,0)),""),Steuerungsdaten!$B$17:$G$37,6,FALSE),1)*POWER(IF(OR(IFERROR(INDEX(Aktiv!$E$6:$E$350,MATCH(A148,Aktiv!$A$6:$A$350,0)),0)=0,IFERROR(INDEX(Aktiv!$F$6:$F$350,MATCH(A148,Aktiv!$A$6:$A$350,0)),0)=0),1,(IFERROR(INDEX(Aktiv!$E$6:$E$350,MATCH(A148,Aktiv!$A$6:$A$350,0)),0)*IFERROR(INDEX(Aktiv!$F$6:$F$350,MATCH(A148,Aktiv!$A$6:$A$350,0)),0)/1000000)/Steuerungsdaten!$B$6),1-1),0))</f>
        <v>72</v>
      </c>
      <c r="M148" s="297">
        <f>IFERROR(INDEX(Aktiv!$I$6:$I$350,MATCH(A148,Aktiv!$A$6:$A$350,0)),"")</f>
        <v>262</v>
      </c>
      <c r="N148" s="298">
        <f t="shared" si="20"/>
        <v>190</v>
      </c>
      <c r="O148" s="296">
        <f t="shared" si="21"/>
        <v>2.6388888888888888</v>
      </c>
      <c r="P148" s="297">
        <f>IF(C148="","",ROUND(C148*Steuerungsdaten!$B$4*Steuerungsdaten!$B$10*IFERROR(VLOOKUP(IFERROR(INDEX(Aktiv!$C$6:$C$350,MATCH(A148,Aktiv!$A$6:$A$350,0)),""),Steuerungsdaten!$B$17:$I$37,8,FALSE),1)*POWER(IF(OR(IFERROR(INDEX(Aktiv!$E$6:$E$350,MATCH(A148,Aktiv!$A$6:$A$350,0)),0)=0,IFERROR(INDEX(Aktiv!$F$6:$F$350,MATCH(A148,Aktiv!$A$6:$A$350,0)),0)=0),1,(IFERROR(INDEX(Aktiv!$E$6:$E$350,MATCH(A148,Aktiv!$A$6:$A$350,0)),0)*IFERROR(INDEX(Aktiv!$F$6:$F$350,MATCH(A148,Aktiv!$A$6:$A$350,0)),0)/1000000)/Steuerungsdaten!$B$6),1-1),0))</f>
        <v>79</v>
      </c>
      <c r="Q148" s="297">
        <f>IFERROR(INDEX(Aktiv!$J$6:$J$350,MATCH(A148,Aktiv!$A$6:$A$350,0)),"")</f>
        <v>292</v>
      </c>
      <c r="R148" s="298">
        <f t="shared" si="22"/>
        <v>213</v>
      </c>
      <c r="S148" s="296">
        <f t="shared" si="23"/>
        <v>2.6962025316455698</v>
      </c>
    </row>
    <row r="149" spans="1:19" x14ac:dyDescent="0.25">
      <c r="A149" s="292">
        <v>3627</v>
      </c>
      <c r="B149" s="292" t="s">
        <v>162</v>
      </c>
      <c r="C149" s="293">
        <f>IFERROR(INDEX(Aktiv!$O$6:$O$350,MATCH(A149,Aktiv!$A$6:$A$350,0)),"")</f>
        <v>119</v>
      </c>
      <c r="D149" s="293">
        <f>IF(C149="","",ROUND(C149*Steuerungsdaten!$B$4*Steuerungsdaten!$B$7*IFERROR(VLOOKUP(IFERROR(INDEX(Aktiv!$C$6:$C$350,MATCH(A149,Aktiv!$A$6:$A$350,0)),""),Steuerungsdaten!$B$17:$C$37,2,FALSE),1)*POWER(IF(OR(IFERROR(INDEX(Aktiv!$E$6:$E$350,MATCH(A149,Aktiv!$A$6:$A$350,0)),0)=0,IFERROR(INDEX(Aktiv!$F$6:$F$350,MATCH(A149,Aktiv!$A$6:$A$350,0)),0)=0),1,(IFERROR(INDEX(Aktiv!$E$6:$E$350,MATCH(A149,Aktiv!$A$6:$A$350,0)),0)*IFERROR(INDEX(Aktiv!$F$6:$F$350,MATCH(A149,Aktiv!$A$6:$A$350,0)),0)/1000000)/Steuerungsdaten!$B$6),IF(ISNUMBER(MATCH(IFERROR(INDEX(Aktiv!$C$6:$C$350,MATCH(A149,Aktiv!$A$6:$A$350,0)),""),{"Boden","Seite außen","Seite außen SY32","Rücken","Seite innen","Seite innen SY32","Seite innen SY32 DB","Fachboden klein","Fachboden groß","Klappenboden"},0)),1.2,1)-1),0))</f>
        <v>118</v>
      </c>
      <c r="E149" s="293">
        <f>IFERROR(INDEX(Aktiv!$G$6:$G$350,MATCH(A149,Aktiv!$A$6:$A$350,0)),"")</f>
        <v>110</v>
      </c>
      <c r="F149" s="294">
        <f t="shared" si="16"/>
        <v>-8</v>
      </c>
      <c r="G149" s="295">
        <f t="shared" si="17"/>
        <v>-6.7796610169491525E-2</v>
      </c>
      <c r="H149" s="293">
        <f>IF(C149="","",ROUND(C149*Steuerungsdaten!$B$4*Steuerungsdaten!$B$8*IFERROR(VLOOKUP(IFERROR(INDEX(Aktiv!$C$6:$C$350,MATCH(A149,Aktiv!$A$6:$A$350,0)),""),Steuerungsdaten!$B$17:$E$37,4,FALSE),1)*POWER(IF(OR(IFERROR(INDEX(Aktiv!$E$6:$E$350,MATCH(A149,Aktiv!$A$6:$A$350,0)),0)=0,IFERROR(INDEX(Aktiv!$F$6:$F$350,MATCH(A149,Aktiv!$A$6:$A$350,0)),0)=0),1,(IFERROR(INDEX(Aktiv!$E$6:$E$350,MATCH(A149,Aktiv!$A$6:$A$350,0)),0)*IFERROR(INDEX(Aktiv!$F$6:$F$350,MATCH(A149,Aktiv!$A$6:$A$350,0)),0)/1000000)/Steuerungsdaten!$B$6),1-1),0))</f>
        <v>105</v>
      </c>
      <c r="I149" s="293">
        <f>IFERROR(INDEX(Aktiv!$H$6:$H$350,MATCH(A149,Aktiv!$A$6:$A$350,0)),"")</f>
        <v>378</v>
      </c>
      <c r="J149" s="294">
        <f t="shared" si="18"/>
        <v>273</v>
      </c>
      <c r="K149" s="296">
        <f t="shared" si="19"/>
        <v>2.6</v>
      </c>
      <c r="L149" s="297">
        <f>IF(C149="","",ROUND(C149*Steuerungsdaten!$B$4*Steuerungsdaten!$B$9*IFERROR(VLOOKUP(IFERROR(INDEX(Aktiv!$C$6:$C$350,MATCH(A149,Aktiv!$A$6:$A$350,0)),""),Steuerungsdaten!$B$17:$G$37,6,FALSE),1)*POWER(IF(OR(IFERROR(INDEX(Aktiv!$E$6:$E$350,MATCH(A149,Aktiv!$A$6:$A$350,0)),0)=0,IFERROR(INDEX(Aktiv!$F$6:$F$350,MATCH(A149,Aktiv!$A$6:$A$350,0)),0)=0),1,(IFERROR(INDEX(Aktiv!$E$6:$E$350,MATCH(A149,Aktiv!$A$6:$A$350,0)),0)*IFERROR(INDEX(Aktiv!$F$6:$F$350,MATCH(A149,Aktiv!$A$6:$A$350,0)),0)/1000000)/Steuerungsdaten!$B$6),1-1),0))</f>
        <v>105</v>
      </c>
      <c r="M149" s="297">
        <f>IFERROR(INDEX(Aktiv!$I$6:$I$350,MATCH(A149,Aktiv!$A$6:$A$350,0)),"")</f>
        <v>394</v>
      </c>
      <c r="N149" s="298">
        <f t="shared" si="20"/>
        <v>289</v>
      </c>
      <c r="O149" s="296">
        <f t="shared" si="21"/>
        <v>2.7523809523809524</v>
      </c>
      <c r="P149" s="297">
        <f>IF(C149="","",ROUND(C149*Steuerungsdaten!$B$4*Steuerungsdaten!$B$10*IFERROR(VLOOKUP(IFERROR(INDEX(Aktiv!$C$6:$C$350,MATCH(A149,Aktiv!$A$6:$A$350,0)),""),Steuerungsdaten!$B$17:$I$37,8,FALSE),1)*POWER(IF(OR(IFERROR(INDEX(Aktiv!$E$6:$E$350,MATCH(A149,Aktiv!$A$6:$A$350,0)),0)=0,IFERROR(INDEX(Aktiv!$F$6:$F$350,MATCH(A149,Aktiv!$A$6:$A$350,0)),0)=0),1,(IFERROR(INDEX(Aktiv!$E$6:$E$350,MATCH(A149,Aktiv!$A$6:$A$350,0)),0)*IFERROR(INDEX(Aktiv!$F$6:$F$350,MATCH(A149,Aktiv!$A$6:$A$350,0)),0)/1000000)/Steuerungsdaten!$B$6),1-1),0))</f>
        <v>114</v>
      </c>
      <c r="Q149" s="297">
        <f>IFERROR(INDEX(Aktiv!$J$6:$J$350,MATCH(A149,Aktiv!$A$6:$A$350,0)),"")</f>
        <v>438</v>
      </c>
      <c r="R149" s="298">
        <f t="shared" si="22"/>
        <v>324</v>
      </c>
      <c r="S149" s="296">
        <f t="shared" si="23"/>
        <v>2.8421052631578947</v>
      </c>
    </row>
    <row r="150" spans="1:19" x14ac:dyDescent="0.25">
      <c r="A150" s="292">
        <v>3628</v>
      </c>
      <c r="B150" s="292" t="s">
        <v>163</v>
      </c>
      <c r="C150" s="293">
        <f>IFERROR(INDEX(Aktiv!$O$6:$O$350,MATCH(A150,Aktiv!$A$6:$A$350,0)),"")</f>
        <v>158</v>
      </c>
      <c r="D150" s="293">
        <f>IF(C150="","",ROUND(C150*Steuerungsdaten!$B$4*Steuerungsdaten!$B$7*IFERROR(VLOOKUP(IFERROR(INDEX(Aktiv!$C$6:$C$350,MATCH(A150,Aktiv!$A$6:$A$350,0)),""),Steuerungsdaten!$B$17:$C$37,2,FALSE),1)*POWER(IF(OR(IFERROR(INDEX(Aktiv!$E$6:$E$350,MATCH(A150,Aktiv!$A$6:$A$350,0)),0)=0,IFERROR(INDEX(Aktiv!$F$6:$F$350,MATCH(A150,Aktiv!$A$6:$A$350,0)),0)=0),1,(IFERROR(INDEX(Aktiv!$E$6:$E$350,MATCH(A150,Aktiv!$A$6:$A$350,0)),0)*IFERROR(INDEX(Aktiv!$F$6:$F$350,MATCH(A150,Aktiv!$A$6:$A$350,0)),0)/1000000)/Steuerungsdaten!$B$6),IF(ISNUMBER(MATCH(IFERROR(INDEX(Aktiv!$C$6:$C$350,MATCH(A150,Aktiv!$A$6:$A$350,0)),""),{"Boden","Seite außen","Seite außen SY32","Rücken","Seite innen","Seite innen SY32","Seite innen SY32 DB","Fachboden klein","Fachboden groß","Klappenboden"},0)),1.2,1)-1),0))</f>
        <v>165</v>
      </c>
      <c r="E150" s="293">
        <f>IFERROR(INDEX(Aktiv!$G$6:$G$350,MATCH(A150,Aktiv!$A$6:$A$350,0)),"")</f>
        <v>147</v>
      </c>
      <c r="F150" s="294">
        <f t="shared" si="16"/>
        <v>-18</v>
      </c>
      <c r="G150" s="295">
        <f t="shared" si="17"/>
        <v>-0.10909090909090909</v>
      </c>
      <c r="H150" s="293">
        <f>IF(C150="","",ROUND(C150*Steuerungsdaten!$B$4*Steuerungsdaten!$B$8*IFERROR(VLOOKUP(IFERROR(INDEX(Aktiv!$C$6:$C$350,MATCH(A150,Aktiv!$A$6:$A$350,0)),""),Steuerungsdaten!$B$17:$E$37,4,FALSE),1)*POWER(IF(OR(IFERROR(INDEX(Aktiv!$E$6:$E$350,MATCH(A150,Aktiv!$A$6:$A$350,0)),0)=0,IFERROR(INDEX(Aktiv!$F$6:$F$350,MATCH(A150,Aktiv!$A$6:$A$350,0)),0)=0),1,(IFERROR(INDEX(Aktiv!$E$6:$E$350,MATCH(A150,Aktiv!$A$6:$A$350,0)),0)*IFERROR(INDEX(Aktiv!$F$6:$F$350,MATCH(A150,Aktiv!$A$6:$A$350,0)),0)/1000000)/Steuerungsdaten!$B$6),1-1),0))</f>
        <v>139</v>
      </c>
      <c r="I150" s="293">
        <f>IFERROR(INDEX(Aktiv!$H$6:$H$350,MATCH(A150,Aktiv!$A$6:$A$350,0)),"")</f>
        <v>504</v>
      </c>
      <c r="J150" s="294">
        <f t="shared" si="18"/>
        <v>365</v>
      </c>
      <c r="K150" s="296">
        <f t="shared" si="19"/>
        <v>2.6258992805755397</v>
      </c>
      <c r="L150" s="297">
        <f>IF(C150="","",ROUND(C150*Steuerungsdaten!$B$4*Steuerungsdaten!$B$9*IFERROR(VLOOKUP(IFERROR(INDEX(Aktiv!$C$6:$C$350,MATCH(A150,Aktiv!$A$6:$A$350,0)),""),Steuerungsdaten!$B$17:$G$37,6,FALSE),1)*POWER(IF(OR(IFERROR(INDEX(Aktiv!$E$6:$E$350,MATCH(A150,Aktiv!$A$6:$A$350,0)),0)=0,IFERROR(INDEX(Aktiv!$F$6:$F$350,MATCH(A150,Aktiv!$A$6:$A$350,0)),0)=0),1,(IFERROR(INDEX(Aktiv!$E$6:$E$350,MATCH(A150,Aktiv!$A$6:$A$350,0)),0)*IFERROR(INDEX(Aktiv!$F$6:$F$350,MATCH(A150,Aktiv!$A$6:$A$350,0)),0)/1000000)/Steuerungsdaten!$B$6),1-1),0))</f>
        <v>139</v>
      </c>
      <c r="M150" s="297">
        <f>IFERROR(INDEX(Aktiv!$I$6:$I$350,MATCH(A150,Aktiv!$A$6:$A$350,0)),"")</f>
        <v>525</v>
      </c>
      <c r="N150" s="298">
        <f t="shared" si="20"/>
        <v>386</v>
      </c>
      <c r="O150" s="296">
        <f t="shared" si="21"/>
        <v>2.7769784172661871</v>
      </c>
      <c r="P150" s="297">
        <f>IF(C150="","",ROUND(C150*Steuerungsdaten!$B$4*Steuerungsdaten!$B$10*IFERROR(VLOOKUP(IFERROR(INDEX(Aktiv!$C$6:$C$350,MATCH(A150,Aktiv!$A$6:$A$350,0)),""),Steuerungsdaten!$B$17:$I$37,8,FALSE),1)*POWER(IF(OR(IFERROR(INDEX(Aktiv!$E$6:$E$350,MATCH(A150,Aktiv!$A$6:$A$350,0)),0)=0,IFERROR(INDEX(Aktiv!$F$6:$F$350,MATCH(A150,Aktiv!$A$6:$A$350,0)),0)=0),1,(IFERROR(INDEX(Aktiv!$E$6:$E$350,MATCH(A150,Aktiv!$A$6:$A$350,0)),0)*IFERROR(INDEX(Aktiv!$F$6:$F$350,MATCH(A150,Aktiv!$A$6:$A$350,0)),0)/1000000)/Steuerungsdaten!$B$6),1-1),0))</f>
        <v>152</v>
      </c>
      <c r="Q150" s="297">
        <f>IFERROR(INDEX(Aktiv!$J$6:$J$350,MATCH(A150,Aktiv!$A$6:$A$350,0)),"")</f>
        <v>584</v>
      </c>
      <c r="R150" s="298">
        <f t="shared" si="22"/>
        <v>432</v>
      </c>
      <c r="S150" s="296">
        <f t="shared" si="23"/>
        <v>2.8421052631578947</v>
      </c>
    </row>
    <row r="151" spans="1:19" x14ac:dyDescent="0.25">
      <c r="A151" s="292">
        <v>3629</v>
      </c>
      <c r="B151" s="292" t="s">
        <v>164</v>
      </c>
      <c r="C151" s="293">
        <f>IFERROR(INDEX(Aktiv!$O$6:$O$350,MATCH(A151,Aktiv!$A$6:$A$350,0)),"")</f>
        <v>197</v>
      </c>
      <c r="D151" s="293">
        <f>IF(C151="","",ROUND(C151*Steuerungsdaten!$B$4*Steuerungsdaten!$B$7*IFERROR(VLOOKUP(IFERROR(INDEX(Aktiv!$C$6:$C$350,MATCH(A151,Aktiv!$A$6:$A$350,0)),""),Steuerungsdaten!$B$17:$C$37,2,FALSE),1)*POWER(IF(OR(IFERROR(INDEX(Aktiv!$E$6:$E$350,MATCH(A151,Aktiv!$A$6:$A$350,0)),0)=0,IFERROR(INDEX(Aktiv!$F$6:$F$350,MATCH(A151,Aktiv!$A$6:$A$350,0)),0)=0),1,(IFERROR(INDEX(Aktiv!$E$6:$E$350,MATCH(A151,Aktiv!$A$6:$A$350,0)),0)*IFERROR(INDEX(Aktiv!$F$6:$F$350,MATCH(A151,Aktiv!$A$6:$A$350,0)),0)/1000000)/Steuerungsdaten!$B$6),IF(ISNUMBER(MATCH(IFERROR(INDEX(Aktiv!$C$6:$C$350,MATCH(A151,Aktiv!$A$6:$A$350,0)),""),{"Boden","Seite außen","Seite außen SY32","Rücken","Seite innen","Seite innen SY32","Seite innen SY32 DB","Fachboden klein","Fachboden groß","Klappenboden"},0)),1.2,1)-1),0))</f>
        <v>216</v>
      </c>
      <c r="E151" s="293">
        <f>IFERROR(INDEX(Aktiv!$G$6:$G$350,MATCH(A151,Aktiv!$A$6:$A$350,0)),"")</f>
        <v>184</v>
      </c>
      <c r="F151" s="294">
        <f t="shared" si="16"/>
        <v>-32</v>
      </c>
      <c r="G151" s="295">
        <f t="shared" si="17"/>
        <v>-0.14814814814814814</v>
      </c>
      <c r="H151" s="293">
        <f>IF(C151="","",ROUND(C151*Steuerungsdaten!$B$4*Steuerungsdaten!$B$8*IFERROR(VLOOKUP(IFERROR(INDEX(Aktiv!$C$6:$C$350,MATCH(A151,Aktiv!$A$6:$A$350,0)),""),Steuerungsdaten!$B$17:$E$37,4,FALSE),1)*POWER(IF(OR(IFERROR(INDEX(Aktiv!$E$6:$E$350,MATCH(A151,Aktiv!$A$6:$A$350,0)),0)=0,IFERROR(INDEX(Aktiv!$F$6:$F$350,MATCH(A151,Aktiv!$A$6:$A$350,0)),0)=0),1,(IFERROR(INDEX(Aktiv!$E$6:$E$350,MATCH(A151,Aktiv!$A$6:$A$350,0)),0)*IFERROR(INDEX(Aktiv!$F$6:$F$350,MATCH(A151,Aktiv!$A$6:$A$350,0)),0)/1000000)/Steuerungsdaten!$B$6),1-1),0))</f>
        <v>173</v>
      </c>
      <c r="I151" s="293">
        <f>IFERROR(INDEX(Aktiv!$H$6:$H$350,MATCH(A151,Aktiv!$A$6:$A$350,0)),"")</f>
        <v>630</v>
      </c>
      <c r="J151" s="294">
        <f t="shared" si="18"/>
        <v>457</v>
      </c>
      <c r="K151" s="296">
        <f t="shared" si="19"/>
        <v>2.6416184971098264</v>
      </c>
      <c r="L151" s="297">
        <f>IF(C151="","",ROUND(C151*Steuerungsdaten!$B$4*Steuerungsdaten!$B$9*IFERROR(VLOOKUP(IFERROR(INDEX(Aktiv!$C$6:$C$350,MATCH(A151,Aktiv!$A$6:$A$350,0)),""),Steuerungsdaten!$B$17:$G$37,6,FALSE),1)*POWER(IF(OR(IFERROR(INDEX(Aktiv!$E$6:$E$350,MATCH(A151,Aktiv!$A$6:$A$350,0)),0)=0,IFERROR(INDEX(Aktiv!$F$6:$F$350,MATCH(A151,Aktiv!$A$6:$A$350,0)),0)=0),1,(IFERROR(INDEX(Aktiv!$E$6:$E$350,MATCH(A151,Aktiv!$A$6:$A$350,0)),0)*IFERROR(INDEX(Aktiv!$F$6:$F$350,MATCH(A151,Aktiv!$A$6:$A$350,0)),0)/1000000)/Steuerungsdaten!$B$6),1-1),0))</f>
        <v>173</v>
      </c>
      <c r="M151" s="297">
        <f>IFERROR(INDEX(Aktiv!$I$6:$I$350,MATCH(A151,Aktiv!$A$6:$A$350,0)),"")</f>
        <v>656</v>
      </c>
      <c r="N151" s="298">
        <f t="shared" si="20"/>
        <v>483</v>
      </c>
      <c r="O151" s="296">
        <f t="shared" si="21"/>
        <v>2.7919075144508669</v>
      </c>
      <c r="P151" s="297">
        <f>IF(C151="","",ROUND(C151*Steuerungsdaten!$B$4*Steuerungsdaten!$B$10*IFERROR(VLOOKUP(IFERROR(INDEX(Aktiv!$C$6:$C$350,MATCH(A151,Aktiv!$A$6:$A$350,0)),""),Steuerungsdaten!$B$17:$I$37,8,FALSE),1)*POWER(IF(OR(IFERROR(INDEX(Aktiv!$E$6:$E$350,MATCH(A151,Aktiv!$A$6:$A$350,0)),0)=0,IFERROR(INDEX(Aktiv!$F$6:$F$350,MATCH(A151,Aktiv!$A$6:$A$350,0)),0)=0),1,(IFERROR(INDEX(Aktiv!$E$6:$E$350,MATCH(A151,Aktiv!$A$6:$A$350,0)),0)*IFERROR(INDEX(Aktiv!$F$6:$F$350,MATCH(A151,Aktiv!$A$6:$A$350,0)),0)/1000000)/Steuerungsdaten!$B$6),1-1),0))</f>
        <v>189</v>
      </c>
      <c r="Q151" s="297">
        <f>IFERROR(INDEX(Aktiv!$J$6:$J$350,MATCH(A151,Aktiv!$A$6:$A$350,0)),"")</f>
        <v>730</v>
      </c>
      <c r="R151" s="298">
        <f t="shared" si="22"/>
        <v>541</v>
      </c>
      <c r="S151" s="296">
        <f t="shared" si="23"/>
        <v>2.8624338624338623</v>
      </c>
    </row>
    <row r="152" spans="1:19" x14ac:dyDescent="0.25">
      <c r="A152" s="292">
        <v>3700</v>
      </c>
      <c r="B152" s="292" t="s">
        <v>166</v>
      </c>
      <c r="C152" s="293">
        <f>IFERROR(INDEX(Aktiv!$O$6:$O$350,MATCH(A152,Aktiv!$A$6:$A$350,0)),"")</f>
        <v>34</v>
      </c>
      <c r="D152" s="293">
        <f>IF(C152="","",ROUND(C152*Steuerungsdaten!$B$4*Steuerungsdaten!$B$7*IFERROR(VLOOKUP(IFERROR(INDEX(Aktiv!$C$6:$C$350,MATCH(A152,Aktiv!$A$6:$A$350,0)),""),Steuerungsdaten!$B$17:$C$37,2,FALSE),1)*POWER(IF(OR(IFERROR(INDEX(Aktiv!$E$6:$E$350,MATCH(A152,Aktiv!$A$6:$A$350,0)),0)=0,IFERROR(INDEX(Aktiv!$F$6:$F$350,MATCH(A152,Aktiv!$A$6:$A$350,0)),0)=0),1,(IFERROR(INDEX(Aktiv!$E$6:$E$350,MATCH(A152,Aktiv!$A$6:$A$350,0)),0)*IFERROR(INDEX(Aktiv!$F$6:$F$350,MATCH(A152,Aktiv!$A$6:$A$350,0)),0)/1000000)/Steuerungsdaten!$B$6),IF(ISNUMBER(MATCH(IFERROR(INDEX(Aktiv!$C$6:$C$350,MATCH(A152,Aktiv!$A$6:$A$350,0)),""),{"Boden","Seite außen","Seite außen SY32","Rücken","Seite innen","Seite innen SY32","Seite innen SY32 DB","Fachboden klein","Fachboden groß","Klappenboden"},0)),1.2,1)-1),0))</f>
        <v>25</v>
      </c>
      <c r="E152" s="293">
        <f>IFERROR(INDEX(Aktiv!$G$6:$G$350,MATCH(A152,Aktiv!$A$6:$A$350,0)),"")</f>
        <v>25</v>
      </c>
      <c r="F152" s="294">
        <f t="shared" si="16"/>
        <v>0</v>
      </c>
      <c r="G152" s="295">
        <f t="shared" si="17"/>
        <v>0</v>
      </c>
      <c r="H152" s="293">
        <f>IF(C152="","",ROUND(C152*Steuerungsdaten!$B$4*Steuerungsdaten!$B$8*IFERROR(VLOOKUP(IFERROR(INDEX(Aktiv!$C$6:$C$350,MATCH(A152,Aktiv!$A$6:$A$350,0)),""),Steuerungsdaten!$B$17:$E$37,4,FALSE),1)*POWER(IF(OR(IFERROR(INDEX(Aktiv!$E$6:$E$350,MATCH(A152,Aktiv!$A$6:$A$350,0)),0)=0,IFERROR(INDEX(Aktiv!$F$6:$F$350,MATCH(A152,Aktiv!$A$6:$A$350,0)),0)=0),1,(IFERROR(INDEX(Aktiv!$E$6:$E$350,MATCH(A152,Aktiv!$A$6:$A$350,0)),0)*IFERROR(INDEX(Aktiv!$F$6:$F$350,MATCH(A152,Aktiv!$A$6:$A$350,0)),0)/1000000)/Steuerungsdaten!$B$6),1-1),0))</f>
        <v>30</v>
      </c>
      <c r="I152" s="293">
        <f>IFERROR(INDEX(Aktiv!$H$6:$H$350,MATCH(A152,Aktiv!$A$6:$A$350,0)),"")</f>
        <v>103</v>
      </c>
      <c r="J152" s="294">
        <f t="shared" si="18"/>
        <v>73</v>
      </c>
      <c r="K152" s="296">
        <f t="shared" si="19"/>
        <v>2.4333333333333331</v>
      </c>
      <c r="L152" s="297">
        <f>IF(C152="","",ROUND(C152*Steuerungsdaten!$B$4*Steuerungsdaten!$B$9*IFERROR(VLOOKUP(IFERROR(INDEX(Aktiv!$C$6:$C$350,MATCH(A152,Aktiv!$A$6:$A$350,0)),""),Steuerungsdaten!$B$17:$G$37,6,FALSE),1)*POWER(IF(OR(IFERROR(INDEX(Aktiv!$E$6:$E$350,MATCH(A152,Aktiv!$A$6:$A$350,0)),0)=0,IFERROR(INDEX(Aktiv!$F$6:$F$350,MATCH(A152,Aktiv!$A$6:$A$350,0)),0)=0),1,(IFERROR(INDEX(Aktiv!$E$6:$E$350,MATCH(A152,Aktiv!$A$6:$A$350,0)),0)*IFERROR(INDEX(Aktiv!$F$6:$F$350,MATCH(A152,Aktiv!$A$6:$A$350,0)),0)/1000000)/Steuerungsdaten!$B$6),1-1),0))</f>
        <v>30</v>
      </c>
      <c r="M152" s="297">
        <f>IFERROR(INDEX(Aktiv!$I$6:$I$350,MATCH(A152,Aktiv!$A$6:$A$350,0)),"")</f>
        <v>120</v>
      </c>
      <c r="N152" s="298">
        <f t="shared" si="20"/>
        <v>90</v>
      </c>
      <c r="O152" s="296">
        <f t="shared" si="21"/>
        <v>3</v>
      </c>
      <c r="P152" s="297">
        <f>IF(C152="","",ROUND(C152*Steuerungsdaten!$B$4*Steuerungsdaten!$B$10*IFERROR(VLOOKUP(IFERROR(INDEX(Aktiv!$C$6:$C$350,MATCH(A152,Aktiv!$A$6:$A$350,0)),""),Steuerungsdaten!$B$17:$I$37,8,FALSE),1)*POWER(IF(OR(IFERROR(INDEX(Aktiv!$E$6:$E$350,MATCH(A152,Aktiv!$A$6:$A$350,0)),0)=0,IFERROR(INDEX(Aktiv!$F$6:$F$350,MATCH(A152,Aktiv!$A$6:$A$350,0)),0)=0),1,(IFERROR(INDEX(Aktiv!$E$6:$E$350,MATCH(A152,Aktiv!$A$6:$A$350,0)),0)*IFERROR(INDEX(Aktiv!$F$6:$F$350,MATCH(A152,Aktiv!$A$6:$A$350,0)),0)/1000000)/Steuerungsdaten!$B$6),1-1),0))</f>
        <v>33</v>
      </c>
      <c r="Q152" s="297">
        <f>IFERROR(INDEX(Aktiv!$J$6:$J$350,MATCH(A152,Aktiv!$A$6:$A$350,0)),"")</f>
        <v>145</v>
      </c>
      <c r="R152" s="298">
        <f t="shared" si="22"/>
        <v>112</v>
      </c>
      <c r="S152" s="296">
        <f t="shared" si="23"/>
        <v>3.393939393939394</v>
      </c>
    </row>
    <row r="153" spans="1:19" x14ac:dyDescent="0.25">
      <c r="A153" s="292">
        <v>3701</v>
      </c>
      <c r="B153" s="292" t="s">
        <v>167</v>
      </c>
      <c r="C153" s="293">
        <f>IFERROR(INDEX(Aktiv!$O$6:$O$350,MATCH(A153,Aktiv!$A$6:$A$350,0)),"")</f>
        <v>34</v>
      </c>
      <c r="D153" s="293">
        <f>IF(C153="","",ROUND(C153*Steuerungsdaten!$B$4*Steuerungsdaten!$B$7*IFERROR(VLOOKUP(IFERROR(INDEX(Aktiv!$C$6:$C$350,MATCH(A153,Aktiv!$A$6:$A$350,0)),""),Steuerungsdaten!$B$17:$C$37,2,FALSE),1)*POWER(IF(OR(IFERROR(INDEX(Aktiv!$E$6:$E$350,MATCH(A153,Aktiv!$A$6:$A$350,0)),0)=0,IFERROR(INDEX(Aktiv!$F$6:$F$350,MATCH(A153,Aktiv!$A$6:$A$350,0)),0)=0),1,(IFERROR(INDEX(Aktiv!$E$6:$E$350,MATCH(A153,Aktiv!$A$6:$A$350,0)),0)*IFERROR(INDEX(Aktiv!$F$6:$F$350,MATCH(A153,Aktiv!$A$6:$A$350,0)),0)/1000000)/Steuerungsdaten!$B$6),IF(ISNUMBER(MATCH(IFERROR(INDEX(Aktiv!$C$6:$C$350,MATCH(A153,Aktiv!$A$6:$A$350,0)),""),{"Boden","Seite außen","Seite außen SY32","Rücken","Seite innen","Seite innen SY32","Seite innen SY32 DB","Fachboden klein","Fachboden groß","Klappenboden"},0)),1.2,1)-1),0))</f>
        <v>25</v>
      </c>
      <c r="E153" s="293">
        <f>IFERROR(INDEX(Aktiv!$G$6:$G$350,MATCH(A153,Aktiv!$A$6:$A$350,0)),"")</f>
        <v>27</v>
      </c>
      <c r="F153" s="294">
        <f t="shared" si="16"/>
        <v>2</v>
      </c>
      <c r="G153" s="295">
        <f t="shared" si="17"/>
        <v>0.08</v>
      </c>
      <c r="H153" s="293">
        <f>IF(C153="","",ROUND(C153*Steuerungsdaten!$B$4*Steuerungsdaten!$B$8*IFERROR(VLOOKUP(IFERROR(INDEX(Aktiv!$C$6:$C$350,MATCH(A153,Aktiv!$A$6:$A$350,0)),""),Steuerungsdaten!$B$17:$E$37,4,FALSE),1)*POWER(IF(OR(IFERROR(INDEX(Aktiv!$E$6:$E$350,MATCH(A153,Aktiv!$A$6:$A$350,0)),0)=0,IFERROR(INDEX(Aktiv!$F$6:$F$350,MATCH(A153,Aktiv!$A$6:$A$350,0)),0)=0),1,(IFERROR(INDEX(Aktiv!$E$6:$E$350,MATCH(A153,Aktiv!$A$6:$A$350,0)),0)*IFERROR(INDEX(Aktiv!$F$6:$F$350,MATCH(A153,Aktiv!$A$6:$A$350,0)),0)/1000000)/Steuerungsdaten!$B$6),1-1),0))</f>
        <v>30</v>
      </c>
      <c r="I153" s="293">
        <f>IFERROR(INDEX(Aktiv!$H$6:$H$350,MATCH(A153,Aktiv!$A$6:$A$350,0)),"")</f>
        <v>103</v>
      </c>
      <c r="J153" s="294">
        <f t="shared" si="18"/>
        <v>73</v>
      </c>
      <c r="K153" s="296">
        <f t="shared" si="19"/>
        <v>2.4333333333333331</v>
      </c>
      <c r="L153" s="297">
        <f>IF(C153="","",ROUND(C153*Steuerungsdaten!$B$4*Steuerungsdaten!$B$9*IFERROR(VLOOKUP(IFERROR(INDEX(Aktiv!$C$6:$C$350,MATCH(A153,Aktiv!$A$6:$A$350,0)),""),Steuerungsdaten!$B$17:$G$37,6,FALSE),1)*POWER(IF(OR(IFERROR(INDEX(Aktiv!$E$6:$E$350,MATCH(A153,Aktiv!$A$6:$A$350,0)),0)=0,IFERROR(INDEX(Aktiv!$F$6:$F$350,MATCH(A153,Aktiv!$A$6:$A$350,0)),0)=0),1,(IFERROR(INDEX(Aktiv!$E$6:$E$350,MATCH(A153,Aktiv!$A$6:$A$350,0)),0)*IFERROR(INDEX(Aktiv!$F$6:$F$350,MATCH(A153,Aktiv!$A$6:$A$350,0)),0)/1000000)/Steuerungsdaten!$B$6),1-1),0))</f>
        <v>30</v>
      </c>
      <c r="M153" s="297">
        <f>IFERROR(INDEX(Aktiv!$I$6:$I$350,MATCH(A153,Aktiv!$A$6:$A$350,0)),"")</f>
        <v>120</v>
      </c>
      <c r="N153" s="298">
        <f t="shared" si="20"/>
        <v>90</v>
      </c>
      <c r="O153" s="296">
        <f t="shared" si="21"/>
        <v>3</v>
      </c>
      <c r="P153" s="297">
        <f>IF(C153="","",ROUND(C153*Steuerungsdaten!$B$4*Steuerungsdaten!$B$10*IFERROR(VLOOKUP(IFERROR(INDEX(Aktiv!$C$6:$C$350,MATCH(A153,Aktiv!$A$6:$A$350,0)),""),Steuerungsdaten!$B$17:$I$37,8,FALSE),1)*POWER(IF(OR(IFERROR(INDEX(Aktiv!$E$6:$E$350,MATCH(A153,Aktiv!$A$6:$A$350,0)),0)=0,IFERROR(INDEX(Aktiv!$F$6:$F$350,MATCH(A153,Aktiv!$A$6:$A$350,0)),0)=0),1,(IFERROR(INDEX(Aktiv!$E$6:$E$350,MATCH(A153,Aktiv!$A$6:$A$350,0)),0)*IFERROR(INDEX(Aktiv!$F$6:$F$350,MATCH(A153,Aktiv!$A$6:$A$350,0)),0)/1000000)/Steuerungsdaten!$B$6),1-1),0))</f>
        <v>33</v>
      </c>
      <c r="Q153" s="297">
        <f>IFERROR(INDEX(Aktiv!$J$6:$J$350,MATCH(A153,Aktiv!$A$6:$A$350,0)),"")</f>
        <v>145</v>
      </c>
      <c r="R153" s="298">
        <f t="shared" si="22"/>
        <v>112</v>
      </c>
      <c r="S153" s="296">
        <f t="shared" si="23"/>
        <v>3.393939393939394</v>
      </c>
    </row>
    <row r="154" spans="1:19" x14ac:dyDescent="0.25">
      <c r="A154" s="292">
        <v>3702</v>
      </c>
      <c r="B154" s="292" t="s">
        <v>168</v>
      </c>
      <c r="C154" s="293">
        <f>IFERROR(INDEX(Aktiv!$O$6:$O$350,MATCH(A154,Aktiv!$A$6:$A$350,0)),"")</f>
        <v>43</v>
      </c>
      <c r="D154" s="293">
        <f>IF(C154="","",ROUND(C154*Steuerungsdaten!$B$4*Steuerungsdaten!$B$7*IFERROR(VLOOKUP(IFERROR(INDEX(Aktiv!$C$6:$C$350,MATCH(A154,Aktiv!$A$6:$A$350,0)),""),Steuerungsdaten!$B$17:$C$37,2,FALSE),1)*POWER(IF(OR(IFERROR(INDEX(Aktiv!$E$6:$E$350,MATCH(A154,Aktiv!$A$6:$A$350,0)),0)=0,IFERROR(INDEX(Aktiv!$F$6:$F$350,MATCH(A154,Aktiv!$A$6:$A$350,0)),0)=0),1,(IFERROR(INDEX(Aktiv!$E$6:$E$350,MATCH(A154,Aktiv!$A$6:$A$350,0)),0)*IFERROR(INDEX(Aktiv!$F$6:$F$350,MATCH(A154,Aktiv!$A$6:$A$350,0)),0)/1000000)/Steuerungsdaten!$B$6),IF(ISNUMBER(MATCH(IFERROR(INDEX(Aktiv!$C$6:$C$350,MATCH(A154,Aktiv!$A$6:$A$350,0)),""),{"Boden","Seite außen","Seite außen SY32","Rücken","Seite innen","Seite innen SY32","Seite innen SY32 DB","Fachboden klein","Fachboden groß","Klappenboden"},0)),1.2,1)-1),0))</f>
        <v>34</v>
      </c>
      <c r="E154" s="293">
        <f>IFERROR(INDEX(Aktiv!$G$6:$G$350,MATCH(A154,Aktiv!$A$6:$A$350,0)),"")</f>
        <v>37</v>
      </c>
      <c r="F154" s="294">
        <f t="shared" si="16"/>
        <v>3</v>
      </c>
      <c r="G154" s="295">
        <f t="shared" si="17"/>
        <v>8.8235294117647065E-2</v>
      </c>
      <c r="H154" s="293">
        <f>IF(C154="","",ROUND(C154*Steuerungsdaten!$B$4*Steuerungsdaten!$B$8*IFERROR(VLOOKUP(IFERROR(INDEX(Aktiv!$C$6:$C$350,MATCH(A154,Aktiv!$A$6:$A$350,0)),""),Steuerungsdaten!$B$17:$E$37,4,FALSE),1)*POWER(IF(OR(IFERROR(INDEX(Aktiv!$E$6:$E$350,MATCH(A154,Aktiv!$A$6:$A$350,0)),0)=0,IFERROR(INDEX(Aktiv!$F$6:$F$350,MATCH(A154,Aktiv!$A$6:$A$350,0)),0)=0),1,(IFERROR(INDEX(Aktiv!$E$6:$E$350,MATCH(A154,Aktiv!$A$6:$A$350,0)),0)*IFERROR(INDEX(Aktiv!$F$6:$F$350,MATCH(A154,Aktiv!$A$6:$A$350,0)),0)/1000000)/Steuerungsdaten!$B$6),1-1),0))</f>
        <v>38</v>
      </c>
      <c r="I154" s="293">
        <f>IFERROR(INDEX(Aktiv!$H$6:$H$350,MATCH(A154,Aktiv!$A$6:$A$350,0)),"")</f>
        <v>126</v>
      </c>
      <c r="J154" s="294">
        <f t="shared" si="18"/>
        <v>88</v>
      </c>
      <c r="K154" s="296">
        <f t="shared" si="19"/>
        <v>2.3157894736842106</v>
      </c>
      <c r="L154" s="297">
        <f>IF(C154="","",ROUND(C154*Steuerungsdaten!$B$4*Steuerungsdaten!$B$9*IFERROR(VLOOKUP(IFERROR(INDEX(Aktiv!$C$6:$C$350,MATCH(A154,Aktiv!$A$6:$A$350,0)),""),Steuerungsdaten!$B$17:$G$37,6,FALSE),1)*POWER(IF(OR(IFERROR(INDEX(Aktiv!$E$6:$E$350,MATCH(A154,Aktiv!$A$6:$A$350,0)),0)=0,IFERROR(INDEX(Aktiv!$F$6:$F$350,MATCH(A154,Aktiv!$A$6:$A$350,0)),0)=0),1,(IFERROR(INDEX(Aktiv!$E$6:$E$350,MATCH(A154,Aktiv!$A$6:$A$350,0)),0)*IFERROR(INDEX(Aktiv!$F$6:$F$350,MATCH(A154,Aktiv!$A$6:$A$350,0)),0)/1000000)/Steuerungsdaten!$B$6),1-1),0))</f>
        <v>38</v>
      </c>
      <c r="M154" s="297">
        <f>IFERROR(INDEX(Aktiv!$I$6:$I$350,MATCH(A154,Aktiv!$A$6:$A$350,0)),"")</f>
        <v>131</v>
      </c>
      <c r="N154" s="298">
        <f t="shared" si="20"/>
        <v>93</v>
      </c>
      <c r="O154" s="296">
        <f t="shared" si="21"/>
        <v>2.4473684210526314</v>
      </c>
      <c r="P154" s="297">
        <f>IF(C154="","",ROUND(C154*Steuerungsdaten!$B$4*Steuerungsdaten!$B$10*IFERROR(VLOOKUP(IFERROR(INDEX(Aktiv!$C$6:$C$350,MATCH(A154,Aktiv!$A$6:$A$350,0)),""),Steuerungsdaten!$B$17:$I$37,8,FALSE),1)*POWER(IF(OR(IFERROR(INDEX(Aktiv!$E$6:$E$350,MATCH(A154,Aktiv!$A$6:$A$350,0)),0)=0,IFERROR(INDEX(Aktiv!$F$6:$F$350,MATCH(A154,Aktiv!$A$6:$A$350,0)),0)=0),1,(IFERROR(INDEX(Aktiv!$E$6:$E$350,MATCH(A154,Aktiv!$A$6:$A$350,0)),0)*IFERROR(INDEX(Aktiv!$F$6:$F$350,MATCH(A154,Aktiv!$A$6:$A$350,0)),0)/1000000)/Steuerungsdaten!$B$6),1-1),0))</f>
        <v>41</v>
      </c>
      <c r="Q154" s="297">
        <f>IFERROR(INDEX(Aktiv!$J$6:$J$350,MATCH(A154,Aktiv!$A$6:$A$350,0)),"")</f>
        <v>146</v>
      </c>
      <c r="R154" s="298">
        <f t="shared" si="22"/>
        <v>105</v>
      </c>
      <c r="S154" s="296">
        <f t="shared" si="23"/>
        <v>2.5609756097560976</v>
      </c>
    </row>
    <row r="155" spans="1:19" x14ac:dyDescent="0.25">
      <c r="A155" s="292">
        <v>3703</v>
      </c>
      <c r="B155" s="292" t="s">
        <v>169</v>
      </c>
      <c r="C155" s="293">
        <f>IFERROR(INDEX(Aktiv!$O$6:$O$350,MATCH(A155,Aktiv!$A$6:$A$350,0)),"")</f>
        <v>56</v>
      </c>
      <c r="D155" s="293">
        <f>IF(C155="","",ROUND(C155*Steuerungsdaten!$B$4*Steuerungsdaten!$B$7*IFERROR(VLOOKUP(IFERROR(INDEX(Aktiv!$C$6:$C$350,MATCH(A155,Aktiv!$A$6:$A$350,0)),""),Steuerungsdaten!$B$17:$C$37,2,FALSE),1)*POWER(IF(OR(IFERROR(INDEX(Aktiv!$E$6:$E$350,MATCH(A155,Aktiv!$A$6:$A$350,0)),0)=0,IFERROR(INDEX(Aktiv!$F$6:$F$350,MATCH(A155,Aktiv!$A$6:$A$350,0)),0)=0),1,(IFERROR(INDEX(Aktiv!$E$6:$E$350,MATCH(A155,Aktiv!$A$6:$A$350,0)),0)*IFERROR(INDEX(Aktiv!$F$6:$F$350,MATCH(A155,Aktiv!$A$6:$A$350,0)),0)/1000000)/Steuerungsdaten!$B$6),IF(ISNUMBER(MATCH(IFERROR(INDEX(Aktiv!$C$6:$C$350,MATCH(A155,Aktiv!$A$6:$A$350,0)),""),{"Boden","Seite außen","Seite außen SY32","Rücken","Seite innen","Seite innen SY32","Seite innen SY32 DB","Fachboden klein","Fachboden groß","Klappenboden"},0)),1.2,1)-1),0))</f>
        <v>47</v>
      </c>
      <c r="E155" s="293">
        <f>IFERROR(INDEX(Aktiv!$G$6:$G$350,MATCH(A155,Aktiv!$A$6:$A$350,0)),"")</f>
        <v>49</v>
      </c>
      <c r="F155" s="294">
        <f t="shared" si="16"/>
        <v>2</v>
      </c>
      <c r="G155" s="295">
        <f t="shared" si="17"/>
        <v>4.2553191489361701E-2</v>
      </c>
      <c r="H155" s="293">
        <f>IF(C155="","",ROUND(C155*Steuerungsdaten!$B$4*Steuerungsdaten!$B$8*IFERROR(VLOOKUP(IFERROR(INDEX(Aktiv!$C$6:$C$350,MATCH(A155,Aktiv!$A$6:$A$350,0)),""),Steuerungsdaten!$B$17:$E$37,4,FALSE),1)*POWER(IF(OR(IFERROR(INDEX(Aktiv!$E$6:$E$350,MATCH(A155,Aktiv!$A$6:$A$350,0)),0)=0,IFERROR(INDEX(Aktiv!$F$6:$F$350,MATCH(A155,Aktiv!$A$6:$A$350,0)),0)=0),1,(IFERROR(INDEX(Aktiv!$E$6:$E$350,MATCH(A155,Aktiv!$A$6:$A$350,0)),0)*IFERROR(INDEX(Aktiv!$F$6:$F$350,MATCH(A155,Aktiv!$A$6:$A$350,0)),0)/1000000)/Steuerungsdaten!$B$6),1-1),0))</f>
        <v>49</v>
      </c>
      <c r="I155" s="293">
        <f>IFERROR(INDEX(Aktiv!$H$6:$H$350,MATCH(A155,Aktiv!$A$6:$A$350,0)),"")</f>
        <v>169</v>
      </c>
      <c r="J155" s="294">
        <f t="shared" si="18"/>
        <v>120</v>
      </c>
      <c r="K155" s="296">
        <f t="shared" si="19"/>
        <v>2.4489795918367347</v>
      </c>
      <c r="L155" s="297">
        <f>IF(C155="","",ROUND(C155*Steuerungsdaten!$B$4*Steuerungsdaten!$B$9*IFERROR(VLOOKUP(IFERROR(INDEX(Aktiv!$C$6:$C$350,MATCH(A155,Aktiv!$A$6:$A$350,0)),""),Steuerungsdaten!$B$17:$G$37,6,FALSE),1)*POWER(IF(OR(IFERROR(INDEX(Aktiv!$E$6:$E$350,MATCH(A155,Aktiv!$A$6:$A$350,0)),0)=0,IFERROR(INDEX(Aktiv!$F$6:$F$350,MATCH(A155,Aktiv!$A$6:$A$350,0)),0)=0),1,(IFERROR(INDEX(Aktiv!$E$6:$E$350,MATCH(A155,Aktiv!$A$6:$A$350,0)),0)*IFERROR(INDEX(Aktiv!$F$6:$F$350,MATCH(A155,Aktiv!$A$6:$A$350,0)),0)/1000000)/Steuerungsdaten!$B$6),1-1),0))</f>
        <v>49</v>
      </c>
      <c r="M155" s="297">
        <f>IFERROR(INDEX(Aktiv!$I$6:$I$350,MATCH(A155,Aktiv!$A$6:$A$350,0)),"")</f>
        <v>177</v>
      </c>
      <c r="N155" s="298">
        <f t="shared" si="20"/>
        <v>128</v>
      </c>
      <c r="O155" s="296">
        <f t="shared" si="21"/>
        <v>2.6122448979591835</v>
      </c>
      <c r="P155" s="297">
        <f>IF(C155="","",ROUND(C155*Steuerungsdaten!$B$4*Steuerungsdaten!$B$10*IFERROR(VLOOKUP(IFERROR(INDEX(Aktiv!$C$6:$C$350,MATCH(A155,Aktiv!$A$6:$A$350,0)),""),Steuerungsdaten!$B$17:$I$37,8,FALSE),1)*POWER(IF(OR(IFERROR(INDEX(Aktiv!$E$6:$E$350,MATCH(A155,Aktiv!$A$6:$A$350,0)),0)=0,IFERROR(INDEX(Aktiv!$F$6:$F$350,MATCH(A155,Aktiv!$A$6:$A$350,0)),0)=0),1,(IFERROR(INDEX(Aktiv!$E$6:$E$350,MATCH(A155,Aktiv!$A$6:$A$350,0)),0)*IFERROR(INDEX(Aktiv!$F$6:$F$350,MATCH(A155,Aktiv!$A$6:$A$350,0)),0)/1000000)/Steuerungsdaten!$B$6),1-1),0))</f>
        <v>54</v>
      </c>
      <c r="Q155" s="297">
        <f>IFERROR(INDEX(Aktiv!$J$6:$J$350,MATCH(A155,Aktiv!$A$6:$A$350,0)),"")</f>
        <v>196</v>
      </c>
      <c r="R155" s="298">
        <f t="shared" si="22"/>
        <v>142</v>
      </c>
      <c r="S155" s="296">
        <f t="shared" si="23"/>
        <v>2.6296296296296298</v>
      </c>
    </row>
    <row r="156" spans="1:19" x14ac:dyDescent="0.25">
      <c r="A156" s="292">
        <v>3704</v>
      </c>
      <c r="B156" s="292" t="s">
        <v>170</v>
      </c>
      <c r="C156" s="293">
        <f>IFERROR(INDEX(Aktiv!$O$6:$O$350,MATCH(A156,Aktiv!$A$6:$A$350,0)),"")</f>
        <v>70</v>
      </c>
      <c r="D156" s="293">
        <f>IF(C156="","",ROUND(C156*Steuerungsdaten!$B$4*Steuerungsdaten!$B$7*IFERROR(VLOOKUP(IFERROR(INDEX(Aktiv!$C$6:$C$350,MATCH(A156,Aktiv!$A$6:$A$350,0)),""),Steuerungsdaten!$B$17:$C$37,2,FALSE),1)*POWER(IF(OR(IFERROR(INDEX(Aktiv!$E$6:$E$350,MATCH(A156,Aktiv!$A$6:$A$350,0)),0)=0,IFERROR(INDEX(Aktiv!$F$6:$F$350,MATCH(A156,Aktiv!$A$6:$A$350,0)),0)=0),1,(IFERROR(INDEX(Aktiv!$E$6:$E$350,MATCH(A156,Aktiv!$A$6:$A$350,0)),0)*IFERROR(INDEX(Aktiv!$F$6:$F$350,MATCH(A156,Aktiv!$A$6:$A$350,0)),0)/1000000)/Steuerungsdaten!$B$6),IF(ISNUMBER(MATCH(IFERROR(INDEX(Aktiv!$C$6:$C$350,MATCH(A156,Aktiv!$A$6:$A$350,0)),""),{"Boden","Seite außen","Seite außen SY32","Rücken","Seite innen","Seite innen SY32","Seite innen SY32 DB","Fachboden klein","Fachboden groß","Klappenboden"},0)),1.2,1)-1),0))</f>
        <v>62</v>
      </c>
      <c r="E156" s="293">
        <f>IFERROR(INDEX(Aktiv!$G$6:$G$350,MATCH(A156,Aktiv!$A$6:$A$350,0)),"")</f>
        <v>62</v>
      </c>
      <c r="F156" s="294">
        <f t="shared" si="16"/>
        <v>0</v>
      </c>
      <c r="G156" s="295">
        <f t="shared" si="17"/>
        <v>0</v>
      </c>
      <c r="H156" s="293">
        <f>IF(C156="","",ROUND(C156*Steuerungsdaten!$B$4*Steuerungsdaten!$B$8*IFERROR(VLOOKUP(IFERROR(INDEX(Aktiv!$C$6:$C$350,MATCH(A156,Aktiv!$A$6:$A$350,0)),""),Steuerungsdaten!$B$17:$E$37,4,FALSE),1)*POWER(IF(OR(IFERROR(INDEX(Aktiv!$E$6:$E$350,MATCH(A156,Aktiv!$A$6:$A$350,0)),0)=0,IFERROR(INDEX(Aktiv!$F$6:$F$350,MATCH(A156,Aktiv!$A$6:$A$350,0)),0)=0),1,(IFERROR(INDEX(Aktiv!$E$6:$E$350,MATCH(A156,Aktiv!$A$6:$A$350,0)),0)*IFERROR(INDEX(Aktiv!$F$6:$F$350,MATCH(A156,Aktiv!$A$6:$A$350,0)),0)/1000000)/Steuerungsdaten!$B$6),1-1),0))</f>
        <v>62</v>
      </c>
      <c r="I156" s="293">
        <f>IFERROR(INDEX(Aktiv!$H$6:$H$350,MATCH(A156,Aktiv!$A$6:$A$350,0)),"")</f>
        <v>213</v>
      </c>
      <c r="J156" s="294">
        <f t="shared" si="18"/>
        <v>151</v>
      </c>
      <c r="K156" s="296">
        <f t="shared" si="19"/>
        <v>2.435483870967742</v>
      </c>
      <c r="L156" s="297">
        <f>IF(C156="","",ROUND(C156*Steuerungsdaten!$B$4*Steuerungsdaten!$B$9*IFERROR(VLOOKUP(IFERROR(INDEX(Aktiv!$C$6:$C$350,MATCH(A156,Aktiv!$A$6:$A$350,0)),""),Steuerungsdaten!$B$17:$G$37,6,FALSE),1)*POWER(IF(OR(IFERROR(INDEX(Aktiv!$E$6:$E$350,MATCH(A156,Aktiv!$A$6:$A$350,0)),0)=0,IFERROR(INDEX(Aktiv!$F$6:$F$350,MATCH(A156,Aktiv!$A$6:$A$350,0)),0)=0),1,(IFERROR(INDEX(Aktiv!$E$6:$E$350,MATCH(A156,Aktiv!$A$6:$A$350,0)),0)*IFERROR(INDEX(Aktiv!$F$6:$F$350,MATCH(A156,Aktiv!$A$6:$A$350,0)),0)/1000000)/Steuerungsdaten!$B$6),1-1),0))</f>
        <v>62</v>
      </c>
      <c r="M156" s="297">
        <f>IFERROR(INDEX(Aktiv!$I$6:$I$350,MATCH(A156,Aktiv!$A$6:$A$350,0)),"")</f>
        <v>222</v>
      </c>
      <c r="N156" s="298">
        <f t="shared" si="20"/>
        <v>160</v>
      </c>
      <c r="O156" s="296">
        <f t="shared" si="21"/>
        <v>2.5806451612903225</v>
      </c>
      <c r="P156" s="297">
        <f>IF(C156="","",ROUND(C156*Steuerungsdaten!$B$4*Steuerungsdaten!$B$10*IFERROR(VLOOKUP(IFERROR(INDEX(Aktiv!$C$6:$C$350,MATCH(A156,Aktiv!$A$6:$A$350,0)),""),Steuerungsdaten!$B$17:$I$37,8,FALSE),1)*POWER(IF(OR(IFERROR(INDEX(Aktiv!$E$6:$E$350,MATCH(A156,Aktiv!$A$6:$A$350,0)),0)=0,IFERROR(INDEX(Aktiv!$F$6:$F$350,MATCH(A156,Aktiv!$A$6:$A$350,0)),0)=0),1,(IFERROR(INDEX(Aktiv!$E$6:$E$350,MATCH(A156,Aktiv!$A$6:$A$350,0)),0)*IFERROR(INDEX(Aktiv!$F$6:$F$350,MATCH(A156,Aktiv!$A$6:$A$350,0)),0)/1000000)/Steuerungsdaten!$B$6),1-1),0))</f>
        <v>67</v>
      </c>
      <c r="Q156" s="297">
        <f>IFERROR(INDEX(Aktiv!$J$6:$J$350,MATCH(A156,Aktiv!$A$6:$A$350,0)),"")</f>
        <v>247</v>
      </c>
      <c r="R156" s="298">
        <f t="shared" si="22"/>
        <v>180</v>
      </c>
      <c r="S156" s="296">
        <f t="shared" si="23"/>
        <v>2.6865671641791047</v>
      </c>
    </row>
    <row r="157" spans="1:19" x14ac:dyDescent="0.25">
      <c r="A157" s="292">
        <v>3705</v>
      </c>
      <c r="B157" s="292" t="s">
        <v>171</v>
      </c>
      <c r="C157" s="293">
        <f>IFERROR(INDEX(Aktiv!$O$6:$O$350,MATCH(A157,Aktiv!$A$6:$A$350,0)),"")</f>
        <v>43</v>
      </c>
      <c r="D157" s="293">
        <f>IF(C157="","",ROUND(C157*Steuerungsdaten!$B$4*Steuerungsdaten!$B$7*IFERROR(VLOOKUP(IFERROR(INDEX(Aktiv!$C$6:$C$350,MATCH(A157,Aktiv!$A$6:$A$350,0)),""),Steuerungsdaten!$B$17:$C$37,2,FALSE),1)*POWER(IF(OR(IFERROR(INDEX(Aktiv!$E$6:$E$350,MATCH(A157,Aktiv!$A$6:$A$350,0)),0)=0,IFERROR(INDEX(Aktiv!$F$6:$F$350,MATCH(A157,Aktiv!$A$6:$A$350,0)),0)=0),1,(IFERROR(INDEX(Aktiv!$E$6:$E$350,MATCH(A157,Aktiv!$A$6:$A$350,0)),0)*IFERROR(INDEX(Aktiv!$F$6:$F$350,MATCH(A157,Aktiv!$A$6:$A$350,0)),0)/1000000)/Steuerungsdaten!$B$6),IF(ISNUMBER(MATCH(IFERROR(INDEX(Aktiv!$C$6:$C$350,MATCH(A157,Aktiv!$A$6:$A$350,0)),""),{"Boden","Seite außen","Seite außen SY32","Rücken","Seite innen","Seite innen SY32","Seite innen SY32 DB","Fachboden klein","Fachboden groß","Klappenboden"},0)),1.2,1)-1),0))</f>
        <v>34</v>
      </c>
      <c r="E157" s="293">
        <f>IFERROR(INDEX(Aktiv!$G$6:$G$350,MATCH(A157,Aktiv!$A$6:$A$350,0)),"")</f>
        <v>37</v>
      </c>
      <c r="F157" s="294">
        <f t="shared" si="16"/>
        <v>3</v>
      </c>
      <c r="G157" s="295">
        <f t="shared" si="17"/>
        <v>8.8235294117647065E-2</v>
      </c>
      <c r="H157" s="293">
        <f>IF(C157="","",ROUND(C157*Steuerungsdaten!$B$4*Steuerungsdaten!$B$8*IFERROR(VLOOKUP(IFERROR(INDEX(Aktiv!$C$6:$C$350,MATCH(A157,Aktiv!$A$6:$A$350,0)),""),Steuerungsdaten!$B$17:$E$37,4,FALSE),1)*POWER(IF(OR(IFERROR(INDEX(Aktiv!$E$6:$E$350,MATCH(A157,Aktiv!$A$6:$A$350,0)),0)=0,IFERROR(INDEX(Aktiv!$F$6:$F$350,MATCH(A157,Aktiv!$A$6:$A$350,0)),0)=0),1,(IFERROR(INDEX(Aktiv!$E$6:$E$350,MATCH(A157,Aktiv!$A$6:$A$350,0)),0)*IFERROR(INDEX(Aktiv!$F$6:$F$350,MATCH(A157,Aktiv!$A$6:$A$350,0)),0)/1000000)/Steuerungsdaten!$B$6),1-1),0))</f>
        <v>38</v>
      </c>
      <c r="I157" s="293">
        <f>IFERROR(INDEX(Aktiv!$H$6:$H$350,MATCH(A157,Aktiv!$A$6:$A$350,0)),"")</f>
        <v>126</v>
      </c>
      <c r="J157" s="294">
        <f t="shared" si="18"/>
        <v>88</v>
      </c>
      <c r="K157" s="296">
        <f t="shared" si="19"/>
        <v>2.3157894736842106</v>
      </c>
      <c r="L157" s="297">
        <f>IF(C157="","",ROUND(C157*Steuerungsdaten!$B$4*Steuerungsdaten!$B$9*IFERROR(VLOOKUP(IFERROR(INDEX(Aktiv!$C$6:$C$350,MATCH(A157,Aktiv!$A$6:$A$350,0)),""),Steuerungsdaten!$B$17:$G$37,6,FALSE),1)*POWER(IF(OR(IFERROR(INDEX(Aktiv!$E$6:$E$350,MATCH(A157,Aktiv!$A$6:$A$350,0)),0)=0,IFERROR(INDEX(Aktiv!$F$6:$F$350,MATCH(A157,Aktiv!$A$6:$A$350,0)),0)=0),1,(IFERROR(INDEX(Aktiv!$E$6:$E$350,MATCH(A157,Aktiv!$A$6:$A$350,0)),0)*IFERROR(INDEX(Aktiv!$F$6:$F$350,MATCH(A157,Aktiv!$A$6:$A$350,0)),0)/1000000)/Steuerungsdaten!$B$6),1-1),0))</f>
        <v>38</v>
      </c>
      <c r="M157" s="297">
        <f>IFERROR(INDEX(Aktiv!$I$6:$I$350,MATCH(A157,Aktiv!$A$6:$A$350,0)),"")</f>
        <v>131</v>
      </c>
      <c r="N157" s="298">
        <f t="shared" si="20"/>
        <v>93</v>
      </c>
      <c r="O157" s="296">
        <f t="shared" si="21"/>
        <v>2.4473684210526314</v>
      </c>
      <c r="P157" s="297">
        <f>IF(C157="","",ROUND(C157*Steuerungsdaten!$B$4*Steuerungsdaten!$B$10*IFERROR(VLOOKUP(IFERROR(INDEX(Aktiv!$C$6:$C$350,MATCH(A157,Aktiv!$A$6:$A$350,0)),""),Steuerungsdaten!$B$17:$I$37,8,FALSE),1)*POWER(IF(OR(IFERROR(INDEX(Aktiv!$E$6:$E$350,MATCH(A157,Aktiv!$A$6:$A$350,0)),0)=0,IFERROR(INDEX(Aktiv!$F$6:$F$350,MATCH(A157,Aktiv!$A$6:$A$350,0)),0)=0),1,(IFERROR(INDEX(Aktiv!$E$6:$E$350,MATCH(A157,Aktiv!$A$6:$A$350,0)),0)*IFERROR(INDEX(Aktiv!$F$6:$F$350,MATCH(A157,Aktiv!$A$6:$A$350,0)),0)/1000000)/Steuerungsdaten!$B$6),1-1),0))</f>
        <v>41</v>
      </c>
      <c r="Q157" s="297">
        <f>IFERROR(INDEX(Aktiv!$J$6:$J$350,MATCH(A157,Aktiv!$A$6:$A$350,0)),"")</f>
        <v>146</v>
      </c>
      <c r="R157" s="298">
        <f t="shared" si="22"/>
        <v>105</v>
      </c>
      <c r="S157" s="296">
        <f t="shared" si="23"/>
        <v>2.5609756097560976</v>
      </c>
    </row>
    <row r="158" spans="1:19" x14ac:dyDescent="0.25">
      <c r="A158" s="292">
        <v>3706</v>
      </c>
      <c r="B158" s="292" t="s">
        <v>172</v>
      </c>
      <c r="C158" s="293">
        <f>IFERROR(INDEX(Aktiv!$O$6:$O$350,MATCH(A158,Aktiv!$A$6:$A$350,0)),"")</f>
        <v>49</v>
      </c>
      <c r="D158" s="293">
        <f>IF(C158="","",ROUND(C158*Steuerungsdaten!$B$4*Steuerungsdaten!$B$7*IFERROR(VLOOKUP(IFERROR(INDEX(Aktiv!$C$6:$C$350,MATCH(A158,Aktiv!$A$6:$A$350,0)),""),Steuerungsdaten!$B$17:$C$37,2,FALSE),1)*POWER(IF(OR(IFERROR(INDEX(Aktiv!$E$6:$E$350,MATCH(A158,Aktiv!$A$6:$A$350,0)),0)=0,IFERROR(INDEX(Aktiv!$F$6:$F$350,MATCH(A158,Aktiv!$A$6:$A$350,0)),0)=0),1,(IFERROR(INDEX(Aktiv!$E$6:$E$350,MATCH(A158,Aktiv!$A$6:$A$350,0)),0)*IFERROR(INDEX(Aktiv!$F$6:$F$350,MATCH(A158,Aktiv!$A$6:$A$350,0)),0)/1000000)/Steuerungsdaten!$B$6),IF(ISNUMBER(MATCH(IFERROR(INDEX(Aktiv!$C$6:$C$350,MATCH(A158,Aktiv!$A$6:$A$350,0)),""),{"Boden","Seite außen","Seite außen SY32","Rücken","Seite innen","Seite innen SY32","Seite innen SY32 DB","Fachboden klein","Fachboden groß","Klappenboden"},0)),1.2,1)-1),0))</f>
        <v>40</v>
      </c>
      <c r="E158" s="293">
        <f>IFERROR(INDEX(Aktiv!$G$6:$G$350,MATCH(A158,Aktiv!$A$6:$A$350,0)),"")</f>
        <v>43</v>
      </c>
      <c r="F158" s="294">
        <f t="shared" si="16"/>
        <v>3</v>
      </c>
      <c r="G158" s="295">
        <f t="shared" si="17"/>
        <v>7.4999999999999997E-2</v>
      </c>
      <c r="H158" s="293">
        <f>IF(C158="","",ROUND(C158*Steuerungsdaten!$B$4*Steuerungsdaten!$B$8*IFERROR(VLOOKUP(IFERROR(INDEX(Aktiv!$C$6:$C$350,MATCH(A158,Aktiv!$A$6:$A$350,0)),""),Steuerungsdaten!$B$17:$E$37,4,FALSE),1)*POWER(IF(OR(IFERROR(INDEX(Aktiv!$E$6:$E$350,MATCH(A158,Aktiv!$A$6:$A$350,0)),0)=0,IFERROR(INDEX(Aktiv!$F$6:$F$350,MATCH(A158,Aktiv!$A$6:$A$350,0)),0)=0),1,(IFERROR(INDEX(Aktiv!$E$6:$E$350,MATCH(A158,Aktiv!$A$6:$A$350,0)),0)*IFERROR(INDEX(Aktiv!$F$6:$F$350,MATCH(A158,Aktiv!$A$6:$A$350,0)),0)/1000000)/Steuerungsdaten!$B$6),1-1),0))</f>
        <v>43</v>
      </c>
      <c r="I158" s="293">
        <f>IFERROR(INDEX(Aktiv!$H$6:$H$350,MATCH(A158,Aktiv!$A$6:$A$350,0)),"")</f>
        <v>147</v>
      </c>
      <c r="J158" s="294">
        <f t="shared" si="18"/>
        <v>104</v>
      </c>
      <c r="K158" s="296">
        <f t="shared" si="19"/>
        <v>2.4186046511627906</v>
      </c>
      <c r="L158" s="297">
        <f>IF(C158="","",ROUND(C158*Steuerungsdaten!$B$4*Steuerungsdaten!$B$9*IFERROR(VLOOKUP(IFERROR(INDEX(Aktiv!$C$6:$C$350,MATCH(A158,Aktiv!$A$6:$A$350,0)),""),Steuerungsdaten!$B$17:$G$37,6,FALSE),1)*POWER(IF(OR(IFERROR(INDEX(Aktiv!$E$6:$E$350,MATCH(A158,Aktiv!$A$6:$A$350,0)),0)=0,IFERROR(INDEX(Aktiv!$F$6:$F$350,MATCH(A158,Aktiv!$A$6:$A$350,0)),0)=0),1,(IFERROR(INDEX(Aktiv!$E$6:$E$350,MATCH(A158,Aktiv!$A$6:$A$350,0)),0)*IFERROR(INDEX(Aktiv!$F$6:$F$350,MATCH(A158,Aktiv!$A$6:$A$350,0)),0)/1000000)/Steuerungsdaten!$B$6),1-1),0))</f>
        <v>43</v>
      </c>
      <c r="M158" s="297">
        <f>IFERROR(INDEX(Aktiv!$I$6:$I$350,MATCH(A158,Aktiv!$A$6:$A$350,0)),"")</f>
        <v>153</v>
      </c>
      <c r="N158" s="298">
        <f t="shared" si="20"/>
        <v>110</v>
      </c>
      <c r="O158" s="296">
        <f t="shared" si="21"/>
        <v>2.558139534883721</v>
      </c>
      <c r="P158" s="297">
        <f>IF(C158="","",ROUND(C158*Steuerungsdaten!$B$4*Steuerungsdaten!$B$10*IFERROR(VLOOKUP(IFERROR(INDEX(Aktiv!$C$6:$C$350,MATCH(A158,Aktiv!$A$6:$A$350,0)),""),Steuerungsdaten!$B$17:$I$37,8,FALSE),1)*POWER(IF(OR(IFERROR(INDEX(Aktiv!$E$6:$E$350,MATCH(A158,Aktiv!$A$6:$A$350,0)),0)=0,IFERROR(INDEX(Aktiv!$F$6:$F$350,MATCH(A158,Aktiv!$A$6:$A$350,0)),0)=0),1,(IFERROR(INDEX(Aktiv!$E$6:$E$350,MATCH(A158,Aktiv!$A$6:$A$350,0)),0)*IFERROR(INDEX(Aktiv!$F$6:$F$350,MATCH(A158,Aktiv!$A$6:$A$350,0)),0)/1000000)/Steuerungsdaten!$B$6),1-1),0))</f>
        <v>47</v>
      </c>
      <c r="Q158" s="297">
        <f>IFERROR(INDEX(Aktiv!$J$6:$J$350,MATCH(A158,Aktiv!$A$6:$A$350,0)),"")</f>
        <v>170</v>
      </c>
      <c r="R158" s="298">
        <f t="shared" si="22"/>
        <v>123</v>
      </c>
      <c r="S158" s="296">
        <f t="shared" si="23"/>
        <v>2.6170212765957448</v>
      </c>
    </row>
    <row r="159" spans="1:19" x14ac:dyDescent="0.25">
      <c r="A159" s="292">
        <v>3707</v>
      </c>
      <c r="B159" s="292" t="s">
        <v>173</v>
      </c>
      <c r="C159" s="293">
        <f>IFERROR(INDEX(Aktiv!$O$6:$O$350,MATCH(A159,Aktiv!$A$6:$A$350,0)),"")</f>
        <v>67</v>
      </c>
      <c r="D159" s="293">
        <f>IF(C159="","",ROUND(C159*Steuerungsdaten!$B$4*Steuerungsdaten!$B$7*IFERROR(VLOOKUP(IFERROR(INDEX(Aktiv!$C$6:$C$350,MATCH(A159,Aktiv!$A$6:$A$350,0)),""),Steuerungsdaten!$B$17:$C$37,2,FALSE),1)*POWER(IF(OR(IFERROR(INDEX(Aktiv!$E$6:$E$350,MATCH(A159,Aktiv!$A$6:$A$350,0)),0)=0,IFERROR(INDEX(Aktiv!$F$6:$F$350,MATCH(A159,Aktiv!$A$6:$A$350,0)),0)=0),1,(IFERROR(INDEX(Aktiv!$E$6:$E$350,MATCH(A159,Aktiv!$A$6:$A$350,0)),0)*IFERROR(INDEX(Aktiv!$F$6:$F$350,MATCH(A159,Aktiv!$A$6:$A$350,0)),0)/1000000)/Steuerungsdaten!$B$6),IF(ISNUMBER(MATCH(IFERROR(INDEX(Aktiv!$C$6:$C$350,MATCH(A159,Aktiv!$A$6:$A$350,0)),""),{"Boden","Seite außen","Seite außen SY32","Rücken","Seite innen","Seite innen SY32","Seite innen SY32 DB","Fachboden klein","Fachboden groß","Klappenboden"},0)),1.2,1)-1),0))</f>
        <v>58</v>
      </c>
      <c r="E159" s="293">
        <f>IFERROR(INDEX(Aktiv!$G$6:$G$350,MATCH(A159,Aktiv!$A$6:$A$350,0)),"")</f>
        <v>59</v>
      </c>
      <c r="F159" s="294">
        <f t="shared" si="16"/>
        <v>1</v>
      </c>
      <c r="G159" s="295">
        <f t="shared" si="17"/>
        <v>1.7241379310344827E-2</v>
      </c>
      <c r="H159" s="293">
        <f>IF(C159="","",ROUND(C159*Steuerungsdaten!$B$4*Steuerungsdaten!$B$8*IFERROR(VLOOKUP(IFERROR(INDEX(Aktiv!$C$6:$C$350,MATCH(A159,Aktiv!$A$6:$A$350,0)),""),Steuerungsdaten!$B$17:$E$37,4,FALSE),1)*POWER(IF(OR(IFERROR(INDEX(Aktiv!$E$6:$E$350,MATCH(A159,Aktiv!$A$6:$A$350,0)),0)=0,IFERROR(INDEX(Aktiv!$F$6:$F$350,MATCH(A159,Aktiv!$A$6:$A$350,0)),0)=0),1,(IFERROR(INDEX(Aktiv!$E$6:$E$350,MATCH(A159,Aktiv!$A$6:$A$350,0)),0)*IFERROR(INDEX(Aktiv!$F$6:$F$350,MATCH(A159,Aktiv!$A$6:$A$350,0)),0)/1000000)/Steuerungsdaten!$B$6),1-1),0))</f>
        <v>59</v>
      </c>
      <c r="I159" s="293">
        <f>IFERROR(INDEX(Aktiv!$H$6:$H$350,MATCH(A159,Aktiv!$A$6:$A$350,0)),"")</f>
        <v>203</v>
      </c>
      <c r="J159" s="294">
        <f t="shared" si="18"/>
        <v>144</v>
      </c>
      <c r="K159" s="296">
        <f t="shared" si="19"/>
        <v>2.4406779661016951</v>
      </c>
      <c r="L159" s="297">
        <f>IF(C159="","",ROUND(C159*Steuerungsdaten!$B$4*Steuerungsdaten!$B$9*IFERROR(VLOOKUP(IFERROR(INDEX(Aktiv!$C$6:$C$350,MATCH(A159,Aktiv!$A$6:$A$350,0)),""),Steuerungsdaten!$B$17:$G$37,6,FALSE),1)*POWER(IF(OR(IFERROR(INDEX(Aktiv!$E$6:$E$350,MATCH(A159,Aktiv!$A$6:$A$350,0)),0)=0,IFERROR(INDEX(Aktiv!$F$6:$F$350,MATCH(A159,Aktiv!$A$6:$A$350,0)),0)=0),1,(IFERROR(INDEX(Aktiv!$E$6:$E$350,MATCH(A159,Aktiv!$A$6:$A$350,0)),0)*IFERROR(INDEX(Aktiv!$F$6:$F$350,MATCH(A159,Aktiv!$A$6:$A$350,0)),0)/1000000)/Steuerungsdaten!$B$6),1-1),0))</f>
        <v>59</v>
      </c>
      <c r="M159" s="297">
        <f>IFERROR(INDEX(Aktiv!$I$6:$I$350,MATCH(A159,Aktiv!$A$6:$A$350,0)),"")</f>
        <v>211</v>
      </c>
      <c r="N159" s="298">
        <f t="shared" si="20"/>
        <v>152</v>
      </c>
      <c r="O159" s="296">
        <f t="shared" si="21"/>
        <v>2.5762711864406778</v>
      </c>
      <c r="P159" s="297">
        <f>IF(C159="","",ROUND(C159*Steuerungsdaten!$B$4*Steuerungsdaten!$B$10*IFERROR(VLOOKUP(IFERROR(INDEX(Aktiv!$C$6:$C$350,MATCH(A159,Aktiv!$A$6:$A$350,0)),""),Steuerungsdaten!$B$17:$I$37,8,FALSE),1)*POWER(IF(OR(IFERROR(INDEX(Aktiv!$E$6:$E$350,MATCH(A159,Aktiv!$A$6:$A$350,0)),0)=0,IFERROR(INDEX(Aktiv!$F$6:$F$350,MATCH(A159,Aktiv!$A$6:$A$350,0)),0)=0),1,(IFERROR(INDEX(Aktiv!$E$6:$E$350,MATCH(A159,Aktiv!$A$6:$A$350,0)),0)*IFERROR(INDEX(Aktiv!$F$6:$F$350,MATCH(A159,Aktiv!$A$6:$A$350,0)),0)/1000000)/Steuerungsdaten!$B$6),1-1),0))</f>
        <v>64</v>
      </c>
      <c r="Q159" s="297">
        <f>IFERROR(INDEX(Aktiv!$J$6:$J$350,MATCH(A159,Aktiv!$A$6:$A$350,0)),"")</f>
        <v>235</v>
      </c>
      <c r="R159" s="298">
        <f t="shared" si="22"/>
        <v>171</v>
      </c>
      <c r="S159" s="296">
        <f t="shared" si="23"/>
        <v>2.671875</v>
      </c>
    </row>
    <row r="160" spans="1:19" x14ac:dyDescent="0.25">
      <c r="A160" s="292">
        <v>3708</v>
      </c>
      <c r="B160" s="292" t="s">
        <v>174</v>
      </c>
      <c r="C160" s="293">
        <f>IFERROR(INDEX(Aktiv!$O$6:$O$350,MATCH(A160,Aktiv!$A$6:$A$350,0)),"")</f>
        <v>87</v>
      </c>
      <c r="D160" s="293">
        <f>IF(C160="","",ROUND(C160*Steuerungsdaten!$B$4*Steuerungsdaten!$B$7*IFERROR(VLOOKUP(IFERROR(INDEX(Aktiv!$C$6:$C$350,MATCH(A160,Aktiv!$A$6:$A$350,0)),""),Steuerungsdaten!$B$17:$C$37,2,FALSE),1)*POWER(IF(OR(IFERROR(INDEX(Aktiv!$E$6:$E$350,MATCH(A160,Aktiv!$A$6:$A$350,0)),0)=0,IFERROR(INDEX(Aktiv!$F$6:$F$350,MATCH(A160,Aktiv!$A$6:$A$350,0)),0)=0),1,(IFERROR(INDEX(Aktiv!$E$6:$E$350,MATCH(A160,Aktiv!$A$6:$A$350,0)),0)*IFERROR(INDEX(Aktiv!$F$6:$F$350,MATCH(A160,Aktiv!$A$6:$A$350,0)),0)/1000000)/Steuerungsdaten!$B$6),IF(ISNUMBER(MATCH(IFERROR(INDEX(Aktiv!$C$6:$C$350,MATCH(A160,Aktiv!$A$6:$A$350,0)),""),{"Boden","Seite außen","Seite außen SY32","Rücken","Seite innen","Seite innen SY32","Seite innen SY32 DB","Fachboden klein","Fachboden groß","Klappenboden"},0)),1.2,1)-1),0))</f>
        <v>81</v>
      </c>
      <c r="E160" s="293">
        <f>IFERROR(INDEX(Aktiv!$G$6:$G$350,MATCH(A160,Aktiv!$A$6:$A$350,0)),"")</f>
        <v>80</v>
      </c>
      <c r="F160" s="294">
        <f t="shared" si="16"/>
        <v>-1</v>
      </c>
      <c r="G160" s="295">
        <f t="shared" si="17"/>
        <v>-1.2345679012345678E-2</v>
      </c>
      <c r="H160" s="293">
        <f>IF(C160="","",ROUND(C160*Steuerungsdaten!$B$4*Steuerungsdaten!$B$8*IFERROR(VLOOKUP(IFERROR(INDEX(Aktiv!$C$6:$C$350,MATCH(A160,Aktiv!$A$6:$A$350,0)),""),Steuerungsdaten!$B$17:$E$37,4,FALSE),1)*POWER(IF(OR(IFERROR(INDEX(Aktiv!$E$6:$E$350,MATCH(A160,Aktiv!$A$6:$A$350,0)),0)=0,IFERROR(INDEX(Aktiv!$F$6:$F$350,MATCH(A160,Aktiv!$A$6:$A$350,0)),0)=0),1,(IFERROR(INDEX(Aktiv!$E$6:$E$350,MATCH(A160,Aktiv!$A$6:$A$350,0)),0)*IFERROR(INDEX(Aktiv!$F$6:$F$350,MATCH(A160,Aktiv!$A$6:$A$350,0)),0)/1000000)/Steuerungsdaten!$B$6),1-1),0))</f>
        <v>77</v>
      </c>
      <c r="I160" s="293">
        <f>IFERROR(INDEX(Aktiv!$H$6:$H$350,MATCH(A160,Aktiv!$A$6:$A$350,0)),"")</f>
        <v>273</v>
      </c>
      <c r="J160" s="294">
        <f t="shared" si="18"/>
        <v>196</v>
      </c>
      <c r="K160" s="296">
        <f t="shared" si="19"/>
        <v>2.5454545454545454</v>
      </c>
      <c r="L160" s="297">
        <f>IF(C160="","",ROUND(C160*Steuerungsdaten!$B$4*Steuerungsdaten!$B$9*IFERROR(VLOOKUP(IFERROR(INDEX(Aktiv!$C$6:$C$350,MATCH(A160,Aktiv!$A$6:$A$350,0)),""),Steuerungsdaten!$B$17:$G$37,6,FALSE),1)*POWER(IF(OR(IFERROR(INDEX(Aktiv!$E$6:$E$350,MATCH(A160,Aktiv!$A$6:$A$350,0)),0)=0,IFERROR(INDEX(Aktiv!$F$6:$F$350,MATCH(A160,Aktiv!$A$6:$A$350,0)),0)=0),1,(IFERROR(INDEX(Aktiv!$E$6:$E$350,MATCH(A160,Aktiv!$A$6:$A$350,0)),0)*IFERROR(INDEX(Aktiv!$F$6:$F$350,MATCH(A160,Aktiv!$A$6:$A$350,0)),0)/1000000)/Steuerungsdaten!$B$6),1-1),0))</f>
        <v>77</v>
      </c>
      <c r="M160" s="297">
        <f>IFERROR(INDEX(Aktiv!$I$6:$I$350,MATCH(A160,Aktiv!$A$6:$A$350,0)),"")</f>
        <v>284</v>
      </c>
      <c r="N160" s="298">
        <f t="shared" si="20"/>
        <v>207</v>
      </c>
      <c r="O160" s="296">
        <f t="shared" si="21"/>
        <v>2.6883116883116882</v>
      </c>
      <c r="P160" s="297">
        <f>IF(C160="","",ROUND(C160*Steuerungsdaten!$B$4*Steuerungsdaten!$B$10*IFERROR(VLOOKUP(IFERROR(INDEX(Aktiv!$C$6:$C$350,MATCH(A160,Aktiv!$A$6:$A$350,0)),""),Steuerungsdaten!$B$17:$I$37,8,FALSE),1)*POWER(IF(OR(IFERROR(INDEX(Aktiv!$E$6:$E$350,MATCH(A160,Aktiv!$A$6:$A$350,0)),0)=0,IFERROR(INDEX(Aktiv!$F$6:$F$350,MATCH(A160,Aktiv!$A$6:$A$350,0)),0)=0),1,(IFERROR(INDEX(Aktiv!$E$6:$E$350,MATCH(A160,Aktiv!$A$6:$A$350,0)),0)*IFERROR(INDEX(Aktiv!$F$6:$F$350,MATCH(A160,Aktiv!$A$6:$A$350,0)),0)/1000000)/Steuerungsdaten!$B$6),1-1),0))</f>
        <v>84</v>
      </c>
      <c r="Q160" s="297">
        <f>IFERROR(INDEX(Aktiv!$J$6:$J$350,MATCH(A160,Aktiv!$A$6:$A$350,0)),"")</f>
        <v>316</v>
      </c>
      <c r="R160" s="298">
        <f t="shared" si="22"/>
        <v>232</v>
      </c>
      <c r="S160" s="296">
        <f t="shared" si="23"/>
        <v>2.7619047619047619</v>
      </c>
    </row>
    <row r="161" spans="1:19" x14ac:dyDescent="0.25">
      <c r="A161" s="292">
        <v>3709</v>
      </c>
      <c r="B161" s="292" t="s">
        <v>175</v>
      </c>
      <c r="C161" s="293">
        <f>IFERROR(INDEX(Aktiv!$O$6:$O$350,MATCH(A161,Aktiv!$A$6:$A$350,0)),"")</f>
        <v>110</v>
      </c>
      <c r="D161" s="293">
        <f>IF(C161="","",ROUND(C161*Steuerungsdaten!$B$4*Steuerungsdaten!$B$7*IFERROR(VLOOKUP(IFERROR(INDEX(Aktiv!$C$6:$C$350,MATCH(A161,Aktiv!$A$6:$A$350,0)),""),Steuerungsdaten!$B$17:$C$37,2,FALSE),1)*POWER(IF(OR(IFERROR(INDEX(Aktiv!$E$6:$E$350,MATCH(A161,Aktiv!$A$6:$A$350,0)),0)=0,IFERROR(INDEX(Aktiv!$F$6:$F$350,MATCH(A161,Aktiv!$A$6:$A$350,0)),0)=0),1,(IFERROR(INDEX(Aktiv!$E$6:$E$350,MATCH(A161,Aktiv!$A$6:$A$350,0)),0)*IFERROR(INDEX(Aktiv!$F$6:$F$350,MATCH(A161,Aktiv!$A$6:$A$350,0)),0)/1000000)/Steuerungsdaten!$B$6),IF(ISNUMBER(MATCH(IFERROR(INDEX(Aktiv!$C$6:$C$350,MATCH(A161,Aktiv!$A$6:$A$350,0)),""),{"Boden","Seite außen","Seite außen SY32","Rücken","Seite innen","Seite innen SY32","Seite innen SY32 DB","Fachboden klein","Fachboden groß","Klappenboden"},0)),1.2,1)-1),0))</f>
        <v>107</v>
      </c>
      <c r="E161" s="293">
        <f>IFERROR(INDEX(Aktiv!$G$6:$G$350,MATCH(A161,Aktiv!$A$6:$A$350,0)),"")</f>
        <v>100</v>
      </c>
      <c r="F161" s="294">
        <f t="shared" si="16"/>
        <v>-7</v>
      </c>
      <c r="G161" s="295">
        <f t="shared" si="17"/>
        <v>-6.5420560747663545E-2</v>
      </c>
      <c r="H161" s="293">
        <f>IF(C161="","",ROUND(C161*Steuerungsdaten!$B$4*Steuerungsdaten!$B$8*IFERROR(VLOOKUP(IFERROR(INDEX(Aktiv!$C$6:$C$350,MATCH(A161,Aktiv!$A$6:$A$350,0)),""),Steuerungsdaten!$B$17:$E$37,4,FALSE),1)*POWER(IF(OR(IFERROR(INDEX(Aktiv!$E$6:$E$350,MATCH(A161,Aktiv!$A$6:$A$350,0)),0)=0,IFERROR(INDEX(Aktiv!$F$6:$F$350,MATCH(A161,Aktiv!$A$6:$A$350,0)),0)=0),1,(IFERROR(INDEX(Aktiv!$E$6:$E$350,MATCH(A161,Aktiv!$A$6:$A$350,0)),0)*IFERROR(INDEX(Aktiv!$F$6:$F$350,MATCH(A161,Aktiv!$A$6:$A$350,0)),0)/1000000)/Steuerungsdaten!$B$6),1-1),0))</f>
        <v>97</v>
      </c>
      <c r="I161" s="293">
        <f>IFERROR(INDEX(Aktiv!$H$6:$H$350,MATCH(A161,Aktiv!$A$6:$A$350,0)),"")</f>
        <v>343</v>
      </c>
      <c r="J161" s="294">
        <f t="shared" si="18"/>
        <v>246</v>
      </c>
      <c r="K161" s="296">
        <f t="shared" si="19"/>
        <v>2.536082474226804</v>
      </c>
      <c r="L161" s="297">
        <f>IF(C161="","",ROUND(C161*Steuerungsdaten!$B$4*Steuerungsdaten!$B$9*IFERROR(VLOOKUP(IFERROR(INDEX(Aktiv!$C$6:$C$350,MATCH(A161,Aktiv!$A$6:$A$350,0)),""),Steuerungsdaten!$B$17:$G$37,6,FALSE),1)*POWER(IF(OR(IFERROR(INDEX(Aktiv!$E$6:$E$350,MATCH(A161,Aktiv!$A$6:$A$350,0)),0)=0,IFERROR(INDEX(Aktiv!$F$6:$F$350,MATCH(A161,Aktiv!$A$6:$A$350,0)),0)=0),1,(IFERROR(INDEX(Aktiv!$E$6:$E$350,MATCH(A161,Aktiv!$A$6:$A$350,0)),0)*IFERROR(INDEX(Aktiv!$F$6:$F$350,MATCH(A161,Aktiv!$A$6:$A$350,0)),0)/1000000)/Steuerungsdaten!$B$6),1-1),0))</f>
        <v>97</v>
      </c>
      <c r="M161" s="297">
        <f>IFERROR(INDEX(Aktiv!$I$6:$I$350,MATCH(A161,Aktiv!$A$6:$A$350,0)),"")</f>
        <v>357</v>
      </c>
      <c r="N161" s="298">
        <f t="shared" si="20"/>
        <v>260</v>
      </c>
      <c r="O161" s="296">
        <f t="shared" si="21"/>
        <v>2.6804123711340204</v>
      </c>
      <c r="P161" s="297">
        <f>IF(C161="","",ROUND(C161*Steuerungsdaten!$B$4*Steuerungsdaten!$B$10*IFERROR(VLOOKUP(IFERROR(INDEX(Aktiv!$C$6:$C$350,MATCH(A161,Aktiv!$A$6:$A$350,0)),""),Steuerungsdaten!$B$17:$I$37,8,FALSE),1)*POWER(IF(OR(IFERROR(INDEX(Aktiv!$E$6:$E$350,MATCH(A161,Aktiv!$A$6:$A$350,0)),0)=0,IFERROR(INDEX(Aktiv!$F$6:$F$350,MATCH(A161,Aktiv!$A$6:$A$350,0)),0)=0),1,(IFERROR(INDEX(Aktiv!$E$6:$E$350,MATCH(A161,Aktiv!$A$6:$A$350,0)),0)*IFERROR(INDEX(Aktiv!$F$6:$F$350,MATCH(A161,Aktiv!$A$6:$A$350,0)),0)/1000000)/Steuerungsdaten!$B$6),1-1),0))</f>
        <v>106</v>
      </c>
      <c r="Q161" s="297">
        <f>IFERROR(INDEX(Aktiv!$J$6:$J$350,MATCH(A161,Aktiv!$A$6:$A$350,0)),"")</f>
        <v>398</v>
      </c>
      <c r="R161" s="298">
        <f t="shared" si="22"/>
        <v>292</v>
      </c>
      <c r="S161" s="296">
        <f t="shared" si="23"/>
        <v>2.7547169811320753</v>
      </c>
    </row>
    <row r="162" spans="1:19" x14ac:dyDescent="0.25">
      <c r="A162" s="292">
        <v>3710</v>
      </c>
      <c r="B162" s="292" t="s">
        <v>176</v>
      </c>
      <c r="C162" s="293">
        <f>IFERROR(INDEX(Aktiv!$O$6:$O$350,MATCH(A162,Aktiv!$A$6:$A$350,0)),"")</f>
        <v>110</v>
      </c>
      <c r="D162" s="293">
        <f>IF(C162="","",ROUND(C162*Steuerungsdaten!$B$4*Steuerungsdaten!$B$7*IFERROR(VLOOKUP(IFERROR(INDEX(Aktiv!$C$6:$C$350,MATCH(A162,Aktiv!$A$6:$A$350,0)),""),Steuerungsdaten!$B$17:$C$37,2,FALSE),1)*POWER(IF(OR(IFERROR(INDEX(Aktiv!$E$6:$E$350,MATCH(A162,Aktiv!$A$6:$A$350,0)),0)=0,IFERROR(INDEX(Aktiv!$F$6:$F$350,MATCH(A162,Aktiv!$A$6:$A$350,0)),0)=0),1,(IFERROR(INDEX(Aktiv!$E$6:$E$350,MATCH(A162,Aktiv!$A$6:$A$350,0)),0)*IFERROR(INDEX(Aktiv!$F$6:$F$350,MATCH(A162,Aktiv!$A$6:$A$350,0)),0)/1000000)/Steuerungsdaten!$B$6),IF(ISNUMBER(MATCH(IFERROR(INDEX(Aktiv!$C$6:$C$350,MATCH(A162,Aktiv!$A$6:$A$350,0)),""),{"Boden","Seite außen","Seite außen SY32","Rücken","Seite innen","Seite innen SY32","Seite innen SY32 DB","Fachboden klein","Fachboden groß","Klappenboden"},0)),1.2,1)-1),0))</f>
        <v>108</v>
      </c>
      <c r="E162" s="293" t="str">
        <f>IFERROR(INDEX(Aktiv!$G$6:$G$350,MATCH(A162,Aktiv!$A$6:$A$350,0)),"")</f>
        <v>-</v>
      </c>
      <c r="F162" s="294" t="e">
        <f t="shared" si="16"/>
        <v>#VALUE!</v>
      </c>
      <c r="G162" s="295" t="e">
        <f t="shared" si="17"/>
        <v>#VALUE!</v>
      </c>
      <c r="H162" s="293">
        <f>IF(C162="","",ROUND(C162*Steuerungsdaten!$B$4*Steuerungsdaten!$B$8*IFERROR(VLOOKUP(IFERROR(INDEX(Aktiv!$C$6:$C$350,MATCH(A162,Aktiv!$A$6:$A$350,0)),""),Steuerungsdaten!$B$17:$E$37,4,FALSE),1)*POWER(IF(OR(IFERROR(INDEX(Aktiv!$E$6:$E$350,MATCH(A162,Aktiv!$A$6:$A$350,0)),0)=0,IFERROR(INDEX(Aktiv!$F$6:$F$350,MATCH(A162,Aktiv!$A$6:$A$350,0)),0)=0),1,(IFERROR(INDEX(Aktiv!$E$6:$E$350,MATCH(A162,Aktiv!$A$6:$A$350,0)),0)*IFERROR(INDEX(Aktiv!$F$6:$F$350,MATCH(A162,Aktiv!$A$6:$A$350,0)),0)/1000000)/Steuerungsdaten!$B$6),1-1),0))</f>
        <v>97</v>
      </c>
      <c r="I162" s="293" t="str">
        <f>IFERROR(INDEX(Aktiv!$H$6:$H$350,MATCH(A162,Aktiv!$A$6:$A$350,0)),"")</f>
        <v>-</v>
      </c>
      <c r="J162" s="294" t="e">
        <f t="shared" si="18"/>
        <v>#VALUE!</v>
      </c>
      <c r="K162" s="296" t="e">
        <f t="shared" si="19"/>
        <v>#VALUE!</v>
      </c>
      <c r="L162" s="297">
        <f>IF(C162="","",ROUND(C162*Steuerungsdaten!$B$4*Steuerungsdaten!$B$9*IFERROR(VLOOKUP(IFERROR(INDEX(Aktiv!$C$6:$C$350,MATCH(A162,Aktiv!$A$6:$A$350,0)),""),Steuerungsdaten!$B$17:$G$37,6,FALSE),1)*POWER(IF(OR(IFERROR(INDEX(Aktiv!$E$6:$E$350,MATCH(A162,Aktiv!$A$6:$A$350,0)),0)=0,IFERROR(INDEX(Aktiv!$F$6:$F$350,MATCH(A162,Aktiv!$A$6:$A$350,0)),0)=0),1,(IFERROR(INDEX(Aktiv!$E$6:$E$350,MATCH(A162,Aktiv!$A$6:$A$350,0)),0)*IFERROR(INDEX(Aktiv!$F$6:$F$350,MATCH(A162,Aktiv!$A$6:$A$350,0)),0)/1000000)/Steuerungsdaten!$B$6),1-1),0))</f>
        <v>97</v>
      </c>
      <c r="M162" s="297" t="str">
        <f>IFERROR(INDEX(Aktiv!$I$6:$I$350,MATCH(A162,Aktiv!$A$6:$A$350,0)),"")</f>
        <v>-</v>
      </c>
      <c r="N162" s="298" t="e">
        <f t="shared" si="20"/>
        <v>#VALUE!</v>
      </c>
      <c r="O162" s="296" t="e">
        <f t="shared" si="21"/>
        <v>#VALUE!</v>
      </c>
      <c r="P162" s="297">
        <f>IF(C162="","",ROUND(C162*Steuerungsdaten!$B$4*Steuerungsdaten!$B$10*IFERROR(VLOOKUP(IFERROR(INDEX(Aktiv!$C$6:$C$350,MATCH(A162,Aktiv!$A$6:$A$350,0)),""),Steuerungsdaten!$B$17:$I$37,8,FALSE),1)*POWER(IF(OR(IFERROR(INDEX(Aktiv!$E$6:$E$350,MATCH(A162,Aktiv!$A$6:$A$350,0)),0)=0,IFERROR(INDEX(Aktiv!$F$6:$F$350,MATCH(A162,Aktiv!$A$6:$A$350,0)),0)=0),1,(IFERROR(INDEX(Aktiv!$E$6:$E$350,MATCH(A162,Aktiv!$A$6:$A$350,0)),0)*IFERROR(INDEX(Aktiv!$F$6:$F$350,MATCH(A162,Aktiv!$A$6:$A$350,0)),0)/1000000)/Steuerungsdaten!$B$6),1-1),0))</f>
        <v>106</v>
      </c>
      <c r="Q162" s="297" t="str">
        <f>IFERROR(INDEX(Aktiv!$J$6:$J$350,MATCH(A162,Aktiv!$A$6:$A$350,0)),"")</f>
        <v>-</v>
      </c>
      <c r="R162" s="298" t="e">
        <f t="shared" si="22"/>
        <v>#VALUE!</v>
      </c>
      <c r="S162" s="296" t="e">
        <f t="shared" si="23"/>
        <v>#VALUE!</v>
      </c>
    </row>
    <row r="163" spans="1:19" x14ac:dyDescent="0.25">
      <c r="A163" s="292">
        <v>3711</v>
      </c>
      <c r="B163" s="292" t="s">
        <v>177</v>
      </c>
      <c r="C163" s="293">
        <f>IFERROR(INDEX(Aktiv!$O$6:$O$350,MATCH(A163,Aktiv!$A$6:$A$350,0)),"")</f>
        <v>138</v>
      </c>
      <c r="D163" s="293">
        <f>IF(C163="","",ROUND(C163*Steuerungsdaten!$B$4*Steuerungsdaten!$B$7*IFERROR(VLOOKUP(IFERROR(INDEX(Aktiv!$C$6:$C$350,MATCH(A163,Aktiv!$A$6:$A$350,0)),""),Steuerungsdaten!$B$17:$C$37,2,FALSE),1)*POWER(IF(OR(IFERROR(INDEX(Aktiv!$E$6:$E$350,MATCH(A163,Aktiv!$A$6:$A$350,0)),0)=0,IFERROR(INDEX(Aktiv!$F$6:$F$350,MATCH(A163,Aktiv!$A$6:$A$350,0)),0)=0),1,(IFERROR(INDEX(Aktiv!$E$6:$E$350,MATCH(A163,Aktiv!$A$6:$A$350,0)),0)*IFERROR(INDEX(Aktiv!$F$6:$F$350,MATCH(A163,Aktiv!$A$6:$A$350,0)),0)/1000000)/Steuerungsdaten!$B$6),IF(ISNUMBER(MATCH(IFERROR(INDEX(Aktiv!$C$6:$C$350,MATCH(A163,Aktiv!$A$6:$A$350,0)),""),{"Boden","Seite außen","Seite außen SY32","Rücken","Seite innen","Seite innen SY32","Seite innen SY32 DB","Fachboden klein","Fachboden groß","Klappenboden"},0)),1.2,1)-1),0))</f>
        <v>142</v>
      </c>
      <c r="E163" s="293" t="str">
        <f>IFERROR(INDEX(Aktiv!$G$6:$G$350,MATCH(A163,Aktiv!$A$6:$A$350,0)),"")</f>
        <v>-</v>
      </c>
      <c r="F163" s="294" t="e">
        <f t="shared" si="16"/>
        <v>#VALUE!</v>
      </c>
      <c r="G163" s="295" t="e">
        <f t="shared" si="17"/>
        <v>#VALUE!</v>
      </c>
      <c r="H163" s="293">
        <f>IF(C163="","",ROUND(C163*Steuerungsdaten!$B$4*Steuerungsdaten!$B$8*IFERROR(VLOOKUP(IFERROR(INDEX(Aktiv!$C$6:$C$350,MATCH(A163,Aktiv!$A$6:$A$350,0)),""),Steuerungsdaten!$B$17:$E$37,4,FALSE),1)*POWER(IF(OR(IFERROR(INDEX(Aktiv!$E$6:$E$350,MATCH(A163,Aktiv!$A$6:$A$350,0)),0)=0,IFERROR(INDEX(Aktiv!$F$6:$F$350,MATCH(A163,Aktiv!$A$6:$A$350,0)),0)=0),1,(IFERROR(INDEX(Aktiv!$E$6:$E$350,MATCH(A163,Aktiv!$A$6:$A$350,0)),0)*IFERROR(INDEX(Aktiv!$F$6:$F$350,MATCH(A163,Aktiv!$A$6:$A$350,0)),0)/1000000)/Steuerungsdaten!$B$6),1-1),0))</f>
        <v>121</v>
      </c>
      <c r="I163" s="293" t="str">
        <f>IFERROR(INDEX(Aktiv!$H$6:$H$350,MATCH(A163,Aktiv!$A$6:$A$350,0)),"")</f>
        <v>-</v>
      </c>
      <c r="J163" s="294" t="e">
        <f t="shared" si="18"/>
        <v>#VALUE!</v>
      </c>
      <c r="K163" s="296" t="e">
        <f t="shared" si="19"/>
        <v>#VALUE!</v>
      </c>
      <c r="L163" s="297">
        <f>IF(C163="","",ROUND(C163*Steuerungsdaten!$B$4*Steuerungsdaten!$B$9*IFERROR(VLOOKUP(IFERROR(INDEX(Aktiv!$C$6:$C$350,MATCH(A163,Aktiv!$A$6:$A$350,0)),""),Steuerungsdaten!$B$17:$G$37,6,FALSE),1)*POWER(IF(OR(IFERROR(INDEX(Aktiv!$E$6:$E$350,MATCH(A163,Aktiv!$A$6:$A$350,0)),0)=0,IFERROR(INDEX(Aktiv!$F$6:$F$350,MATCH(A163,Aktiv!$A$6:$A$350,0)),0)=0),1,(IFERROR(INDEX(Aktiv!$E$6:$E$350,MATCH(A163,Aktiv!$A$6:$A$350,0)),0)*IFERROR(INDEX(Aktiv!$F$6:$F$350,MATCH(A163,Aktiv!$A$6:$A$350,0)),0)/1000000)/Steuerungsdaten!$B$6),1-1),0))</f>
        <v>121</v>
      </c>
      <c r="M163" s="297" t="str">
        <f>IFERROR(INDEX(Aktiv!$I$6:$I$350,MATCH(A163,Aktiv!$A$6:$A$350,0)),"")</f>
        <v>-</v>
      </c>
      <c r="N163" s="298" t="e">
        <f t="shared" si="20"/>
        <v>#VALUE!</v>
      </c>
      <c r="O163" s="296" t="e">
        <f t="shared" si="21"/>
        <v>#VALUE!</v>
      </c>
      <c r="P163" s="297">
        <f>IF(C163="","",ROUND(C163*Steuerungsdaten!$B$4*Steuerungsdaten!$B$10*IFERROR(VLOOKUP(IFERROR(INDEX(Aktiv!$C$6:$C$350,MATCH(A163,Aktiv!$A$6:$A$350,0)),""),Steuerungsdaten!$B$17:$I$37,8,FALSE),1)*POWER(IF(OR(IFERROR(INDEX(Aktiv!$E$6:$E$350,MATCH(A163,Aktiv!$A$6:$A$350,0)),0)=0,IFERROR(INDEX(Aktiv!$F$6:$F$350,MATCH(A163,Aktiv!$A$6:$A$350,0)),0)=0),1,(IFERROR(INDEX(Aktiv!$E$6:$E$350,MATCH(A163,Aktiv!$A$6:$A$350,0)),0)*IFERROR(INDEX(Aktiv!$F$6:$F$350,MATCH(A163,Aktiv!$A$6:$A$350,0)),0)/1000000)/Steuerungsdaten!$B$6),1-1),0))</f>
        <v>132</v>
      </c>
      <c r="Q163" s="297" t="str">
        <f>IFERROR(INDEX(Aktiv!$J$6:$J$350,MATCH(A163,Aktiv!$A$6:$A$350,0)),"")</f>
        <v>-</v>
      </c>
      <c r="R163" s="298" t="e">
        <f t="shared" si="22"/>
        <v>#VALUE!</v>
      </c>
      <c r="S163" s="296" t="e">
        <f t="shared" si="23"/>
        <v>#VALUE!</v>
      </c>
    </row>
    <row r="164" spans="1:19" x14ac:dyDescent="0.25">
      <c r="A164" s="292">
        <v>3712</v>
      </c>
      <c r="B164" s="292" t="s">
        <v>178</v>
      </c>
      <c r="C164" s="293">
        <f>IFERROR(INDEX(Aktiv!$O$6:$O$350,MATCH(A164,Aktiv!$A$6:$A$350,0)),"")</f>
        <v>166</v>
      </c>
      <c r="D164" s="293">
        <f>IF(C164="","",ROUND(C164*Steuerungsdaten!$B$4*Steuerungsdaten!$B$7*IFERROR(VLOOKUP(IFERROR(INDEX(Aktiv!$C$6:$C$350,MATCH(A164,Aktiv!$A$6:$A$350,0)),""),Steuerungsdaten!$B$17:$C$37,2,FALSE),1)*POWER(IF(OR(IFERROR(INDEX(Aktiv!$E$6:$E$350,MATCH(A164,Aktiv!$A$6:$A$350,0)),0)=0,IFERROR(INDEX(Aktiv!$F$6:$F$350,MATCH(A164,Aktiv!$A$6:$A$350,0)),0)=0),1,(IFERROR(INDEX(Aktiv!$E$6:$E$350,MATCH(A164,Aktiv!$A$6:$A$350,0)),0)*IFERROR(INDEX(Aktiv!$F$6:$F$350,MATCH(A164,Aktiv!$A$6:$A$350,0)),0)/1000000)/Steuerungsdaten!$B$6),IF(ISNUMBER(MATCH(IFERROR(INDEX(Aktiv!$C$6:$C$350,MATCH(A164,Aktiv!$A$6:$A$350,0)),""),{"Boden","Seite außen","Seite außen SY32","Rücken","Seite innen","Seite innen SY32","Seite innen SY32 DB","Fachboden klein","Fachboden groß","Klappenboden"},0)),1.2,1)-1),0))</f>
        <v>179</v>
      </c>
      <c r="E164" s="293" t="str">
        <f>IFERROR(INDEX(Aktiv!$G$6:$G$350,MATCH(A164,Aktiv!$A$6:$A$350,0)),"")</f>
        <v>-</v>
      </c>
      <c r="F164" s="294" t="e">
        <f t="shared" si="16"/>
        <v>#VALUE!</v>
      </c>
      <c r="G164" s="295" t="e">
        <f t="shared" si="17"/>
        <v>#VALUE!</v>
      </c>
      <c r="H164" s="293">
        <f>IF(C164="","",ROUND(C164*Steuerungsdaten!$B$4*Steuerungsdaten!$B$8*IFERROR(VLOOKUP(IFERROR(INDEX(Aktiv!$C$6:$C$350,MATCH(A164,Aktiv!$A$6:$A$350,0)),""),Steuerungsdaten!$B$17:$E$37,4,FALSE),1)*POWER(IF(OR(IFERROR(INDEX(Aktiv!$E$6:$E$350,MATCH(A164,Aktiv!$A$6:$A$350,0)),0)=0,IFERROR(INDEX(Aktiv!$F$6:$F$350,MATCH(A164,Aktiv!$A$6:$A$350,0)),0)=0),1,(IFERROR(INDEX(Aktiv!$E$6:$E$350,MATCH(A164,Aktiv!$A$6:$A$350,0)),0)*IFERROR(INDEX(Aktiv!$F$6:$F$350,MATCH(A164,Aktiv!$A$6:$A$350,0)),0)/1000000)/Steuerungsdaten!$B$6),1-1),0))</f>
        <v>146</v>
      </c>
      <c r="I164" s="293" t="str">
        <f>IFERROR(INDEX(Aktiv!$H$6:$H$350,MATCH(A164,Aktiv!$A$6:$A$350,0)),"")</f>
        <v>-</v>
      </c>
      <c r="J164" s="294" t="e">
        <f t="shared" si="18"/>
        <v>#VALUE!</v>
      </c>
      <c r="K164" s="296" t="e">
        <f t="shared" si="19"/>
        <v>#VALUE!</v>
      </c>
      <c r="L164" s="297">
        <f>IF(C164="","",ROUND(C164*Steuerungsdaten!$B$4*Steuerungsdaten!$B$9*IFERROR(VLOOKUP(IFERROR(INDEX(Aktiv!$C$6:$C$350,MATCH(A164,Aktiv!$A$6:$A$350,0)),""),Steuerungsdaten!$B$17:$G$37,6,FALSE),1)*POWER(IF(OR(IFERROR(INDEX(Aktiv!$E$6:$E$350,MATCH(A164,Aktiv!$A$6:$A$350,0)),0)=0,IFERROR(INDEX(Aktiv!$F$6:$F$350,MATCH(A164,Aktiv!$A$6:$A$350,0)),0)=0),1,(IFERROR(INDEX(Aktiv!$E$6:$E$350,MATCH(A164,Aktiv!$A$6:$A$350,0)),0)*IFERROR(INDEX(Aktiv!$F$6:$F$350,MATCH(A164,Aktiv!$A$6:$A$350,0)),0)/1000000)/Steuerungsdaten!$B$6),1-1),0))</f>
        <v>146</v>
      </c>
      <c r="M164" s="297" t="str">
        <f>IFERROR(INDEX(Aktiv!$I$6:$I$350,MATCH(A164,Aktiv!$A$6:$A$350,0)),"")</f>
        <v>-</v>
      </c>
      <c r="N164" s="298" t="e">
        <f t="shared" si="20"/>
        <v>#VALUE!</v>
      </c>
      <c r="O164" s="296" t="e">
        <f t="shared" si="21"/>
        <v>#VALUE!</v>
      </c>
      <c r="P164" s="297">
        <f>IF(C164="","",ROUND(C164*Steuerungsdaten!$B$4*Steuerungsdaten!$B$10*IFERROR(VLOOKUP(IFERROR(INDEX(Aktiv!$C$6:$C$350,MATCH(A164,Aktiv!$A$6:$A$350,0)),""),Steuerungsdaten!$B$17:$I$37,8,FALSE),1)*POWER(IF(OR(IFERROR(INDEX(Aktiv!$E$6:$E$350,MATCH(A164,Aktiv!$A$6:$A$350,0)),0)=0,IFERROR(INDEX(Aktiv!$F$6:$F$350,MATCH(A164,Aktiv!$A$6:$A$350,0)),0)=0),1,(IFERROR(INDEX(Aktiv!$E$6:$E$350,MATCH(A164,Aktiv!$A$6:$A$350,0)),0)*IFERROR(INDEX(Aktiv!$F$6:$F$350,MATCH(A164,Aktiv!$A$6:$A$350,0)),0)/1000000)/Steuerungsdaten!$B$6),1-1),0))</f>
        <v>159</v>
      </c>
      <c r="Q164" s="297" t="str">
        <f>IFERROR(INDEX(Aktiv!$J$6:$J$350,MATCH(A164,Aktiv!$A$6:$A$350,0)),"")</f>
        <v>-</v>
      </c>
      <c r="R164" s="298" t="e">
        <f t="shared" si="22"/>
        <v>#VALUE!</v>
      </c>
      <c r="S164" s="296" t="e">
        <f t="shared" si="23"/>
        <v>#VALUE!</v>
      </c>
    </row>
    <row r="165" spans="1:19" x14ac:dyDescent="0.25">
      <c r="A165" s="292">
        <v>3750</v>
      </c>
      <c r="B165" s="292" t="s">
        <v>180</v>
      </c>
      <c r="C165" s="293">
        <f>IFERROR(INDEX(Aktiv!$O$6:$O$350,MATCH(A165,Aktiv!$A$6:$A$350,0)),"")</f>
        <v>34</v>
      </c>
      <c r="D165" s="293">
        <f>IF(C165="","",ROUND(C165*Steuerungsdaten!$B$4*Steuerungsdaten!$B$7*IFERROR(VLOOKUP(IFERROR(INDEX(Aktiv!$C$6:$C$350,MATCH(A165,Aktiv!$A$6:$A$350,0)),""),Steuerungsdaten!$B$17:$C$37,2,FALSE),1)*POWER(IF(OR(IFERROR(INDEX(Aktiv!$E$6:$E$350,MATCH(A165,Aktiv!$A$6:$A$350,0)),0)=0,IFERROR(INDEX(Aktiv!$F$6:$F$350,MATCH(A165,Aktiv!$A$6:$A$350,0)),0)=0),1,(IFERROR(INDEX(Aktiv!$E$6:$E$350,MATCH(A165,Aktiv!$A$6:$A$350,0)),0)*IFERROR(INDEX(Aktiv!$F$6:$F$350,MATCH(A165,Aktiv!$A$6:$A$350,0)),0)/1000000)/Steuerungsdaten!$B$6),IF(ISNUMBER(MATCH(IFERROR(INDEX(Aktiv!$C$6:$C$350,MATCH(A165,Aktiv!$A$6:$A$350,0)),""),{"Boden","Seite außen","Seite außen SY32","Rücken","Seite innen","Seite innen SY32","Seite innen SY32 DB","Fachboden klein","Fachboden groß","Klappenboden"},0)),1.2,1)-1),0))</f>
        <v>25</v>
      </c>
      <c r="E165" s="293">
        <f>IFERROR(INDEX(Aktiv!$G$6:$G$350,MATCH(A165,Aktiv!$A$6:$A$350,0)),"")</f>
        <v>25</v>
      </c>
      <c r="F165" s="294">
        <f t="shared" si="16"/>
        <v>0</v>
      </c>
      <c r="G165" s="295">
        <f t="shared" si="17"/>
        <v>0</v>
      </c>
      <c r="H165" s="293">
        <f>IF(C165="","",ROUND(C165*Steuerungsdaten!$B$4*Steuerungsdaten!$B$8*IFERROR(VLOOKUP(IFERROR(INDEX(Aktiv!$C$6:$C$350,MATCH(A165,Aktiv!$A$6:$A$350,0)),""),Steuerungsdaten!$B$17:$E$37,4,FALSE),1)*POWER(IF(OR(IFERROR(INDEX(Aktiv!$E$6:$E$350,MATCH(A165,Aktiv!$A$6:$A$350,0)),0)=0,IFERROR(INDEX(Aktiv!$F$6:$F$350,MATCH(A165,Aktiv!$A$6:$A$350,0)),0)=0),1,(IFERROR(INDEX(Aktiv!$E$6:$E$350,MATCH(A165,Aktiv!$A$6:$A$350,0)),0)*IFERROR(INDEX(Aktiv!$F$6:$F$350,MATCH(A165,Aktiv!$A$6:$A$350,0)),0)/1000000)/Steuerungsdaten!$B$6),1-1),0))</f>
        <v>30</v>
      </c>
      <c r="I165" s="293">
        <f>IFERROR(INDEX(Aktiv!$H$6:$H$350,MATCH(A165,Aktiv!$A$6:$A$350,0)),"")</f>
        <v>103</v>
      </c>
      <c r="J165" s="294">
        <f t="shared" si="18"/>
        <v>73</v>
      </c>
      <c r="K165" s="296">
        <f t="shared" si="19"/>
        <v>2.4333333333333331</v>
      </c>
      <c r="L165" s="297">
        <f>IF(C165="","",ROUND(C165*Steuerungsdaten!$B$4*Steuerungsdaten!$B$9*IFERROR(VLOOKUP(IFERROR(INDEX(Aktiv!$C$6:$C$350,MATCH(A165,Aktiv!$A$6:$A$350,0)),""),Steuerungsdaten!$B$17:$G$37,6,FALSE),1)*POWER(IF(OR(IFERROR(INDEX(Aktiv!$E$6:$E$350,MATCH(A165,Aktiv!$A$6:$A$350,0)),0)=0,IFERROR(INDEX(Aktiv!$F$6:$F$350,MATCH(A165,Aktiv!$A$6:$A$350,0)),0)=0),1,(IFERROR(INDEX(Aktiv!$E$6:$E$350,MATCH(A165,Aktiv!$A$6:$A$350,0)),0)*IFERROR(INDEX(Aktiv!$F$6:$F$350,MATCH(A165,Aktiv!$A$6:$A$350,0)),0)/1000000)/Steuerungsdaten!$B$6),1-1),0))</f>
        <v>30</v>
      </c>
      <c r="M165" s="297">
        <f>IFERROR(INDEX(Aktiv!$I$6:$I$350,MATCH(A165,Aktiv!$A$6:$A$350,0)),"")</f>
        <v>120</v>
      </c>
      <c r="N165" s="298">
        <f t="shared" si="20"/>
        <v>90</v>
      </c>
      <c r="O165" s="296">
        <f t="shared" si="21"/>
        <v>3</v>
      </c>
      <c r="P165" s="297">
        <f>IF(C165="","",ROUND(C165*Steuerungsdaten!$B$4*Steuerungsdaten!$B$10*IFERROR(VLOOKUP(IFERROR(INDEX(Aktiv!$C$6:$C$350,MATCH(A165,Aktiv!$A$6:$A$350,0)),""),Steuerungsdaten!$B$17:$I$37,8,FALSE),1)*POWER(IF(OR(IFERROR(INDEX(Aktiv!$E$6:$E$350,MATCH(A165,Aktiv!$A$6:$A$350,0)),0)=0,IFERROR(INDEX(Aktiv!$F$6:$F$350,MATCH(A165,Aktiv!$A$6:$A$350,0)),0)=0),1,(IFERROR(INDEX(Aktiv!$E$6:$E$350,MATCH(A165,Aktiv!$A$6:$A$350,0)),0)*IFERROR(INDEX(Aktiv!$F$6:$F$350,MATCH(A165,Aktiv!$A$6:$A$350,0)),0)/1000000)/Steuerungsdaten!$B$6),1-1),0))</f>
        <v>33</v>
      </c>
      <c r="Q165" s="297">
        <f>IFERROR(INDEX(Aktiv!$J$6:$J$350,MATCH(A165,Aktiv!$A$6:$A$350,0)),"")</f>
        <v>145</v>
      </c>
      <c r="R165" s="298">
        <f t="shared" si="22"/>
        <v>112</v>
      </c>
      <c r="S165" s="296">
        <f t="shared" si="23"/>
        <v>3.393939393939394</v>
      </c>
    </row>
    <row r="166" spans="1:19" x14ac:dyDescent="0.25">
      <c r="A166" s="292">
        <v>3751</v>
      </c>
      <c r="B166" s="292" t="s">
        <v>181</v>
      </c>
      <c r="C166" s="293">
        <f>IFERROR(INDEX(Aktiv!$O$6:$O$350,MATCH(A166,Aktiv!$A$6:$A$350,0)),"")</f>
        <v>34</v>
      </c>
      <c r="D166" s="293">
        <f>IF(C166="","",ROUND(C166*Steuerungsdaten!$B$4*Steuerungsdaten!$B$7*IFERROR(VLOOKUP(IFERROR(INDEX(Aktiv!$C$6:$C$350,MATCH(A166,Aktiv!$A$6:$A$350,0)),""),Steuerungsdaten!$B$17:$C$37,2,FALSE),1)*POWER(IF(OR(IFERROR(INDEX(Aktiv!$E$6:$E$350,MATCH(A166,Aktiv!$A$6:$A$350,0)),0)=0,IFERROR(INDEX(Aktiv!$F$6:$F$350,MATCH(A166,Aktiv!$A$6:$A$350,0)),0)=0),1,(IFERROR(INDEX(Aktiv!$E$6:$E$350,MATCH(A166,Aktiv!$A$6:$A$350,0)),0)*IFERROR(INDEX(Aktiv!$F$6:$F$350,MATCH(A166,Aktiv!$A$6:$A$350,0)),0)/1000000)/Steuerungsdaten!$B$6),IF(ISNUMBER(MATCH(IFERROR(INDEX(Aktiv!$C$6:$C$350,MATCH(A166,Aktiv!$A$6:$A$350,0)),""),{"Boden","Seite außen","Seite außen SY32","Rücken","Seite innen","Seite innen SY32","Seite innen SY32 DB","Fachboden klein","Fachboden groß","Klappenboden"},0)),1.2,1)-1),0))</f>
        <v>25</v>
      </c>
      <c r="E166" s="293">
        <f>IFERROR(INDEX(Aktiv!$G$6:$G$350,MATCH(A166,Aktiv!$A$6:$A$350,0)),"")</f>
        <v>27</v>
      </c>
      <c r="F166" s="294">
        <f t="shared" si="16"/>
        <v>2</v>
      </c>
      <c r="G166" s="295">
        <f t="shared" si="17"/>
        <v>0.08</v>
      </c>
      <c r="H166" s="293">
        <f>IF(C166="","",ROUND(C166*Steuerungsdaten!$B$4*Steuerungsdaten!$B$8*IFERROR(VLOOKUP(IFERROR(INDEX(Aktiv!$C$6:$C$350,MATCH(A166,Aktiv!$A$6:$A$350,0)),""),Steuerungsdaten!$B$17:$E$37,4,FALSE),1)*POWER(IF(OR(IFERROR(INDEX(Aktiv!$E$6:$E$350,MATCH(A166,Aktiv!$A$6:$A$350,0)),0)=0,IFERROR(INDEX(Aktiv!$F$6:$F$350,MATCH(A166,Aktiv!$A$6:$A$350,0)),0)=0),1,(IFERROR(INDEX(Aktiv!$E$6:$E$350,MATCH(A166,Aktiv!$A$6:$A$350,0)),0)*IFERROR(INDEX(Aktiv!$F$6:$F$350,MATCH(A166,Aktiv!$A$6:$A$350,0)),0)/1000000)/Steuerungsdaten!$B$6),1-1),0))</f>
        <v>30</v>
      </c>
      <c r="I166" s="293">
        <f>IFERROR(INDEX(Aktiv!$H$6:$H$350,MATCH(A166,Aktiv!$A$6:$A$350,0)),"")</f>
        <v>103</v>
      </c>
      <c r="J166" s="294">
        <f t="shared" si="18"/>
        <v>73</v>
      </c>
      <c r="K166" s="296">
        <f t="shared" si="19"/>
        <v>2.4333333333333331</v>
      </c>
      <c r="L166" s="297">
        <f>IF(C166="","",ROUND(C166*Steuerungsdaten!$B$4*Steuerungsdaten!$B$9*IFERROR(VLOOKUP(IFERROR(INDEX(Aktiv!$C$6:$C$350,MATCH(A166,Aktiv!$A$6:$A$350,0)),""),Steuerungsdaten!$B$17:$G$37,6,FALSE),1)*POWER(IF(OR(IFERROR(INDEX(Aktiv!$E$6:$E$350,MATCH(A166,Aktiv!$A$6:$A$350,0)),0)=0,IFERROR(INDEX(Aktiv!$F$6:$F$350,MATCH(A166,Aktiv!$A$6:$A$350,0)),0)=0),1,(IFERROR(INDEX(Aktiv!$E$6:$E$350,MATCH(A166,Aktiv!$A$6:$A$350,0)),0)*IFERROR(INDEX(Aktiv!$F$6:$F$350,MATCH(A166,Aktiv!$A$6:$A$350,0)),0)/1000000)/Steuerungsdaten!$B$6),1-1),0))</f>
        <v>30</v>
      </c>
      <c r="M166" s="297">
        <f>IFERROR(INDEX(Aktiv!$I$6:$I$350,MATCH(A166,Aktiv!$A$6:$A$350,0)),"")</f>
        <v>120</v>
      </c>
      <c r="N166" s="298">
        <f t="shared" si="20"/>
        <v>90</v>
      </c>
      <c r="O166" s="296">
        <f t="shared" si="21"/>
        <v>3</v>
      </c>
      <c r="P166" s="297">
        <f>IF(C166="","",ROUND(C166*Steuerungsdaten!$B$4*Steuerungsdaten!$B$10*IFERROR(VLOOKUP(IFERROR(INDEX(Aktiv!$C$6:$C$350,MATCH(A166,Aktiv!$A$6:$A$350,0)),""),Steuerungsdaten!$B$17:$I$37,8,FALSE),1)*POWER(IF(OR(IFERROR(INDEX(Aktiv!$E$6:$E$350,MATCH(A166,Aktiv!$A$6:$A$350,0)),0)=0,IFERROR(INDEX(Aktiv!$F$6:$F$350,MATCH(A166,Aktiv!$A$6:$A$350,0)),0)=0),1,(IFERROR(INDEX(Aktiv!$E$6:$E$350,MATCH(A166,Aktiv!$A$6:$A$350,0)),0)*IFERROR(INDEX(Aktiv!$F$6:$F$350,MATCH(A166,Aktiv!$A$6:$A$350,0)),0)/1000000)/Steuerungsdaten!$B$6),1-1),0))</f>
        <v>33</v>
      </c>
      <c r="Q166" s="297">
        <f>IFERROR(INDEX(Aktiv!$J$6:$J$350,MATCH(A166,Aktiv!$A$6:$A$350,0)),"")</f>
        <v>145</v>
      </c>
      <c r="R166" s="298">
        <f t="shared" si="22"/>
        <v>112</v>
      </c>
      <c r="S166" s="296">
        <f t="shared" si="23"/>
        <v>3.393939393939394</v>
      </c>
    </row>
    <row r="167" spans="1:19" x14ac:dyDescent="0.25">
      <c r="A167" s="292">
        <v>3752</v>
      </c>
      <c r="B167" s="292" t="s">
        <v>182</v>
      </c>
      <c r="C167" s="293">
        <f>IFERROR(INDEX(Aktiv!$O$6:$O$350,MATCH(A167,Aktiv!$A$6:$A$350,0)),"")</f>
        <v>43</v>
      </c>
      <c r="D167" s="293">
        <f>IF(C167="","",ROUND(C167*Steuerungsdaten!$B$4*Steuerungsdaten!$B$7*IFERROR(VLOOKUP(IFERROR(INDEX(Aktiv!$C$6:$C$350,MATCH(A167,Aktiv!$A$6:$A$350,0)),""),Steuerungsdaten!$B$17:$C$37,2,FALSE),1)*POWER(IF(OR(IFERROR(INDEX(Aktiv!$E$6:$E$350,MATCH(A167,Aktiv!$A$6:$A$350,0)),0)=0,IFERROR(INDEX(Aktiv!$F$6:$F$350,MATCH(A167,Aktiv!$A$6:$A$350,0)),0)=0),1,(IFERROR(INDEX(Aktiv!$E$6:$E$350,MATCH(A167,Aktiv!$A$6:$A$350,0)),0)*IFERROR(INDEX(Aktiv!$F$6:$F$350,MATCH(A167,Aktiv!$A$6:$A$350,0)),0)/1000000)/Steuerungsdaten!$B$6),IF(ISNUMBER(MATCH(IFERROR(INDEX(Aktiv!$C$6:$C$350,MATCH(A167,Aktiv!$A$6:$A$350,0)),""),{"Boden","Seite außen","Seite außen SY32","Rücken","Seite innen","Seite innen SY32","Seite innen SY32 DB","Fachboden klein","Fachboden groß","Klappenboden"},0)),1.2,1)-1),0))</f>
        <v>34</v>
      </c>
      <c r="E167" s="293">
        <f>IFERROR(INDEX(Aktiv!$G$6:$G$350,MATCH(A167,Aktiv!$A$6:$A$350,0)),"")</f>
        <v>37</v>
      </c>
      <c r="F167" s="294">
        <f t="shared" si="16"/>
        <v>3</v>
      </c>
      <c r="G167" s="295">
        <f t="shared" si="17"/>
        <v>8.8235294117647065E-2</v>
      </c>
      <c r="H167" s="293">
        <f>IF(C167="","",ROUND(C167*Steuerungsdaten!$B$4*Steuerungsdaten!$B$8*IFERROR(VLOOKUP(IFERROR(INDEX(Aktiv!$C$6:$C$350,MATCH(A167,Aktiv!$A$6:$A$350,0)),""),Steuerungsdaten!$B$17:$E$37,4,FALSE),1)*POWER(IF(OR(IFERROR(INDEX(Aktiv!$E$6:$E$350,MATCH(A167,Aktiv!$A$6:$A$350,0)),0)=0,IFERROR(INDEX(Aktiv!$F$6:$F$350,MATCH(A167,Aktiv!$A$6:$A$350,0)),0)=0),1,(IFERROR(INDEX(Aktiv!$E$6:$E$350,MATCH(A167,Aktiv!$A$6:$A$350,0)),0)*IFERROR(INDEX(Aktiv!$F$6:$F$350,MATCH(A167,Aktiv!$A$6:$A$350,0)),0)/1000000)/Steuerungsdaten!$B$6),1-1),0))</f>
        <v>38</v>
      </c>
      <c r="I167" s="293">
        <f>IFERROR(INDEX(Aktiv!$H$6:$H$350,MATCH(A167,Aktiv!$A$6:$A$350,0)),"")</f>
        <v>126</v>
      </c>
      <c r="J167" s="294">
        <f t="shared" si="18"/>
        <v>88</v>
      </c>
      <c r="K167" s="296">
        <f t="shared" si="19"/>
        <v>2.3157894736842106</v>
      </c>
      <c r="L167" s="297">
        <f>IF(C167="","",ROUND(C167*Steuerungsdaten!$B$4*Steuerungsdaten!$B$9*IFERROR(VLOOKUP(IFERROR(INDEX(Aktiv!$C$6:$C$350,MATCH(A167,Aktiv!$A$6:$A$350,0)),""),Steuerungsdaten!$B$17:$G$37,6,FALSE),1)*POWER(IF(OR(IFERROR(INDEX(Aktiv!$E$6:$E$350,MATCH(A167,Aktiv!$A$6:$A$350,0)),0)=0,IFERROR(INDEX(Aktiv!$F$6:$F$350,MATCH(A167,Aktiv!$A$6:$A$350,0)),0)=0),1,(IFERROR(INDEX(Aktiv!$E$6:$E$350,MATCH(A167,Aktiv!$A$6:$A$350,0)),0)*IFERROR(INDEX(Aktiv!$F$6:$F$350,MATCH(A167,Aktiv!$A$6:$A$350,0)),0)/1000000)/Steuerungsdaten!$B$6),1-1),0))</f>
        <v>38</v>
      </c>
      <c r="M167" s="297">
        <f>IFERROR(INDEX(Aktiv!$I$6:$I$350,MATCH(A167,Aktiv!$A$6:$A$350,0)),"")</f>
        <v>131</v>
      </c>
      <c r="N167" s="298">
        <f t="shared" si="20"/>
        <v>93</v>
      </c>
      <c r="O167" s="296">
        <f t="shared" si="21"/>
        <v>2.4473684210526314</v>
      </c>
      <c r="P167" s="297">
        <f>IF(C167="","",ROUND(C167*Steuerungsdaten!$B$4*Steuerungsdaten!$B$10*IFERROR(VLOOKUP(IFERROR(INDEX(Aktiv!$C$6:$C$350,MATCH(A167,Aktiv!$A$6:$A$350,0)),""),Steuerungsdaten!$B$17:$I$37,8,FALSE),1)*POWER(IF(OR(IFERROR(INDEX(Aktiv!$E$6:$E$350,MATCH(A167,Aktiv!$A$6:$A$350,0)),0)=0,IFERROR(INDEX(Aktiv!$F$6:$F$350,MATCH(A167,Aktiv!$A$6:$A$350,0)),0)=0),1,(IFERROR(INDEX(Aktiv!$E$6:$E$350,MATCH(A167,Aktiv!$A$6:$A$350,0)),0)*IFERROR(INDEX(Aktiv!$F$6:$F$350,MATCH(A167,Aktiv!$A$6:$A$350,0)),0)/1000000)/Steuerungsdaten!$B$6),1-1),0))</f>
        <v>41</v>
      </c>
      <c r="Q167" s="297">
        <f>IFERROR(INDEX(Aktiv!$J$6:$J$350,MATCH(A167,Aktiv!$A$6:$A$350,0)),"")</f>
        <v>146</v>
      </c>
      <c r="R167" s="298">
        <f t="shared" si="22"/>
        <v>105</v>
      </c>
      <c r="S167" s="296">
        <f t="shared" si="23"/>
        <v>2.5609756097560976</v>
      </c>
    </row>
    <row r="168" spans="1:19" x14ac:dyDescent="0.25">
      <c r="A168" s="292">
        <v>3753</v>
      </c>
      <c r="B168" s="292" t="s">
        <v>183</v>
      </c>
      <c r="C168" s="293">
        <f>IFERROR(INDEX(Aktiv!$O$6:$O$350,MATCH(A168,Aktiv!$A$6:$A$350,0)),"")</f>
        <v>56</v>
      </c>
      <c r="D168" s="293">
        <f>IF(C168="","",ROUND(C168*Steuerungsdaten!$B$4*Steuerungsdaten!$B$7*IFERROR(VLOOKUP(IFERROR(INDEX(Aktiv!$C$6:$C$350,MATCH(A168,Aktiv!$A$6:$A$350,0)),""),Steuerungsdaten!$B$17:$C$37,2,FALSE),1)*POWER(IF(OR(IFERROR(INDEX(Aktiv!$E$6:$E$350,MATCH(A168,Aktiv!$A$6:$A$350,0)),0)=0,IFERROR(INDEX(Aktiv!$F$6:$F$350,MATCH(A168,Aktiv!$A$6:$A$350,0)),0)=0),1,(IFERROR(INDEX(Aktiv!$E$6:$E$350,MATCH(A168,Aktiv!$A$6:$A$350,0)),0)*IFERROR(INDEX(Aktiv!$F$6:$F$350,MATCH(A168,Aktiv!$A$6:$A$350,0)),0)/1000000)/Steuerungsdaten!$B$6),IF(ISNUMBER(MATCH(IFERROR(INDEX(Aktiv!$C$6:$C$350,MATCH(A168,Aktiv!$A$6:$A$350,0)),""),{"Boden","Seite außen","Seite außen SY32","Rücken","Seite innen","Seite innen SY32","Seite innen SY32 DB","Fachboden klein","Fachboden groß","Klappenboden"},0)),1.2,1)-1),0))</f>
        <v>47</v>
      </c>
      <c r="E168" s="293">
        <f>IFERROR(INDEX(Aktiv!$G$6:$G$350,MATCH(A168,Aktiv!$A$6:$A$350,0)),"")</f>
        <v>49</v>
      </c>
      <c r="F168" s="294">
        <f t="shared" si="16"/>
        <v>2</v>
      </c>
      <c r="G168" s="295">
        <f t="shared" si="17"/>
        <v>4.2553191489361701E-2</v>
      </c>
      <c r="H168" s="293">
        <f>IF(C168="","",ROUND(C168*Steuerungsdaten!$B$4*Steuerungsdaten!$B$8*IFERROR(VLOOKUP(IFERROR(INDEX(Aktiv!$C$6:$C$350,MATCH(A168,Aktiv!$A$6:$A$350,0)),""),Steuerungsdaten!$B$17:$E$37,4,FALSE),1)*POWER(IF(OR(IFERROR(INDEX(Aktiv!$E$6:$E$350,MATCH(A168,Aktiv!$A$6:$A$350,0)),0)=0,IFERROR(INDEX(Aktiv!$F$6:$F$350,MATCH(A168,Aktiv!$A$6:$A$350,0)),0)=0),1,(IFERROR(INDEX(Aktiv!$E$6:$E$350,MATCH(A168,Aktiv!$A$6:$A$350,0)),0)*IFERROR(INDEX(Aktiv!$F$6:$F$350,MATCH(A168,Aktiv!$A$6:$A$350,0)),0)/1000000)/Steuerungsdaten!$B$6),1-1),0))</f>
        <v>49</v>
      </c>
      <c r="I168" s="293">
        <f>IFERROR(INDEX(Aktiv!$H$6:$H$350,MATCH(A168,Aktiv!$A$6:$A$350,0)),"")</f>
        <v>169</v>
      </c>
      <c r="J168" s="294">
        <f t="shared" si="18"/>
        <v>120</v>
      </c>
      <c r="K168" s="296">
        <f t="shared" si="19"/>
        <v>2.4489795918367347</v>
      </c>
      <c r="L168" s="297">
        <f>IF(C168="","",ROUND(C168*Steuerungsdaten!$B$4*Steuerungsdaten!$B$9*IFERROR(VLOOKUP(IFERROR(INDEX(Aktiv!$C$6:$C$350,MATCH(A168,Aktiv!$A$6:$A$350,0)),""),Steuerungsdaten!$B$17:$G$37,6,FALSE),1)*POWER(IF(OR(IFERROR(INDEX(Aktiv!$E$6:$E$350,MATCH(A168,Aktiv!$A$6:$A$350,0)),0)=0,IFERROR(INDEX(Aktiv!$F$6:$F$350,MATCH(A168,Aktiv!$A$6:$A$350,0)),0)=0),1,(IFERROR(INDEX(Aktiv!$E$6:$E$350,MATCH(A168,Aktiv!$A$6:$A$350,0)),0)*IFERROR(INDEX(Aktiv!$F$6:$F$350,MATCH(A168,Aktiv!$A$6:$A$350,0)),0)/1000000)/Steuerungsdaten!$B$6),1-1),0))</f>
        <v>49</v>
      </c>
      <c r="M168" s="297">
        <f>IFERROR(INDEX(Aktiv!$I$6:$I$350,MATCH(A168,Aktiv!$A$6:$A$350,0)),"")</f>
        <v>177</v>
      </c>
      <c r="N168" s="298">
        <f t="shared" si="20"/>
        <v>128</v>
      </c>
      <c r="O168" s="296">
        <f t="shared" si="21"/>
        <v>2.6122448979591835</v>
      </c>
      <c r="P168" s="297">
        <f>IF(C168="","",ROUND(C168*Steuerungsdaten!$B$4*Steuerungsdaten!$B$10*IFERROR(VLOOKUP(IFERROR(INDEX(Aktiv!$C$6:$C$350,MATCH(A168,Aktiv!$A$6:$A$350,0)),""),Steuerungsdaten!$B$17:$I$37,8,FALSE),1)*POWER(IF(OR(IFERROR(INDEX(Aktiv!$E$6:$E$350,MATCH(A168,Aktiv!$A$6:$A$350,0)),0)=0,IFERROR(INDEX(Aktiv!$F$6:$F$350,MATCH(A168,Aktiv!$A$6:$A$350,0)),0)=0),1,(IFERROR(INDEX(Aktiv!$E$6:$E$350,MATCH(A168,Aktiv!$A$6:$A$350,0)),0)*IFERROR(INDEX(Aktiv!$F$6:$F$350,MATCH(A168,Aktiv!$A$6:$A$350,0)),0)/1000000)/Steuerungsdaten!$B$6),1-1),0))</f>
        <v>54</v>
      </c>
      <c r="Q168" s="297">
        <f>IFERROR(INDEX(Aktiv!$J$6:$J$350,MATCH(A168,Aktiv!$A$6:$A$350,0)),"")</f>
        <v>196</v>
      </c>
      <c r="R168" s="298">
        <f t="shared" si="22"/>
        <v>142</v>
      </c>
      <c r="S168" s="296">
        <f t="shared" si="23"/>
        <v>2.6296296296296298</v>
      </c>
    </row>
    <row r="169" spans="1:19" x14ac:dyDescent="0.25">
      <c r="A169" s="292">
        <v>3754</v>
      </c>
      <c r="B169" s="292" t="s">
        <v>184</v>
      </c>
      <c r="C169" s="293">
        <f>IFERROR(INDEX(Aktiv!$O$6:$O$350,MATCH(A169,Aktiv!$A$6:$A$350,0)),"")</f>
        <v>70</v>
      </c>
      <c r="D169" s="293">
        <f>IF(C169="","",ROUND(C169*Steuerungsdaten!$B$4*Steuerungsdaten!$B$7*IFERROR(VLOOKUP(IFERROR(INDEX(Aktiv!$C$6:$C$350,MATCH(A169,Aktiv!$A$6:$A$350,0)),""),Steuerungsdaten!$B$17:$C$37,2,FALSE),1)*POWER(IF(OR(IFERROR(INDEX(Aktiv!$E$6:$E$350,MATCH(A169,Aktiv!$A$6:$A$350,0)),0)=0,IFERROR(INDEX(Aktiv!$F$6:$F$350,MATCH(A169,Aktiv!$A$6:$A$350,0)),0)=0),1,(IFERROR(INDEX(Aktiv!$E$6:$E$350,MATCH(A169,Aktiv!$A$6:$A$350,0)),0)*IFERROR(INDEX(Aktiv!$F$6:$F$350,MATCH(A169,Aktiv!$A$6:$A$350,0)),0)/1000000)/Steuerungsdaten!$B$6),IF(ISNUMBER(MATCH(IFERROR(INDEX(Aktiv!$C$6:$C$350,MATCH(A169,Aktiv!$A$6:$A$350,0)),""),{"Boden","Seite außen","Seite außen SY32","Rücken","Seite innen","Seite innen SY32","Seite innen SY32 DB","Fachboden klein","Fachboden groß","Klappenboden"},0)),1.2,1)-1),0))</f>
        <v>62</v>
      </c>
      <c r="E169" s="293">
        <f>IFERROR(INDEX(Aktiv!$G$6:$G$350,MATCH(A169,Aktiv!$A$6:$A$350,0)),"")</f>
        <v>62</v>
      </c>
      <c r="F169" s="294">
        <f t="shared" si="16"/>
        <v>0</v>
      </c>
      <c r="G169" s="295">
        <f t="shared" si="17"/>
        <v>0</v>
      </c>
      <c r="H169" s="293">
        <f>IF(C169="","",ROUND(C169*Steuerungsdaten!$B$4*Steuerungsdaten!$B$8*IFERROR(VLOOKUP(IFERROR(INDEX(Aktiv!$C$6:$C$350,MATCH(A169,Aktiv!$A$6:$A$350,0)),""),Steuerungsdaten!$B$17:$E$37,4,FALSE),1)*POWER(IF(OR(IFERROR(INDEX(Aktiv!$E$6:$E$350,MATCH(A169,Aktiv!$A$6:$A$350,0)),0)=0,IFERROR(INDEX(Aktiv!$F$6:$F$350,MATCH(A169,Aktiv!$A$6:$A$350,0)),0)=0),1,(IFERROR(INDEX(Aktiv!$E$6:$E$350,MATCH(A169,Aktiv!$A$6:$A$350,0)),0)*IFERROR(INDEX(Aktiv!$F$6:$F$350,MATCH(A169,Aktiv!$A$6:$A$350,0)),0)/1000000)/Steuerungsdaten!$B$6),1-1),0))</f>
        <v>62</v>
      </c>
      <c r="I169" s="293">
        <f>IFERROR(INDEX(Aktiv!$H$6:$H$350,MATCH(A169,Aktiv!$A$6:$A$350,0)),"")</f>
        <v>213</v>
      </c>
      <c r="J169" s="294">
        <f t="shared" si="18"/>
        <v>151</v>
      </c>
      <c r="K169" s="296">
        <f t="shared" si="19"/>
        <v>2.435483870967742</v>
      </c>
      <c r="L169" s="297">
        <f>IF(C169="","",ROUND(C169*Steuerungsdaten!$B$4*Steuerungsdaten!$B$9*IFERROR(VLOOKUP(IFERROR(INDEX(Aktiv!$C$6:$C$350,MATCH(A169,Aktiv!$A$6:$A$350,0)),""),Steuerungsdaten!$B$17:$G$37,6,FALSE),1)*POWER(IF(OR(IFERROR(INDEX(Aktiv!$E$6:$E$350,MATCH(A169,Aktiv!$A$6:$A$350,0)),0)=0,IFERROR(INDEX(Aktiv!$F$6:$F$350,MATCH(A169,Aktiv!$A$6:$A$350,0)),0)=0),1,(IFERROR(INDEX(Aktiv!$E$6:$E$350,MATCH(A169,Aktiv!$A$6:$A$350,0)),0)*IFERROR(INDEX(Aktiv!$F$6:$F$350,MATCH(A169,Aktiv!$A$6:$A$350,0)),0)/1000000)/Steuerungsdaten!$B$6),1-1),0))</f>
        <v>62</v>
      </c>
      <c r="M169" s="297">
        <f>IFERROR(INDEX(Aktiv!$I$6:$I$350,MATCH(A169,Aktiv!$A$6:$A$350,0)),"")</f>
        <v>222</v>
      </c>
      <c r="N169" s="298">
        <f t="shared" si="20"/>
        <v>160</v>
      </c>
      <c r="O169" s="296">
        <f t="shared" si="21"/>
        <v>2.5806451612903225</v>
      </c>
      <c r="P169" s="297">
        <f>IF(C169="","",ROUND(C169*Steuerungsdaten!$B$4*Steuerungsdaten!$B$10*IFERROR(VLOOKUP(IFERROR(INDEX(Aktiv!$C$6:$C$350,MATCH(A169,Aktiv!$A$6:$A$350,0)),""),Steuerungsdaten!$B$17:$I$37,8,FALSE),1)*POWER(IF(OR(IFERROR(INDEX(Aktiv!$E$6:$E$350,MATCH(A169,Aktiv!$A$6:$A$350,0)),0)=0,IFERROR(INDEX(Aktiv!$F$6:$F$350,MATCH(A169,Aktiv!$A$6:$A$350,0)),0)=0),1,(IFERROR(INDEX(Aktiv!$E$6:$E$350,MATCH(A169,Aktiv!$A$6:$A$350,0)),0)*IFERROR(INDEX(Aktiv!$F$6:$F$350,MATCH(A169,Aktiv!$A$6:$A$350,0)),0)/1000000)/Steuerungsdaten!$B$6),1-1),0))</f>
        <v>67</v>
      </c>
      <c r="Q169" s="297">
        <f>IFERROR(INDEX(Aktiv!$J$6:$J$350,MATCH(A169,Aktiv!$A$6:$A$350,0)),"")</f>
        <v>247</v>
      </c>
      <c r="R169" s="298">
        <f t="shared" si="22"/>
        <v>180</v>
      </c>
      <c r="S169" s="296">
        <f t="shared" si="23"/>
        <v>2.6865671641791047</v>
      </c>
    </row>
    <row r="170" spans="1:19" x14ac:dyDescent="0.25">
      <c r="A170" s="292">
        <v>3755</v>
      </c>
      <c r="B170" s="292" t="s">
        <v>185</v>
      </c>
      <c r="C170" s="293">
        <f>IFERROR(INDEX(Aktiv!$O$6:$O$350,MATCH(A170,Aktiv!$A$6:$A$350,0)),"")</f>
        <v>43</v>
      </c>
      <c r="D170" s="293">
        <f>IF(C170="","",ROUND(C170*Steuerungsdaten!$B$4*Steuerungsdaten!$B$7*IFERROR(VLOOKUP(IFERROR(INDEX(Aktiv!$C$6:$C$350,MATCH(A170,Aktiv!$A$6:$A$350,0)),""),Steuerungsdaten!$B$17:$C$37,2,FALSE),1)*POWER(IF(OR(IFERROR(INDEX(Aktiv!$E$6:$E$350,MATCH(A170,Aktiv!$A$6:$A$350,0)),0)=0,IFERROR(INDEX(Aktiv!$F$6:$F$350,MATCH(A170,Aktiv!$A$6:$A$350,0)),0)=0),1,(IFERROR(INDEX(Aktiv!$E$6:$E$350,MATCH(A170,Aktiv!$A$6:$A$350,0)),0)*IFERROR(INDEX(Aktiv!$F$6:$F$350,MATCH(A170,Aktiv!$A$6:$A$350,0)),0)/1000000)/Steuerungsdaten!$B$6),IF(ISNUMBER(MATCH(IFERROR(INDEX(Aktiv!$C$6:$C$350,MATCH(A170,Aktiv!$A$6:$A$350,0)),""),{"Boden","Seite außen","Seite außen SY32","Rücken","Seite innen","Seite innen SY32","Seite innen SY32 DB","Fachboden klein","Fachboden groß","Klappenboden"},0)),1.2,1)-1),0))</f>
        <v>34</v>
      </c>
      <c r="E170" s="293">
        <f>IFERROR(INDEX(Aktiv!$G$6:$G$350,MATCH(A170,Aktiv!$A$6:$A$350,0)),"")</f>
        <v>37</v>
      </c>
      <c r="F170" s="294">
        <f t="shared" si="16"/>
        <v>3</v>
      </c>
      <c r="G170" s="295">
        <f t="shared" si="17"/>
        <v>8.8235294117647065E-2</v>
      </c>
      <c r="H170" s="293">
        <f>IF(C170="","",ROUND(C170*Steuerungsdaten!$B$4*Steuerungsdaten!$B$8*IFERROR(VLOOKUP(IFERROR(INDEX(Aktiv!$C$6:$C$350,MATCH(A170,Aktiv!$A$6:$A$350,0)),""),Steuerungsdaten!$B$17:$E$37,4,FALSE),1)*POWER(IF(OR(IFERROR(INDEX(Aktiv!$E$6:$E$350,MATCH(A170,Aktiv!$A$6:$A$350,0)),0)=0,IFERROR(INDEX(Aktiv!$F$6:$F$350,MATCH(A170,Aktiv!$A$6:$A$350,0)),0)=0),1,(IFERROR(INDEX(Aktiv!$E$6:$E$350,MATCH(A170,Aktiv!$A$6:$A$350,0)),0)*IFERROR(INDEX(Aktiv!$F$6:$F$350,MATCH(A170,Aktiv!$A$6:$A$350,0)),0)/1000000)/Steuerungsdaten!$B$6),1-1),0))</f>
        <v>38</v>
      </c>
      <c r="I170" s="293">
        <f>IFERROR(INDEX(Aktiv!$H$6:$H$350,MATCH(A170,Aktiv!$A$6:$A$350,0)),"")</f>
        <v>126</v>
      </c>
      <c r="J170" s="294">
        <f t="shared" si="18"/>
        <v>88</v>
      </c>
      <c r="K170" s="296">
        <f t="shared" si="19"/>
        <v>2.3157894736842106</v>
      </c>
      <c r="L170" s="297">
        <f>IF(C170="","",ROUND(C170*Steuerungsdaten!$B$4*Steuerungsdaten!$B$9*IFERROR(VLOOKUP(IFERROR(INDEX(Aktiv!$C$6:$C$350,MATCH(A170,Aktiv!$A$6:$A$350,0)),""),Steuerungsdaten!$B$17:$G$37,6,FALSE),1)*POWER(IF(OR(IFERROR(INDEX(Aktiv!$E$6:$E$350,MATCH(A170,Aktiv!$A$6:$A$350,0)),0)=0,IFERROR(INDEX(Aktiv!$F$6:$F$350,MATCH(A170,Aktiv!$A$6:$A$350,0)),0)=0),1,(IFERROR(INDEX(Aktiv!$E$6:$E$350,MATCH(A170,Aktiv!$A$6:$A$350,0)),0)*IFERROR(INDEX(Aktiv!$F$6:$F$350,MATCH(A170,Aktiv!$A$6:$A$350,0)),0)/1000000)/Steuerungsdaten!$B$6),1-1),0))</f>
        <v>38</v>
      </c>
      <c r="M170" s="297">
        <f>IFERROR(INDEX(Aktiv!$I$6:$I$350,MATCH(A170,Aktiv!$A$6:$A$350,0)),"")</f>
        <v>131</v>
      </c>
      <c r="N170" s="298">
        <f t="shared" si="20"/>
        <v>93</v>
      </c>
      <c r="O170" s="296">
        <f t="shared" si="21"/>
        <v>2.4473684210526314</v>
      </c>
      <c r="P170" s="297">
        <f>IF(C170="","",ROUND(C170*Steuerungsdaten!$B$4*Steuerungsdaten!$B$10*IFERROR(VLOOKUP(IFERROR(INDEX(Aktiv!$C$6:$C$350,MATCH(A170,Aktiv!$A$6:$A$350,0)),""),Steuerungsdaten!$B$17:$I$37,8,FALSE),1)*POWER(IF(OR(IFERROR(INDEX(Aktiv!$E$6:$E$350,MATCH(A170,Aktiv!$A$6:$A$350,0)),0)=0,IFERROR(INDEX(Aktiv!$F$6:$F$350,MATCH(A170,Aktiv!$A$6:$A$350,0)),0)=0),1,(IFERROR(INDEX(Aktiv!$E$6:$E$350,MATCH(A170,Aktiv!$A$6:$A$350,0)),0)*IFERROR(INDEX(Aktiv!$F$6:$F$350,MATCH(A170,Aktiv!$A$6:$A$350,0)),0)/1000000)/Steuerungsdaten!$B$6),1-1),0))</f>
        <v>41</v>
      </c>
      <c r="Q170" s="297">
        <f>IFERROR(INDEX(Aktiv!$J$6:$J$350,MATCH(A170,Aktiv!$A$6:$A$350,0)),"")</f>
        <v>146</v>
      </c>
      <c r="R170" s="298">
        <f t="shared" si="22"/>
        <v>105</v>
      </c>
      <c r="S170" s="296">
        <f t="shared" si="23"/>
        <v>2.5609756097560976</v>
      </c>
    </row>
    <row r="171" spans="1:19" x14ac:dyDescent="0.25">
      <c r="A171" s="292">
        <v>3756</v>
      </c>
      <c r="B171" s="292" t="s">
        <v>186</v>
      </c>
      <c r="C171" s="293">
        <f>IFERROR(INDEX(Aktiv!$O$6:$O$350,MATCH(A171,Aktiv!$A$6:$A$350,0)),"")</f>
        <v>49</v>
      </c>
      <c r="D171" s="293">
        <f>IF(C171="","",ROUND(C171*Steuerungsdaten!$B$4*Steuerungsdaten!$B$7*IFERROR(VLOOKUP(IFERROR(INDEX(Aktiv!$C$6:$C$350,MATCH(A171,Aktiv!$A$6:$A$350,0)),""),Steuerungsdaten!$B$17:$C$37,2,FALSE),1)*POWER(IF(OR(IFERROR(INDEX(Aktiv!$E$6:$E$350,MATCH(A171,Aktiv!$A$6:$A$350,0)),0)=0,IFERROR(INDEX(Aktiv!$F$6:$F$350,MATCH(A171,Aktiv!$A$6:$A$350,0)),0)=0),1,(IFERROR(INDEX(Aktiv!$E$6:$E$350,MATCH(A171,Aktiv!$A$6:$A$350,0)),0)*IFERROR(INDEX(Aktiv!$F$6:$F$350,MATCH(A171,Aktiv!$A$6:$A$350,0)),0)/1000000)/Steuerungsdaten!$B$6),IF(ISNUMBER(MATCH(IFERROR(INDEX(Aktiv!$C$6:$C$350,MATCH(A171,Aktiv!$A$6:$A$350,0)),""),{"Boden","Seite außen","Seite außen SY32","Rücken","Seite innen","Seite innen SY32","Seite innen SY32 DB","Fachboden klein","Fachboden groß","Klappenboden"},0)),1.2,1)-1),0))</f>
        <v>40</v>
      </c>
      <c r="E171" s="293">
        <f>IFERROR(INDEX(Aktiv!$G$6:$G$350,MATCH(A171,Aktiv!$A$6:$A$350,0)),"")</f>
        <v>43</v>
      </c>
      <c r="F171" s="294">
        <f t="shared" si="16"/>
        <v>3</v>
      </c>
      <c r="G171" s="295">
        <f t="shared" si="17"/>
        <v>7.4999999999999997E-2</v>
      </c>
      <c r="H171" s="293">
        <f>IF(C171="","",ROUND(C171*Steuerungsdaten!$B$4*Steuerungsdaten!$B$8*IFERROR(VLOOKUP(IFERROR(INDEX(Aktiv!$C$6:$C$350,MATCH(A171,Aktiv!$A$6:$A$350,0)),""),Steuerungsdaten!$B$17:$E$37,4,FALSE),1)*POWER(IF(OR(IFERROR(INDEX(Aktiv!$E$6:$E$350,MATCH(A171,Aktiv!$A$6:$A$350,0)),0)=0,IFERROR(INDEX(Aktiv!$F$6:$F$350,MATCH(A171,Aktiv!$A$6:$A$350,0)),0)=0),1,(IFERROR(INDEX(Aktiv!$E$6:$E$350,MATCH(A171,Aktiv!$A$6:$A$350,0)),0)*IFERROR(INDEX(Aktiv!$F$6:$F$350,MATCH(A171,Aktiv!$A$6:$A$350,0)),0)/1000000)/Steuerungsdaten!$B$6),1-1),0))</f>
        <v>43</v>
      </c>
      <c r="I171" s="293">
        <f>IFERROR(INDEX(Aktiv!$H$6:$H$350,MATCH(A171,Aktiv!$A$6:$A$350,0)),"")</f>
        <v>147</v>
      </c>
      <c r="J171" s="294">
        <f t="shared" si="18"/>
        <v>104</v>
      </c>
      <c r="K171" s="296">
        <f t="shared" si="19"/>
        <v>2.4186046511627906</v>
      </c>
      <c r="L171" s="297">
        <f>IF(C171="","",ROUND(C171*Steuerungsdaten!$B$4*Steuerungsdaten!$B$9*IFERROR(VLOOKUP(IFERROR(INDEX(Aktiv!$C$6:$C$350,MATCH(A171,Aktiv!$A$6:$A$350,0)),""),Steuerungsdaten!$B$17:$G$37,6,FALSE),1)*POWER(IF(OR(IFERROR(INDEX(Aktiv!$E$6:$E$350,MATCH(A171,Aktiv!$A$6:$A$350,0)),0)=0,IFERROR(INDEX(Aktiv!$F$6:$F$350,MATCH(A171,Aktiv!$A$6:$A$350,0)),0)=0),1,(IFERROR(INDEX(Aktiv!$E$6:$E$350,MATCH(A171,Aktiv!$A$6:$A$350,0)),0)*IFERROR(INDEX(Aktiv!$F$6:$F$350,MATCH(A171,Aktiv!$A$6:$A$350,0)),0)/1000000)/Steuerungsdaten!$B$6),1-1),0))</f>
        <v>43</v>
      </c>
      <c r="M171" s="297">
        <f>IFERROR(INDEX(Aktiv!$I$6:$I$350,MATCH(A171,Aktiv!$A$6:$A$350,0)),"")</f>
        <v>153</v>
      </c>
      <c r="N171" s="298">
        <f t="shared" si="20"/>
        <v>110</v>
      </c>
      <c r="O171" s="296">
        <f t="shared" si="21"/>
        <v>2.558139534883721</v>
      </c>
      <c r="P171" s="297">
        <f>IF(C171="","",ROUND(C171*Steuerungsdaten!$B$4*Steuerungsdaten!$B$10*IFERROR(VLOOKUP(IFERROR(INDEX(Aktiv!$C$6:$C$350,MATCH(A171,Aktiv!$A$6:$A$350,0)),""),Steuerungsdaten!$B$17:$I$37,8,FALSE),1)*POWER(IF(OR(IFERROR(INDEX(Aktiv!$E$6:$E$350,MATCH(A171,Aktiv!$A$6:$A$350,0)),0)=0,IFERROR(INDEX(Aktiv!$F$6:$F$350,MATCH(A171,Aktiv!$A$6:$A$350,0)),0)=0),1,(IFERROR(INDEX(Aktiv!$E$6:$E$350,MATCH(A171,Aktiv!$A$6:$A$350,0)),0)*IFERROR(INDEX(Aktiv!$F$6:$F$350,MATCH(A171,Aktiv!$A$6:$A$350,0)),0)/1000000)/Steuerungsdaten!$B$6),1-1),0))</f>
        <v>47</v>
      </c>
      <c r="Q171" s="297">
        <f>IFERROR(INDEX(Aktiv!$J$6:$J$350,MATCH(A171,Aktiv!$A$6:$A$350,0)),"")</f>
        <v>170</v>
      </c>
      <c r="R171" s="298">
        <f t="shared" si="22"/>
        <v>123</v>
      </c>
      <c r="S171" s="296">
        <f t="shared" si="23"/>
        <v>2.6170212765957448</v>
      </c>
    </row>
    <row r="172" spans="1:19" x14ac:dyDescent="0.25">
      <c r="A172" s="292">
        <v>3757</v>
      </c>
      <c r="B172" s="292" t="s">
        <v>187</v>
      </c>
      <c r="C172" s="293">
        <f>IFERROR(INDEX(Aktiv!$O$6:$O$350,MATCH(A172,Aktiv!$A$6:$A$350,0)),"")</f>
        <v>67</v>
      </c>
      <c r="D172" s="293">
        <f>IF(C172="","",ROUND(C172*Steuerungsdaten!$B$4*Steuerungsdaten!$B$7*IFERROR(VLOOKUP(IFERROR(INDEX(Aktiv!$C$6:$C$350,MATCH(A172,Aktiv!$A$6:$A$350,0)),""),Steuerungsdaten!$B$17:$C$37,2,FALSE),1)*POWER(IF(OR(IFERROR(INDEX(Aktiv!$E$6:$E$350,MATCH(A172,Aktiv!$A$6:$A$350,0)),0)=0,IFERROR(INDEX(Aktiv!$F$6:$F$350,MATCH(A172,Aktiv!$A$6:$A$350,0)),0)=0),1,(IFERROR(INDEX(Aktiv!$E$6:$E$350,MATCH(A172,Aktiv!$A$6:$A$350,0)),0)*IFERROR(INDEX(Aktiv!$F$6:$F$350,MATCH(A172,Aktiv!$A$6:$A$350,0)),0)/1000000)/Steuerungsdaten!$B$6),IF(ISNUMBER(MATCH(IFERROR(INDEX(Aktiv!$C$6:$C$350,MATCH(A172,Aktiv!$A$6:$A$350,0)),""),{"Boden","Seite außen","Seite außen SY32","Rücken","Seite innen","Seite innen SY32","Seite innen SY32 DB","Fachboden klein","Fachboden groß","Klappenboden"},0)),1.2,1)-1),0))</f>
        <v>58</v>
      </c>
      <c r="E172" s="293">
        <f>IFERROR(INDEX(Aktiv!$G$6:$G$350,MATCH(A172,Aktiv!$A$6:$A$350,0)),"")</f>
        <v>59</v>
      </c>
      <c r="F172" s="294">
        <f t="shared" si="16"/>
        <v>1</v>
      </c>
      <c r="G172" s="295">
        <f t="shared" si="17"/>
        <v>1.7241379310344827E-2</v>
      </c>
      <c r="H172" s="293">
        <f>IF(C172="","",ROUND(C172*Steuerungsdaten!$B$4*Steuerungsdaten!$B$8*IFERROR(VLOOKUP(IFERROR(INDEX(Aktiv!$C$6:$C$350,MATCH(A172,Aktiv!$A$6:$A$350,0)),""),Steuerungsdaten!$B$17:$E$37,4,FALSE),1)*POWER(IF(OR(IFERROR(INDEX(Aktiv!$E$6:$E$350,MATCH(A172,Aktiv!$A$6:$A$350,0)),0)=0,IFERROR(INDEX(Aktiv!$F$6:$F$350,MATCH(A172,Aktiv!$A$6:$A$350,0)),0)=0),1,(IFERROR(INDEX(Aktiv!$E$6:$E$350,MATCH(A172,Aktiv!$A$6:$A$350,0)),0)*IFERROR(INDEX(Aktiv!$F$6:$F$350,MATCH(A172,Aktiv!$A$6:$A$350,0)),0)/1000000)/Steuerungsdaten!$B$6),1-1),0))</f>
        <v>59</v>
      </c>
      <c r="I172" s="293">
        <f>IFERROR(INDEX(Aktiv!$H$6:$H$350,MATCH(A172,Aktiv!$A$6:$A$350,0)),"")</f>
        <v>203</v>
      </c>
      <c r="J172" s="294">
        <f t="shared" si="18"/>
        <v>144</v>
      </c>
      <c r="K172" s="296">
        <f t="shared" si="19"/>
        <v>2.4406779661016951</v>
      </c>
      <c r="L172" s="297">
        <f>IF(C172="","",ROUND(C172*Steuerungsdaten!$B$4*Steuerungsdaten!$B$9*IFERROR(VLOOKUP(IFERROR(INDEX(Aktiv!$C$6:$C$350,MATCH(A172,Aktiv!$A$6:$A$350,0)),""),Steuerungsdaten!$B$17:$G$37,6,FALSE),1)*POWER(IF(OR(IFERROR(INDEX(Aktiv!$E$6:$E$350,MATCH(A172,Aktiv!$A$6:$A$350,0)),0)=0,IFERROR(INDEX(Aktiv!$F$6:$F$350,MATCH(A172,Aktiv!$A$6:$A$350,0)),0)=0),1,(IFERROR(INDEX(Aktiv!$E$6:$E$350,MATCH(A172,Aktiv!$A$6:$A$350,0)),0)*IFERROR(INDEX(Aktiv!$F$6:$F$350,MATCH(A172,Aktiv!$A$6:$A$350,0)),0)/1000000)/Steuerungsdaten!$B$6),1-1),0))</f>
        <v>59</v>
      </c>
      <c r="M172" s="297">
        <f>IFERROR(INDEX(Aktiv!$I$6:$I$350,MATCH(A172,Aktiv!$A$6:$A$350,0)),"")</f>
        <v>211</v>
      </c>
      <c r="N172" s="298">
        <f t="shared" si="20"/>
        <v>152</v>
      </c>
      <c r="O172" s="296">
        <f t="shared" si="21"/>
        <v>2.5762711864406778</v>
      </c>
      <c r="P172" s="297">
        <f>IF(C172="","",ROUND(C172*Steuerungsdaten!$B$4*Steuerungsdaten!$B$10*IFERROR(VLOOKUP(IFERROR(INDEX(Aktiv!$C$6:$C$350,MATCH(A172,Aktiv!$A$6:$A$350,0)),""),Steuerungsdaten!$B$17:$I$37,8,FALSE),1)*POWER(IF(OR(IFERROR(INDEX(Aktiv!$E$6:$E$350,MATCH(A172,Aktiv!$A$6:$A$350,0)),0)=0,IFERROR(INDEX(Aktiv!$F$6:$F$350,MATCH(A172,Aktiv!$A$6:$A$350,0)),0)=0),1,(IFERROR(INDEX(Aktiv!$E$6:$E$350,MATCH(A172,Aktiv!$A$6:$A$350,0)),0)*IFERROR(INDEX(Aktiv!$F$6:$F$350,MATCH(A172,Aktiv!$A$6:$A$350,0)),0)/1000000)/Steuerungsdaten!$B$6),1-1),0))</f>
        <v>64</v>
      </c>
      <c r="Q172" s="297">
        <f>IFERROR(INDEX(Aktiv!$J$6:$J$350,MATCH(A172,Aktiv!$A$6:$A$350,0)),"")</f>
        <v>235</v>
      </c>
      <c r="R172" s="298">
        <f t="shared" si="22"/>
        <v>171</v>
      </c>
      <c r="S172" s="296">
        <f t="shared" si="23"/>
        <v>2.671875</v>
      </c>
    </row>
    <row r="173" spans="1:19" x14ac:dyDescent="0.25">
      <c r="A173" s="292">
        <v>3758</v>
      </c>
      <c r="B173" s="292" t="s">
        <v>188</v>
      </c>
      <c r="C173" s="293">
        <f>IFERROR(INDEX(Aktiv!$O$6:$O$350,MATCH(A173,Aktiv!$A$6:$A$350,0)),"")</f>
        <v>87</v>
      </c>
      <c r="D173" s="293">
        <f>IF(C173="","",ROUND(C173*Steuerungsdaten!$B$4*Steuerungsdaten!$B$7*IFERROR(VLOOKUP(IFERROR(INDEX(Aktiv!$C$6:$C$350,MATCH(A173,Aktiv!$A$6:$A$350,0)),""),Steuerungsdaten!$B$17:$C$37,2,FALSE),1)*POWER(IF(OR(IFERROR(INDEX(Aktiv!$E$6:$E$350,MATCH(A173,Aktiv!$A$6:$A$350,0)),0)=0,IFERROR(INDEX(Aktiv!$F$6:$F$350,MATCH(A173,Aktiv!$A$6:$A$350,0)),0)=0),1,(IFERROR(INDEX(Aktiv!$E$6:$E$350,MATCH(A173,Aktiv!$A$6:$A$350,0)),0)*IFERROR(INDEX(Aktiv!$F$6:$F$350,MATCH(A173,Aktiv!$A$6:$A$350,0)),0)/1000000)/Steuerungsdaten!$B$6),IF(ISNUMBER(MATCH(IFERROR(INDEX(Aktiv!$C$6:$C$350,MATCH(A173,Aktiv!$A$6:$A$350,0)),""),{"Boden","Seite außen","Seite außen SY32","Rücken","Seite innen","Seite innen SY32","Seite innen SY32 DB","Fachboden klein","Fachboden groß","Klappenboden"},0)),1.2,1)-1),0))</f>
        <v>81</v>
      </c>
      <c r="E173" s="293">
        <f>IFERROR(INDEX(Aktiv!$G$6:$G$350,MATCH(A173,Aktiv!$A$6:$A$350,0)),"")</f>
        <v>80</v>
      </c>
      <c r="F173" s="294">
        <f t="shared" si="16"/>
        <v>-1</v>
      </c>
      <c r="G173" s="295">
        <f t="shared" si="17"/>
        <v>-1.2345679012345678E-2</v>
      </c>
      <c r="H173" s="293">
        <f>IF(C173="","",ROUND(C173*Steuerungsdaten!$B$4*Steuerungsdaten!$B$8*IFERROR(VLOOKUP(IFERROR(INDEX(Aktiv!$C$6:$C$350,MATCH(A173,Aktiv!$A$6:$A$350,0)),""),Steuerungsdaten!$B$17:$E$37,4,FALSE),1)*POWER(IF(OR(IFERROR(INDEX(Aktiv!$E$6:$E$350,MATCH(A173,Aktiv!$A$6:$A$350,0)),0)=0,IFERROR(INDEX(Aktiv!$F$6:$F$350,MATCH(A173,Aktiv!$A$6:$A$350,0)),0)=0),1,(IFERROR(INDEX(Aktiv!$E$6:$E$350,MATCH(A173,Aktiv!$A$6:$A$350,0)),0)*IFERROR(INDEX(Aktiv!$F$6:$F$350,MATCH(A173,Aktiv!$A$6:$A$350,0)),0)/1000000)/Steuerungsdaten!$B$6),1-1),0))</f>
        <v>77</v>
      </c>
      <c r="I173" s="293">
        <f>IFERROR(INDEX(Aktiv!$H$6:$H$350,MATCH(A173,Aktiv!$A$6:$A$350,0)),"")</f>
        <v>273</v>
      </c>
      <c r="J173" s="294">
        <f t="shared" si="18"/>
        <v>196</v>
      </c>
      <c r="K173" s="296">
        <f t="shared" si="19"/>
        <v>2.5454545454545454</v>
      </c>
      <c r="L173" s="297">
        <f>IF(C173="","",ROUND(C173*Steuerungsdaten!$B$4*Steuerungsdaten!$B$9*IFERROR(VLOOKUP(IFERROR(INDEX(Aktiv!$C$6:$C$350,MATCH(A173,Aktiv!$A$6:$A$350,0)),""),Steuerungsdaten!$B$17:$G$37,6,FALSE),1)*POWER(IF(OR(IFERROR(INDEX(Aktiv!$E$6:$E$350,MATCH(A173,Aktiv!$A$6:$A$350,0)),0)=0,IFERROR(INDEX(Aktiv!$F$6:$F$350,MATCH(A173,Aktiv!$A$6:$A$350,0)),0)=0),1,(IFERROR(INDEX(Aktiv!$E$6:$E$350,MATCH(A173,Aktiv!$A$6:$A$350,0)),0)*IFERROR(INDEX(Aktiv!$F$6:$F$350,MATCH(A173,Aktiv!$A$6:$A$350,0)),0)/1000000)/Steuerungsdaten!$B$6),1-1),0))</f>
        <v>77</v>
      </c>
      <c r="M173" s="297">
        <f>IFERROR(INDEX(Aktiv!$I$6:$I$350,MATCH(A173,Aktiv!$A$6:$A$350,0)),"")</f>
        <v>284</v>
      </c>
      <c r="N173" s="298">
        <f t="shared" si="20"/>
        <v>207</v>
      </c>
      <c r="O173" s="296">
        <f t="shared" si="21"/>
        <v>2.6883116883116882</v>
      </c>
      <c r="P173" s="297">
        <f>IF(C173="","",ROUND(C173*Steuerungsdaten!$B$4*Steuerungsdaten!$B$10*IFERROR(VLOOKUP(IFERROR(INDEX(Aktiv!$C$6:$C$350,MATCH(A173,Aktiv!$A$6:$A$350,0)),""),Steuerungsdaten!$B$17:$I$37,8,FALSE),1)*POWER(IF(OR(IFERROR(INDEX(Aktiv!$E$6:$E$350,MATCH(A173,Aktiv!$A$6:$A$350,0)),0)=0,IFERROR(INDEX(Aktiv!$F$6:$F$350,MATCH(A173,Aktiv!$A$6:$A$350,0)),0)=0),1,(IFERROR(INDEX(Aktiv!$E$6:$E$350,MATCH(A173,Aktiv!$A$6:$A$350,0)),0)*IFERROR(INDEX(Aktiv!$F$6:$F$350,MATCH(A173,Aktiv!$A$6:$A$350,0)),0)/1000000)/Steuerungsdaten!$B$6),1-1),0))</f>
        <v>84</v>
      </c>
      <c r="Q173" s="297">
        <f>IFERROR(INDEX(Aktiv!$J$6:$J$350,MATCH(A173,Aktiv!$A$6:$A$350,0)),"")</f>
        <v>316</v>
      </c>
      <c r="R173" s="298">
        <f t="shared" si="22"/>
        <v>232</v>
      </c>
      <c r="S173" s="296">
        <f t="shared" si="23"/>
        <v>2.7619047619047619</v>
      </c>
    </row>
    <row r="174" spans="1:19" x14ac:dyDescent="0.25">
      <c r="A174" s="292">
        <v>3759</v>
      </c>
      <c r="B174" s="292" t="s">
        <v>189</v>
      </c>
      <c r="C174" s="293">
        <f>IFERROR(INDEX(Aktiv!$O$6:$O$350,MATCH(A174,Aktiv!$A$6:$A$350,0)),"")</f>
        <v>110</v>
      </c>
      <c r="D174" s="293">
        <f>IF(C174="","",ROUND(C174*Steuerungsdaten!$B$4*Steuerungsdaten!$B$7*IFERROR(VLOOKUP(IFERROR(INDEX(Aktiv!$C$6:$C$350,MATCH(A174,Aktiv!$A$6:$A$350,0)),""),Steuerungsdaten!$B$17:$C$37,2,FALSE),1)*POWER(IF(OR(IFERROR(INDEX(Aktiv!$E$6:$E$350,MATCH(A174,Aktiv!$A$6:$A$350,0)),0)=0,IFERROR(INDEX(Aktiv!$F$6:$F$350,MATCH(A174,Aktiv!$A$6:$A$350,0)),0)=0),1,(IFERROR(INDEX(Aktiv!$E$6:$E$350,MATCH(A174,Aktiv!$A$6:$A$350,0)),0)*IFERROR(INDEX(Aktiv!$F$6:$F$350,MATCH(A174,Aktiv!$A$6:$A$350,0)),0)/1000000)/Steuerungsdaten!$B$6),IF(ISNUMBER(MATCH(IFERROR(INDEX(Aktiv!$C$6:$C$350,MATCH(A174,Aktiv!$A$6:$A$350,0)),""),{"Boden","Seite außen","Seite außen SY32","Rücken","Seite innen","Seite innen SY32","Seite innen SY32 DB","Fachboden klein","Fachboden groß","Klappenboden"},0)),1.2,1)-1),0))</f>
        <v>107</v>
      </c>
      <c r="E174" s="293">
        <f>IFERROR(INDEX(Aktiv!$G$6:$G$350,MATCH(A174,Aktiv!$A$6:$A$350,0)),"")</f>
        <v>100</v>
      </c>
      <c r="F174" s="294">
        <f t="shared" si="16"/>
        <v>-7</v>
      </c>
      <c r="G174" s="295">
        <f t="shared" si="17"/>
        <v>-6.5420560747663545E-2</v>
      </c>
      <c r="H174" s="293">
        <f>IF(C174="","",ROUND(C174*Steuerungsdaten!$B$4*Steuerungsdaten!$B$8*IFERROR(VLOOKUP(IFERROR(INDEX(Aktiv!$C$6:$C$350,MATCH(A174,Aktiv!$A$6:$A$350,0)),""),Steuerungsdaten!$B$17:$E$37,4,FALSE),1)*POWER(IF(OR(IFERROR(INDEX(Aktiv!$E$6:$E$350,MATCH(A174,Aktiv!$A$6:$A$350,0)),0)=0,IFERROR(INDEX(Aktiv!$F$6:$F$350,MATCH(A174,Aktiv!$A$6:$A$350,0)),0)=0),1,(IFERROR(INDEX(Aktiv!$E$6:$E$350,MATCH(A174,Aktiv!$A$6:$A$350,0)),0)*IFERROR(INDEX(Aktiv!$F$6:$F$350,MATCH(A174,Aktiv!$A$6:$A$350,0)),0)/1000000)/Steuerungsdaten!$B$6),1-1),0))</f>
        <v>97</v>
      </c>
      <c r="I174" s="293">
        <f>IFERROR(INDEX(Aktiv!$H$6:$H$350,MATCH(A174,Aktiv!$A$6:$A$350,0)),"")</f>
        <v>343</v>
      </c>
      <c r="J174" s="294">
        <f t="shared" si="18"/>
        <v>246</v>
      </c>
      <c r="K174" s="296">
        <f t="shared" si="19"/>
        <v>2.536082474226804</v>
      </c>
      <c r="L174" s="297">
        <f>IF(C174="","",ROUND(C174*Steuerungsdaten!$B$4*Steuerungsdaten!$B$9*IFERROR(VLOOKUP(IFERROR(INDEX(Aktiv!$C$6:$C$350,MATCH(A174,Aktiv!$A$6:$A$350,0)),""),Steuerungsdaten!$B$17:$G$37,6,FALSE),1)*POWER(IF(OR(IFERROR(INDEX(Aktiv!$E$6:$E$350,MATCH(A174,Aktiv!$A$6:$A$350,0)),0)=0,IFERROR(INDEX(Aktiv!$F$6:$F$350,MATCH(A174,Aktiv!$A$6:$A$350,0)),0)=0),1,(IFERROR(INDEX(Aktiv!$E$6:$E$350,MATCH(A174,Aktiv!$A$6:$A$350,0)),0)*IFERROR(INDEX(Aktiv!$F$6:$F$350,MATCH(A174,Aktiv!$A$6:$A$350,0)),0)/1000000)/Steuerungsdaten!$B$6),1-1),0))</f>
        <v>97</v>
      </c>
      <c r="M174" s="297">
        <f>IFERROR(INDEX(Aktiv!$I$6:$I$350,MATCH(A174,Aktiv!$A$6:$A$350,0)),"")</f>
        <v>357</v>
      </c>
      <c r="N174" s="298">
        <f t="shared" si="20"/>
        <v>260</v>
      </c>
      <c r="O174" s="296">
        <f t="shared" si="21"/>
        <v>2.6804123711340204</v>
      </c>
      <c r="P174" s="297">
        <f>IF(C174="","",ROUND(C174*Steuerungsdaten!$B$4*Steuerungsdaten!$B$10*IFERROR(VLOOKUP(IFERROR(INDEX(Aktiv!$C$6:$C$350,MATCH(A174,Aktiv!$A$6:$A$350,0)),""),Steuerungsdaten!$B$17:$I$37,8,FALSE),1)*POWER(IF(OR(IFERROR(INDEX(Aktiv!$E$6:$E$350,MATCH(A174,Aktiv!$A$6:$A$350,0)),0)=0,IFERROR(INDEX(Aktiv!$F$6:$F$350,MATCH(A174,Aktiv!$A$6:$A$350,0)),0)=0),1,(IFERROR(INDEX(Aktiv!$E$6:$E$350,MATCH(A174,Aktiv!$A$6:$A$350,0)),0)*IFERROR(INDEX(Aktiv!$F$6:$F$350,MATCH(A174,Aktiv!$A$6:$A$350,0)),0)/1000000)/Steuerungsdaten!$B$6),1-1),0))</f>
        <v>106</v>
      </c>
      <c r="Q174" s="297">
        <f>IFERROR(INDEX(Aktiv!$J$6:$J$350,MATCH(A174,Aktiv!$A$6:$A$350,0)),"")</f>
        <v>398</v>
      </c>
      <c r="R174" s="298">
        <f t="shared" si="22"/>
        <v>292</v>
      </c>
      <c r="S174" s="296">
        <f t="shared" si="23"/>
        <v>2.7547169811320753</v>
      </c>
    </row>
    <row r="175" spans="1:19" x14ac:dyDescent="0.25">
      <c r="A175" s="292">
        <v>3760</v>
      </c>
      <c r="B175" s="292" t="s">
        <v>190</v>
      </c>
      <c r="C175" s="293">
        <f>IFERROR(INDEX(Aktiv!$O$6:$O$350,MATCH(A175,Aktiv!$A$6:$A$350,0)),"")</f>
        <v>126</v>
      </c>
      <c r="D175" s="293">
        <f>IF(C175="","",ROUND(C175*Steuerungsdaten!$B$4*Steuerungsdaten!$B$7*IFERROR(VLOOKUP(IFERROR(INDEX(Aktiv!$C$6:$C$350,MATCH(A175,Aktiv!$A$6:$A$350,0)),""),Steuerungsdaten!$B$17:$C$37,2,FALSE),1)*POWER(IF(OR(IFERROR(INDEX(Aktiv!$E$6:$E$350,MATCH(A175,Aktiv!$A$6:$A$350,0)),0)=0,IFERROR(INDEX(Aktiv!$F$6:$F$350,MATCH(A175,Aktiv!$A$6:$A$350,0)),0)=0),1,(IFERROR(INDEX(Aktiv!$E$6:$E$350,MATCH(A175,Aktiv!$A$6:$A$350,0)),0)*IFERROR(INDEX(Aktiv!$F$6:$F$350,MATCH(A175,Aktiv!$A$6:$A$350,0)),0)/1000000)/Steuerungsdaten!$B$6),IF(ISNUMBER(MATCH(IFERROR(INDEX(Aktiv!$C$6:$C$350,MATCH(A175,Aktiv!$A$6:$A$350,0)),""),{"Boden","Seite außen","Seite außen SY32","Rücken","Seite innen","Seite innen SY32","Seite innen SY32 DB","Fachboden klein","Fachboden groß","Klappenboden"},0)),1.2,1)-1),0))</f>
        <v>124</v>
      </c>
      <c r="E175" s="293" t="str">
        <f>IFERROR(INDEX(Aktiv!$G$6:$G$350,MATCH(A175,Aktiv!$A$6:$A$350,0)),"")</f>
        <v>-</v>
      </c>
      <c r="F175" s="294" t="e">
        <f t="shared" si="16"/>
        <v>#VALUE!</v>
      </c>
      <c r="G175" s="295" t="e">
        <f t="shared" si="17"/>
        <v>#VALUE!</v>
      </c>
      <c r="H175" s="293">
        <f>IF(C175="","",ROUND(C175*Steuerungsdaten!$B$4*Steuerungsdaten!$B$8*IFERROR(VLOOKUP(IFERROR(INDEX(Aktiv!$C$6:$C$350,MATCH(A175,Aktiv!$A$6:$A$350,0)),""),Steuerungsdaten!$B$17:$E$37,4,FALSE),1)*POWER(IF(OR(IFERROR(INDEX(Aktiv!$E$6:$E$350,MATCH(A175,Aktiv!$A$6:$A$350,0)),0)=0,IFERROR(INDEX(Aktiv!$F$6:$F$350,MATCH(A175,Aktiv!$A$6:$A$350,0)),0)=0),1,(IFERROR(INDEX(Aktiv!$E$6:$E$350,MATCH(A175,Aktiv!$A$6:$A$350,0)),0)*IFERROR(INDEX(Aktiv!$F$6:$F$350,MATCH(A175,Aktiv!$A$6:$A$350,0)),0)/1000000)/Steuerungsdaten!$B$6),1-1),0))</f>
        <v>111</v>
      </c>
      <c r="I175" s="293" t="str">
        <f>IFERROR(INDEX(Aktiv!$H$6:$H$350,MATCH(A175,Aktiv!$A$6:$A$350,0)),"")</f>
        <v>-</v>
      </c>
      <c r="J175" s="294" t="e">
        <f t="shared" si="18"/>
        <v>#VALUE!</v>
      </c>
      <c r="K175" s="296" t="e">
        <f t="shared" si="19"/>
        <v>#VALUE!</v>
      </c>
      <c r="L175" s="297">
        <f>IF(C175="","",ROUND(C175*Steuerungsdaten!$B$4*Steuerungsdaten!$B$9*IFERROR(VLOOKUP(IFERROR(INDEX(Aktiv!$C$6:$C$350,MATCH(A175,Aktiv!$A$6:$A$350,0)),""),Steuerungsdaten!$B$17:$G$37,6,FALSE),1)*POWER(IF(OR(IFERROR(INDEX(Aktiv!$E$6:$E$350,MATCH(A175,Aktiv!$A$6:$A$350,0)),0)=0,IFERROR(INDEX(Aktiv!$F$6:$F$350,MATCH(A175,Aktiv!$A$6:$A$350,0)),0)=0),1,(IFERROR(INDEX(Aktiv!$E$6:$E$350,MATCH(A175,Aktiv!$A$6:$A$350,0)),0)*IFERROR(INDEX(Aktiv!$F$6:$F$350,MATCH(A175,Aktiv!$A$6:$A$350,0)),0)/1000000)/Steuerungsdaten!$B$6),1-1),0))</f>
        <v>111</v>
      </c>
      <c r="M175" s="297" t="str">
        <f>IFERROR(INDEX(Aktiv!$I$6:$I$350,MATCH(A175,Aktiv!$A$6:$A$350,0)),"")</f>
        <v>-</v>
      </c>
      <c r="N175" s="298" t="e">
        <f t="shared" si="20"/>
        <v>#VALUE!</v>
      </c>
      <c r="O175" s="296" t="e">
        <f t="shared" si="21"/>
        <v>#VALUE!</v>
      </c>
      <c r="P175" s="297">
        <f>IF(C175="","",ROUND(C175*Steuerungsdaten!$B$4*Steuerungsdaten!$B$10*IFERROR(VLOOKUP(IFERROR(INDEX(Aktiv!$C$6:$C$350,MATCH(A175,Aktiv!$A$6:$A$350,0)),""),Steuerungsdaten!$B$17:$I$37,8,FALSE),1)*POWER(IF(OR(IFERROR(INDEX(Aktiv!$E$6:$E$350,MATCH(A175,Aktiv!$A$6:$A$350,0)),0)=0,IFERROR(INDEX(Aktiv!$F$6:$F$350,MATCH(A175,Aktiv!$A$6:$A$350,0)),0)=0),1,(IFERROR(INDEX(Aktiv!$E$6:$E$350,MATCH(A175,Aktiv!$A$6:$A$350,0)),0)*IFERROR(INDEX(Aktiv!$F$6:$F$350,MATCH(A175,Aktiv!$A$6:$A$350,0)),0)/1000000)/Steuerungsdaten!$B$6),1-1),0))</f>
        <v>121</v>
      </c>
      <c r="Q175" s="297" t="str">
        <f>IFERROR(INDEX(Aktiv!$J$6:$J$350,MATCH(A175,Aktiv!$A$6:$A$350,0)),"")</f>
        <v>-</v>
      </c>
      <c r="R175" s="298" t="e">
        <f t="shared" si="22"/>
        <v>#VALUE!</v>
      </c>
      <c r="S175" s="296" t="e">
        <f t="shared" si="23"/>
        <v>#VALUE!</v>
      </c>
    </row>
    <row r="176" spans="1:19" x14ac:dyDescent="0.25">
      <c r="A176" s="292">
        <v>3761</v>
      </c>
      <c r="B176" s="292" t="s">
        <v>191</v>
      </c>
      <c r="C176" s="293">
        <f>IFERROR(INDEX(Aktiv!$O$6:$O$350,MATCH(A176,Aktiv!$A$6:$A$350,0)),"")</f>
        <v>139</v>
      </c>
      <c r="D176" s="293">
        <f>IF(C176="","",ROUND(C176*Steuerungsdaten!$B$4*Steuerungsdaten!$B$7*IFERROR(VLOOKUP(IFERROR(INDEX(Aktiv!$C$6:$C$350,MATCH(A176,Aktiv!$A$6:$A$350,0)),""),Steuerungsdaten!$B$17:$C$37,2,FALSE),1)*POWER(IF(OR(IFERROR(INDEX(Aktiv!$E$6:$E$350,MATCH(A176,Aktiv!$A$6:$A$350,0)),0)=0,IFERROR(INDEX(Aktiv!$F$6:$F$350,MATCH(A176,Aktiv!$A$6:$A$350,0)),0)=0),1,(IFERROR(INDEX(Aktiv!$E$6:$E$350,MATCH(A176,Aktiv!$A$6:$A$350,0)),0)*IFERROR(INDEX(Aktiv!$F$6:$F$350,MATCH(A176,Aktiv!$A$6:$A$350,0)),0)/1000000)/Steuerungsdaten!$B$6),IF(ISNUMBER(MATCH(IFERROR(INDEX(Aktiv!$C$6:$C$350,MATCH(A176,Aktiv!$A$6:$A$350,0)),""),{"Boden","Seite außen","Seite außen SY32","Rücken","Seite innen","Seite innen SY32","Seite innen SY32 DB","Fachboden klein","Fachboden groß","Klappenboden"},0)),1.2,1)-1),0))</f>
        <v>143</v>
      </c>
      <c r="E176" s="293" t="str">
        <f>IFERROR(INDEX(Aktiv!$G$6:$G$350,MATCH(A176,Aktiv!$A$6:$A$350,0)),"")</f>
        <v>-</v>
      </c>
      <c r="F176" s="294" t="e">
        <f t="shared" si="16"/>
        <v>#VALUE!</v>
      </c>
      <c r="G176" s="295" t="e">
        <f t="shared" si="17"/>
        <v>#VALUE!</v>
      </c>
      <c r="H176" s="293">
        <f>IF(C176="","",ROUND(C176*Steuerungsdaten!$B$4*Steuerungsdaten!$B$8*IFERROR(VLOOKUP(IFERROR(INDEX(Aktiv!$C$6:$C$350,MATCH(A176,Aktiv!$A$6:$A$350,0)),""),Steuerungsdaten!$B$17:$E$37,4,FALSE),1)*POWER(IF(OR(IFERROR(INDEX(Aktiv!$E$6:$E$350,MATCH(A176,Aktiv!$A$6:$A$350,0)),0)=0,IFERROR(INDEX(Aktiv!$F$6:$F$350,MATCH(A176,Aktiv!$A$6:$A$350,0)),0)=0),1,(IFERROR(INDEX(Aktiv!$E$6:$E$350,MATCH(A176,Aktiv!$A$6:$A$350,0)),0)*IFERROR(INDEX(Aktiv!$F$6:$F$350,MATCH(A176,Aktiv!$A$6:$A$350,0)),0)/1000000)/Steuerungsdaten!$B$6),1-1),0))</f>
        <v>122</v>
      </c>
      <c r="I176" s="293" t="str">
        <f>IFERROR(INDEX(Aktiv!$H$6:$H$350,MATCH(A176,Aktiv!$A$6:$A$350,0)),"")</f>
        <v>-</v>
      </c>
      <c r="J176" s="294" t="e">
        <f t="shared" si="18"/>
        <v>#VALUE!</v>
      </c>
      <c r="K176" s="296" t="e">
        <f t="shared" si="19"/>
        <v>#VALUE!</v>
      </c>
      <c r="L176" s="297">
        <f>IF(C176="","",ROUND(C176*Steuerungsdaten!$B$4*Steuerungsdaten!$B$9*IFERROR(VLOOKUP(IFERROR(INDEX(Aktiv!$C$6:$C$350,MATCH(A176,Aktiv!$A$6:$A$350,0)),""),Steuerungsdaten!$B$17:$G$37,6,FALSE),1)*POWER(IF(OR(IFERROR(INDEX(Aktiv!$E$6:$E$350,MATCH(A176,Aktiv!$A$6:$A$350,0)),0)=0,IFERROR(INDEX(Aktiv!$F$6:$F$350,MATCH(A176,Aktiv!$A$6:$A$350,0)),0)=0),1,(IFERROR(INDEX(Aktiv!$E$6:$E$350,MATCH(A176,Aktiv!$A$6:$A$350,0)),0)*IFERROR(INDEX(Aktiv!$F$6:$F$350,MATCH(A176,Aktiv!$A$6:$A$350,0)),0)/1000000)/Steuerungsdaten!$B$6),1-1),0))</f>
        <v>122</v>
      </c>
      <c r="M176" s="297" t="str">
        <f>IFERROR(INDEX(Aktiv!$I$6:$I$350,MATCH(A176,Aktiv!$A$6:$A$350,0)),"")</f>
        <v>-</v>
      </c>
      <c r="N176" s="298" t="e">
        <f t="shared" si="20"/>
        <v>#VALUE!</v>
      </c>
      <c r="O176" s="296" t="e">
        <f t="shared" si="21"/>
        <v>#VALUE!</v>
      </c>
      <c r="P176" s="297">
        <f>IF(C176="","",ROUND(C176*Steuerungsdaten!$B$4*Steuerungsdaten!$B$10*IFERROR(VLOOKUP(IFERROR(INDEX(Aktiv!$C$6:$C$350,MATCH(A176,Aktiv!$A$6:$A$350,0)),""),Steuerungsdaten!$B$17:$I$37,8,FALSE),1)*POWER(IF(OR(IFERROR(INDEX(Aktiv!$E$6:$E$350,MATCH(A176,Aktiv!$A$6:$A$350,0)),0)=0,IFERROR(INDEX(Aktiv!$F$6:$F$350,MATCH(A176,Aktiv!$A$6:$A$350,0)),0)=0),1,(IFERROR(INDEX(Aktiv!$E$6:$E$350,MATCH(A176,Aktiv!$A$6:$A$350,0)),0)*IFERROR(INDEX(Aktiv!$F$6:$F$350,MATCH(A176,Aktiv!$A$6:$A$350,0)),0)/1000000)/Steuerungsdaten!$B$6),1-1),0))</f>
        <v>133</v>
      </c>
      <c r="Q176" s="297" t="str">
        <f>IFERROR(INDEX(Aktiv!$J$6:$J$350,MATCH(A176,Aktiv!$A$6:$A$350,0)),"")</f>
        <v>-</v>
      </c>
      <c r="R176" s="298" t="e">
        <f t="shared" si="22"/>
        <v>#VALUE!</v>
      </c>
      <c r="S176" s="296" t="e">
        <f t="shared" si="23"/>
        <v>#VALUE!</v>
      </c>
    </row>
    <row r="177" spans="1:19" x14ac:dyDescent="0.25">
      <c r="A177" s="292">
        <v>3762</v>
      </c>
      <c r="B177" s="292" t="s">
        <v>192</v>
      </c>
      <c r="C177" s="293">
        <f>IFERROR(INDEX(Aktiv!$O$6:$O$350,MATCH(A177,Aktiv!$A$6:$A$350,0)),"")</f>
        <v>180</v>
      </c>
      <c r="D177" s="293">
        <f>IF(C177="","",ROUND(C177*Steuerungsdaten!$B$4*Steuerungsdaten!$B$7*IFERROR(VLOOKUP(IFERROR(INDEX(Aktiv!$C$6:$C$350,MATCH(A177,Aktiv!$A$6:$A$350,0)),""),Steuerungsdaten!$B$17:$C$37,2,FALSE),1)*POWER(IF(OR(IFERROR(INDEX(Aktiv!$E$6:$E$350,MATCH(A177,Aktiv!$A$6:$A$350,0)),0)=0,IFERROR(INDEX(Aktiv!$F$6:$F$350,MATCH(A177,Aktiv!$A$6:$A$350,0)),0)=0),1,(IFERROR(INDEX(Aktiv!$E$6:$E$350,MATCH(A177,Aktiv!$A$6:$A$350,0)),0)*IFERROR(INDEX(Aktiv!$F$6:$F$350,MATCH(A177,Aktiv!$A$6:$A$350,0)),0)/1000000)/Steuerungsdaten!$B$6),IF(ISNUMBER(MATCH(IFERROR(INDEX(Aktiv!$C$6:$C$350,MATCH(A177,Aktiv!$A$6:$A$350,0)),""),{"Boden","Seite außen","Seite außen SY32","Rücken","Seite innen","Seite innen SY32","Seite innen SY32 DB","Fachboden klein","Fachboden groß","Klappenboden"},0)),1.2,1)-1),0))</f>
        <v>194</v>
      </c>
      <c r="E177" s="293" t="str">
        <f>IFERROR(INDEX(Aktiv!$G$6:$G$350,MATCH(A177,Aktiv!$A$6:$A$350,0)),"")</f>
        <v>-</v>
      </c>
      <c r="F177" s="294" t="e">
        <f t="shared" si="16"/>
        <v>#VALUE!</v>
      </c>
      <c r="G177" s="295" t="e">
        <f t="shared" si="17"/>
        <v>#VALUE!</v>
      </c>
      <c r="H177" s="293">
        <f>IF(C177="","",ROUND(C177*Steuerungsdaten!$B$4*Steuerungsdaten!$B$8*IFERROR(VLOOKUP(IFERROR(INDEX(Aktiv!$C$6:$C$350,MATCH(A177,Aktiv!$A$6:$A$350,0)),""),Steuerungsdaten!$B$17:$E$37,4,FALSE),1)*POWER(IF(OR(IFERROR(INDEX(Aktiv!$E$6:$E$350,MATCH(A177,Aktiv!$A$6:$A$350,0)),0)=0,IFERROR(INDEX(Aktiv!$F$6:$F$350,MATCH(A177,Aktiv!$A$6:$A$350,0)),0)=0),1,(IFERROR(INDEX(Aktiv!$E$6:$E$350,MATCH(A177,Aktiv!$A$6:$A$350,0)),0)*IFERROR(INDEX(Aktiv!$F$6:$F$350,MATCH(A177,Aktiv!$A$6:$A$350,0)),0)/1000000)/Steuerungsdaten!$B$6),1-1),0))</f>
        <v>158</v>
      </c>
      <c r="I177" s="293" t="str">
        <f>IFERROR(INDEX(Aktiv!$H$6:$H$350,MATCH(A177,Aktiv!$A$6:$A$350,0)),"")</f>
        <v>-</v>
      </c>
      <c r="J177" s="294" t="e">
        <f t="shared" si="18"/>
        <v>#VALUE!</v>
      </c>
      <c r="K177" s="296" t="e">
        <f t="shared" si="19"/>
        <v>#VALUE!</v>
      </c>
      <c r="L177" s="297">
        <f>IF(C177="","",ROUND(C177*Steuerungsdaten!$B$4*Steuerungsdaten!$B$9*IFERROR(VLOOKUP(IFERROR(INDEX(Aktiv!$C$6:$C$350,MATCH(A177,Aktiv!$A$6:$A$350,0)),""),Steuerungsdaten!$B$17:$G$37,6,FALSE),1)*POWER(IF(OR(IFERROR(INDEX(Aktiv!$E$6:$E$350,MATCH(A177,Aktiv!$A$6:$A$350,0)),0)=0,IFERROR(INDEX(Aktiv!$F$6:$F$350,MATCH(A177,Aktiv!$A$6:$A$350,0)),0)=0),1,(IFERROR(INDEX(Aktiv!$E$6:$E$350,MATCH(A177,Aktiv!$A$6:$A$350,0)),0)*IFERROR(INDEX(Aktiv!$F$6:$F$350,MATCH(A177,Aktiv!$A$6:$A$350,0)),0)/1000000)/Steuerungsdaten!$B$6),1-1),0))</f>
        <v>158</v>
      </c>
      <c r="M177" s="297" t="str">
        <f>IFERROR(INDEX(Aktiv!$I$6:$I$350,MATCH(A177,Aktiv!$A$6:$A$350,0)),"")</f>
        <v>-</v>
      </c>
      <c r="N177" s="298" t="e">
        <f t="shared" si="20"/>
        <v>#VALUE!</v>
      </c>
      <c r="O177" s="296" t="e">
        <f t="shared" si="21"/>
        <v>#VALUE!</v>
      </c>
      <c r="P177" s="297">
        <f>IF(C177="","",ROUND(C177*Steuerungsdaten!$B$4*Steuerungsdaten!$B$10*IFERROR(VLOOKUP(IFERROR(INDEX(Aktiv!$C$6:$C$350,MATCH(A177,Aktiv!$A$6:$A$350,0)),""),Steuerungsdaten!$B$17:$I$37,8,FALSE),1)*POWER(IF(OR(IFERROR(INDEX(Aktiv!$E$6:$E$350,MATCH(A177,Aktiv!$A$6:$A$350,0)),0)=0,IFERROR(INDEX(Aktiv!$F$6:$F$350,MATCH(A177,Aktiv!$A$6:$A$350,0)),0)=0),1,(IFERROR(INDEX(Aktiv!$E$6:$E$350,MATCH(A177,Aktiv!$A$6:$A$350,0)),0)*IFERROR(INDEX(Aktiv!$F$6:$F$350,MATCH(A177,Aktiv!$A$6:$A$350,0)),0)/1000000)/Steuerungsdaten!$B$6),1-1),0))</f>
        <v>173</v>
      </c>
      <c r="Q177" s="297" t="str">
        <f>IFERROR(INDEX(Aktiv!$J$6:$J$350,MATCH(A177,Aktiv!$A$6:$A$350,0)),"")</f>
        <v>-</v>
      </c>
      <c r="R177" s="298" t="e">
        <f t="shared" si="22"/>
        <v>#VALUE!</v>
      </c>
      <c r="S177" s="296" t="e">
        <f t="shared" si="23"/>
        <v>#VALUE!</v>
      </c>
    </row>
    <row r="178" spans="1:19" x14ac:dyDescent="0.25">
      <c r="A178" s="292">
        <v>3800</v>
      </c>
      <c r="B178" s="292" t="s">
        <v>194</v>
      </c>
      <c r="C178" s="293">
        <f>IFERROR(INDEX(Aktiv!$O$6:$O$350,MATCH(A178,Aktiv!$A$6:$A$350,0)),"")</f>
        <v>34</v>
      </c>
      <c r="D178" s="293">
        <f>IF(C178="","",ROUND(C178*Steuerungsdaten!$B$4*Steuerungsdaten!$B$7*IFERROR(VLOOKUP(IFERROR(INDEX(Aktiv!$C$6:$C$350,MATCH(A178,Aktiv!$A$6:$A$350,0)),""),Steuerungsdaten!$B$17:$C$37,2,FALSE),1)*POWER(IF(OR(IFERROR(INDEX(Aktiv!$E$6:$E$350,MATCH(A178,Aktiv!$A$6:$A$350,0)),0)=0,IFERROR(INDEX(Aktiv!$F$6:$F$350,MATCH(A178,Aktiv!$A$6:$A$350,0)),0)=0),1,(IFERROR(INDEX(Aktiv!$E$6:$E$350,MATCH(A178,Aktiv!$A$6:$A$350,0)),0)*IFERROR(INDEX(Aktiv!$F$6:$F$350,MATCH(A178,Aktiv!$A$6:$A$350,0)),0)/1000000)/Steuerungsdaten!$B$6),IF(ISNUMBER(MATCH(IFERROR(INDEX(Aktiv!$C$6:$C$350,MATCH(A178,Aktiv!$A$6:$A$350,0)),""),{"Boden","Seite außen","Seite außen SY32","Rücken","Seite innen","Seite innen SY32","Seite innen SY32 DB","Fachboden klein","Fachboden groß","Klappenboden"},0)),1.2,1)-1),0))</f>
        <v>25</v>
      </c>
      <c r="E178" s="293">
        <f>IFERROR(INDEX(Aktiv!$G$6:$G$350,MATCH(A178,Aktiv!$A$6:$A$350,0)),"")</f>
        <v>25</v>
      </c>
      <c r="F178" s="294">
        <f t="shared" si="16"/>
        <v>0</v>
      </c>
      <c r="G178" s="295">
        <f t="shared" si="17"/>
        <v>0</v>
      </c>
      <c r="H178" s="293">
        <f>IF(C178="","",ROUND(C178*Steuerungsdaten!$B$4*Steuerungsdaten!$B$8*IFERROR(VLOOKUP(IFERROR(INDEX(Aktiv!$C$6:$C$350,MATCH(A178,Aktiv!$A$6:$A$350,0)),""),Steuerungsdaten!$B$17:$E$37,4,FALSE),1)*POWER(IF(OR(IFERROR(INDEX(Aktiv!$E$6:$E$350,MATCH(A178,Aktiv!$A$6:$A$350,0)),0)=0,IFERROR(INDEX(Aktiv!$F$6:$F$350,MATCH(A178,Aktiv!$A$6:$A$350,0)),0)=0),1,(IFERROR(INDEX(Aktiv!$E$6:$E$350,MATCH(A178,Aktiv!$A$6:$A$350,0)),0)*IFERROR(INDEX(Aktiv!$F$6:$F$350,MATCH(A178,Aktiv!$A$6:$A$350,0)),0)/1000000)/Steuerungsdaten!$B$6),1-1),0))</f>
        <v>30</v>
      </c>
      <c r="I178" s="293">
        <f>IFERROR(INDEX(Aktiv!$H$6:$H$350,MATCH(A178,Aktiv!$A$6:$A$350,0)),"")</f>
        <v>103</v>
      </c>
      <c r="J178" s="294">
        <f t="shared" si="18"/>
        <v>73</v>
      </c>
      <c r="K178" s="296">
        <f t="shared" si="19"/>
        <v>2.4333333333333331</v>
      </c>
      <c r="L178" s="297">
        <f>IF(C178="","",ROUND(C178*Steuerungsdaten!$B$4*Steuerungsdaten!$B$9*IFERROR(VLOOKUP(IFERROR(INDEX(Aktiv!$C$6:$C$350,MATCH(A178,Aktiv!$A$6:$A$350,0)),""),Steuerungsdaten!$B$17:$G$37,6,FALSE),1)*POWER(IF(OR(IFERROR(INDEX(Aktiv!$E$6:$E$350,MATCH(A178,Aktiv!$A$6:$A$350,0)),0)=0,IFERROR(INDEX(Aktiv!$F$6:$F$350,MATCH(A178,Aktiv!$A$6:$A$350,0)),0)=0),1,(IFERROR(INDEX(Aktiv!$E$6:$E$350,MATCH(A178,Aktiv!$A$6:$A$350,0)),0)*IFERROR(INDEX(Aktiv!$F$6:$F$350,MATCH(A178,Aktiv!$A$6:$A$350,0)),0)/1000000)/Steuerungsdaten!$B$6),1-1),0))</f>
        <v>30</v>
      </c>
      <c r="M178" s="297">
        <f>IFERROR(INDEX(Aktiv!$I$6:$I$350,MATCH(A178,Aktiv!$A$6:$A$350,0)),"")</f>
        <v>120</v>
      </c>
      <c r="N178" s="298">
        <f t="shared" si="20"/>
        <v>90</v>
      </c>
      <c r="O178" s="296">
        <f t="shared" si="21"/>
        <v>3</v>
      </c>
      <c r="P178" s="297">
        <f>IF(C178="","",ROUND(C178*Steuerungsdaten!$B$4*Steuerungsdaten!$B$10*IFERROR(VLOOKUP(IFERROR(INDEX(Aktiv!$C$6:$C$350,MATCH(A178,Aktiv!$A$6:$A$350,0)),""),Steuerungsdaten!$B$17:$I$37,8,FALSE),1)*POWER(IF(OR(IFERROR(INDEX(Aktiv!$E$6:$E$350,MATCH(A178,Aktiv!$A$6:$A$350,0)),0)=0,IFERROR(INDEX(Aktiv!$F$6:$F$350,MATCH(A178,Aktiv!$A$6:$A$350,0)),0)=0),1,(IFERROR(INDEX(Aktiv!$E$6:$E$350,MATCH(A178,Aktiv!$A$6:$A$350,0)),0)*IFERROR(INDEX(Aktiv!$F$6:$F$350,MATCH(A178,Aktiv!$A$6:$A$350,0)),0)/1000000)/Steuerungsdaten!$B$6),1-1),0))</f>
        <v>33</v>
      </c>
      <c r="Q178" s="297">
        <f>IFERROR(INDEX(Aktiv!$J$6:$J$350,MATCH(A178,Aktiv!$A$6:$A$350,0)),"")</f>
        <v>145</v>
      </c>
      <c r="R178" s="298">
        <f t="shared" si="22"/>
        <v>112</v>
      </c>
      <c r="S178" s="296">
        <f t="shared" si="23"/>
        <v>3.393939393939394</v>
      </c>
    </row>
    <row r="179" spans="1:19" x14ac:dyDescent="0.25">
      <c r="A179" s="292">
        <v>3801</v>
      </c>
      <c r="B179" s="292" t="s">
        <v>195</v>
      </c>
      <c r="C179" s="293">
        <f>IFERROR(INDEX(Aktiv!$O$6:$O$350,MATCH(A179,Aktiv!$A$6:$A$350,0)),"")</f>
        <v>34</v>
      </c>
      <c r="D179" s="293">
        <f>IF(C179="","",ROUND(C179*Steuerungsdaten!$B$4*Steuerungsdaten!$B$7*IFERROR(VLOOKUP(IFERROR(INDEX(Aktiv!$C$6:$C$350,MATCH(A179,Aktiv!$A$6:$A$350,0)),""),Steuerungsdaten!$B$17:$C$37,2,FALSE),1)*POWER(IF(OR(IFERROR(INDEX(Aktiv!$E$6:$E$350,MATCH(A179,Aktiv!$A$6:$A$350,0)),0)=0,IFERROR(INDEX(Aktiv!$F$6:$F$350,MATCH(A179,Aktiv!$A$6:$A$350,0)),0)=0),1,(IFERROR(INDEX(Aktiv!$E$6:$E$350,MATCH(A179,Aktiv!$A$6:$A$350,0)),0)*IFERROR(INDEX(Aktiv!$F$6:$F$350,MATCH(A179,Aktiv!$A$6:$A$350,0)),0)/1000000)/Steuerungsdaten!$B$6),IF(ISNUMBER(MATCH(IFERROR(INDEX(Aktiv!$C$6:$C$350,MATCH(A179,Aktiv!$A$6:$A$350,0)),""),{"Boden","Seite außen","Seite außen SY32","Rücken","Seite innen","Seite innen SY32","Seite innen SY32 DB","Fachboden klein","Fachboden groß","Klappenboden"},0)),1.2,1)-1),0))</f>
        <v>25</v>
      </c>
      <c r="E179" s="293">
        <f>IFERROR(INDEX(Aktiv!$G$6:$G$350,MATCH(A179,Aktiv!$A$6:$A$350,0)),"")</f>
        <v>27</v>
      </c>
      <c r="F179" s="294">
        <f t="shared" si="16"/>
        <v>2</v>
      </c>
      <c r="G179" s="295">
        <f t="shared" si="17"/>
        <v>0.08</v>
      </c>
      <c r="H179" s="293">
        <f>IF(C179="","",ROUND(C179*Steuerungsdaten!$B$4*Steuerungsdaten!$B$8*IFERROR(VLOOKUP(IFERROR(INDEX(Aktiv!$C$6:$C$350,MATCH(A179,Aktiv!$A$6:$A$350,0)),""),Steuerungsdaten!$B$17:$E$37,4,FALSE),1)*POWER(IF(OR(IFERROR(INDEX(Aktiv!$E$6:$E$350,MATCH(A179,Aktiv!$A$6:$A$350,0)),0)=0,IFERROR(INDEX(Aktiv!$F$6:$F$350,MATCH(A179,Aktiv!$A$6:$A$350,0)),0)=0),1,(IFERROR(INDEX(Aktiv!$E$6:$E$350,MATCH(A179,Aktiv!$A$6:$A$350,0)),0)*IFERROR(INDEX(Aktiv!$F$6:$F$350,MATCH(A179,Aktiv!$A$6:$A$350,0)),0)/1000000)/Steuerungsdaten!$B$6),1-1),0))</f>
        <v>30</v>
      </c>
      <c r="I179" s="293">
        <f>IFERROR(INDEX(Aktiv!$H$6:$H$350,MATCH(A179,Aktiv!$A$6:$A$350,0)),"")</f>
        <v>103</v>
      </c>
      <c r="J179" s="294">
        <f t="shared" si="18"/>
        <v>73</v>
      </c>
      <c r="K179" s="296">
        <f t="shared" si="19"/>
        <v>2.4333333333333331</v>
      </c>
      <c r="L179" s="297">
        <f>IF(C179="","",ROUND(C179*Steuerungsdaten!$B$4*Steuerungsdaten!$B$9*IFERROR(VLOOKUP(IFERROR(INDEX(Aktiv!$C$6:$C$350,MATCH(A179,Aktiv!$A$6:$A$350,0)),""),Steuerungsdaten!$B$17:$G$37,6,FALSE),1)*POWER(IF(OR(IFERROR(INDEX(Aktiv!$E$6:$E$350,MATCH(A179,Aktiv!$A$6:$A$350,0)),0)=0,IFERROR(INDEX(Aktiv!$F$6:$F$350,MATCH(A179,Aktiv!$A$6:$A$350,0)),0)=0),1,(IFERROR(INDEX(Aktiv!$E$6:$E$350,MATCH(A179,Aktiv!$A$6:$A$350,0)),0)*IFERROR(INDEX(Aktiv!$F$6:$F$350,MATCH(A179,Aktiv!$A$6:$A$350,0)),0)/1000000)/Steuerungsdaten!$B$6),1-1),0))</f>
        <v>30</v>
      </c>
      <c r="M179" s="297">
        <f>IFERROR(INDEX(Aktiv!$I$6:$I$350,MATCH(A179,Aktiv!$A$6:$A$350,0)),"")</f>
        <v>120</v>
      </c>
      <c r="N179" s="298">
        <f t="shared" si="20"/>
        <v>90</v>
      </c>
      <c r="O179" s="296">
        <f t="shared" si="21"/>
        <v>3</v>
      </c>
      <c r="P179" s="297">
        <f>IF(C179="","",ROUND(C179*Steuerungsdaten!$B$4*Steuerungsdaten!$B$10*IFERROR(VLOOKUP(IFERROR(INDEX(Aktiv!$C$6:$C$350,MATCH(A179,Aktiv!$A$6:$A$350,0)),""),Steuerungsdaten!$B$17:$I$37,8,FALSE),1)*POWER(IF(OR(IFERROR(INDEX(Aktiv!$E$6:$E$350,MATCH(A179,Aktiv!$A$6:$A$350,0)),0)=0,IFERROR(INDEX(Aktiv!$F$6:$F$350,MATCH(A179,Aktiv!$A$6:$A$350,0)),0)=0),1,(IFERROR(INDEX(Aktiv!$E$6:$E$350,MATCH(A179,Aktiv!$A$6:$A$350,0)),0)*IFERROR(INDEX(Aktiv!$F$6:$F$350,MATCH(A179,Aktiv!$A$6:$A$350,0)),0)/1000000)/Steuerungsdaten!$B$6),1-1),0))</f>
        <v>33</v>
      </c>
      <c r="Q179" s="297">
        <f>IFERROR(INDEX(Aktiv!$J$6:$J$350,MATCH(A179,Aktiv!$A$6:$A$350,0)),"")</f>
        <v>145</v>
      </c>
      <c r="R179" s="298">
        <f t="shared" si="22"/>
        <v>112</v>
      </c>
      <c r="S179" s="296">
        <f t="shared" si="23"/>
        <v>3.393939393939394</v>
      </c>
    </row>
    <row r="180" spans="1:19" x14ac:dyDescent="0.25">
      <c r="A180" s="292">
        <v>3802</v>
      </c>
      <c r="B180" s="292" t="s">
        <v>196</v>
      </c>
      <c r="C180" s="293">
        <f>IFERROR(INDEX(Aktiv!$O$6:$O$350,MATCH(A180,Aktiv!$A$6:$A$350,0)),"")</f>
        <v>43</v>
      </c>
      <c r="D180" s="293">
        <f>IF(C180="","",ROUND(C180*Steuerungsdaten!$B$4*Steuerungsdaten!$B$7*IFERROR(VLOOKUP(IFERROR(INDEX(Aktiv!$C$6:$C$350,MATCH(A180,Aktiv!$A$6:$A$350,0)),""),Steuerungsdaten!$B$17:$C$37,2,FALSE),1)*POWER(IF(OR(IFERROR(INDEX(Aktiv!$E$6:$E$350,MATCH(A180,Aktiv!$A$6:$A$350,0)),0)=0,IFERROR(INDEX(Aktiv!$F$6:$F$350,MATCH(A180,Aktiv!$A$6:$A$350,0)),0)=0),1,(IFERROR(INDEX(Aktiv!$E$6:$E$350,MATCH(A180,Aktiv!$A$6:$A$350,0)),0)*IFERROR(INDEX(Aktiv!$F$6:$F$350,MATCH(A180,Aktiv!$A$6:$A$350,0)),0)/1000000)/Steuerungsdaten!$B$6),IF(ISNUMBER(MATCH(IFERROR(INDEX(Aktiv!$C$6:$C$350,MATCH(A180,Aktiv!$A$6:$A$350,0)),""),{"Boden","Seite außen","Seite außen SY32","Rücken","Seite innen","Seite innen SY32","Seite innen SY32 DB","Fachboden klein","Fachboden groß","Klappenboden"},0)),1.2,1)-1),0))</f>
        <v>34</v>
      </c>
      <c r="E180" s="293">
        <f>IFERROR(INDEX(Aktiv!$G$6:$G$350,MATCH(A180,Aktiv!$A$6:$A$350,0)),"")</f>
        <v>37</v>
      </c>
      <c r="F180" s="294">
        <f t="shared" si="16"/>
        <v>3</v>
      </c>
      <c r="G180" s="295">
        <f t="shared" si="17"/>
        <v>8.8235294117647065E-2</v>
      </c>
      <c r="H180" s="293">
        <f>IF(C180="","",ROUND(C180*Steuerungsdaten!$B$4*Steuerungsdaten!$B$8*IFERROR(VLOOKUP(IFERROR(INDEX(Aktiv!$C$6:$C$350,MATCH(A180,Aktiv!$A$6:$A$350,0)),""),Steuerungsdaten!$B$17:$E$37,4,FALSE),1)*POWER(IF(OR(IFERROR(INDEX(Aktiv!$E$6:$E$350,MATCH(A180,Aktiv!$A$6:$A$350,0)),0)=0,IFERROR(INDEX(Aktiv!$F$6:$F$350,MATCH(A180,Aktiv!$A$6:$A$350,0)),0)=0),1,(IFERROR(INDEX(Aktiv!$E$6:$E$350,MATCH(A180,Aktiv!$A$6:$A$350,0)),0)*IFERROR(INDEX(Aktiv!$F$6:$F$350,MATCH(A180,Aktiv!$A$6:$A$350,0)),0)/1000000)/Steuerungsdaten!$B$6),1-1),0))</f>
        <v>38</v>
      </c>
      <c r="I180" s="293">
        <f>IFERROR(INDEX(Aktiv!$H$6:$H$350,MATCH(A180,Aktiv!$A$6:$A$350,0)),"")</f>
        <v>126</v>
      </c>
      <c r="J180" s="294">
        <f t="shared" si="18"/>
        <v>88</v>
      </c>
      <c r="K180" s="296">
        <f t="shared" si="19"/>
        <v>2.3157894736842106</v>
      </c>
      <c r="L180" s="297">
        <f>IF(C180="","",ROUND(C180*Steuerungsdaten!$B$4*Steuerungsdaten!$B$9*IFERROR(VLOOKUP(IFERROR(INDEX(Aktiv!$C$6:$C$350,MATCH(A180,Aktiv!$A$6:$A$350,0)),""),Steuerungsdaten!$B$17:$G$37,6,FALSE),1)*POWER(IF(OR(IFERROR(INDEX(Aktiv!$E$6:$E$350,MATCH(A180,Aktiv!$A$6:$A$350,0)),0)=0,IFERROR(INDEX(Aktiv!$F$6:$F$350,MATCH(A180,Aktiv!$A$6:$A$350,0)),0)=0),1,(IFERROR(INDEX(Aktiv!$E$6:$E$350,MATCH(A180,Aktiv!$A$6:$A$350,0)),0)*IFERROR(INDEX(Aktiv!$F$6:$F$350,MATCH(A180,Aktiv!$A$6:$A$350,0)),0)/1000000)/Steuerungsdaten!$B$6),1-1),0))</f>
        <v>38</v>
      </c>
      <c r="M180" s="297">
        <f>IFERROR(INDEX(Aktiv!$I$6:$I$350,MATCH(A180,Aktiv!$A$6:$A$350,0)),"")</f>
        <v>131</v>
      </c>
      <c r="N180" s="298">
        <f t="shared" si="20"/>
        <v>93</v>
      </c>
      <c r="O180" s="296">
        <f t="shared" si="21"/>
        <v>2.4473684210526314</v>
      </c>
      <c r="P180" s="297">
        <f>IF(C180="","",ROUND(C180*Steuerungsdaten!$B$4*Steuerungsdaten!$B$10*IFERROR(VLOOKUP(IFERROR(INDEX(Aktiv!$C$6:$C$350,MATCH(A180,Aktiv!$A$6:$A$350,0)),""),Steuerungsdaten!$B$17:$I$37,8,FALSE),1)*POWER(IF(OR(IFERROR(INDEX(Aktiv!$E$6:$E$350,MATCH(A180,Aktiv!$A$6:$A$350,0)),0)=0,IFERROR(INDEX(Aktiv!$F$6:$F$350,MATCH(A180,Aktiv!$A$6:$A$350,0)),0)=0),1,(IFERROR(INDEX(Aktiv!$E$6:$E$350,MATCH(A180,Aktiv!$A$6:$A$350,0)),0)*IFERROR(INDEX(Aktiv!$F$6:$F$350,MATCH(A180,Aktiv!$A$6:$A$350,0)),0)/1000000)/Steuerungsdaten!$B$6),1-1),0))</f>
        <v>41</v>
      </c>
      <c r="Q180" s="297">
        <f>IFERROR(INDEX(Aktiv!$J$6:$J$350,MATCH(A180,Aktiv!$A$6:$A$350,0)),"")</f>
        <v>146</v>
      </c>
      <c r="R180" s="298">
        <f t="shared" si="22"/>
        <v>105</v>
      </c>
      <c r="S180" s="296">
        <f t="shared" si="23"/>
        <v>2.5609756097560976</v>
      </c>
    </row>
    <row r="181" spans="1:19" x14ac:dyDescent="0.25">
      <c r="A181" s="292">
        <v>3803</v>
      </c>
      <c r="B181" s="292" t="s">
        <v>197</v>
      </c>
      <c r="C181" s="293">
        <f>IFERROR(INDEX(Aktiv!$O$6:$O$350,MATCH(A181,Aktiv!$A$6:$A$350,0)),"")</f>
        <v>56</v>
      </c>
      <c r="D181" s="293">
        <f>IF(C181="","",ROUND(C181*Steuerungsdaten!$B$4*Steuerungsdaten!$B$7*IFERROR(VLOOKUP(IFERROR(INDEX(Aktiv!$C$6:$C$350,MATCH(A181,Aktiv!$A$6:$A$350,0)),""),Steuerungsdaten!$B$17:$C$37,2,FALSE),1)*POWER(IF(OR(IFERROR(INDEX(Aktiv!$E$6:$E$350,MATCH(A181,Aktiv!$A$6:$A$350,0)),0)=0,IFERROR(INDEX(Aktiv!$F$6:$F$350,MATCH(A181,Aktiv!$A$6:$A$350,0)),0)=0),1,(IFERROR(INDEX(Aktiv!$E$6:$E$350,MATCH(A181,Aktiv!$A$6:$A$350,0)),0)*IFERROR(INDEX(Aktiv!$F$6:$F$350,MATCH(A181,Aktiv!$A$6:$A$350,0)),0)/1000000)/Steuerungsdaten!$B$6),IF(ISNUMBER(MATCH(IFERROR(INDEX(Aktiv!$C$6:$C$350,MATCH(A181,Aktiv!$A$6:$A$350,0)),""),{"Boden","Seite außen","Seite außen SY32","Rücken","Seite innen","Seite innen SY32","Seite innen SY32 DB","Fachboden klein","Fachboden groß","Klappenboden"},0)),1.2,1)-1),0))</f>
        <v>47</v>
      </c>
      <c r="E181" s="293">
        <f>IFERROR(INDEX(Aktiv!$G$6:$G$350,MATCH(A181,Aktiv!$A$6:$A$350,0)),"")</f>
        <v>49</v>
      </c>
      <c r="F181" s="294">
        <f t="shared" si="16"/>
        <v>2</v>
      </c>
      <c r="G181" s="295">
        <f t="shared" si="17"/>
        <v>4.2553191489361701E-2</v>
      </c>
      <c r="H181" s="293">
        <f>IF(C181="","",ROUND(C181*Steuerungsdaten!$B$4*Steuerungsdaten!$B$8*IFERROR(VLOOKUP(IFERROR(INDEX(Aktiv!$C$6:$C$350,MATCH(A181,Aktiv!$A$6:$A$350,0)),""),Steuerungsdaten!$B$17:$E$37,4,FALSE),1)*POWER(IF(OR(IFERROR(INDEX(Aktiv!$E$6:$E$350,MATCH(A181,Aktiv!$A$6:$A$350,0)),0)=0,IFERROR(INDEX(Aktiv!$F$6:$F$350,MATCH(A181,Aktiv!$A$6:$A$350,0)),0)=0),1,(IFERROR(INDEX(Aktiv!$E$6:$E$350,MATCH(A181,Aktiv!$A$6:$A$350,0)),0)*IFERROR(INDEX(Aktiv!$F$6:$F$350,MATCH(A181,Aktiv!$A$6:$A$350,0)),0)/1000000)/Steuerungsdaten!$B$6),1-1),0))</f>
        <v>49</v>
      </c>
      <c r="I181" s="293">
        <f>IFERROR(INDEX(Aktiv!$H$6:$H$350,MATCH(A181,Aktiv!$A$6:$A$350,0)),"")</f>
        <v>169</v>
      </c>
      <c r="J181" s="294">
        <f t="shared" si="18"/>
        <v>120</v>
      </c>
      <c r="K181" s="296">
        <f t="shared" si="19"/>
        <v>2.4489795918367347</v>
      </c>
      <c r="L181" s="297">
        <f>IF(C181="","",ROUND(C181*Steuerungsdaten!$B$4*Steuerungsdaten!$B$9*IFERROR(VLOOKUP(IFERROR(INDEX(Aktiv!$C$6:$C$350,MATCH(A181,Aktiv!$A$6:$A$350,0)),""),Steuerungsdaten!$B$17:$G$37,6,FALSE),1)*POWER(IF(OR(IFERROR(INDEX(Aktiv!$E$6:$E$350,MATCH(A181,Aktiv!$A$6:$A$350,0)),0)=0,IFERROR(INDEX(Aktiv!$F$6:$F$350,MATCH(A181,Aktiv!$A$6:$A$350,0)),0)=0),1,(IFERROR(INDEX(Aktiv!$E$6:$E$350,MATCH(A181,Aktiv!$A$6:$A$350,0)),0)*IFERROR(INDEX(Aktiv!$F$6:$F$350,MATCH(A181,Aktiv!$A$6:$A$350,0)),0)/1000000)/Steuerungsdaten!$B$6),1-1),0))</f>
        <v>49</v>
      </c>
      <c r="M181" s="297">
        <f>IFERROR(INDEX(Aktiv!$I$6:$I$350,MATCH(A181,Aktiv!$A$6:$A$350,0)),"")</f>
        <v>177</v>
      </c>
      <c r="N181" s="298">
        <f t="shared" si="20"/>
        <v>128</v>
      </c>
      <c r="O181" s="296">
        <f t="shared" si="21"/>
        <v>2.6122448979591835</v>
      </c>
      <c r="P181" s="297">
        <f>IF(C181="","",ROUND(C181*Steuerungsdaten!$B$4*Steuerungsdaten!$B$10*IFERROR(VLOOKUP(IFERROR(INDEX(Aktiv!$C$6:$C$350,MATCH(A181,Aktiv!$A$6:$A$350,0)),""),Steuerungsdaten!$B$17:$I$37,8,FALSE),1)*POWER(IF(OR(IFERROR(INDEX(Aktiv!$E$6:$E$350,MATCH(A181,Aktiv!$A$6:$A$350,0)),0)=0,IFERROR(INDEX(Aktiv!$F$6:$F$350,MATCH(A181,Aktiv!$A$6:$A$350,0)),0)=0),1,(IFERROR(INDEX(Aktiv!$E$6:$E$350,MATCH(A181,Aktiv!$A$6:$A$350,0)),0)*IFERROR(INDEX(Aktiv!$F$6:$F$350,MATCH(A181,Aktiv!$A$6:$A$350,0)),0)/1000000)/Steuerungsdaten!$B$6),1-1),0))</f>
        <v>54</v>
      </c>
      <c r="Q181" s="297">
        <f>IFERROR(INDEX(Aktiv!$J$6:$J$350,MATCH(A181,Aktiv!$A$6:$A$350,0)),"")</f>
        <v>196</v>
      </c>
      <c r="R181" s="298">
        <f t="shared" si="22"/>
        <v>142</v>
      </c>
      <c r="S181" s="296">
        <f t="shared" si="23"/>
        <v>2.6296296296296298</v>
      </c>
    </row>
    <row r="182" spans="1:19" x14ac:dyDescent="0.25">
      <c r="A182" s="292">
        <v>3804</v>
      </c>
      <c r="B182" s="292" t="s">
        <v>198</v>
      </c>
      <c r="C182" s="293">
        <f>IFERROR(INDEX(Aktiv!$O$6:$O$350,MATCH(A182,Aktiv!$A$6:$A$350,0)),"")</f>
        <v>70</v>
      </c>
      <c r="D182" s="293">
        <f>IF(C182="","",ROUND(C182*Steuerungsdaten!$B$4*Steuerungsdaten!$B$7*IFERROR(VLOOKUP(IFERROR(INDEX(Aktiv!$C$6:$C$350,MATCH(A182,Aktiv!$A$6:$A$350,0)),""),Steuerungsdaten!$B$17:$C$37,2,FALSE),1)*POWER(IF(OR(IFERROR(INDEX(Aktiv!$E$6:$E$350,MATCH(A182,Aktiv!$A$6:$A$350,0)),0)=0,IFERROR(INDEX(Aktiv!$F$6:$F$350,MATCH(A182,Aktiv!$A$6:$A$350,0)),0)=0),1,(IFERROR(INDEX(Aktiv!$E$6:$E$350,MATCH(A182,Aktiv!$A$6:$A$350,0)),0)*IFERROR(INDEX(Aktiv!$F$6:$F$350,MATCH(A182,Aktiv!$A$6:$A$350,0)),0)/1000000)/Steuerungsdaten!$B$6),IF(ISNUMBER(MATCH(IFERROR(INDEX(Aktiv!$C$6:$C$350,MATCH(A182,Aktiv!$A$6:$A$350,0)),""),{"Boden","Seite außen","Seite außen SY32","Rücken","Seite innen","Seite innen SY32","Seite innen SY32 DB","Fachboden klein","Fachboden groß","Klappenboden"},0)),1.2,1)-1),0))</f>
        <v>62</v>
      </c>
      <c r="E182" s="293">
        <f>IFERROR(INDEX(Aktiv!$G$6:$G$350,MATCH(A182,Aktiv!$A$6:$A$350,0)),"")</f>
        <v>62</v>
      </c>
      <c r="F182" s="294">
        <f t="shared" si="16"/>
        <v>0</v>
      </c>
      <c r="G182" s="295">
        <f t="shared" si="17"/>
        <v>0</v>
      </c>
      <c r="H182" s="293">
        <f>IF(C182="","",ROUND(C182*Steuerungsdaten!$B$4*Steuerungsdaten!$B$8*IFERROR(VLOOKUP(IFERROR(INDEX(Aktiv!$C$6:$C$350,MATCH(A182,Aktiv!$A$6:$A$350,0)),""),Steuerungsdaten!$B$17:$E$37,4,FALSE),1)*POWER(IF(OR(IFERROR(INDEX(Aktiv!$E$6:$E$350,MATCH(A182,Aktiv!$A$6:$A$350,0)),0)=0,IFERROR(INDEX(Aktiv!$F$6:$F$350,MATCH(A182,Aktiv!$A$6:$A$350,0)),0)=0),1,(IFERROR(INDEX(Aktiv!$E$6:$E$350,MATCH(A182,Aktiv!$A$6:$A$350,0)),0)*IFERROR(INDEX(Aktiv!$F$6:$F$350,MATCH(A182,Aktiv!$A$6:$A$350,0)),0)/1000000)/Steuerungsdaten!$B$6),1-1),0))</f>
        <v>62</v>
      </c>
      <c r="I182" s="293">
        <f>IFERROR(INDEX(Aktiv!$H$6:$H$350,MATCH(A182,Aktiv!$A$6:$A$350,0)),"")</f>
        <v>213</v>
      </c>
      <c r="J182" s="294">
        <f t="shared" si="18"/>
        <v>151</v>
      </c>
      <c r="K182" s="296">
        <f t="shared" si="19"/>
        <v>2.435483870967742</v>
      </c>
      <c r="L182" s="297">
        <f>IF(C182="","",ROUND(C182*Steuerungsdaten!$B$4*Steuerungsdaten!$B$9*IFERROR(VLOOKUP(IFERROR(INDEX(Aktiv!$C$6:$C$350,MATCH(A182,Aktiv!$A$6:$A$350,0)),""),Steuerungsdaten!$B$17:$G$37,6,FALSE),1)*POWER(IF(OR(IFERROR(INDEX(Aktiv!$E$6:$E$350,MATCH(A182,Aktiv!$A$6:$A$350,0)),0)=0,IFERROR(INDEX(Aktiv!$F$6:$F$350,MATCH(A182,Aktiv!$A$6:$A$350,0)),0)=0),1,(IFERROR(INDEX(Aktiv!$E$6:$E$350,MATCH(A182,Aktiv!$A$6:$A$350,0)),0)*IFERROR(INDEX(Aktiv!$F$6:$F$350,MATCH(A182,Aktiv!$A$6:$A$350,0)),0)/1000000)/Steuerungsdaten!$B$6),1-1),0))</f>
        <v>62</v>
      </c>
      <c r="M182" s="297">
        <f>IFERROR(INDEX(Aktiv!$I$6:$I$350,MATCH(A182,Aktiv!$A$6:$A$350,0)),"")</f>
        <v>222</v>
      </c>
      <c r="N182" s="298">
        <f t="shared" si="20"/>
        <v>160</v>
      </c>
      <c r="O182" s="296">
        <f t="shared" si="21"/>
        <v>2.5806451612903225</v>
      </c>
      <c r="P182" s="297">
        <f>IF(C182="","",ROUND(C182*Steuerungsdaten!$B$4*Steuerungsdaten!$B$10*IFERROR(VLOOKUP(IFERROR(INDEX(Aktiv!$C$6:$C$350,MATCH(A182,Aktiv!$A$6:$A$350,0)),""),Steuerungsdaten!$B$17:$I$37,8,FALSE),1)*POWER(IF(OR(IFERROR(INDEX(Aktiv!$E$6:$E$350,MATCH(A182,Aktiv!$A$6:$A$350,0)),0)=0,IFERROR(INDEX(Aktiv!$F$6:$F$350,MATCH(A182,Aktiv!$A$6:$A$350,0)),0)=0),1,(IFERROR(INDEX(Aktiv!$E$6:$E$350,MATCH(A182,Aktiv!$A$6:$A$350,0)),0)*IFERROR(INDEX(Aktiv!$F$6:$F$350,MATCH(A182,Aktiv!$A$6:$A$350,0)),0)/1000000)/Steuerungsdaten!$B$6),1-1),0))</f>
        <v>67</v>
      </c>
      <c r="Q182" s="297">
        <f>IFERROR(INDEX(Aktiv!$J$6:$J$350,MATCH(A182,Aktiv!$A$6:$A$350,0)),"")</f>
        <v>247</v>
      </c>
      <c r="R182" s="298">
        <f t="shared" si="22"/>
        <v>180</v>
      </c>
      <c r="S182" s="296">
        <f t="shared" si="23"/>
        <v>2.6865671641791047</v>
      </c>
    </row>
    <row r="183" spans="1:19" x14ac:dyDescent="0.25">
      <c r="A183" s="292">
        <v>3805</v>
      </c>
      <c r="B183" s="292" t="s">
        <v>199</v>
      </c>
      <c r="C183" s="293">
        <f>IFERROR(INDEX(Aktiv!$O$6:$O$350,MATCH(A183,Aktiv!$A$6:$A$350,0)),"")</f>
        <v>43</v>
      </c>
      <c r="D183" s="293">
        <f>IF(C183="","",ROUND(C183*Steuerungsdaten!$B$4*Steuerungsdaten!$B$7*IFERROR(VLOOKUP(IFERROR(INDEX(Aktiv!$C$6:$C$350,MATCH(A183,Aktiv!$A$6:$A$350,0)),""),Steuerungsdaten!$B$17:$C$37,2,FALSE),1)*POWER(IF(OR(IFERROR(INDEX(Aktiv!$E$6:$E$350,MATCH(A183,Aktiv!$A$6:$A$350,0)),0)=0,IFERROR(INDEX(Aktiv!$F$6:$F$350,MATCH(A183,Aktiv!$A$6:$A$350,0)),0)=0),1,(IFERROR(INDEX(Aktiv!$E$6:$E$350,MATCH(A183,Aktiv!$A$6:$A$350,0)),0)*IFERROR(INDEX(Aktiv!$F$6:$F$350,MATCH(A183,Aktiv!$A$6:$A$350,0)),0)/1000000)/Steuerungsdaten!$B$6),IF(ISNUMBER(MATCH(IFERROR(INDEX(Aktiv!$C$6:$C$350,MATCH(A183,Aktiv!$A$6:$A$350,0)),""),{"Boden","Seite außen","Seite außen SY32","Rücken","Seite innen","Seite innen SY32","Seite innen SY32 DB","Fachboden klein","Fachboden groß","Klappenboden"},0)),1.2,1)-1),0))</f>
        <v>34</v>
      </c>
      <c r="E183" s="293">
        <f>IFERROR(INDEX(Aktiv!$G$6:$G$350,MATCH(A183,Aktiv!$A$6:$A$350,0)),"")</f>
        <v>37</v>
      </c>
      <c r="F183" s="294">
        <f t="shared" si="16"/>
        <v>3</v>
      </c>
      <c r="G183" s="295">
        <f t="shared" si="17"/>
        <v>8.8235294117647065E-2</v>
      </c>
      <c r="H183" s="293">
        <f>IF(C183="","",ROUND(C183*Steuerungsdaten!$B$4*Steuerungsdaten!$B$8*IFERROR(VLOOKUP(IFERROR(INDEX(Aktiv!$C$6:$C$350,MATCH(A183,Aktiv!$A$6:$A$350,0)),""),Steuerungsdaten!$B$17:$E$37,4,FALSE),1)*POWER(IF(OR(IFERROR(INDEX(Aktiv!$E$6:$E$350,MATCH(A183,Aktiv!$A$6:$A$350,0)),0)=0,IFERROR(INDEX(Aktiv!$F$6:$F$350,MATCH(A183,Aktiv!$A$6:$A$350,0)),0)=0),1,(IFERROR(INDEX(Aktiv!$E$6:$E$350,MATCH(A183,Aktiv!$A$6:$A$350,0)),0)*IFERROR(INDEX(Aktiv!$F$6:$F$350,MATCH(A183,Aktiv!$A$6:$A$350,0)),0)/1000000)/Steuerungsdaten!$B$6),1-1),0))</f>
        <v>38</v>
      </c>
      <c r="I183" s="293">
        <f>IFERROR(INDEX(Aktiv!$H$6:$H$350,MATCH(A183,Aktiv!$A$6:$A$350,0)),"")</f>
        <v>126</v>
      </c>
      <c r="J183" s="294">
        <f t="shared" si="18"/>
        <v>88</v>
      </c>
      <c r="K183" s="296">
        <f t="shared" si="19"/>
        <v>2.3157894736842106</v>
      </c>
      <c r="L183" s="297">
        <f>IF(C183="","",ROUND(C183*Steuerungsdaten!$B$4*Steuerungsdaten!$B$9*IFERROR(VLOOKUP(IFERROR(INDEX(Aktiv!$C$6:$C$350,MATCH(A183,Aktiv!$A$6:$A$350,0)),""),Steuerungsdaten!$B$17:$G$37,6,FALSE),1)*POWER(IF(OR(IFERROR(INDEX(Aktiv!$E$6:$E$350,MATCH(A183,Aktiv!$A$6:$A$350,0)),0)=0,IFERROR(INDEX(Aktiv!$F$6:$F$350,MATCH(A183,Aktiv!$A$6:$A$350,0)),0)=0),1,(IFERROR(INDEX(Aktiv!$E$6:$E$350,MATCH(A183,Aktiv!$A$6:$A$350,0)),0)*IFERROR(INDEX(Aktiv!$F$6:$F$350,MATCH(A183,Aktiv!$A$6:$A$350,0)),0)/1000000)/Steuerungsdaten!$B$6),1-1),0))</f>
        <v>38</v>
      </c>
      <c r="M183" s="297">
        <f>IFERROR(INDEX(Aktiv!$I$6:$I$350,MATCH(A183,Aktiv!$A$6:$A$350,0)),"")</f>
        <v>131</v>
      </c>
      <c r="N183" s="298">
        <f t="shared" si="20"/>
        <v>93</v>
      </c>
      <c r="O183" s="296">
        <f t="shared" si="21"/>
        <v>2.4473684210526314</v>
      </c>
      <c r="P183" s="297">
        <f>IF(C183="","",ROUND(C183*Steuerungsdaten!$B$4*Steuerungsdaten!$B$10*IFERROR(VLOOKUP(IFERROR(INDEX(Aktiv!$C$6:$C$350,MATCH(A183,Aktiv!$A$6:$A$350,0)),""),Steuerungsdaten!$B$17:$I$37,8,FALSE),1)*POWER(IF(OR(IFERROR(INDEX(Aktiv!$E$6:$E$350,MATCH(A183,Aktiv!$A$6:$A$350,0)),0)=0,IFERROR(INDEX(Aktiv!$F$6:$F$350,MATCH(A183,Aktiv!$A$6:$A$350,0)),0)=0),1,(IFERROR(INDEX(Aktiv!$E$6:$E$350,MATCH(A183,Aktiv!$A$6:$A$350,0)),0)*IFERROR(INDEX(Aktiv!$F$6:$F$350,MATCH(A183,Aktiv!$A$6:$A$350,0)),0)/1000000)/Steuerungsdaten!$B$6),1-1),0))</f>
        <v>41</v>
      </c>
      <c r="Q183" s="297">
        <f>IFERROR(INDEX(Aktiv!$J$6:$J$350,MATCH(A183,Aktiv!$A$6:$A$350,0)),"")</f>
        <v>146</v>
      </c>
      <c r="R183" s="298">
        <f t="shared" si="22"/>
        <v>105</v>
      </c>
      <c r="S183" s="296">
        <f t="shared" si="23"/>
        <v>2.5609756097560976</v>
      </c>
    </row>
    <row r="184" spans="1:19" x14ac:dyDescent="0.25">
      <c r="A184" s="292">
        <v>3806</v>
      </c>
      <c r="B184" s="292" t="s">
        <v>200</v>
      </c>
      <c r="C184" s="293">
        <f>IFERROR(INDEX(Aktiv!$O$6:$O$350,MATCH(A184,Aktiv!$A$6:$A$350,0)),"")</f>
        <v>49</v>
      </c>
      <c r="D184" s="293">
        <f>IF(C184="","",ROUND(C184*Steuerungsdaten!$B$4*Steuerungsdaten!$B$7*IFERROR(VLOOKUP(IFERROR(INDEX(Aktiv!$C$6:$C$350,MATCH(A184,Aktiv!$A$6:$A$350,0)),""),Steuerungsdaten!$B$17:$C$37,2,FALSE),1)*POWER(IF(OR(IFERROR(INDEX(Aktiv!$E$6:$E$350,MATCH(A184,Aktiv!$A$6:$A$350,0)),0)=0,IFERROR(INDEX(Aktiv!$F$6:$F$350,MATCH(A184,Aktiv!$A$6:$A$350,0)),0)=0),1,(IFERROR(INDEX(Aktiv!$E$6:$E$350,MATCH(A184,Aktiv!$A$6:$A$350,0)),0)*IFERROR(INDEX(Aktiv!$F$6:$F$350,MATCH(A184,Aktiv!$A$6:$A$350,0)),0)/1000000)/Steuerungsdaten!$B$6),IF(ISNUMBER(MATCH(IFERROR(INDEX(Aktiv!$C$6:$C$350,MATCH(A184,Aktiv!$A$6:$A$350,0)),""),{"Boden","Seite außen","Seite außen SY32","Rücken","Seite innen","Seite innen SY32","Seite innen SY32 DB","Fachboden klein","Fachboden groß","Klappenboden"},0)),1.2,1)-1),0))</f>
        <v>40</v>
      </c>
      <c r="E184" s="293">
        <f>IFERROR(INDEX(Aktiv!$G$6:$G$350,MATCH(A184,Aktiv!$A$6:$A$350,0)),"")</f>
        <v>43</v>
      </c>
      <c r="F184" s="294">
        <f t="shared" si="16"/>
        <v>3</v>
      </c>
      <c r="G184" s="295">
        <f t="shared" si="17"/>
        <v>7.4999999999999997E-2</v>
      </c>
      <c r="H184" s="293">
        <f>IF(C184="","",ROUND(C184*Steuerungsdaten!$B$4*Steuerungsdaten!$B$8*IFERROR(VLOOKUP(IFERROR(INDEX(Aktiv!$C$6:$C$350,MATCH(A184,Aktiv!$A$6:$A$350,0)),""),Steuerungsdaten!$B$17:$E$37,4,FALSE),1)*POWER(IF(OR(IFERROR(INDEX(Aktiv!$E$6:$E$350,MATCH(A184,Aktiv!$A$6:$A$350,0)),0)=0,IFERROR(INDEX(Aktiv!$F$6:$F$350,MATCH(A184,Aktiv!$A$6:$A$350,0)),0)=0),1,(IFERROR(INDEX(Aktiv!$E$6:$E$350,MATCH(A184,Aktiv!$A$6:$A$350,0)),0)*IFERROR(INDEX(Aktiv!$F$6:$F$350,MATCH(A184,Aktiv!$A$6:$A$350,0)),0)/1000000)/Steuerungsdaten!$B$6),1-1),0))</f>
        <v>43</v>
      </c>
      <c r="I184" s="293">
        <f>IFERROR(INDEX(Aktiv!$H$6:$H$350,MATCH(A184,Aktiv!$A$6:$A$350,0)),"")</f>
        <v>147</v>
      </c>
      <c r="J184" s="294">
        <f t="shared" si="18"/>
        <v>104</v>
      </c>
      <c r="K184" s="296">
        <f t="shared" si="19"/>
        <v>2.4186046511627906</v>
      </c>
      <c r="L184" s="297">
        <f>IF(C184="","",ROUND(C184*Steuerungsdaten!$B$4*Steuerungsdaten!$B$9*IFERROR(VLOOKUP(IFERROR(INDEX(Aktiv!$C$6:$C$350,MATCH(A184,Aktiv!$A$6:$A$350,0)),""),Steuerungsdaten!$B$17:$G$37,6,FALSE),1)*POWER(IF(OR(IFERROR(INDEX(Aktiv!$E$6:$E$350,MATCH(A184,Aktiv!$A$6:$A$350,0)),0)=0,IFERROR(INDEX(Aktiv!$F$6:$F$350,MATCH(A184,Aktiv!$A$6:$A$350,0)),0)=0),1,(IFERROR(INDEX(Aktiv!$E$6:$E$350,MATCH(A184,Aktiv!$A$6:$A$350,0)),0)*IFERROR(INDEX(Aktiv!$F$6:$F$350,MATCH(A184,Aktiv!$A$6:$A$350,0)),0)/1000000)/Steuerungsdaten!$B$6),1-1),0))</f>
        <v>43</v>
      </c>
      <c r="M184" s="297">
        <f>IFERROR(INDEX(Aktiv!$I$6:$I$350,MATCH(A184,Aktiv!$A$6:$A$350,0)),"")</f>
        <v>153</v>
      </c>
      <c r="N184" s="298">
        <f t="shared" si="20"/>
        <v>110</v>
      </c>
      <c r="O184" s="296">
        <f t="shared" si="21"/>
        <v>2.558139534883721</v>
      </c>
      <c r="P184" s="297">
        <f>IF(C184="","",ROUND(C184*Steuerungsdaten!$B$4*Steuerungsdaten!$B$10*IFERROR(VLOOKUP(IFERROR(INDEX(Aktiv!$C$6:$C$350,MATCH(A184,Aktiv!$A$6:$A$350,0)),""),Steuerungsdaten!$B$17:$I$37,8,FALSE),1)*POWER(IF(OR(IFERROR(INDEX(Aktiv!$E$6:$E$350,MATCH(A184,Aktiv!$A$6:$A$350,0)),0)=0,IFERROR(INDEX(Aktiv!$F$6:$F$350,MATCH(A184,Aktiv!$A$6:$A$350,0)),0)=0),1,(IFERROR(INDEX(Aktiv!$E$6:$E$350,MATCH(A184,Aktiv!$A$6:$A$350,0)),0)*IFERROR(INDEX(Aktiv!$F$6:$F$350,MATCH(A184,Aktiv!$A$6:$A$350,0)),0)/1000000)/Steuerungsdaten!$B$6),1-1),0))</f>
        <v>47</v>
      </c>
      <c r="Q184" s="297">
        <f>IFERROR(INDEX(Aktiv!$J$6:$J$350,MATCH(A184,Aktiv!$A$6:$A$350,0)),"")</f>
        <v>170</v>
      </c>
      <c r="R184" s="298">
        <f t="shared" si="22"/>
        <v>123</v>
      </c>
      <c r="S184" s="296">
        <f t="shared" si="23"/>
        <v>2.6170212765957448</v>
      </c>
    </row>
    <row r="185" spans="1:19" x14ac:dyDescent="0.25">
      <c r="A185" s="292">
        <v>3807</v>
      </c>
      <c r="B185" s="292" t="s">
        <v>201</v>
      </c>
      <c r="C185" s="293">
        <f>IFERROR(INDEX(Aktiv!$O$6:$O$350,MATCH(A185,Aktiv!$A$6:$A$350,0)),"")</f>
        <v>67</v>
      </c>
      <c r="D185" s="293">
        <f>IF(C185="","",ROUND(C185*Steuerungsdaten!$B$4*Steuerungsdaten!$B$7*IFERROR(VLOOKUP(IFERROR(INDEX(Aktiv!$C$6:$C$350,MATCH(A185,Aktiv!$A$6:$A$350,0)),""),Steuerungsdaten!$B$17:$C$37,2,FALSE),1)*POWER(IF(OR(IFERROR(INDEX(Aktiv!$E$6:$E$350,MATCH(A185,Aktiv!$A$6:$A$350,0)),0)=0,IFERROR(INDEX(Aktiv!$F$6:$F$350,MATCH(A185,Aktiv!$A$6:$A$350,0)),0)=0),1,(IFERROR(INDEX(Aktiv!$E$6:$E$350,MATCH(A185,Aktiv!$A$6:$A$350,0)),0)*IFERROR(INDEX(Aktiv!$F$6:$F$350,MATCH(A185,Aktiv!$A$6:$A$350,0)),0)/1000000)/Steuerungsdaten!$B$6),IF(ISNUMBER(MATCH(IFERROR(INDEX(Aktiv!$C$6:$C$350,MATCH(A185,Aktiv!$A$6:$A$350,0)),""),{"Boden","Seite außen","Seite außen SY32","Rücken","Seite innen","Seite innen SY32","Seite innen SY32 DB","Fachboden klein","Fachboden groß","Klappenboden"},0)),1.2,1)-1),0))</f>
        <v>58</v>
      </c>
      <c r="E185" s="293">
        <f>IFERROR(INDEX(Aktiv!$G$6:$G$350,MATCH(A185,Aktiv!$A$6:$A$350,0)),"")</f>
        <v>59</v>
      </c>
      <c r="F185" s="294">
        <f t="shared" si="16"/>
        <v>1</v>
      </c>
      <c r="G185" s="295">
        <f t="shared" si="17"/>
        <v>1.7241379310344827E-2</v>
      </c>
      <c r="H185" s="293">
        <f>IF(C185="","",ROUND(C185*Steuerungsdaten!$B$4*Steuerungsdaten!$B$8*IFERROR(VLOOKUP(IFERROR(INDEX(Aktiv!$C$6:$C$350,MATCH(A185,Aktiv!$A$6:$A$350,0)),""),Steuerungsdaten!$B$17:$E$37,4,FALSE),1)*POWER(IF(OR(IFERROR(INDEX(Aktiv!$E$6:$E$350,MATCH(A185,Aktiv!$A$6:$A$350,0)),0)=0,IFERROR(INDEX(Aktiv!$F$6:$F$350,MATCH(A185,Aktiv!$A$6:$A$350,0)),0)=0),1,(IFERROR(INDEX(Aktiv!$E$6:$E$350,MATCH(A185,Aktiv!$A$6:$A$350,0)),0)*IFERROR(INDEX(Aktiv!$F$6:$F$350,MATCH(A185,Aktiv!$A$6:$A$350,0)),0)/1000000)/Steuerungsdaten!$B$6),1-1),0))</f>
        <v>59</v>
      </c>
      <c r="I185" s="293">
        <f>IFERROR(INDEX(Aktiv!$H$6:$H$350,MATCH(A185,Aktiv!$A$6:$A$350,0)),"")</f>
        <v>203</v>
      </c>
      <c r="J185" s="294">
        <f t="shared" si="18"/>
        <v>144</v>
      </c>
      <c r="K185" s="296">
        <f t="shared" si="19"/>
        <v>2.4406779661016951</v>
      </c>
      <c r="L185" s="297">
        <f>IF(C185="","",ROUND(C185*Steuerungsdaten!$B$4*Steuerungsdaten!$B$9*IFERROR(VLOOKUP(IFERROR(INDEX(Aktiv!$C$6:$C$350,MATCH(A185,Aktiv!$A$6:$A$350,0)),""),Steuerungsdaten!$B$17:$G$37,6,FALSE),1)*POWER(IF(OR(IFERROR(INDEX(Aktiv!$E$6:$E$350,MATCH(A185,Aktiv!$A$6:$A$350,0)),0)=0,IFERROR(INDEX(Aktiv!$F$6:$F$350,MATCH(A185,Aktiv!$A$6:$A$350,0)),0)=0),1,(IFERROR(INDEX(Aktiv!$E$6:$E$350,MATCH(A185,Aktiv!$A$6:$A$350,0)),0)*IFERROR(INDEX(Aktiv!$F$6:$F$350,MATCH(A185,Aktiv!$A$6:$A$350,0)),0)/1000000)/Steuerungsdaten!$B$6),1-1),0))</f>
        <v>59</v>
      </c>
      <c r="M185" s="297">
        <f>IFERROR(INDEX(Aktiv!$I$6:$I$350,MATCH(A185,Aktiv!$A$6:$A$350,0)),"")</f>
        <v>211</v>
      </c>
      <c r="N185" s="298">
        <f t="shared" si="20"/>
        <v>152</v>
      </c>
      <c r="O185" s="296">
        <f t="shared" si="21"/>
        <v>2.5762711864406778</v>
      </c>
      <c r="P185" s="297">
        <f>IF(C185="","",ROUND(C185*Steuerungsdaten!$B$4*Steuerungsdaten!$B$10*IFERROR(VLOOKUP(IFERROR(INDEX(Aktiv!$C$6:$C$350,MATCH(A185,Aktiv!$A$6:$A$350,0)),""),Steuerungsdaten!$B$17:$I$37,8,FALSE),1)*POWER(IF(OR(IFERROR(INDEX(Aktiv!$E$6:$E$350,MATCH(A185,Aktiv!$A$6:$A$350,0)),0)=0,IFERROR(INDEX(Aktiv!$F$6:$F$350,MATCH(A185,Aktiv!$A$6:$A$350,0)),0)=0),1,(IFERROR(INDEX(Aktiv!$E$6:$E$350,MATCH(A185,Aktiv!$A$6:$A$350,0)),0)*IFERROR(INDEX(Aktiv!$F$6:$F$350,MATCH(A185,Aktiv!$A$6:$A$350,0)),0)/1000000)/Steuerungsdaten!$B$6),1-1),0))</f>
        <v>64</v>
      </c>
      <c r="Q185" s="297">
        <f>IFERROR(INDEX(Aktiv!$J$6:$J$350,MATCH(A185,Aktiv!$A$6:$A$350,0)),"")</f>
        <v>235</v>
      </c>
      <c r="R185" s="298">
        <f t="shared" si="22"/>
        <v>171</v>
      </c>
      <c r="S185" s="296">
        <f t="shared" si="23"/>
        <v>2.671875</v>
      </c>
    </row>
    <row r="186" spans="1:19" x14ac:dyDescent="0.25">
      <c r="A186" s="292">
        <v>3808</v>
      </c>
      <c r="B186" s="292" t="s">
        <v>202</v>
      </c>
      <c r="C186" s="293">
        <f>IFERROR(INDEX(Aktiv!$O$6:$O$350,MATCH(A186,Aktiv!$A$6:$A$350,0)),"")</f>
        <v>87</v>
      </c>
      <c r="D186" s="293">
        <f>IF(C186="","",ROUND(C186*Steuerungsdaten!$B$4*Steuerungsdaten!$B$7*IFERROR(VLOOKUP(IFERROR(INDEX(Aktiv!$C$6:$C$350,MATCH(A186,Aktiv!$A$6:$A$350,0)),""),Steuerungsdaten!$B$17:$C$37,2,FALSE),1)*POWER(IF(OR(IFERROR(INDEX(Aktiv!$E$6:$E$350,MATCH(A186,Aktiv!$A$6:$A$350,0)),0)=0,IFERROR(INDEX(Aktiv!$F$6:$F$350,MATCH(A186,Aktiv!$A$6:$A$350,0)),0)=0),1,(IFERROR(INDEX(Aktiv!$E$6:$E$350,MATCH(A186,Aktiv!$A$6:$A$350,0)),0)*IFERROR(INDEX(Aktiv!$F$6:$F$350,MATCH(A186,Aktiv!$A$6:$A$350,0)),0)/1000000)/Steuerungsdaten!$B$6),IF(ISNUMBER(MATCH(IFERROR(INDEX(Aktiv!$C$6:$C$350,MATCH(A186,Aktiv!$A$6:$A$350,0)),""),{"Boden","Seite außen","Seite außen SY32","Rücken","Seite innen","Seite innen SY32","Seite innen SY32 DB","Fachboden klein","Fachboden groß","Klappenboden"},0)),1.2,1)-1),0))</f>
        <v>81</v>
      </c>
      <c r="E186" s="293">
        <f>IFERROR(INDEX(Aktiv!$G$6:$G$350,MATCH(A186,Aktiv!$A$6:$A$350,0)),"")</f>
        <v>80</v>
      </c>
      <c r="F186" s="294">
        <f t="shared" si="16"/>
        <v>-1</v>
      </c>
      <c r="G186" s="295">
        <f t="shared" si="17"/>
        <v>-1.2345679012345678E-2</v>
      </c>
      <c r="H186" s="293">
        <f>IF(C186="","",ROUND(C186*Steuerungsdaten!$B$4*Steuerungsdaten!$B$8*IFERROR(VLOOKUP(IFERROR(INDEX(Aktiv!$C$6:$C$350,MATCH(A186,Aktiv!$A$6:$A$350,0)),""),Steuerungsdaten!$B$17:$E$37,4,FALSE),1)*POWER(IF(OR(IFERROR(INDEX(Aktiv!$E$6:$E$350,MATCH(A186,Aktiv!$A$6:$A$350,0)),0)=0,IFERROR(INDEX(Aktiv!$F$6:$F$350,MATCH(A186,Aktiv!$A$6:$A$350,0)),0)=0),1,(IFERROR(INDEX(Aktiv!$E$6:$E$350,MATCH(A186,Aktiv!$A$6:$A$350,0)),0)*IFERROR(INDEX(Aktiv!$F$6:$F$350,MATCH(A186,Aktiv!$A$6:$A$350,0)),0)/1000000)/Steuerungsdaten!$B$6),1-1),0))</f>
        <v>77</v>
      </c>
      <c r="I186" s="293">
        <f>IFERROR(INDEX(Aktiv!$H$6:$H$350,MATCH(A186,Aktiv!$A$6:$A$350,0)),"")</f>
        <v>273</v>
      </c>
      <c r="J186" s="294">
        <f t="shared" si="18"/>
        <v>196</v>
      </c>
      <c r="K186" s="296">
        <f t="shared" si="19"/>
        <v>2.5454545454545454</v>
      </c>
      <c r="L186" s="297">
        <f>IF(C186="","",ROUND(C186*Steuerungsdaten!$B$4*Steuerungsdaten!$B$9*IFERROR(VLOOKUP(IFERROR(INDEX(Aktiv!$C$6:$C$350,MATCH(A186,Aktiv!$A$6:$A$350,0)),""),Steuerungsdaten!$B$17:$G$37,6,FALSE),1)*POWER(IF(OR(IFERROR(INDEX(Aktiv!$E$6:$E$350,MATCH(A186,Aktiv!$A$6:$A$350,0)),0)=0,IFERROR(INDEX(Aktiv!$F$6:$F$350,MATCH(A186,Aktiv!$A$6:$A$350,0)),0)=0),1,(IFERROR(INDEX(Aktiv!$E$6:$E$350,MATCH(A186,Aktiv!$A$6:$A$350,0)),0)*IFERROR(INDEX(Aktiv!$F$6:$F$350,MATCH(A186,Aktiv!$A$6:$A$350,0)),0)/1000000)/Steuerungsdaten!$B$6),1-1),0))</f>
        <v>77</v>
      </c>
      <c r="M186" s="297">
        <f>IFERROR(INDEX(Aktiv!$I$6:$I$350,MATCH(A186,Aktiv!$A$6:$A$350,0)),"")</f>
        <v>284</v>
      </c>
      <c r="N186" s="298">
        <f t="shared" si="20"/>
        <v>207</v>
      </c>
      <c r="O186" s="296">
        <f t="shared" si="21"/>
        <v>2.6883116883116882</v>
      </c>
      <c r="P186" s="297">
        <f>IF(C186="","",ROUND(C186*Steuerungsdaten!$B$4*Steuerungsdaten!$B$10*IFERROR(VLOOKUP(IFERROR(INDEX(Aktiv!$C$6:$C$350,MATCH(A186,Aktiv!$A$6:$A$350,0)),""),Steuerungsdaten!$B$17:$I$37,8,FALSE),1)*POWER(IF(OR(IFERROR(INDEX(Aktiv!$E$6:$E$350,MATCH(A186,Aktiv!$A$6:$A$350,0)),0)=0,IFERROR(INDEX(Aktiv!$F$6:$F$350,MATCH(A186,Aktiv!$A$6:$A$350,0)),0)=0),1,(IFERROR(INDEX(Aktiv!$E$6:$E$350,MATCH(A186,Aktiv!$A$6:$A$350,0)),0)*IFERROR(INDEX(Aktiv!$F$6:$F$350,MATCH(A186,Aktiv!$A$6:$A$350,0)),0)/1000000)/Steuerungsdaten!$B$6),1-1),0))</f>
        <v>84</v>
      </c>
      <c r="Q186" s="297">
        <f>IFERROR(INDEX(Aktiv!$J$6:$J$350,MATCH(A186,Aktiv!$A$6:$A$350,0)),"")</f>
        <v>316</v>
      </c>
      <c r="R186" s="298">
        <f t="shared" si="22"/>
        <v>232</v>
      </c>
      <c r="S186" s="296">
        <f t="shared" si="23"/>
        <v>2.7619047619047619</v>
      </c>
    </row>
    <row r="187" spans="1:19" x14ac:dyDescent="0.25">
      <c r="A187" s="292">
        <v>3809</v>
      </c>
      <c r="B187" s="292" t="s">
        <v>203</v>
      </c>
      <c r="C187" s="293">
        <f>IFERROR(INDEX(Aktiv!$O$6:$O$350,MATCH(A187,Aktiv!$A$6:$A$350,0)),"")</f>
        <v>110</v>
      </c>
      <c r="D187" s="293">
        <f>IF(C187="","",ROUND(C187*Steuerungsdaten!$B$4*Steuerungsdaten!$B$7*IFERROR(VLOOKUP(IFERROR(INDEX(Aktiv!$C$6:$C$350,MATCH(A187,Aktiv!$A$6:$A$350,0)),""),Steuerungsdaten!$B$17:$C$37,2,FALSE),1)*POWER(IF(OR(IFERROR(INDEX(Aktiv!$E$6:$E$350,MATCH(A187,Aktiv!$A$6:$A$350,0)),0)=0,IFERROR(INDEX(Aktiv!$F$6:$F$350,MATCH(A187,Aktiv!$A$6:$A$350,0)),0)=0),1,(IFERROR(INDEX(Aktiv!$E$6:$E$350,MATCH(A187,Aktiv!$A$6:$A$350,0)),0)*IFERROR(INDEX(Aktiv!$F$6:$F$350,MATCH(A187,Aktiv!$A$6:$A$350,0)),0)/1000000)/Steuerungsdaten!$B$6),IF(ISNUMBER(MATCH(IFERROR(INDEX(Aktiv!$C$6:$C$350,MATCH(A187,Aktiv!$A$6:$A$350,0)),""),{"Boden","Seite außen","Seite außen SY32","Rücken","Seite innen","Seite innen SY32","Seite innen SY32 DB","Fachboden klein","Fachboden groß","Klappenboden"},0)),1.2,1)-1),0))</f>
        <v>107</v>
      </c>
      <c r="E187" s="293">
        <f>IFERROR(INDEX(Aktiv!$G$6:$G$350,MATCH(A187,Aktiv!$A$6:$A$350,0)),"")</f>
        <v>100</v>
      </c>
      <c r="F187" s="294">
        <f t="shared" si="16"/>
        <v>-7</v>
      </c>
      <c r="G187" s="295">
        <f t="shared" si="17"/>
        <v>-6.5420560747663545E-2</v>
      </c>
      <c r="H187" s="293">
        <f>IF(C187="","",ROUND(C187*Steuerungsdaten!$B$4*Steuerungsdaten!$B$8*IFERROR(VLOOKUP(IFERROR(INDEX(Aktiv!$C$6:$C$350,MATCH(A187,Aktiv!$A$6:$A$350,0)),""),Steuerungsdaten!$B$17:$E$37,4,FALSE),1)*POWER(IF(OR(IFERROR(INDEX(Aktiv!$E$6:$E$350,MATCH(A187,Aktiv!$A$6:$A$350,0)),0)=0,IFERROR(INDEX(Aktiv!$F$6:$F$350,MATCH(A187,Aktiv!$A$6:$A$350,0)),0)=0),1,(IFERROR(INDEX(Aktiv!$E$6:$E$350,MATCH(A187,Aktiv!$A$6:$A$350,0)),0)*IFERROR(INDEX(Aktiv!$F$6:$F$350,MATCH(A187,Aktiv!$A$6:$A$350,0)),0)/1000000)/Steuerungsdaten!$B$6),1-1),0))</f>
        <v>97</v>
      </c>
      <c r="I187" s="293">
        <f>IFERROR(INDEX(Aktiv!$H$6:$H$350,MATCH(A187,Aktiv!$A$6:$A$350,0)),"")</f>
        <v>343</v>
      </c>
      <c r="J187" s="294">
        <f t="shared" si="18"/>
        <v>246</v>
      </c>
      <c r="K187" s="296">
        <f t="shared" si="19"/>
        <v>2.536082474226804</v>
      </c>
      <c r="L187" s="297">
        <f>IF(C187="","",ROUND(C187*Steuerungsdaten!$B$4*Steuerungsdaten!$B$9*IFERROR(VLOOKUP(IFERROR(INDEX(Aktiv!$C$6:$C$350,MATCH(A187,Aktiv!$A$6:$A$350,0)),""),Steuerungsdaten!$B$17:$G$37,6,FALSE),1)*POWER(IF(OR(IFERROR(INDEX(Aktiv!$E$6:$E$350,MATCH(A187,Aktiv!$A$6:$A$350,0)),0)=0,IFERROR(INDEX(Aktiv!$F$6:$F$350,MATCH(A187,Aktiv!$A$6:$A$350,0)),0)=0),1,(IFERROR(INDEX(Aktiv!$E$6:$E$350,MATCH(A187,Aktiv!$A$6:$A$350,0)),0)*IFERROR(INDEX(Aktiv!$F$6:$F$350,MATCH(A187,Aktiv!$A$6:$A$350,0)),0)/1000000)/Steuerungsdaten!$B$6),1-1),0))</f>
        <v>97</v>
      </c>
      <c r="M187" s="297">
        <f>IFERROR(INDEX(Aktiv!$I$6:$I$350,MATCH(A187,Aktiv!$A$6:$A$350,0)),"")</f>
        <v>357</v>
      </c>
      <c r="N187" s="298">
        <f t="shared" si="20"/>
        <v>260</v>
      </c>
      <c r="O187" s="296">
        <f t="shared" si="21"/>
        <v>2.6804123711340204</v>
      </c>
      <c r="P187" s="297">
        <f>IF(C187="","",ROUND(C187*Steuerungsdaten!$B$4*Steuerungsdaten!$B$10*IFERROR(VLOOKUP(IFERROR(INDEX(Aktiv!$C$6:$C$350,MATCH(A187,Aktiv!$A$6:$A$350,0)),""),Steuerungsdaten!$B$17:$I$37,8,FALSE),1)*POWER(IF(OR(IFERROR(INDEX(Aktiv!$E$6:$E$350,MATCH(A187,Aktiv!$A$6:$A$350,0)),0)=0,IFERROR(INDEX(Aktiv!$F$6:$F$350,MATCH(A187,Aktiv!$A$6:$A$350,0)),0)=0),1,(IFERROR(INDEX(Aktiv!$E$6:$E$350,MATCH(A187,Aktiv!$A$6:$A$350,0)),0)*IFERROR(INDEX(Aktiv!$F$6:$F$350,MATCH(A187,Aktiv!$A$6:$A$350,0)),0)/1000000)/Steuerungsdaten!$B$6),1-1),0))</f>
        <v>106</v>
      </c>
      <c r="Q187" s="297">
        <f>IFERROR(INDEX(Aktiv!$J$6:$J$350,MATCH(A187,Aktiv!$A$6:$A$350,0)),"")</f>
        <v>398</v>
      </c>
      <c r="R187" s="298">
        <f t="shared" si="22"/>
        <v>292</v>
      </c>
      <c r="S187" s="296">
        <f t="shared" si="23"/>
        <v>2.7547169811320753</v>
      </c>
    </row>
    <row r="188" spans="1:19" x14ac:dyDescent="0.25">
      <c r="A188" s="292">
        <v>3810</v>
      </c>
      <c r="B188" s="292" t="s">
        <v>204</v>
      </c>
      <c r="C188" s="293">
        <f>IFERROR(INDEX(Aktiv!$O$6:$O$350,MATCH(A188,Aktiv!$A$6:$A$350,0)),"")</f>
        <v>65</v>
      </c>
      <c r="D188" s="293">
        <f>IF(C188="","",ROUND(C188*Steuerungsdaten!$B$4*Steuerungsdaten!$B$7*IFERROR(VLOOKUP(IFERROR(INDEX(Aktiv!$C$6:$C$350,MATCH(A188,Aktiv!$A$6:$A$350,0)),""),Steuerungsdaten!$B$17:$C$37,2,FALSE),1)*POWER(IF(OR(IFERROR(INDEX(Aktiv!$E$6:$E$350,MATCH(A188,Aktiv!$A$6:$A$350,0)),0)=0,IFERROR(INDEX(Aktiv!$F$6:$F$350,MATCH(A188,Aktiv!$A$6:$A$350,0)),0)=0),1,(IFERROR(INDEX(Aktiv!$E$6:$E$350,MATCH(A188,Aktiv!$A$6:$A$350,0)),0)*IFERROR(INDEX(Aktiv!$F$6:$F$350,MATCH(A188,Aktiv!$A$6:$A$350,0)),0)/1000000)/Steuerungsdaten!$B$6),IF(ISNUMBER(MATCH(IFERROR(INDEX(Aktiv!$C$6:$C$350,MATCH(A188,Aktiv!$A$6:$A$350,0)),""),{"Boden","Seite außen","Seite außen SY32","Rücken","Seite innen","Seite innen SY32","Seite innen SY32 DB","Fachboden klein","Fachboden groß","Klappenboden"},0)),1.2,1)-1),0))</f>
        <v>56</v>
      </c>
      <c r="E188" s="293" t="str">
        <f>IFERROR(INDEX(Aktiv!$G$6:$G$350,MATCH(A188,Aktiv!$A$6:$A$350,0)),"")</f>
        <v>-</v>
      </c>
      <c r="F188" s="294" t="e">
        <f t="shared" si="16"/>
        <v>#VALUE!</v>
      </c>
      <c r="G188" s="295" t="e">
        <f t="shared" si="17"/>
        <v>#VALUE!</v>
      </c>
      <c r="H188" s="293">
        <f>IF(C188="","",ROUND(C188*Steuerungsdaten!$B$4*Steuerungsdaten!$B$8*IFERROR(VLOOKUP(IFERROR(INDEX(Aktiv!$C$6:$C$350,MATCH(A188,Aktiv!$A$6:$A$350,0)),""),Steuerungsdaten!$B$17:$E$37,4,FALSE),1)*POWER(IF(OR(IFERROR(INDEX(Aktiv!$E$6:$E$350,MATCH(A188,Aktiv!$A$6:$A$350,0)),0)=0,IFERROR(INDEX(Aktiv!$F$6:$F$350,MATCH(A188,Aktiv!$A$6:$A$350,0)),0)=0),1,(IFERROR(INDEX(Aktiv!$E$6:$E$350,MATCH(A188,Aktiv!$A$6:$A$350,0)),0)*IFERROR(INDEX(Aktiv!$F$6:$F$350,MATCH(A188,Aktiv!$A$6:$A$350,0)),0)/1000000)/Steuerungsdaten!$B$6),1-1),0))</f>
        <v>57</v>
      </c>
      <c r="I188" s="293" t="str">
        <f>IFERROR(INDEX(Aktiv!$H$6:$H$350,MATCH(A188,Aktiv!$A$6:$A$350,0)),"")</f>
        <v>-</v>
      </c>
      <c r="J188" s="294" t="e">
        <f t="shared" si="18"/>
        <v>#VALUE!</v>
      </c>
      <c r="K188" s="296" t="e">
        <f t="shared" si="19"/>
        <v>#VALUE!</v>
      </c>
      <c r="L188" s="297">
        <f>IF(C188="","",ROUND(C188*Steuerungsdaten!$B$4*Steuerungsdaten!$B$9*IFERROR(VLOOKUP(IFERROR(INDEX(Aktiv!$C$6:$C$350,MATCH(A188,Aktiv!$A$6:$A$350,0)),""),Steuerungsdaten!$B$17:$G$37,6,FALSE),1)*POWER(IF(OR(IFERROR(INDEX(Aktiv!$E$6:$E$350,MATCH(A188,Aktiv!$A$6:$A$350,0)),0)=0,IFERROR(INDEX(Aktiv!$F$6:$F$350,MATCH(A188,Aktiv!$A$6:$A$350,0)),0)=0),1,(IFERROR(INDEX(Aktiv!$E$6:$E$350,MATCH(A188,Aktiv!$A$6:$A$350,0)),0)*IFERROR(INDEX(Aktiv!$F$6:$F$350,MATCH(A188,Aktiv!$A$6:$A$350,0)),0)/1000000)/Steuerungsdaten!$B$6),1-1),0))</f>
        <v>57</v>
      </c>
      <c r="M188" s="297" t="str">
        <f>IFERROR(INDEX(Aktiv!$I$6:$I$350,MATCH(A188,Aktiv!$A$6:$A$350,0)),"")</f>
        <v>-</v>
      </c>
      <c r="N188" s="298" t="e">
        <f t="shared" si="20"/>
        <v>#VALUE!</v>
      </c>
      <c r="O188" s="296" t="e">
        <f t="shared" si="21"/>
        <v>#VALUE!</v>
      </c>
      <c r="P188" s="297">
        <f>IF(C188="","",ROUND(C188*Steuerungsdaten!$B$4*Steuerungsdaten!$B$10*IFERROR(VLOOKUP(IFERROR(INDEX(Aktiv!$C$6:$C$350,MATCH(A188,Aktiv!$A$6:$A$350,0)),""),Steuerungsdaten!$B$17:$I$37,8,FALSE),1)*POWER(IF(OR(IFERROR(INDEX(Aktiv!$E$6:$E$350,MATCH(A188,Aktiv!$A$6:$A$350,0)),0)=0,IFERROR(INDEX(Aktiv!$F$6:$F$350,MATCH(A188,Aktiv!$A$6:$A$350,0)),0)=0),1,(IFERROR(INDEX(Aktiv!$E$6:$E$350,MATCH(A188,Aktiv!$A$6:$A$350,0)),0)*IFERROR(INDEX(Aktiv!$F$6:$F$350,MATCH(A188,Aktiv!$A$6:$A$350,0)),0)/1000000)/Steuerungsdaten!$B$6),1-1),0))</f>
        <v>62</v>
      </c>
      <c r="Q188" s="297" t="str">
        <f>IFERROR(INDEX(Aktiv!$J$6:$J$350,MATCH(A188,Aktiv!$A$6:$A$350,0)),"")</f>
        <v>-</v>
      </c>
      <c r="R188" s="298" t="e">
        <f t="shared" si="22"/>
        <v>#VALUE!</v>
      </c>
      <c r="S188" s="296" t="e">
        <f t="shared" si="23"/>
        <v>#VALUE!</v>
      </c>
    </row>
    <row r="189" spans="1:19" x14ac:dyDescent="0.25">
      <c r="A189" s="292">
        <v>3811</v>
      </c>
      <c r="B189" s="292" t="s">
        <v>205</v>
      </c>
      <c r="C189" s="293">
        <f>IFERROR(INDEX(Aktiv!$O$6:$O$350,MATCH(A189,Aktiv!$A$6:$A$350,0)),"")</f>
        <v>79</v>
      </c>
      <c r="D189" s="293">
        <f>IF(C189="","",ROUND(C189*Steuerungsdaten!$B$4*Steuerungsdaten!$B$7*IFERROR(VLOOKUP(IFERROR(INDEX(Aktiv!$C$6:$C$350,MATCH(A189,Aktiv!$A$6:$A$350,0)),""),Steuerungsdaten!$B$17:$C$37,2,FALSE),1)*POWER(IF(OR(IFERROR(INDEX(Aktiv!$E$6:$E$350,MATCH(A189,Aktiv!$A$6:$A$350,0)),0)=0,IFERROR(INDEX(Aktiv!$F$6:$F$350,MATCH(A189,Aktiv!$A$6:$A$350,0)),0)=0),1,(IFERROR(INDEX(Aktiv!$E$6:$E$350,MATCH(A189,Aktiv!$A$6:$A$350,0)),0)*IFERROR(INDEX(Aktiv!$F$6:$F$350,MATCH(A189,Aktiv!$A$6:$A$350,0)),0)/1000000)/Steuerungsdaten!$B$6),IF(ISNUMBER(MATCH(IFERROR(INDEX(Aktiv!$C$6:$C$350,MATCH(A189,Aktiv!$A$6:$A$350,0)),""),{"Boden","Seite außen","Seite außen SY32","Rücken","Seite innen","Seite innen SY32","Seite innen SY32 DB","Fachboden klein","Fachboden groß","Klappenboden"},0)),1.2,1)-1),0))</f>
        <v>72</v>
      </c>
      <c r="E189" s="293" t="str">
        <f>IFERROR(INDEX(Aktiv!$G$6:$G$350,MATCH(A189,Aktiv!$A$6:$A$350,0)),"")</f>
        <v>-</v>
      </c>
      <c r="F189" s="294" t="e">
        <f t="shared" si="16"/>
        <v>#VALUE!</v>
      </c>
      <c r="G189" s="295" t="e">
        <f t="shared" si="17"/>
        <v>#VALUE!</v>
      </c>
      <c r="H189" s="293">
        <f>IF(C189="","",ROUND(C189*Steuerungsdaten!$B$4*Steuerungsdaten!$B$8*IFERROR(VLOOKUP(IFERROR(INDEX(Aktiv!$C$6:$C$350,MATCH(A189,Aktiv!$A$6:$A$350,0)),""),Steuerungsdaten!$B$17:$E$37,4,FALSE),1)*POWER(IF(OR(IFERROR(INDEX(Aktiv!$E$6:$E$350,MATCH(A189,Aktiv!$A$6:$A$350,0)),0)=0,IFERROR(INDEX(Aktiv!$F$6:$F$350,MATCH(A189,Aktiv!$A$6:$A$350,0)),0)=0),1,(IFERROR(INDEX(Aktiv!$E$6:$E$350,MATCH(A189,Aktiv!$A$6:$A$350,0)),0)*IFERROR(INDEX(Aktiv!$F$6:$F$350,MATCH(A189,Aktiv!$A$6:$A$350,0)),0)/1000000)/Steuerungsdaten!$B$6),1-1),0))</f>
        <v>70</v>
      </c>
      <c r="I189" s="293" t="str">
        <f>IFERROR(INDEX(Aktiv!$H$6:$H$350,MATCH(A189,Aktiv!$A$6:$A$350,0)),"")</f>
        <v>-</v>
      </c>
      <c r="J189" s="294" t="e">
        <f t="shared" si="18"/>
        <v>#VALUE!</v>
      </c>
      <c r="K189" s="296" t="e">
        <f t="shared" si="19"/>
        <v>#VALUE!</v>
      </c>
      <c r="L189" s="297">
        <f>IF(C189="","",ROUND(C189*Steuerungsdaten!$B$4*Steuerungsdaten!$B$9*IFERROR(VLOOKUP(IFERROR(INDEX(Aktiv!$C$6:$C$350,MATCH(A189,Aktiv!$A$6:$A$350,0)),""),Steuerungsdaten!$B$17:$G$37,6,FALSE),1)*POWER(IF(OR(IFERROR(INDEX(Aktiv!$E$6:$E$350,MATCH(A189,Aktiv!$A$6:$A$350,0)),0)=0,IFERROR(INDEX(Aktiv!$F$6:$F$350,MATCH(A189,Aktiv!$A$6:$A$350,0)),0)=0),1,(IFERROR(INDEX(Aktiv!$E$6:$E$350,MATCH(A189,Aktiv!$A$6:$A$350,0)),0)*IFERROR(INDEX(Aktiv!$F$6:$F$350,MATCH(A189,Aktiv!$A$6:$A$350,0)),0)/1000000)/Steuerungsdaten!$B$6),1-1),0))</f>
        <v>70</v>
      </c>
      <c r="M189" s="297" t="str">
        <f>IFERROR(INDEX(Aktiv!$I$6:$I$350,MATCH(A189,Aktiv!$A$6:$A$350,0)),"")</f>
        <v>-</v>
      </c>
      <c r="N189" s="298" t="e">
        <f t="shared" si="20"/>
        <v>#VALUE!</v>
      </c>
      <c r="O189" s="296" t="e">
        <f t="shared" si="21"/>
        <v>#VALUE!</v>
      </c>
      <c r="P189" s="297">
        <f>IF(C189="","",ROUND(C189*Steuerungsdaten!$B$4*Steuerungsdaten!$B$10*IFERROR(VLOOKUP(IFERROR(INDEX(Aktiv!$C$6:$C$350,MATCH(A189,Aktiv!$A$6:$A$350,0)),""),Steuerungsdaten!$B$17:$I$37,8,FALSE),1)*POWER(IF(OR(IFERROR(INDEX(Aktiv!$E$6:$E$350,MATCH(A189,Aktiv!$A$6:$A$350,0)),0)=0,IFERROR(INDEX(Aktiv!$F$6:$F$350,MATCH(A189,Aktiv!$A$6:$A$350,0)),0)=0),1,(IFERROR(INDEX(Aktiv!$E$6:$E$350,MATCH(A189,Aktiv!$A$6:$A$350,0)),0)*IFERROR(INDEX(Aktiv!$F$6:$F$350,MATCH(A189,Aktiv!$A$6:$A$350,0)),0)/1000000)/Steuerungsdaten!$B$6),1-1),0))</f>
        <v>76</v>
      </c>
      <c r="Q189" s="297" t="str">
        <f>IFERROR(INDEX(Aktiv!$J$6:$J$350,MATCH(A189,Aktiv!$A$6:$A$350,0)),"")</f>
        <v>-</v>
      </c>
      <c r="R189" s="298" t="e">
        <f t="shared" si="22"/>
        <v>#VALUE!</v>
      </c>
      <c r="S189" s="296" t="e">
        <f t="shared" si="23"/>
        <v>#VALUE!</v>
      </c>
    </row>
    <row r="190" spans="1:19" x14ac:dyDescent="0.25">
      <c r="A190" s="292">
        <v>3812</v>
      </c>
      <c r="B190" s="292" t="s">
        <v>206</v>
      </c>
      <c r="C190" s="293">
        <f>IFERROR(INDEX(Aktiv!$O$6:$O$350,MATCH(A190,Aktiv!$A$6:$A$350,0)),"")</f>
        <v>126</v>
      </c>
      <c r="D190" s="293">
        <f>IF(C190="","",ROUND(C190*Steuerungsdaten!$B$4*Steuerungsdaten!$B$7*IFERROR(VLOOKUP(IFERROR(INDEX(Aktiv!$C$6:$C$350,MATCH(A190,Aktiv!$A$6:$A$350,0)),""),Steuerungsdaten!$B$17:$C$37,2,FALSE),1)*POWER(IF(OR(IFERROR(INDEX(Aktiv!$E$6:$E$350,MATCH(A190,Aktiv!$A$6:$A$350,0)),0)=0,IFERROR(INDEX(Aktiv!$F$6:$F$350,MATCH(A190,Aktiv!$A$6:$A$350,0)),0)=0),1,(IFERROR(INDEX(Aktiv!$E$6:$E$350,MATCH(A190,Aktiv!$A$6:$A$350,0)),0)*IFERROR(INDEX(Aktiv!$F$6:$F$350,MATCH(A190,Aktiv!$A$6:$A$350,0)),0)/1000000)/Steuerungsdaten!$B$6),IF(ISNUMBER(MATCH(IFERROR(INDEX(Aktiv!$C$6:$C$350,MATCH(A190,Aktiv!$A$6:$A$350,0)),""),{"Boden","Seite außen","Seite außen SY32","Rücken","Seite innen","Seite innen SY32","Seite innen SY32 DB","Fachboden klein","Fachboden groß","Klappenboden"},0)),1.2,1)-1),0))</f>
        <v>124</v>
      </c>
      <c r="E190" s="293" t="str">
        <f>IFERROR(INDEX(Aktiv!$G$6:$G$350,MATCH(A190,Aktiv!$A$6:$A$350,0)),"")</f>
        <v>-</v>
      </c>
      <c r="F190" s="294" t="e">
        <f t="shared" si="16"/>
        <v>#VALUE!</v>
      </c>
      <c r="G190" s="295" t="e">
        <f t="shared" si="17"/>
        <v>#VALUE!</v>
      </c>
      <c r="H190" s="293">
        <f>IF(C190="","",ROUND(C190*Steuerungsdaten!$B$4*Steuerungsdaten!$B$8*IFERROR(VLOOKUP(IFERROR(INDEX(Aktiv!$C$6:$C$350,MATCH(A190,Aktiv!$A$6:$A$350,0)),""),Steuerungsdaten!$B$17:$E$37,4,FALSE),1)*POWER(IF(OR(IFERROR(INDEX(Aktiv!$E$6:$E$350,MATCH(A190,Aktiv!$A$6:$A$350,0)),0)=0,IFERROR(INDEX(Aktiv!$F$6:$F$350,MATCH(A190,Aktiv!$A$6:$A$350,0)),0)=0),1,(IFERROR(INDEX(Aktiv!$E$6:$E$350,MATCH(A190,Aktiv!$A$6:$A$350,0)),0)*IFERROR(INDEX(Aktiv!$F$6:$F$350,MATCH(A190,Aktiv!$A$6:$A$350,0)),0)/1000000)/Steuerungsdaten!$B$6),1-1),0))</f>
        <v>111</v>
      </c>
      <c r="I190" s="293" t="str">
        <f>IFERROR(INDEX(Aktiv!$H$6:$H$350,MATCH(A190,Aktiv!$A$6:$A$350,0)),"")</f>
        <v>-</v>
      </c>
      <c r="J190" s="294" t="e">
        <f t="shared" si="18"/>
        <v>#VALUE!</v>
      </c>
      <c r="K190" s="296" t="e">
        <f t="shared" si="19"/>
        <v>#VALUE!</v>
      </c>
      <c r="L190" s="297">
        <f>IF(C190="","",ROUND(C190*Steuerungsdaten!$B$4*Steuerungsdaten!$B$9*IFERROR(VLOOKUP(IFERROR(INDEX(Aktiv!$C$6:$C$350,MATCH(A190,Aktiv!$A$6:$A$350,0)),""),Steuerungsdaten!$B$17:$G$37,6,FALSE),1)*POWER(IF(OR(IFERROR(INDEX(Aktiv!$E$6:$E$350,MATCH(A190,Aktiv!$A$6:$A$350,0)),0)=0,IFERROR(INDEX(Aktiv!$F$6:$F$350,MATCH(A190,Aktiv!$A$6:$A$350,0)),0)=0),1,(IFERROR(INDEX(Aktiv!$E$6:$E$350,MATCH(A190,Aktiv!$A$6:$A$350,0)),0)*IFERROR(INDEX(Aktiv!$F$6:$F$350,MATCH(A190,Aktiv!$A$6:$A$350,0)),0)/1000000)/Steuerungsdaten!$B$6),1-1),0))</f>
        <v>111</v>
      </c>
      <c r="M190" s="297" t="str">
        <f>IFERROR(INDEX(Aktiv!$I$6:$I$350,MATCH(A190,Aktiv!$A$6:$A$350,0)),"")</f>
        <v>-</v>
      </c>
      <c r="N190" s="298" t="e">
        <f t="shared" si="20"/>
        <v>#VALUE!</v>
      </c>
      <c r="O190" s="296" t="e">
        <f t="shared" si="21"/>
        <v>#VALUE!</v>
      </c>
      <c r="P190" s="297">
        <f>IF(C190="","",ROUND(C190*Steuerungsdaten!$B$4*Steuerungsdaten!$B$10*IFERROR(VLOOKUP(IFERROR(INDEX(Aktiv!$C$6:$C$350,MATCH(A190,Aktiv!$A$6:$A$350,0)),""),Steuerungsdaten!$B$17:$I$37,8,FALSE),1)*POWER(IF(OR(IFERROR(INDEX(Aktiv!$E$6:$E$350,MATCH(A190,Aktiv!$A$6:$A$350,0)),0)=0,IFERROR(INDEX(Aktiv!$F$6:$F$350,MATCH(A190,Aktiv!$A$6:$A$350,0)),0)=0),1,(IFERROR(INDEX(Aktiv!$E$6:$E$350,MATCH(A190,Aktiv!$A$6:$A$350,0)),0)*IFERROR(INDEX(Aktiv!$F$6:$F$350,MATCH(A190,Aktiv!$A$6:$A$350,0)),0)/1000000)/Steuerungsdaten!$B$6),1-1),0))</f>
        <v>121</v>
      </c>
      <c r="Q190" s="297" t="str">
        <f>IFERROR(INDEX(Aktiv!$J$6:$J$350,MATCH(A190,Aktiv!$A$6:$A$350,0)),"")</f>
        <v>-</v>
      </c>
      <c r="R190" s="298" t="e">
        <f t="shared" si="22"/>
        <v>#VALUE!</v>
      </c>
      <c r="S190" s="296" t="e">
        <f t="shared" si="23"/>
        <v>#VALUE!</v>
      </c>
    </row>
    <row r="191" spans="1:19" x14ac:dyDescent="0.25">
      <c r="A191" s="292">
        <v>3813</v>
      </c>
      <c r="B191" s="292" t="s">
        <v>207</v>
      </c>
      <c r="C191" s="293">
        <f>IFERROR(INDEX(Aktiv!$O$6:$O$350,MATCH(A191,Aktiv!$A$6:$A$350,0)),"")</f>
        <v>139</v>
      </c>
      <c r="D191" s="293">
        <f>IF(C191="","",ROUND(C191*Steuerungsdaten!$B$4*Steuerungsdaten!$B$7*IFERROR(VLOOKUP(IFERROR(INDEX(Aktiv!$C$6:$C$350,MATCH(A191,Aktiv!$A$6:$A$350,0)),""),Steuerungsdaten!$B$17:$C$37,2,FALSE),1)*POWER(IF(OR(IFERROR(INDEX(Aktiv!$E$6:$E$350,MATCH(A191,Aktiv!$A$6:$A$350,0)),0)=0,IFERROR(INDEX(Aktiv!$F$6:$F$350,MATCH(A191,Aktiv!$A$6:$A$350,0)),0)=0),1,(IFERROR(INDEX(Aktiv!$E$6:$E$350,MATCH(A191,Aktiv!$A$6:$A$350,0)),0)*IFERROR(INDEX(Aktiv!$F$6:$F$350,MATCH(A191,Aktiv!$A$6:$A$350,0)),0)/1000000)/Steuerungsdaten!$B$6),IF(ISNUMBER(MATCH(IFERROR(INDEX(Aktiv!$C$6:$C$350,MATCH(A191,Aktiv!$A$6:$A$350,0)),""),{"Boden","Seite außen","Seite außen SY32","Rücken","Seite innen","Seite innen SY32","Seite innen SY32 DB","Fachboden klein","Fachboden groß","Klappenboden"},0)),1.2,1)-1),0))</f>
        <v>143</v>
      </c>
      <c r="E191" s="293" t="str">
        <f>IFERROR(INDEX(Aktiv!$G$6:$G$350,MATCH(A191,Aktiv!$A$6:$A$350,0)),"")</f>
        <v>-</v>
      </c>
      <c r="F191" s="294" t="e">
        <f t="shared" si="16"/>
        <v>#VALUE!</v>
      </c>
      <c r="G191" s="295" t="e">
        <f t="shared" si="17"/>
        <v>#VALUE!</v>
      </c>
      <c r="H191" s="293">
        <f>IF(C191="","",ROUND(C191*Steuerungsdaten!$B$4*Steuerungsdaten!$B$8*IFERROR(VLOOKUP(IFERROR(INDEX(Aktiv!$C$6:$C$350,MATCH(A191,Aktiv!$A$6:$A$350,0)),""),Steuerungsdaten!$B$17:$E$37,4,FALSE),1)*POWER(IF(OR(IFERROR(INDEX(Aktiv!$E$6:$E$350,MATCH(A191,Aktiv!$A$6:$A$350,0)),0)=0,IFERROR(INDEX(Aktiv!$F$6:$F$350,MATCH(A191,Aktiv!$A$6:$A$350,0)),0)=0),1,(IFERROR(INDEX(Aktiv!$E$6:$E$350,MATCH(A191,Aktiv!$A$6:$A$350,0)),0)*IFERROR(INDEX(Aktiv!$F$6:$F$350,MATCH(A191,Aktiv!$A$6:$A$350,0)),0)/1000000)/Steuerungsdaten!$B$6),1-1),0))</f>
        <v>122</v>
      </c>
      <c r="I191" s="293" t="str">
        <f>IFERROR(INDEX(Aktiv!$H$6:$H$350,MATCH(A191,Aktiv!$A$6:$A$350,0)),"")</f>
        <v>-</v>
      </c>
      <c r="J191" s="294" t="e">
        <f t="shared" si="18"/>
        <v>#VALUE!</v>
      </c>
      <c r="K191" s="296" t="e">
        <f t="shared" si="19"/>
        <v>#VALUE!</v>
      </c>
      <c r="L191" s="297">
        <f>IF(C191="","",ROUND(C191*Steuerungsdaten!$B$4*Steuerungsdaten!$B$9*IFERROR(VLOOKUP(IFERROR(INDEX(Aktiv!$C$6:$C$350,MATCH(A191,Aktiv!$A$6:$A$350,0)),""),Steuerungsdaten!$B$17:$G$37,6,FALSE),1)*POWER(IF(OR(IFERROR(INDEX(Aktiv!$E$6:$E$350,MATCH(A191,Aktiv!$A$6:$A$350,0)),0)=0,IFERROR(INDEX(Aktiv!$F$6:$F$350,MATCH(A191,Aktiv!$A$6:$A$350,0)),0)=0),1,(IFERROR(INDEX(Aktiv!$E$6:$E$350,MATCH(A191,Aktiv!$A$6:$A$350,0)),0)*IFERROR(INDEX(Aktiv!$F$6:$F$350,MATCH(A191,Aktiv!$A$6:$A$350,0)),0)/1000000)/Steuerungsdaten!$B$6),1-1),0))</f>
        <v>122</v>
      </c>
      <c r="M191" s="297" t="str">
        <f>IFERROR(INDEX(Aktiv!$I$6:$I$350,MATCH(A191,Aktiv!$A$6:$A$350,0)),"")</f>
        <v>-</v>
      </c>
      <c r="N191" s="298" t="e">
        <f t="shared" si="20"/>
        <v>#VALUE!</v>
      </c>
      <c r="O191" s="296" t="e">
        <f t="shared" si="21"/>
        <v>#VALUE!</v>
      </c>
      <c r="P191" s="297">
        <f>IF(C191="","",ROUND(C191*Steuerungsdaten!$B$4*Steuerungsdaten!$B$10*IFERROR(VLOOKUP(IFERROR(INDEX(Aktiv!$C$6:$C$350,MATCH(A191,Aktiv!$A$6:$A$350,0)),""),Steuerungsdaten!$B$17:$I$37,8,FALSE),1)*POWER(IF(OR(IFERROR(INDEX(Aktiv!$E$6:$E$350,MATCH(A191,Aktiv!$A$6:$A$350,0)),0)=0,IFERROR(INDEX(Aktiv!$F$6:$F$350,MATCH(A191,Aktiv!$A$6:$A$350,0)),0)=0),1,(IFERROR(INDEX(Aktiv!$E$6:$E$350,MATCH(A191,Aktiv!$A$6:$A$350,0)),0)*IFERROR(INDEX(Aktiv!$F$6:$F$350,MATCH(A191,Aktiv!$A$6:$A$350,0)),0)/1000000)/Steuerungsdaten!$B$6),1-1),0))</f>
        <v>133</v>
      </c>
      <c r="Q191" s="297" t="str">
        <f>IFERROR(INDEX(Aktiv!$J$6:$J$350,MATCH(A191,Aktiv!$A$6:$A$350,0)),"")</f>
        <v>-</v>
      </c>
      <c r="R191" s="298" t="e">
        <f t="shared" si="22"/>
        <v>#VALUE!</v>
      </c>
      <c r="S191" s="296" t="e">
        <f t="shared" si="23"/>
        <v>#VALUE!</v>
      </c>
    </row>
    <row r="192" spans="1:19" x14ac:dyDescent="0.25">
      <c r="A192" s="292">
        <v>3814</v>
      </c>
      <c r="B192" s="292" t="s">
        <v>208</v>
      </c>
      <c r="C192" s="293">
        <f>IFERROR(INDEX(Aktiv!$O$6:$O$350,MATCH(A192,Aktiv!$A$6:$A$350,0)),"")</f>
        <v>139</v>
      </c>
      <c r="D192" s="293">
        <f>IF(C192="","",ROUND(C192*Steuerungsdaten!$B$4*Steuerungsdaten!$B$7*IFERROR(VLOOKUP(IFERROR(INDEX(Aktiv!$C$6:$C$350,MATCH(A192,Aktiv!$A$6:$A$350,0)),""),Steuerungsdaten!$B$17:$C$37,2,FALSE),1)*POWER(IF(OR(IFERROR(INDEX(Aktiv!$E$6:$E$350,MATCH(A192,Aktiv!$A$6:$A$350,0)),0)=0,IFERROR(INDEX(Aktiv!$F$6:$F$350,MATCH(A192,Aktiv!$A$6:$A$350,0)),0)=0),1,(IFERROR(INDEX(Aktiv!$E$6:$E$350,MATCH(A192,Aktiv!$A$6:$A$350,0)),0)*IFERROR(INDEX(Aktiv!$F$6:$F$350,MATCH(A192,Aktiv!$A$6:$A$350,0)),0)/1000000)/Steuerungsdaten!$B$6),IF(ISNUMBER(MATCH(IFERROR(INDEX(Aktiv!$C$6:$C$350,MATCH(A192,Aktiv!$A$6:$A$350,0)),""),{"Boden","Seite außen","Seite außen SY32","Rücken","Seite innen","Seite innen SY32","Seite innen SY32 DB","Fachboden klein","Fachboden groß","Klappenboden"},0)),1.2,1)-1),0))</f>
        <v>143</v>
      </c>
      <c r="E192" s="293" t="str">
        <f>IFERROR(INDEX(Aktiv!$G$6:$G$350,MATCH(A192,Aktiv!$A$6:$A$350,0)),"")</f>
        <v>-</v>
      </c>
      <c r="F192" s="294" t="e">
        <f t="shared" si="16"/>
        <v>#VALUE!</v>
      </c>
      <c r="G192" s="295" t="e">
        <f t="shared" si="17"/>
        <v>#VALUE!</v>
      </c>
      <c r="H192" s="293">
        <f>IF(C192="","",ROUND(C192*Steuerungsdaten!$B$4*Steuerungsdaten!$B$8*IFERROR(VLOOKUP(IFERROR(INDEX(Aktiv!$C$6:$C$350,MATCH(A192,Aktiv!$A$6:$A$350,0)),""),Steuerungsdaten!$B$17:$E$37,4,FALSE),1)*POWER(IF(OR(IFERROR(INDEX(Aktiv!$E$6:$E$350,MATCH(A192,Aktiv!$A$6:$A$350,0)),0)=0,IFERROR(INDEX(Aktiv!$F$6:$F$350,MATCH(A192,Aktiv!$A$6:$A$350,0)),0)=0),1,(IFERROR(INDEX(Aktiv!$E$6:$E$350,MATCH(A192,Aktiv!$A$6:$A$350,0)),0)*IFERROR(INDEX(Aktiv!$F$6:$F$350,MATCH(A192,Aktiv!$A$6:$A$350,0)),0)/1000000)/Steuerungsdaten!$B$6),1-1),0))</f>
        <v>122</v>
      </c>
      <c r="I192" s="293" t="str">
        <f>IFERROR(INDEX(Aktiv!$H$6:$H$350,MATCH(A192,Aktiv!$A$6:$A$350,0)),"")</f>
        <v>-</v>
      </c>
      <c r="J192" s="294" t="e">
        <f t="shared" si="18"/>
        <v>#VALUE!</v>
      </c>
      <c r="K192" s="296" t="e">
        <f t="shared" si="19"/>
        <v>#VALUE!</v>
      </c>
      <c r="L192" s="297">
        <f>IF(C192="","",ROUND(C192*Steuerungsdaten!$B$4*Steuerungsdaten!$B$9*IFERROR(VLOOKUP(IFERROR(INDEX(Aktiv!$C$6:$C$350,MATCH(A192,Aktiv!$A$6:$A$350,0)),""),Steuerungsdaten!$B$17:$G$37,6,FALSE),1)*POWER(IF(OR(IFERROR(INDEX(Aktiv!$E$6:$E$350,MATCH(A192,Aktiv!$A$6:$A$350,0)),0)=0,IFERROR(INDEX(Aktiv!$F$6:$F$350,MATCH(A192,Aktiv!$A$6:$A$350,0)),0)=0),1,(IFERROR(INDEX(Aktiv!$E$6:$E$350,MATCH(A192,Aktiv!$A$6:$A$350,0)),0)*IFERROR(INDEX(Aktiv!$F$6:$F$350,MATCH(A192,Aktiv!$A$6:$A$350,0)),0)/1000000)/Steuerungsdaten!$B$6),1-1),0))</f>
        <v>122</v>
      </c>
      <c r="M192" s="297" t="str">
        <f>IFERROR(INDEX(Aktiv!$I$6:$I$350,MATCH(A192,Aktiv!$A$6:$A$350,0)),"")</f>
        <v>-</v>
      </c>
      <c r="N192" s="298" t="e">
        <f t="shared" si="20"/>
        <v>#VALUE!</v>
      </c>
      <c r="O192" s="296" t="e">
        <f t="shared" si="21"/>
        <v>#VALUE!</v>
      </c>
      <c r="P192" s="297">
        <f>IF(C192="","",ROUND(C192*Steuerungsdaten!$B$4*Steuerungsdaten!$B$10*IFERROR(VLOOKUP(IFERROR(INDEX(Aktiv!$C$6:$C$350,MATCH(A192,Aktiv!$A$6:$A$350,0)),""),Steuerungsdaten!$B$17:$I$37,8,FALSE),1)*POWER(IF(OR(IFERROR(INDEX(Aktiv!$E$6:$E$350,MATCH(A192,Aktiv!$A$6:$A$350,0)),0)=0,IFERROR(INDEX(Aktiv!$F$6:$F$350,MATCH(A192,Aktiv!$A$6:$A$350,0)),0)=0),1,(IFERROR(INDEX(Aktiv!$E$6:$E$350,MATCH(A192,Aktiv!$A$6:$A$350,0)),0)*IFERROR(INDEX(Aktiv!$F$6:$F$350,MATCH(A192,Aktiv!$A$6:$A$350,0)),0)/1000000)/Steuerungsdaten!$B$6),1-1),0))</f>
        <v>133</v>
      </c>
      <c r="Q192" s="297" t="str">
        <f>IFERROR(INDEX(Aktiv!$J$6:$J$350,MATCH(A192,Aktiv!$A$6:$A$350,0)),"")</f>
        <v>-</v>
      </c>
      <c r="R192" s="298" t="e">
        <f t="shared" si="22"/>
        <v>#VALUE!</v>
      </c>
      <c r="S192" s="296" t="e">
        <f t="shared" si="23"/>
        <v>#VALUE!</v>
      </c>
    </row>
    <row r="193" spans="1:19" x14ac:dyDescent="0.25">
      <c r="A193" s="292">
        <v>3815</v>
      </c>
      <c r="B193" s="292" t="s">
        <v>209</v>
      </c>
      <c r="C193" s="293">
        <f>IFERROR(INDEX(Aktiv!$O$6:$O$350,MATCH(A193,Aktiv!$A$6:$A$350,0)),"")</f>
        <v>180</v>
      </c>
      <c r="D193" s="293">
        <f>IF(C193="","",ROUND(C193*Steuerungsdaten!$B$4*Steuerungsdaten!$B$7*IFERROR(VLOOKUP(IFERROR(INDEX(Aktiv!$C$6:$C$350,MATCH(A193,Aktiv!$A$6:$A$350,0)),""),Steuerungsdaten!$B$17:$C$37,2,FALSE),1)*POWER(IF(OR(IFERROR(INDEX(Aktiv!$E$6:$E$350,MATCH(A193,Aktiv!$A$6:$A$350,0)),0)=0,IFERROR(INDEX(Aktiv!$F$6:$F$350,MATCH(A193,Aktiv!$A$6:$A$350,0)),0)=0),1,(IFERROR(INDEX(Aktiv!$E$6:$E$350,MATCH(A193,Aktiv!$A$6:$A$350,0)),0)*IFERROR(INDEX(Aktiv!$F$6:$F$350,MATCH(A193,Aktiv!$A$6:$A$350,0)),0)/1000000)/Steuerungsdaten!$B$6),IF(ISNUMBER(MATCH(IFERROR(INDEX(Aktiv!$C$6:$C$350,MATCH(A193,Aktiv!$A$6:$A$350,0)),""),{"Boden","Seite außen","Seite außen SY32","Rücken","Seite innen","Seite innen SY32","Seite innen SY32 DB","Fachboden klein","Fachboden groß","Klappenboden"},0)),1.2,1)-1),0))</f>
        <v>194</v>
      </c>
      <c r="E193" s="293" t="str">
        <f>IFERROR(INDEX(Aktiv!$G$6:$G$350,MATCH(A193,Aktiv!$A$6:$A$350,0)),"")</f>
        <v>-</v>
      </c>
      <c r="F193" s="294" t="e">
        <f t="shared" si="16"/>
        <v>#VALUE!</v>
      </c>
      <c r="G193" s="295" t="e">
        <f t="shared" si="17"/>
        <v>#VALUE!</v>
      </c>
      <c r="H193" s="293">
        <f>IF(C193="","",ROUND(C193*Steuerungsdaten!$B$4*Steuerungsdaten!$B$8*IFERROR(VLOOKUP(IFERROR(INDEX(Aktiv!$C$6:$C$350,MATCH(A193,Aktiv!$A$6:$A$350,0)),""),Steuerungsdaten!$B$17:$E$37,4,FALSE),1)*POWER(IF(OR(IFERROR(INDEX(Aktiv!$E$6:$E$350,MATCH(A193,Aktiv!$A$6:$A$350,0)),0)=0,IFERROR(INDEX(Aktiv!$F$6:$F$350,MATCH(A193,Aktiv!$A$6:$A$350,0)),0)=0),1,(IFERROR(INDEX(Aktiv!$E$6:$E$350,MATCH(A193,Aktiv!$A$6:$A$350,0)),0)*IFERROR(INDEX(Aktiv!$F$6:$F$350,MATCH(A193,Aktiv!$A$6:$A$350,0)),0)/1000000)/Steuerungsdaten!$B$6),1-1),0))</f>
        <v>158</v>
      </c>
      <c r="I193" s="293" t="str">
        <f>IFERROR(INDEX(Aktiv!$H$6:$H$350,MATCH(A193,Aktiv!$A$6:$A$350,0)),"")</f>
        <v>-</v>
      </c>
      <c r="J193" s="294" t="e">
        <f t="shared" si="18"/>
        <v>#VALUE!</v>
      </c>
      <c r="K193" s="296" t="e">
        <f t="shared" si="19"/>
        <v>#VALUE!</v>
      </c>
      <c r="L193" s="297">
        <f>IF(C193="","",ROUND(C193*Steuerungsdaten!$B$4*Steuerungsdaten!$B$9*IFERROR(VLOOKUP(IFERROR(INDEX(Aktiv!$C$6:$C$350,MATCH(A193,Aktiv!$A$6:$A$350,0)),""),Steuerungsdaten!$B$17:$G$37,6,FALSE),1)*POWER(IF(OR(IFERROR(INDEX(Aktiv!$E$6:$E$350,MATCH(A193,Aktiv!$A$6:$A$350,0)),0)=0,IFERROR(INDEX(Aktiv!$F$6:$F$350,MATCH(A193,Aktiv!$A$6:$A$350,0)),0)=0),1,(IFERROR(INDEX(Aktiv!$E$6:$E$350,MATCH(A193,Aktiv!$A$6:$A$350,0)),0)*IFERROR(INDEX(Aktiv!$F$6:$F$350,MATCH(A193,Aktiv!$A$6:$A$350,0)),0)/1000000)/Steuerungsdaten!$B$6),1-1),0))</f>
        <v>158</v>
      </c>
      <c r="M193" s="297" t="str">
        <f>IFERROR(INDEX(Aktiv!$I$6:$I$350,MATCH(A193,Aktiv!$A$6:$A$350,0)),"")</f>
        <v>-</v>
      </c>
      <c r="N193" s="298" t="e">
        <f t="shared" si="20"/>
        <v>#VALUE!</v>
      </c>
      <c r="O193" s="296" t="e">
        <f t="shared" si="21"/>
        <v>#VALUE!</v>
      </c>
      <c r="P193" s="297">
        <f>IF(C193="","",ROUND(C193*Steuerungsdaten!$B$4*Steuerungsdaten!$B$10*IFERROR(VLOOKUP(IFERROR(INDEX(Aktiv!$C$6:$C$350,MATCH(A193,Aktiv!$A$6:$A$350,0)),""),Steuerungsdaten!$B$17:$I$37,8,FALSE),1)*POWER(IF(OR(IFERROR(INDEX(Aktiv!$E$6:$E$350,MATCH(A193,Aktiv!$A$6:$A$350,0)),0)=0,IFERROR(INDEX(Aktiv!$F$6:$F$350,MATCH(A193,Aktiv!$A$6:$A$350,0)),0)=0),1,(IFERROR(INDEX(Aktiv!$E$6:$E$350,MATCH(A193,Aktiv!$A$6:$A$350,0)),0)*IFERROR(INDEX(Aktiv!$F$6:$F$350,MATCH(A193,Aktiv!$A$6:$A$350,0)),0)/1000000)/Steuerungsdaten!$B$6),1-1),0))</f>
        <v>173</v>
      </c>
      <c r="Q193" s="297" t="str">
        <f>IFERROR(INDEX(Aktiv!$J$6:$J$350,MATCH(A193,Aktiv!$A$6:$A$350,0)),"")</f>
        <v>-</v>
      </c>
      <c r="R193" s="298" t="e">
        <f t="shared" si="22"/>
        <v>#VALUE!</v>
      </c>
      <c r="S193" s="296" t="e">
        <f t="shared" si="23"/>
        <v>#VALUE!</v>
      </c>
    </row>
    <row r="194" spans="1:19" x14ac:dyDescent="0.25">
      <c r="A194" s="292">
        <v>5000</v>
      </c>
      <c r="B194" s="292" t="s">
        <v>210</v>
      </c>
      <c r="C194" s="293">
        <f>IFERROR(INDEX(Aktiv!$O$6:$O$350,MATCH(A194,Aktiv!$A$6:$A$350,0)),"")</f>
        <v>169</v>
      </c>
      <c r="D194" s="293">
        <f>IF(C194="","",ROUND(C194*Steuerungsdaten!$B$4*Steuerungsdaten!$B$7*IFERROR(VLOOKUP(IFERROR(INDEX(Aktiv!$C$6:$C$350,MATCH(A194,Aktiv!$A$6:$A$350,0)),""),Steuerungsdaten!$B$17:$C$37,2,FALSE),1)*POWER(IF(OR(IFERROR(INDEX(Aktiv!$E$6:$E$350,MATCH(A194,Aktiv!$A$6:$A$350,0)),0)=0,IFERROR(INDEX(Aktiv!$F$6:$F$350,MATCH(A194,Aktiv!$A$6:$A$350,0)),0)=0),1,(IFERROR(INDEX(Aktiv!$E$6:$E$350,MATCH(A194,Aktiv!$A$6:$A$350,0)),0)*IFERROR(INDEX(Aktiv!$F$6:$F$350,MATCH(A194,Aktiv!$A$6:$A$350,0)),0)/1000000)/Steuerungsdaten!$B$6),IF(ISNUMBER(MATCH(IFERROR(INDEX(Aktiv!$C$6:$C$350,MATCH(A194,Aktiv!$A$6:$A$350,0)),""),{"Boden","Seite außen","Seite außen SY32","Rücken","Seite innen","Seite innen SY32","Seite innen SY32 DB","Fachboden klein","Fachboden groß","Klappenboden"},0)),1.2,1)-1),0))</f>
        <v>164</v>
      </c>
      <c r="E194" s="293">
        <f>IFERROR(INDEX(Aktiv!$G$6:$G$350,MATCH(A194,Aktiv!$A$6:$A$350,0)),"")</f>
        <v>103</v>
      </c>
      <c r="F194" s="294">
        <f t="shared" si="16"/>
        <v>-61</v>
      </c>
      <c r="G194" s="295">
        <f t="shared" si="17"/>
        <v>-0.37195121951219512</v>
      </c>
      <c r="H194" s="293">
        <f>IF(C194="","",ROUND(C194*Steuerungsdaten!$B$4*Steuerungsdaten!$B$8*IFERROR(VLOOKUP(IFERROR(INDEX(Aktiv!$C$6:$C$350,MATCH(A194,Aktiv!$A$6:$A$350,0)),""),Steuerungsdaten!$B$17:$E$37,4,FALSE),1)*POWER(IF(OR(IFERROR(INDEX(Aktiv!$E$6:$E$350,MATCH(A194,Aktiv!$A$6:$A$350,0)),0)=0,IFERROR(INDEX(Aktiv!$F$6:$F$350,MATCH(A194,Aktiv!$A$6:$A$350,0)),0)=0),1,(IFERROR(INDEX(Aktiv!$E$6:$E$350,MATCH(A194,Aktiv!$A$6:$A$350,0)),0)*IFERROR(INDEX(Aktiv!$F$6:$F$350,MATCH(A194,Aktiv!$A$6:$A$350,0)),0)/1000000)/Steuerungsdaten!$B$6),1-1),0))</f>
        <v>164</v>
      </c>
      <c r="I194" s="293">
        <f>IFERROR(INDEX(Aktiv!$H$6:$H$350,MATCH(A194,Aktiv!$A$6:$A$350,0)),"")</f>
        <v>171</v>
      </c>
      <c r="J194" s="294">
        <f t="shared" si="18"/>
        <v>7</v>
      </c>
      <c r="K194" s="296">
        <f t="shared" si="19"/>
        <v>4.2682926829268296E-2</v>
      </c>
      <c r="L194" s="297">
        <f>IF(C194="","",ROUND(C194*Steuerungsdaten!$B$4*Steuerungsdaten!$B$9*IFERROR(VLOOKUP(IFERROR(INDEX(Aktiv!$C$6:$C$350,MATCH(A194,Aktiv!$A$6:$A$350,0)),""),Steuerungsdaten!$B$17:$G$37,6,FALSE),1)*POWER(IF(OR(IFERROR(INDEX(Aktiv!$E$6:$E$350,MATCH(A194,Aktiv!$A$6:$A$350,0)),0)=0,IFERROR(INDEX(Aktiv!$F$6:$F$350,MATCH(A194,Aktiv!$A$6:$A$350,0)),0)=0),1,(IFERROR(INDEX(Aktiv!$E$6:$E$350,MATCH(A194,Aktiv!$A$6:$A$350,0)),0)*IFERROR(INDEX(Aktiv!$F$6:$F$350,MATCH(A194,Aktiv!$A$6:$A$350,0)),0)/1000000)/Steuerungsdaten!$B$6),1-1),0))</f>
        <v>164</v>
      </c>
      <c r="M194" s="297">
        <f>IFERROR(INDEX(Aktiv!$I$6:$I$350,MATCH(A194,Aktiv!$A$6:$A$350,0)),"")</f>
        <v>180</v>
      </c>
      <c r="N194" s="298">
        <f t="shared" si="20"/>
        <v>16</v>
      </c>
      <c r="O194" s="296">
        <f t="shared" si="21"/>
        <v>9.7560975609756101E-2</v>
      </c>
      <c r="P194" s="297">
        <f>IF(C194="","",ROUND(C194*Steuerungsdaten!$B$4*Steuerungsdaten!$B$10*IFERROR(VLOOKUP(IFERROR(INDEX(Aktiv!$C$6:$C$350,MATCH(A194,Aktiv!$A$6:$A$350,0)),""),Steuerungsdaten!$B$17:$I$37,8,FALSE),1)*POWER(IF(OR(IFERROR(INDEX(Aktiv!$E$6:$E$350,MATCH(A194,Aktiv!$A$6:$A$350,0)),0)=0,IFERROR(INDEX(Aktiv!$F$6:$F$350,MATCH(A194,Aktiv!$A$6:$A$350,0)),0)=0),1,(IFERROR(INDEX(Aktiv!$E$6:$E$350,MATCH(A194,Aktiv!$A$6:$A$350,0)),0)*IFERROR(INDEX(Aktiv!$F$6:$F$350,MATCH(A194,Aktiv!$A$6:$A$350,0)),0)/1000000)/Steuerungsdaten!$B$6),1-1),0))</f>
        <v>178</v>
      </c>
      <c r="Q194" s="297">
        <f>IFERROR(INDEX(Aktiv!$J$6:$J$350,MATCH(A194,Aktiv!$A$6:$A$350,0)),"")</f>
        <v>243</v>
      </c>
      <c r="R194" s="298">
        <f t="shared" si="22"/>
        <v>65</v>
      </c>
      <c r="S194" s="296">
        <f t="shared" si="23"/>
        <v>0.3651685393258427</v>
      </c>
    </row>
    <row r="195" spans="1:19" x14ac:dyDescent="0.25">
      <c r="A195" s="292">
        <v>5001</v>
      </c>
      <c r="B195" s="292" t="s">
        <v>211</v>
      </c>
      <c r="C195" s="293">
        <f>IFERROR(INDEX(Aktiv!$O$6:$O$350,MATCH(A195,Aktiv!$A$6:$A$350,0)),"")</f>
        <v>169</v>
      </c>
      <c r="D195" s="293">
        <f>IF(C195="","",ROUND(C195*Steuerungsdaten!$B$4*Steuerungsdaten!$B$7*IFERROR(VLOOKUP(IFERROR(INDEX(Aktiv!$C$6:$C$350,MATCH(A195,Aktiv!$A$6:$A$350,0)),""),Steuerungsdaten!$B$17:$C$37,2,FALSE),1)*POWER(IF(OR(IFERROR(INDEX(Aktiv!$E$6:$E$350,MATCH(A195,Aktiv!$A$6:$A$350,0)),0)=0,IFERROR(INDEX(Aktiv!$F$6:$F$350,MATCH(A195,Aktiv!$A$6:$A$350,0)),0)=0),1,(IFERROR(INDEX(Aktiv!$E$6:$E$350,MATCH(A195,Aktiv!$A$6:$A$350,0)),0)*IFERROR(INDEX(Aktiv!$F$6:$F$350,MATCH(A195,Aktiv!$A$6:$A$350,0)),0)/1000000)/Steuerungsdaten!$B$6),IF(ISNUMBER(MATCH(IFERROR(INDEX(Aktiv!$C$6:$C$350,MATCH(A195,Aktiv!$A$6:$A$350,0)),""),{"Boden","Seite außen","Seite außen SY32","Rücken","Seite innen","Seite innen SY32","Seite innen SY32 DB","Fachboden klein","Fachboden groß","Klappenboden"},0)),1.2,1)-1),0))</f>
        <v>164</v>
      </c>
      <c r="E195" s="293">
        <f>IFERROR(INDEX(Aktiv!$G$6:$G$350,MATCH(A195,Aktiv!$A$6:$A$350,0)),"")</f>
        <v>146</v>
      </c>
      <c r="F195" s="294">
        <f t="shared" si="16"/>
        <v>-18</v>
      </c>
      <c r="G195" s="295">
        <f t="shared" si="17"/>
        <v>-0.10975609756097561</v>
      </c>
      <c r="H195" s="293">
        <f>IF(C195="","",ROUND(C195*Steuerungsdaten!$B$4*Steuerungsdaten!$B$8*IFERROR(VLOOKUP(IFERROR(INDEX(Aktiv!$C$6:$C$350,MATCH(A195,Aktiv!$A$6:$A$350,0)),""),Steuerungsdaten!$B$17:$E$37,4,FALSE),1)*POWER(IF(OR(IFERROR(INDEX(Aktiv!$E$6:$E$350,MATCH(A195,Aktiv!$A$6:$A$350,0)),0)=0,IFERROR(INDEX(Aktiv!$F$6:$F$350,MATCH(A195,Aktiv!$A$6:$A$350,0)),0)=0),1,(IFERROR(INDEX(Aktiv!$E$6:$E$350,MATCH(A195,Aktiv!$A$6:$A$350,0)),0)*IFERROR(INDEX(Aktiv!$F$6:$F$350,MATCH(A195,Aktiv!$A$6:$A$350,0)),0)/1000000)/Steuerungsdaten!$B$6),1-1),0))</f>
        <v>164</v>
      </c>
      <c r="I195" s="293">
        <f>IFERROR(INDEX(Aktiv!$H$6:$H$350,MATCH(A195,Aktiv!$A$6:$A$350,0)),"")</f>
        <v>242</v>
      </c>
      <c r="J195" s="294">
        <f t="shared" si="18"/>
        <v>78</v>
      </c>
      <c r="K195" s="296">
        <f t="shared" si="19"/>
        <v>0.47560975609756095</v>
      </c>
      <c r="L195" s="297">
        <f>IF(C195="","",ROUND(C195*Steuerungsdaten!$B$4*Steuerungsdaten!$B$9*IFERROR(VLOOKUP(IFERROR(INDEX(Aktiv!$C$6:$C$350,MATCH(A195,Aktiv!$A$6:$A$350,0)),""),Steuerungsdaten!$B$17:$G$37,6,FALSE),1)*POWER(IF(OR(IFERROR(INDEX(Aktiv!$E$6:$E$350,MATCH(A195,Aktiv!$A$6:$A$350,0)),0)=0,IFERROR(INDEX(Aktiv!$F$6:$F$350,MATCH(A195,Aktiv!$A$6:$A$350,0)),0)=0),1,(IFERROR(INDEX(Aktiv!$E$6:$E$350,MATCH(A195,Aktiv!$A$6:$A$350,0)),0)*IFERROR(INDEX(Aktiv!$F$6:$F$350,MATCH(A195,Aktiv!$A$6:$A$350,0)),0)/1000000)/Steuerungsdaten!$B$6),1-1),0))</f>
        <v>164</v>
      </c>
      <c r="M195" s="297">
        <f>IFERROR(INDEX(Aktiv!$I$6:$I$350,MATCH(A195,Aktiv!$A$6:$A$350,0)),"")</f>
        <v>254</v>
      </c>
      <c r="N195" s="298">
        <f t="shared" si="20"/>
        <v>90</v>
      </c>
      <c r="O195" s="296">
        <f t="shared" si="21"/>
        <v>0.54878048780487809</v>
      </c>
      <c r="P195" s="297">
        <f>IF(C195="","",ROUND(C195*Steuerungsdaten!$B$4*Steuerungsdaten!$B$10*IFERROR(VLOOKUP(IFERROR(INDEX(Aktiv!$C$6:$C$350,MATCH(A195,Aktiv!$A$6:$A$350,0)),""),Steuerungsdaten!$B$17:$I$37,8,FALSE),1)*POWER(IF(OR(IFERROR(INDEX(Aktiv!$E$6:$E$350,MATCH(A195,Aktiv!$A$6:$A$350,0)),0)=0,IFERROR(INDEX(Aktiv!$F$6:$F$350,MATCH(A195,Aktiv!$A$6:$A$350,0)),0)=0),1,(IFERROR(INDEX(Aktiv!$E$6:$E$350,MATCH(A195,Aktiv!$A$6:$A$350,0)),0)*IFERROR(INDEX(Aktiv!$F$6:$F$350,MATCH(A195,Aktiv!$A$6:$A$350,0)),0)/1000000)/Steuerungsdaten!$B$6),1-1),0))</f>
        <v>178</v>
      </c>
      <c r="Q195" s="297">
        <f>IFERROR(INDEX(Aktiv!$J$6:$J$350,MATCH(A195,Aktiv!$A$6:$A$350,0)),"")</f>
        <v>344</v>
      </c>
      <c r="R195" s="298">
        <f t="shared" si="22"/>
        <v>166</v>
      </c>
      <c r="S195" s="296">
        <f t="shared" si="23"/>
        <v>0.93258426966292129</v>
      </c>
    </row>
    <row r="196" spans="1:19" x14ac:dyDescent="0.25">
      <c r="A196" s="292">
        <v>5002</v>
      </c>
      <c r="B196" s="292" t="s">
        <v>212</v>
      </c>
      <c r="C196" s="293">
        <f>IFERROR(INDEX(Aktiv!$O$6:$O$350,MATCH(A196,Aktiv!$A$6:$A$350,0)),"")</f>
        <v>184</v>
      </c>
      <c r="D196" s="293">
        <f>IF(C196="","",ROUND(C196*Steuerungsdaten!$B$4*Steuerungsdaten!$B$7*IFERROR(VLOOKUP(IFERROR(INDEX(Aktiv!$C$6:$C$350,MATCH(A196,Aktiv!$A$6:$A$350,0)),""),Steuerungsdaten!$B$17:$C$37,2,FALSE),1)*POWER(IF(OR(IFERROR(INDEX(Aktiv!$E$6:$E$350,MATCH(A196,Aktiv!$A$6:$A$350,0)),0)=0,IFERROR(INDEX(Aktiv!$F$6:$F$350,MATCH(A196,Aktiv!$A$6:$A$350,0)),0)=0),1,(IFERROR(INDEX(Aktiv!$E$6:$E$350,MATCH(A196,Aktiv!$A$6:$A$350,0)),0)*IFERROR(INDEX(Aktiv!$F$6:$F$350,MATCH(A196,Aktiv!$A$6:$A$350,0)),0)/1000000)/Steuerungsdaten!$B$6),IF(ISNUMBER(MATCH(IFERROR(INDEX(Aktiv!$C$6:$C$350,MATCH(A196,Aktiv!$A$6:$A$350,0)),""),{"Boden","Seite außen","Seite außen SY32","Rücken","Seite innen","Seite innen SY32","Seite innen SY32 DB","Fachboden klein","Fachboden groß","Klappenboden"},0)),1.2,1)-1),0))</f>
        <v>178</v>
      </c>
      <c r="E196" s="293">
        <f>IFERROR(INDEX(Aktiv!$G$6:$G$350,MATCH(A196,Aktiv!$A$6:$A$350,0)),"")</f>
        <v>122</v>
      </c>
      <c r="F196" s="294">
        <f t="shared" si="16"/>
        <v>-56</v>
      </c>
      <c r="G196" s="295">
        <f t="shared" si="17"/>
        <v>-0.3146067415730337</v>
      </c>
      <c r="H196" s="293">
        <f>IF(C196="","",ROUND(C196*Steuerungsdaten!$B$4*Steuerungsdaten!$B$8*IFERROR(VLOOKUP(IFERROR(INDEX(Aktiv!$C$6:$C$350,MATCH(A196,Aktiv!$A$6:$A$350,0)),""),Steuerungsdaten!$B$17:$E$37,4,FALSE),1)*POWER(IF(OR(IFERROR(INDEX(Aktiv!$E$6:$E$350,MATCH(A196,Aktiv!$A$6:$A$350,0)),0)=0,IFERROR(INDEX(Aktiv!$F$6:$F$350,MATCH(A196,Aktiv!$A$6:$A$350,0)),0)=0),1,(IFERROR(INDEX(Aktiv!$E$6:$E$350,MATCH(A196,Aktiv!$A$6:$A$350,0)),0)*IFERROR(INDEX(Aktiv!$F$6:$F$350,MATCH(A196,Aktiv!$A$6:$A$350,0)),0)/1000000)/Steuerungsdaten!$B$6),1-1),0))</f>
        <v>178</v>
      </c>
      <c r="I196" s="293">
        <f>IFERROR(INDEX(Aktiv!$H$6:$H$350,MATCH(A196,Aktiv!$A$6:$A$350,0)),"")</f>
        <v>201</v>
      </c>
      <c r="J196" s="294">
        <f t="shared" si="18"/>
        <v>23</v>
      </c>
      <c r="K196" s="296">
        <f t="shared" si="19"/>
        <v>0.12921348314606743</v>
      </c>
      <c r="L196" s="297">
        <f>IF(C196="","",ROUND(C196*Steuerungsdaten!$B$4*Steuerungsdaten!$B$9*IFERROR(VLOOKUP(IFERROR(INDEX(Aktiv!$C$6:$C$350,MATCH(A196,Aktiv!$A$6:$A$350,0)),""),Steuerungsdaten!$B$17:$G$37,6,FALSE),1)*POWER(IF(OR(IFERROR(INDEX(Aktiv!$E$6:$E$350,MATCH(A196,Aktiv!$A$6:$A$350,0)),0)=0,IFERROR(INDEX(Aktiv!$F$6:$F$350,MATCH(A196,Aktiv!$A$6:$A$350,0)),0)=0),1,(IFERROR(INDEX(Aktiv!$E$6:$E$350,MATCH(A196,Aktiv!$A$6:$A$350,0)),0)*IFERROR(INDEX(Aktiv!$F$6:$F$350,MATCH(A196,Aktiv!$A$6:$A$350,0)),0)/1000000)/Steuerungsdaten!$B$6),1-1),0))</f>
        <v>178</v>
      </c>
      <c r="M196" s="297">
        <f>IFERROR(INDEX(Aktiv!$I$6:$I$350,MATCH(A196,Aktiv!$A$6:$A$350,0)),"")</f>
        <v>211</v>
      </c>
      <c r="N196" s="298">
        <f t="shared" si="20"/>
        <v>33</v>
      </c>
      <c r="O196" s="296">
        <f t="shared" si="21"/>
        <v>0.1853932584269663</v>
      </c>
      <c r="P196" s="297">
        <f>IF(C196="","",ROUND(C196*Steuerungsdaten!$B$4*Steuerungsdaten!$B$10*IFERROR(VLOOKUP(IFERROR(INDEX(Aktiv!$C$6:$C$350,MATCH(A196,Aktiv!$A$6:$A$350,0)),""),Steuerungsdaten!$B$17:$I$37,8,FALSE),1)*POWER(IF(OR(IFERROR(INDEX(Aktiv!$E$6:$E$350,MATCH(A196,Aktiv!$A$6:$A$350,0)),0)=0,IFERROR(INDEX(Aktiv!$F$6:$F$350,MATCH(A196,Aktiv!$A$6:$A$350,0)),0)=0),1,(IFERROR(INDEX(Aktiv!$E$6:$E$350,MATCH(A196,Aktiv!$A$6:$A$350,0)),0)*IFERROR(INDEX(Aktiv!$F$6:$F$350,MATCH(A196,Aktiv!$A$6:$A$350,0)),0)/1000000)/Steuerungsdaten!$B$6),1-1),0))</f>
        <v>194</v>
      </c>
      <c r="Q196" s="297">
        <f>IFERROR(INDEX(Aktiv!$J$6:$J$350,MATCH(A196,Aktiv!$A$6:$A$350,0)),"")</f>
        <v>285</v>
      </c>
      <c r="R196" s="298">
        <f t="shared" si="22"/>
        <v>91</v>
      </c>
      <c r="S196" s="296">
        <f t="shared" si="23"/>
        <v>0.46907216494845361</v>
      </c>
    </row>
    <row r="197" spans="1:19" x14ac:dyDescent="0.25">
      <c r="A197" s="292">
        <v>5003</v>
      </c>
      <c r="B197" s="292" t="s">
        <v>213</v>
      </c>
      <c r="C197" s="293">
        <f>IFERROR(INDEX(Aktiv!$O$6:$O$350,MATCH(A197,Aktiv!$A$6:$A$350,0)),"")</f>
        <v>184</v>
      </c>
      <c r="D197" s="293">
        <f>IF(C197="","",ROUND(C197*Steuerungsdaten!$B$4*Steuerungsdaten!$B$7*IFERROR(VLOOKUP(IFERROR(INDEX(Aktiv!$C$6:$C$350,MATCH(A197,Aktiv!$A$6:$A$350,0)),""),Steuerungsdaten!$B$17:$C$37,2,FALSE),1)*POWER(IF(OR(IFERROR(INDEX(Aktiv!$E$6:$E$350,MATCH(A197,Aktiv!$A$6:$A$350,0)),0)=0,IFERROR(INDEX(Aktiv!$F$6:$F$350,MATCH(A197,Aktiv!$A$6:$A$350,0)),0)=0),1,(IFERROR(INDEX(Aktiv!$E$6:$E$350,MATCH(A197,Aktiv!$A$6:$A$350,0)),0)*IFERROR(INDEX(Aktiv!$F$6:$F$350,MATCH(A197,Aktiv!$A$6:$A$350,0)),0)/1000000)/Steuerungsdaten!$B$6),IF(ISNUMBER(MATCH(IFERROR(INDEX(Aktiv!$C$6:$C$350,MATCH(A197,Aktiv!$A$6:$A$350,0)),""),{"Boden","Seite außen","Seite außen SY32","Rücken","Seite innen","Seite innen SY32","Seite innen SY32 DB","Fachboden klein","Fachboden groß","Klappenboden"},0)),1.2,1)-1),0))</f>
        <v>178</v>
      </c>
      <c r="E197" s="293">
        <f>IFERROR(INDEX(Aktiv!$G$6:$G$350,MATCH(A197,Aktiv!$A$6:$A$350,0)),"")</f>
        <v>172</v>
      </c>
      <c r="F197" s="294">
        <f t="shared" ref="F197:F260" si="24">IF(OR(D197="",E197=""),"",E197-D197)</f>
        <v>-6</v>
      </c>
      <c r="G197" s="295">
        <f t="shared" ref="G197:G260" si="25">IF(OR(D197="",E197="",D197=0),"",(E197-D197)/D197)</f>
        <v>-3.3707865168539325E-2</v>
      </c>
      <c r="H197" s="293">
        <f>IF(C197="","",ROUND(C197*Steuerungsdaten!$B$4*Steuerungsdaten!$B$8*IFERROR(VLOOKUP(IFERROR(INDEX(Aktiv!$C$6:$C$350,MATCH(A197,Aktiv!$A$6:$A$350,0)),""),Steuerungsdaten!$B$17:$E$37,4,FALSE),1)*POWER(IF(OR(IFERROR(INDEX(Aktiv!$E$6:$E$350,MATCH(A197,Aktiv!$A$6:$A$350,0)),0)=0,IFERROR(INDEX(Aktiv!$F$6:$F$350,MATCH(A197,Aktiv!$A$6:$A$350,0)),0)=0),1,(IFERROR(INDEX(Aktiv!$E$6:$E$350,MATCH(A197,Aktiv!$A$6:$A$350,0)),0)*IFERROR(INDEX(Aktiv!$F$6:$F$350,MATCH(A197,Aktiv!$A$6:$A$350,0)),0)/1000000)/Steuerungsdaten!$B$6),1-1),0))</f>
        <v>178</v>
      </c>
      <c r="I197" s="293">
        <f>IFERROR(INDEX(Aktiv!$H$6:$H$350,MATCH(A197,Aktiv!$A$6:$A$350,0)),"")</f>
        <v>284</v>
      </c>
      <c r="J197" s="294">
        <f t="shared" ref="J197:J260" si="26">IF(OR(H197="",I197=""),"",I197-H197)</f>
        <v>106</v>
      </c>
      <c r="K197" s="296">
        <f t="shared" ref="K197:K260" si="27">IF(OR(H197="",I197="",H197=0),"",(I197-H197)/H197)</f>
        <v>0.5955056179775281</v>
      </c>
      <c r="L197" s="297">
        <f>IF(C197="","",ROUND(C197*Steuerungsdaten!$B$4*Steuerungsdaten!$B$9*IFERROR(VLOOKUP(IFERROR(INDEX(Aktiv!$C$6:$C$350,MATCH(A197,Aktiv!$A$6:$A$350,0)),""),Steuerungsdaten!$B$17:$G$37,6,FALSE),1)*POWER(IF(OR(IFERROR(INDEX(Aktiv!$E$6:$E$350,MATCH(A197,Aktiv!$A$6:$A$350,0)),0)=0,IFERROR(INDEX(Aktiv!$F$6:$F$350,MATCH(A197,Aktiv!$A$6:$A$350,0)),0)=0),1,(IFERROR(INDEX(Aktiv!$E$6:$E$350,MATCH(A197,Aktiv!$A$6:$A$350,0)),0)*IFERROR(INDEX(Aktiv!$F$6:$F$350,MATCH(A197,Aktiv!$A$6:$A$350,0)),0)/1000000)/Steuerungsdaten!$B$6),1-1),0))</f>
        <v>178</v>
      </c>
      <c r="M197" s="297">
        <f>IFERROR(INDEX(Aktiv!$I$6:$I$350,MATCH(A197,Aktiv!$A$6:$A$350,0)),"")</f>
        <v>299</v>
      </c>
      <c r="N197" s="298">
        <f t="shared" ref="N197:N260" si="28">IF(OR(L197="",M197=""),"",M197-L197)</f>
        <v>121</v>
      </c>
      <c r="O197" s="296">
        <f t="shared" ref="O197:O260" si="29">IF(OR(L197="",M197="",L197=0),"",(M197-L197)/L197)</f>
        <v>0.6797752808988764</v>
      </c>
      <c r="P197" s="297">
        <f>IF(C197="","",ROUND(C197*Steuerungsdaten!$B$4*Steuerungsdaten!$B$10*IFERROR(VLOOKUP(IFERROR(INDEX(Aktiv!$C$6:$C$350,MATCH(A197,Aktiv!$A$6:$A$350,0)),""),Steuerungsdaten!$B$17:$I$37,8,FALSE),1)*POWER(IF(OR(IFERROR(INDEX(Aktiv!$E$6:$E$350,MATCH(A197,Aktiv!$A$6:$A$350,0)),0)=0,IFERROR(INDEX(Aktiv!$F$6:$F$350,MATCH(A197,Aktiv!$A$6:$A$350,0)),0)=0),1,(IFERROR(INDEX(Aktiv!$E$6:$E$350,MATCH(A197,Aktiv!$A$6:$A$350,0)),0)*IFERROR(INDEX(Aktiv!$F$6:$F$350,MATCH(A197,Aktiv!$A$6:$A$350,0)),0)/1000000)/Steuerungsdaten!$B$6),1-1),0))</f>
        <v>194</v>
      </c>
      <c r="Q197" s="297">
        <f>IFERROR(INDEX(Aktiv!$J$6:$J$350,MATCH(A197,Aktiv!$A$6:$A$350,0)),"")</f>
        <v>404</v>
      </c>
      <c r="R197" s="298">
        <f t="shared" ref="R197:R260" si="30">IF(OR(P197="",Q197=""),"",Q197-P197)</f>
        <v>210</v>
      </c>
      <c r="S197" s="296">
        <f t="shared" ref="S197:S260" si="31">IF(OR(P197="",Q197="",P197=0),"",(Q197-P197)/P197)</f>
        <v>1.0824742268041236</v>
      </c>
    </row>
    <row r="198" spans="1:19" x14ac:dyDescent="0.25">
      <c r="A198" s="292">
        <v>5004</v>
      </c>
      <c r="B198" s="292" t="s">
        <v>214</v>
      </c>
      <c r="C198" s="293">
        <f>IFERROR(INDEX(Aktiv!$O$6:$O$350,MATCH(A198,Aktiv!$A$6:$A$350,0)),"")</f>
        <v>198</v>
      </c>
      <c r="D198" s="293">
        <f>IF(C198="","",ROUND(C198*Steuerungsdaten!$B$4*Steuerungsdaten!$B$7*IFERROR(VLOOKUP(IFERROR(INDEX(Aktiv!$C$6:$C$350,MATCH(A198,Aktiv!$A$6:$A$350,0)),""),Steuerungsdaten!$B$17:$C$37,2,FALSE),1)*POWER(IF(OR(IFERROR(INDEX(Aktiv!$E$6:$E$350,MATCH(A198,Aktiv!$A$6:$A$350,0)),0)=0,IFERROR(INDEX(Aktiv!$F$6:$F$350,MATCH(A198,Aktiv!$A$6:$A$350,0)),0)=0),1,(IFERROR(INDEX(Aktiv!$E$6:$E$350,MATCH(A198,Aktiv!$A$6:$A$350,0)),0)*IFERROR(INDEX(Aktiv!$F$6:$F$350,MATCH(A198,Aktiv!$A$6:$A$350,0)),0)/1000000)/Steuerungsdaten!$B$6),IF(ISNUMBER(MATCH(IFERROR(INDEX(Aktiv!$C$6:$C$350,MATCH(A198,Aktiv!$A$6:$A$350,0)),""),{"Boden","Seite außen","Seite außen SY32","Rücken","Seite innen","Seite innen SY32","Seite innen SY32 DB","Fachboden klein","Fachboden groß","Klappenboden"},0)),1.2,1)-1),0))</f>
        <v>192</v>
      </c>
      <c r="E198" s="293">
        <f>IFERROR(INDEX(Aktiv!$G$6:$G$350,MATCH(A198,Aktiv!$A$6:$A$350,0)),"")</f>
        <v>141</v>
      </c>
      <c r="F198" s="294">
        <f t="shared" si="24"/>
        <v>-51</v>
      </c>
      <c r="G198" s="295">
        <f t="shared" si="25"/>
        <v>-0.265625</v>
      </c>
      <c r="H198" s="293">
        <f>IF(C198="","",ROUND(C198*Steuerungsdaten!$B$4*Steuerungsdaten!$B$8*IFERROR(VLOOKUP(IFERROR(INDEX(Aktiv!$C$6:$C$350,MATCH(A198,Aktiv!$A$6:$A$350,0)),""),Steuerungsdaten!$B$17:$E$37,4,FALSE),1)*POWER(IF(OR(IFERROR(INDEX(Aktiv!$E$6:$E$350,MATCH(A198,Aktiv!$A$6:$A$350,0)),0)=0,IFERROR(INDEX(Aktiv!$F$6:$F$350,MATCH(A198,Aktiv!$A$6:$A$350,0)),0)=0),1,(IFERROR(INDEX(Aktiv!$E$6:$E$350,MATCH(A198,Aktiv!$A$6:$A$350,0)),0)*IFERROR(INDEX(Aktiv!$F$6:$F$350,MATCH(A198,Aktiv!$A$6:$A$350,0)),0)/1000000)/Steuerungsdaten!$B$6),1-1),0))</f>
        <v>192</v>
      </c>
      <c r="I198" s="293">
        <f>IFERROR(INDEX(Aktiv!$H$6:$H$350,MATCH(A198,Aktiv!$A$6:$A$350,0)),"")</f>
        <v>233</v>
      </c>
      <c r="J198" s="294">
        <f t="shared" si="26"/>
        <v>41</v>
      </c>
      <c r="K198" s="296">
        <f t="shared" si="27"/>
        <v>0.21354166666666666</v>
      </c>
      <c r="L198" s="297">
        <f>IF(C198="","",ROUND(C198*Steuerungsdaten!$B$4*Steuerungsdaten!$B$9*IFERROR(VLOOKUP(IFERROR(INDEX(Aktiv!$C$6:$C$350,MATCH(A198,Aktiv!$A$6:$A$350,0)),""),Steuerungsdaten!$B$17:$G$37,6,FALSE),1)*POWER(IF(OR(IFERROR(INDEX(Aktiv!$E$6:$E$350,MATCH(A198,Aktiv!$A$6:$A$350,0)),0)=0,IFERROR(INDEX(Aktiv!$F$6:$F$350,MATCH(A198,Aktiv!$A$6:$A$350,0)),0)=0),1,(IFERROR(INDEX(Aktiv!$E$6:$E$350,MATCH(A198,Aktiv!$A$6:$A$350,0)),0)*IFERROR(INDEX(Aktiv!$F$6:$F$350,MATCH(A198,Aktiv!$A$6:$A$350,0)),0)/1000000)/Steuerungsdaten!$B$6),1-1),0))</f>
        <v>192</v>
      </c>
      <c r="M198" s="297">
        <f>IFERROR(INDEX(Aktiv!$I$6:$I$350,MATCH(A198,Aktiv!$A$6:$A$350,0)),"")</f>
        <v>245</v>
      </c>
      <c r="N198" s="298">
        <f t="shared" si="28"/>
        <v>53</v>
      </c>
      <c r="O198" s="296">
        <f t="shared" si="29"/>
        <v>0.27604166666666669</v>
      </c>
      <c r="P198" s="297">
        <f>IF(C198="","",ROUND(C198*Steuerungsdaten!$B$4*Steuerungsdaten!$B$10*IFERROR(VLOOKUP(IFERROR(INDEX(Aktiv!$C$6:$C$350,MATCH(A198,Aktiv!$A$6:$A$350,0)),""),Steuerungsdaten!$B$17:$I$37,8,FALSE),1)*POWER(IF(OR(IFERROR(INDEX(Aktiv!$E$6:$E$350,MATCH(A198,Aktiv!$A$6:$A$350,0)),0)=0,IFERROR(INDEX(Aktiv!$F$6:$F$350,MATCH(A198,Aktiv!$A$6:$A$350,0)),0)=0),1,(IFERROR(INDEX(Aktiv!$E$6:$E$350,MATCH(A198,Aktiv!$A$6:$A$350,0)),0)*IFERROR(INDEX(Aktiv!$F$6:$F$350,MATCH(A198,Aktiv!$A$6:$A$350,0)),0)/1000000)/Steuerungsdaten!$B$6),1-1),0))</f>
        <v>209</v>
      </c>
      <c r="Q198" s="297">
        <f>IFERROR(INDEX(Aktiv!$J$6:$J$350,MATCH(A198,Aktiv!$A$6:$A$350,0)),"")</f>
        <v>331</v>
      </c>
      <c r="R198" s="298">
        <f t="shared" si="30"/>
        <v>122</v>
      </c>
      <c r="S198" s="296">
        <f t="shared" si="31"/>
        <v>0.58373205741626799</v>
      </c>
    </row>
    <row r="199" spans="1:19" x14ac:dyDescent="0.25">
      <c r="A199" s="292">
        <v>5005</v>
      </c>
      <c r="B199" s="292" t="s">
        <v>215</v>
      </c>
      <c r="C199" s="293">
        <f>IFERROR(INDEX(Aktiv!$O$6:$O$350,MATCH(A199,Aktiv!$A$6:$A$350,0)),"")</f>
        <v>198</v>
      </c>
      <c r="D199" s="293">
        <f>IF(C199="","",ROUND(C199*Steuerungsdaten!$B$4*Steuerungsdaten!$B$7*IFERROR(VLOOKUP(IFERROR(INDEX(Aktiv!$C$6:$C$350,MATCH(A199,Aktiv!$A$6:$A$350,0)),""),Steuerungsdaten!$B$17:$C$37,2,FALSE),1)*POWER(IF(OR(IFERROR(INDEX(Aktiv!$E$6:$E$350,MATCH(A199,Aktiv!$A$6:$A$350,0)),0)=0,IFERROR(INDEX(Aktiv!$F$6:$F$350,MATCH(A199,Aktiv!$A$6:$A$350,0)),0)=0),1,(IFERROR(INDEX(Aktiv!$E$6:$E$350,MATCH(A199,Aktiv!$A$6:$A$350,0)),0)*IFERROR(INDEX(Aktiv!$F$6:$F$350,MATCH(A199,Aktiv!$A$6:$A$350,0)),0)/1000000)/Steuerungsdaten!$B$6),IF(ISNUMBER(MATCH(IFERROR(INDEX(Aktiv!$C$6:$C$350,MATCH(A199,Aktiv!$A$6:$A$350,0)),""),{"Boden","Seite außen","Seite außen SY32","Rücken","Seite innen","Seite innen SY32","Seite innen SY32 DB","Fachboden klein","Fachboden groß","Klappenboden"},0)),1.2,1)-1),0))</f>
        <v>192</v>
      </c>
      <c r="E199" s="293">
        <f>IFERROR(INDEX(Aktiv!$G$6:$G$350,MATCH(A199,Aktiv!$A$6:$A$350,0)),"")</f>
        <v>199</v>
      </c>
      <c r="F199" s="294">
        <f t="shared" si="24"/>
        <v>7</v>
      </c>
      <c r="G199" s="295">
        <f t="shared" si="25"/>
        <v>3.6458333333333336E-2</v>
      </c>
      <c r="H199" s="293">
        <f>IF(C199="","",ROUND(C199*Steuerungsdaten!$B$4*Steuerungsdaten!$B$8*IFERROR(VLOOKUP(IFERROR(INDEX(Aktiv!$C$6:$C$350,MATCH(A199,Aktiv!$A$6:$A$350,0)),""),Steuerungsdaten!$B$17:$E$37,4,FALSE),1)*POWER(IF(OR(IFERROR(INDEX(Aktiv!$E$6:$E$350,MATCH(A199,Aktiv!$A$6:$A$350,0)),0)=0,IFERROR(INDEX(Aktiv!$F$6:$F$350,MATCH(A199,Aktiv!$A$6:$A$350,0)),0)=0),1,(IFERROR(INDEX(Aktiv!$E$6:$E$350,MATCH(A199,Aktiv!$A$6:$A$350,0)),0)*IFERROR(INDEX(Aktiv!$F$6:$F$350,MATCH(A199,Aktiv!$A$6:$A$350,0)),0)/1000000)/Steuerungsdaten!$B$6),1-1),0))</f>
        <v>192</v>
      </c>
      <c r="I199" s="293">
        <f>IFERROR(INDEX(Aktiv!$H$6:$H$350,MATCH(A199,Aktiv!$A$6:$A$350,0)),"")</f>
        <v>329</v>
      </c>
      <c r="J199" s="294">
        <f t="shared" si="26"/>
        <v>137</v>
      </c>
      <c r="K199" s="296">
        <f t="shared" si="27"/>
        <v>0.71354166666666663</v>
      </c>
      <c r="L199" s="297">
        <f>IF(C199="","",ROUND(C199*Steuerungsdaten!$B$4*Steuerungsdaten!$B$9*IFERROR(VLOOKUP(IFERROR(INDEX(Aktiv!$C$6:$C$350,MATCH(A199,Aktiv!$A$6:$A$350,0)),""),Steuerungsdaten!$B$17:$G$37,6,FALSE),1)*POWER(IF(OR(IFERROR(INDEX(Aktiv!$E$6:$E$350,MATCH(A199,Aktiv!$A$6:$A$350,0)),0)=0,IFERROR(INDEX(Aktiv!$F$6:$F$350,MATCH(A199,Aktiv!$A$6:$A$350,0)),0)=0),1,(IFERROR(INDEX(Aktiv!$E$6:$E$350,MATCH(A199,Aktiv!$A$6:$A$350,0)),0)*IFERROR(INDEX(Aktiv!$F$6:$F$350,MATCH(A199,Aktiv!$A$6:$A$350,0)),0)/1000000)/Steuerungsdaten!$B$6),1-1),0))</f>
        <v>192</v>
      </c>
      <c r="M199" s="297">
        <f>IFERROR(INDEX(Aktiv!$I$6:$I$350,MATCH(A199,Aktiv!$A$6:$A$350,0)),"")</f>
        <v>347</v>
      </c>
      <c r="N199" s="298">
        <f t="shared" si="28"/>
        <v>155</v>
      </c>
      <c r="O199" s="296">
        <f t="shared" si="29"/>
        <v>0.80729166666666663</v>
      </c>
      <c r="P199" s="297">
        <f>IF(C199="","",ROUND(C199*Steuerungsdaten!$B$4*Steuerungsdaten!$B$10*IFERROR(VLOOKUP(IFERROR(INDEX(Aktiv!$C$6:$C$350,MATCH(A199,Aktiv!$A$6:$A$350,0)),""),Steuerungsdaten!$B$17:$I$37,8,FALSE),1)*POWER(IF(OR(IFERROR(INDEX(Aktiv!$E$6:$E$350,MATCH(A199,Aktiv!$A$6:$A$350,0)),0)=0,IFERROR(INDEX(Aktiv!$F$6:$F$350,MATCH(A199,Aktiv!$A$6:$A$350,0)),0)=0),1,(IFERROR(INDEX(Aktiv!$E$6:$E$350,MATCH(A199,Aktiv!$A$6:$A$350,0)),0)*IFERROR(INDEX(Aktiv!$F$6:$F$350,MATCH(A199,Aktiv!$A$6:$A$350,0)),0)/1000000)/Steuerungsdaten!$B$6),1-1),0))</f>
        <v>209</v>
      </c>
      <c r="Q199" s="297">
        <f>IFERROR(INDEX(Aktiv!$J$6:$J$350,MATCH(A199,Aktiv!$A$6:$A$350,0)),"")</f>
        <v>468</v>
      </c>
      <c r="R199" s="298">
        <f t="shared" si="30"/>
        <v>259</v>
      </c>
      <c r="S199" s="296">
        <f t="shared" si="31"/>
        <v>1.2392344497607655</v>
      </c>
    </row>
    <row r="200" spans="1:19" x14ac:dyDescent="0.25">
      <c r="A200" s="292">
        <v>5006</v>
      </c>
      <c r="B200" s="292" t="s">
        <v>216</v>
      </c>
      <c r="C200" s="293">
        <f>IFERROR(INDEX(Aktiv!$O$6:$O$350,MATCH(A200,Aktiv!$A$6:$A$350,0)),"")</f>
        <v>250</v>
      </c>
      <c r="D200" s="293">
        <f>IF(C200="","",ROUND(C200*Steuerungsdaten!$B$4*Steuerungsdaten!$B$7*IFERROR(VLOOKUP(IFERROR(INDEX(Aktiv!$C$6:$C$350,MATCH(A200,Aktiv!$A$6:$A$350,0)),""),Steuerungsdaten!$B$17:$C$37,2,FALSE),1)*POWER(IF(OR(IFERROR(INDEX(Aktiv!$E$6:$E$350,MATCH(A200,Aktiv!$A$6:$A$350,0)),0)=0,IFERROR(INDEX(Aktiv!$F$6:$F$350,MATCH(A200,Aktiv!$A$6:$A$350,0)),0)=0),1,(IFERROR(INDEX(Aktiv!$E$6:$E$350,MATCH(A200,Aktiv!$A$6:$A$350,0)),0)*IFERROR(INDEX(Aktiv!$F$6:$F$350,MATCH(A200,Aktiv!$A$6:$A$350,0)),0)/1000000)/Steuerungsdaten!$B$6),IF(ISNUMBER(MATCH(IFERROR(INDEX(Aktiv!$C$6:$C$350,MATCH(A200,Aktiv!$A$6:$A$350,0)),""),{"Boden","Seite außen","Seite außen SY32","Rücken","Seite innen","Seite innen SY32","Seite innen SY32 DB","Fachboden klein","Fachboden groß","Klappenboden"},0)),1.2,1)-1),0))</f>
        <v>242</v>
      </c>
      <c r="E200" s="293">
        <f>IFERROR(INDEX(Aktiv!$G$6:$G$350,MATCH(A200,Aktiv!$A$6:$A$350,0)),"")</f>
        <v>158</v>
      </c>
      <c r="F200" s="294">
        <f t="shared" si="24"/>
        <v>-84</v>
      </c>
      <c r="G200" s="295">
        <f t="shared" si="25"/>
        <v>-0.34710743801652894</v>
      </c>
      <c r="H200" s="293">
        <f>IF(C200="","",ROUND(C200*Steuerungsdaten!$B$4*Steuerungsdaten!$B$8*IFERROR(VLOOKUP(IFERROR(INDEX(Aktiv!$C$6:$C$350,MATCH(A200,Aktiv!$A$6:$A$350,0)),""),Steuerungsdaten!$B$17:$E$37,4,FALSE),1)*POWER(IF(OR(IFERROR(INDEX(Aktiv!$E$6:$E$350,MATCH(A200,Aktiv!$A$6:$A$350,0)),0)=0,IFERROR(INDEX(Aktiv!$F$6:$F$350,MATCH(A200,Aktiv!$A$6:$A$350,0)),0)=0),1,(IFERROR(INDEX(Aktiv!$E$6:$E$350,MATCH(A200,Aktiv!$A$6:$A$350,0)),0)*IFERROR(INDEX(Aktiv!$F$6:$F$350,MATCH(A200,Aktiv!$A$6:$A$350,0)),0)/1000000)/Steuerungsdaten!$B$6),1-1),0))</f>
        <v>242</v>
      </c>
      <c r="I200" s="293">
        <f>IFERROR(INDEX(Aktiv!$H$6:$H$350,MATCH(A200,Aktiv!$A$6:$A$350,0)),"")</f>
        <v>261</v>
      </c>
      <c r="J200" s="294">
        <f t="shared" si="26"/>
        <v>19</v>
      </c>
      <c r="K200" s="296">
        <f t="shared" si="27"/>
        <v>7.8512396694214878E-2</v>
      </c>
      <c r="L200" s="297">
        <f>IF(C200="","",ROUND(C200*Steuerungsdaten!$B$4*Steuerungsdaten!$B$9*IFERROR(VLOOKUP(IFERROR(INDEX(Aktiv!$C$6:$C$350,MATCH(A200,Aktiv!$A$6:$A$350,0)),""),Steuerungsdaten!$B$17:$G$37,6,FALSE),1)*POWER(IF(OR(IFERROR(INDEX(Aktiv!$E$6:$E$350,MATCH(A200,Aktiv!$A$6:$A$350,0)),0)=0,IFERROR(INDEX(Aktiv!$F$6:$F$350,MATCH(A200,Aktiv!$A$6:$A$350,0)),0)=0),1,(IFERROR(INDEX(Aktiv!$E$6:$E$350,MATCH(A200,Aktiv!$A$6:$A$350,0)),0)*IFERROR(INDEX(Aktiv!$F$6:$F$350,MATCH(A200,Aktiv!$A$6:$A$350,0)),0)/1000000)/Steuerungsdaten!$B$6),1-1),0))</f>
        <v>242</v>
      </c>
      <c r="M200" s="297">
        <f>IFERROR(INDEX(Aktiv!$I$6:$I$350,MATCH(A200,Aktiv!$A$6:$A$350,0)),"")</f>
        <v>275</v>
      </c>
      <c r="N200" s="298">
        <f t="shared" si="28"/>
        <v>33</v>
      </c>
      <c r="O200" s="296">
        <f t="shared" si="29"/>
        <v>0.13636363636363635</v>
      </c>
      <c r="P200" s="297">
        <f>IF(C200="","",ROUND(C200*Steuerungsdaten!$B$4*Steuerungsdaten!$B$10*IFERROR(VLOOKUP(IFERROR(INDEX(Aktiv!$C$6:$C$350,MATCH(A200,Aktiv!$A$6:$A$350,0)),""),Steuerungsdaten!$B$17:$I$37,8,FALSE),1)*POWER(IF(OR(IFERROR(INDEX(Aktiv!$E$6:$E$350,MATCH(A200,Aktiv!$A$6:$A$350,0)),0)=0,IFERROR(INDEX(Aktiv!$F$6:$F$350,MATCH(A200,Aktiv!$A$6:$A$350,0)),0)=0),1,(IFERROR(INDEX(Aktiv!$E$6:$E$350,MATCH(A200,Aktiv!$A$6:$A$350,0)),0)*IFERROR(INDEX(Aktiv!$F$6:$F$350,MATCH(A200,Aktiv!$A$6:$A$350,0)),0)/1000000)/Steuerungsdaten!$B$6),1-1),0))</f>
        <v>264</v>
      </c>
      <c r="Q200" s="297">
        <f>IFERROR(INDEX(Aktiv!$J$6:$J$350,MATCH(A200,Aktiv!$A$6:$A$350,0)),"")</f>
        <v>371</v>
      </c>
      <c r="R200" s="298">
        <f t="shared" si="30"/>
        <v>107</v>
      </c>
      <c r="S200" s="296">
        <f t="shared" si="31"/>
        <v>0.40530303030303028</v>
      </c>
    </row>
    <row r="201" spans="1:19" x14ac:dyDescent="0.25">
      <c r="A201" s="292">
        <v>5007</v>
      </c>
      <c r="B201" s="292" t="s">
        <v>217</v>
      </c>
      <c r="C201" s="293">
        <f>IFERROR(INDEX(Aktiv!$O$6:$O$350,MATCH(A201,Aktiv!$A$6:$A$350,0)),"")</f>
        <v>250</v>
      </c>
      <c r="D201" s="293">
        <f>IF(C201="","",ROUND(C201*Steuerungsdaten!$B$4*Steuerungsdaten!$B$7*IFERROR(VLOOKUP(IFERROR(INDEX(Aktiv!$C$6:$C$350,MATCH(A201,Aktiv!$A$6:$A$350,0)),""),Steuerungsdaten!$B$17:$C$37,2,FALSE),1)*POWER(IF(OR(IFERROR(INDEX(Aktiv!$E$6:$E$350,MATCH(A201,Aktiv!$A$6:$A$350,0)),0)=0,IFERROR(INDEX(Aktiv!$F$6:$F$350,MATCH(A201,Aktiv!$A$6:$A$350,0)),0)=0),1,(IFERROR(INDEX(Aktiv!$E$6:$E$350,MATCH(A201,Aktiv!$A$6:$A$350,0)),0)*IFERROR(INDEX(Aktiv!$F$6:$F$350,MATCH(A201,Aktiv!$A$6:$A$350,0)),0)/1000000)/Steuerungsdaten!$B$6),IF(ISNUMBER(MATCH(IFERROR(INDEX(Aktiv!$C$6:$C$350,MATCH(A201,Aktiv!$A$6:$A$350,0)),""),{"Boden","Seite außen","Seite außen SY32","Rücken","Seite innen","Seite innen SY32","Seite innen SY32 DB","Fachboden klein","Fachboden groß","Klappenboden"},0)),1.2,1)-1),0))</f>
        <v>242</v>
      </c>
      <c r="E201" s="293">
        <f>IFERROR(INDEX(Aktiv!$G$6:$G$350,MATCH(A201,Aktiv!$A$6:$A$350,0)),"")</f>
        <v>224</v>
      </c>
      <c r="F201" s="294">
        <f t="shared" si="24"/>
        <v>-18</v>
      </c>
      <c r="G201" s="295">
        <f t="shared" si="25"/>
        <v>-7.43801652892562E-2</v>
      </c>
      <c r="H201" s="293">
        <f>IF(C201="","",ROUND(C201*Steuerungsdaten!$B$4*Steuerungsdaten!$B$8*IFERROR(VLOOKUP(IFERROR(INDEX(Aktiv!$C$6:$C$350,MATCH(A201,Aktiv!$A$6:$A$350,0)),""),Steuerungsdaten!$B$17:$E$37,4,FALSE),1)*POWER(IF(OR(IFERROR(INDEX(Aktiv!$E$6:$E$350,MATCH(A201,Aktiv!$A$6:$A$350,0)),0)=0,IFERROR(INDEX(Aktiv!$F$6:$F$350,MATCH(A201,Aktiv!$A$6:$A$350,0)),0)=0),1,(IFERROR(INDEX(Aktiv!$E$6:$E$350,MATCH(A201,Aktiv!$A$6:$A$350,0)),0)*IFERROR(INDEX(Aktiv!$F$6:$F$350,MATCH(A201,Aktiv!$A$6:$A$350,0)),0)/1000000)/Steuerungsdaten!$B$6),1-1),0))</f>
        <v>242</v>
      </c>
      <c r="I201" s="293">
        <f>IFERROR(INDEX(Aktiv!$H$6:$H$350,MATCH(A201,Aktiv!$A$6:$A$350,0)),"")</f>
        <v>369</v>
      </c>
      <c r="J201" s="294">
        <f t="shared" si="26"/>
        <v>127</v>
      </c>
      <c r="K201" s="296">
        <f t="shared" si="27"/>
        <v>0.52479338842975209</v>
      </c>
      <c r="L201" s="297">
        <f>IF(C201="","",ROUND(C201*Steuerungsdaten!$B$4*Steuerungsdaten!$B$9*IFERROR(VLOOKUP(IFERROR(INDEX(Aktiv!$C$6:$C$350,MATCH(A201,Aktiv!$A$6:$A$350,0)),""),Steuerungsdaten!$B$17:$G$37,6,FALSE),1)*POWER(IF(OR(IFERROR(INDEX(Aktiv!$E$6:$E$350,MATCH(A201,Aktiv!$A$6:$A$350,0)),0)=0,IFERROR(INDEX(Aktiv!$F$6:$F$350,MATCH(A201,Aktiv!$A$6:$A$350,0)),0)=0),1,(IFERROR(INDEX(Aktiv!$E$6:$E$350,MATCH(A201,Aktiv!$A$6:$A$350,0)),0)*IFERROR(INDEX(Aktiv!$F$6:$F$350,MATCH(A201,Aktiv!$A$6:$A$350,0)),0)/1000000)/Steuerungsdaten!$B$6),1-1),0))</f>
        <v>242</v>
      </c>
      <c r="M201" s="297">
        <f>IFERROR(INDEX(Aktiv!$I$6:$I$350,MATCH(A201,Aktiv!$A$6:$A$350,0)),"")</f>
        <v>389</v>
      </c>
      <c r="N201" s="298">
        <f t="shared" si="28"/>
        <v>147</v>
      </c>
      <c r="O201" s="296">
        <f t="shared" si="29"/>
        <v>0.6074380165289256</v>
      </c>
      <c r="P201" s="297">
        <f>IF(C201="","",ROUND(C201*Steuerungsdaten!$B$4*Steuerungsdaten!$B$10*IFERROR(VLOOKUP(IFERROR(INDEX(Aktiv!$C$6:$C$350,MATCH(A201,Aktiv!$A$6:$A$350,0)),""),Steuerungsdaten!$B$17:$I$37,8,FALSE),1)*POWER(IF(OR(IFERROR(INDEX(Aktiv!$E$6:$E$350,MATCH(A201,Aktiv!$A$6:$A$350,0)),0)=0,IFERROR(INDEX(Aktiv!$F$6:$F$350,MATCH(A201,Aktiv!$A$6:$A$350,0)),0)=0),1,(IFERROR(INDEX(Aktiv!$E$6:$E$350,MATCH(A201,Aktiv!$A$6:$A$350,0)),0)*IFERROR(INDEX(Aktiv!$F$6:$F$350,MATCH(A201,Aktiv!$A$6:$A$350,0)),0)/1000000)/Steuerungsdaten!$B$6),1-1),0))</f>
        <v>264</v>
      </c>
      <c r="Q201" s="297">
        <f>IFERROR(INDEX(Aktiv!$J$6:$J$350,MATCH(A201,Aktiv!$A$6:$A$350,0)),"")</f>
        <v>525</v>
      </c>
      <c r="R201" s="298">
        <f t="shared" si="30"/>
        <v>261</v>
      </c>
      <c r="S201" s="296">
        <f t="shared" si="31"/>
        <v>0.98863636363636365</v>
      </c>
    </row>
    <row r="202" spans="1:19" x14ac:dyDescent="0.25">
      <c r="A202" s="292">
        <v>5009</v>
      </c>
      <c r="B202" s="292" t="s">
        <v>218</v>
      </c>
      <c r="C202" s="293">
        <f>IFERROR(INDEX(Aktiv!$O$6:$O$350,MATCH(A202,Aktiv!$A$6:$A$350,0)),"")</f>
        <v>169</v>
      </c>
      <c r="D202" s="293">
        <f>IF(C202="","",ROUND(C202*Steuerungsdaten!$B$4*Steuerungsdaten!$B$7*IFERROR(VLOOKUP(IFERROR(INDEX(Aktiv!$C$6:$C$350,MATCH(A202,Aktiv!$A$6:$A$350,0)),""),Steuerungsdaten!$B$17:$C$37,2,FALSE),1)*POWER(IF(OR(IFERROR(INDEX(Aktiv!$E$6:$E$350,MATCH(A202,Aktiv!$A$6:$A$350,0)),0)=0,IFERROR(INDEX(Aktiv!$F$6:$F$350,MATCH(A202,Aktiv!$A$6:$A$350,0)),0)=0),1,(IFERROR(INDEX(Aktiv!$E$6:$E$350,MATCH(A202,Aktiv!$A$6:$A$350,0)),0)*IFERROR(INDEX(Aktiv!$F$6:$F$350,MATCH(A202,Aktiv!$A$6:$A$350,0)),0)/1000000)/Steuerungsdaten!$B$6),IF(ISNUMBER(MATCH(IFERROR(INDEX(Aktiv!$C$6:$C$350,MATCH(A202,Aktiv!$A$6:$A$350,0)),""),{"Boden","Seite außen","Seite außen SY32","Rücken","Seite innen","Seite innen SY32","Seite innen SY32 DB","Fachboden klein","Fachboden groß","Klappenboden"},0)),1.2,1)-1),0))</f>
        <v>164</v>
      </c>
      <c r="E202" s="293" t="str">
        <f>IFERROR(INDEX(Aktiv!$G$6:$G$350,MATCH(A202,Aktiv!$A$6:$A$350,0)),"")</f>
        <v>-</v>
      </c>
      <c r="F202" s="294" t="e">
        <f t="shared" si="24"/>
        <v>#VALUE!</v>
      </c>
      <c r="G202" s="295" t="e">
        <f t="shared" si="25"/>
        <v>#VALUE!</v>
      </c>
      <c r="H202" s="293">
        <f>IF(C202="","",ROUND(C202*Steuerungsdaten!$B$4*Steuerungsdaten!$B$8*IFERROR(VLOOKUP(IFERROR(INDEX(Aktiv!$C$6:$C$350,MATCH(A202,Aktiv!$A$6:$A$350,0)),""),Steuerungsdaten!$B$17:$E$37,4,FALSE),1)*POWER(IF(OR(IFERROR(INDEX(Aktiv!$E$6:$E$350,MATCH(A202,Aktiv!$A$6:$A$350,0)),0)=0,IFERROR(INDEX(Aktiv!$F$6:$F$350,MATCH(A202,Aktiv!$A$6:$A$350,0)),0)=0),1,(IFERROR(INDEX(Aktiv!$E$6:$E$350,MATCH(A202,Aktiv!$A$6:$A$350,0)),0)*IFERROR(INDEX(Aktiv!$F$6:$F$350,MATCH(A202,Aktiv!$A$6:$A$350,0)),0)/1000000)/Steuerungsdaten!$B$6),1-1),0))</f>
        <v>164</v>
      </c>
      <c r="I202" s="293" t="str">
        <f>IFERROR(INDEX(Aktiv!$H$6:$H$350,MATCH(A202,Aktiv!$A$6:$A$350,0)),"")</f>
        <v>-</v>
      </c>
      <c r="J202" s="294" t="e">
        <f t="shared" si="26"/>
        <v>#VALUE!</v>
      </c>
      <c r="K202" s="296" t="e">
        <f t="shared" si="27"/>
        <v>#VALUE!</v>
      </c>
      <c r="L202" s="297">
        <f>IF(C202="","",ROUND(C202*Steuerungsdaten!$B$4*Steuerungsdaten!$B$9*IFERROR(VLOOKUP(IFERROR(INDEX(Aktiv!$C$6:$C$350,MATCH(A202,Aktiv!$A$6:$A$350,0)),""),Steuerungsdaten!$B$17:$G$37,6,FALSE),1)*POWER(IF(OR(IFERROR(INDEX(Aktiv!$E$6:$E$350,MATCH(A202,Aktiv!$A$6:$A$350,0)),0)=0,IFERROR(INDEX(Aktiv!$F$6:$F$350,MATCH(A202,Aktiv!$A$6:$A$350,0)),0)=0),1,(IFERROR(INDEX(Aktiv!$E$6:$E$350,MATCH(A202,Aktiv!$A$6:$A$350,0)),0)*IFERROR(INDEX(Aktiv!$F$6:$F$350,MATCH(A202,Aktiv!$A$6:$A$350,0)),0)/1000000)/Steuerungsdaten!$B$6),1-1),0))</f>
        <v>164</v>
      </c>
      <c r="M202" s="297" t="str">
        <f>IFERROR(INDEX(Aktiv!$I$6:$I$350,MATCH(A202,Aktiv!$A$6:$A$350,0)),"")</f>
        <v>-</v>
      </c>
      <c r="N202" s="298" t="e">
        <f t="shared" si="28"/>
        <v>#VALUE!</v>
      </c>
      <c r="O202" s="296" t="e">
        <f t="shared" si="29"/>
        <v>#VALUE!</v>
      </c>
      <c r="P202" s="297">
        <f>IF(C202="","",ROUND(C202*Steuerungsdaten!$B$4*Steuerungsdaten!$B$10*IFERROR(VLOOKUP(IFERROR(INDEX(Aktiv!$C$6:$C$350,MATCH(A202,Aktiv!$A$6:$A$350,0)),""),Steuerungsdaten!$B$17:$I$37,8,FALSE),1)*POWER(IF(OR(IFERROR(INDEX(Aktiv!$E$6:$E$350,MATCH(A202,Aktiv!$A$6:$A$350,0)),0)=0,IFERROR(INDEX(Aktiv!$F$6:$F$350,MATCH(A202,Aktiv!$A$6:$A$350,0)),0)=0),1,(IFERROR(INDEX(Aktiv!$E$6:$E$350,MATCH(A202,Aktiv!$A$6:$A$350,0)),0)*IFERROR(INDEX(Aktiv!$F$6:$F$350,MATCH(A202,Aktiv!$A$6:$A$350,0)),0)/1000000)/Steuerungsdaten!$B$6),1-1),0))</f>
        <v>178</v>
      </c>
      <c r="Q202" s="297" t="str">
        <f>IFERROR(INDEX(Aktiv!$J$6:$J$350,MATCH(A202,Aktiv!$A$6:$A$350,0)),"")</f>
        <v>-</v>
      </c>
      <c r="R202" s="298" t="e">
        <f t="shared" si="30"/>
        <v>#VALUE!</v>
      </c>
      <c r="S202" s="296" t="e">
        <f t="shared" si="31"/>
        <v>#VALUE!</v>
      </c>
    </row>
    <row r="203" spans="1:19" x14ac:dyDescent="0.25">
      <c r="A203" s="292">
        <v>5008</v>
      </c>
      <c r="B203" s="292" t="s">
        <v>219</v>
      </c>
      <c r="C203" s="293">
        <f>IFERROR(INDEX(Aktiv!$O$6:$O$350,MATCH(A203,Aktiv!$A$6:$A$350,0)),"")</f>
        <v>169</v>
      </c>
      <c r="D203" s="293">
        <f>IF(C203="","",ROUND(C203*Steuerungsdaten!$B$4*Steuerungsdaten!$B$7*IFERROR(VLOOKUP(IFERROR(INDEX(Aktiv!$C$6:$C$350,MATCH(A203,Aktiv!$A$6:$A$350,0)),""),Steuerungsdaten!$B$17:$C$37,2,FALSE),1)*POWER(IF(OR(IFERROR(INDEX(Aktiv!$E$6:$E$350,MATCH(A203,Aktiv!$A$6:$A$350,0)),0)=0,IFERROR(INDEX(Aktiv!$F$6:$F$350,MATCH(A203,Aktiv!$A$6:$A$350,0)),0)=0),1,(IFERROR(INDEX(Aktiv!$E$6:$E$350,MATCH(A203,Aktiv!$A$6:$A$350,0)),0)*IFERROR(INDEX(Aktiv!$F$6:$F$350,MATCH(A203,Aktiv!$A$6:$A$350,0)),0)/1000000)/Steuerungsdaten!$B$6),IF(ISNUMBER(MATCH(IFERROR(INDEX(Aktiv!$C$6:$C$350,MATCH(A203,Aktiv!$A$6:$A$350,0)),""),{"Boden","Seite außen","Seite außen SY32","Rücken","Seite innen","Seite innen SY32","Seite innen SY32 DB","Fachboden klein","Fachboden groß","Klappenboden"},0)),1.2,1)-1),0))</f>
        <v>164</v>
      </c>
      <c r="E203" s="293" t="str">
        <f>IFERROR(INDEX(Aktiv!$G$6:$G$350,MATCH(A203,Aktiv!$A$6:$A$350,0)),"")</f>
        <v>-</v>
      </c>
      <c r="F203" s="294" t="e">
        <f t="shared" si="24"/>
        <v>#VALUE!</v>
      </c>
      <c r="G203" s="295" t="e">
        <f t="shared" si="25"/>
        <v>#VALUE!</v>
      </c>
      <c r="H203" s="293">
        <f>IF(C203="","",ROUND(C203*Steuerungsdaten!$B$4*Steuerungsdaten!$B$8*IFERROR(VLOOKUP(IFERROR(INDEX(Aktiv!$C$6:$C$350,MATCH(A203,Aktiv!$A$6:$A$350,0)),""),Steuerungsdaten!$B$17:$E$37,4,FALSE),1)*POWER(IF(OR(IFERROR(INDEX(Aktiv!$E$6:$E$350,MATCH(A203,Aktiv!$A$6:$A$350,0)),0)=0,IFERROR(INDEX(Aktiv!$F$6:$F$350,MATCH(A203,Aktiv!$A$6:$A$350,0)),0)=0),1,(IFERROR(INDEX(Aktiv!$E$6:$E$350,MATCH(A203,Aktiv!$A$6:$A$350,0)),0)*IFERROR(INDEX(Aktiv!$F$6:$F$350,MATCH(A203,Aktiv!$A$6:$A$350,0)),0)/1000000)/Steuerungsdaten!$B$6),1-1),0))</f>
        <v>164</v>
      </c>
      <c r="I203" s="293" t="str">
        <f>IFERROR(INDEX(Aktiv!$H$6:$H$350,MATCH(A203,Aktiv!$A$6:$A$350,0)),"")</f>
        <v>-</v>
      </c>
      <c r="J203" s="294" t="e">
        <f t="shared" si="26"/>
        <v>#VALUE!</v>
      </c>
      <c r="K203" s="296" t="e">
        <f t="shared" si="27"/>
        <v>#VALUE!</v>
      </c>
      <c r="L203" s="297">
        <f>IF(C203="","",ROUND(C203*Steuerungsdaten!$B$4*Steuerungsdaten!$B$9*IFERROR(VLOOKUP(IFERROR(INDEX(Aktiv!$C$6:$C$350,MATCH(A203,Aktiv!$A$6:$A$350,0)),""),Steuerungsdaten!$B$17:$G$37,6,FALSE),1)*POWER(IF(OR(IFERROR(INDEX(Aktiv!$E$6:$E$350,MATCH(A203,Aktiv!$A$6:$A$350,0)),0)=0,IFERROR(INDEX(Aktiv!$F$6:$F$350,MATCH(A203,Aktiv!$A$6:$A$350,0)),0)=0),1,(IFERROR(INDEX(Aktiv!$E$6:$E$350,MATCH(A203,Aktiv!$A$6:$A$350,0)),0)*IFERROR(INDEX(Aktiv!$F$6:$F$350,MATCH(A203,Aktiv!$A$6:$A$350,0)),0)/1000000)/Steuerungsdaten!$B$6),1-1),0))</f>
        <v>164</v>
      </c>
      <c r="M203" s="297" t="str">
        <f>IFERROR(INDEX(Aktiv!$I$6:$I$350,MATCH(A203,Aktiv!$A$6:$A$350,0)),"")</f>
        <v>-</v>
      </c>
      <c r="N203" s="298" t="e">
        <f t="shared" si="28"/>
        <v>#VALUE!</v>
      </c>
      <c r="O203" s="296" t="e">
        <f t="shared" si="29"/>
        <v>#VALUE!</v>
      </c>
      <c r="P203" s="297">
        <f>IF(C203="","",ROUND(C203*Steuerungsdaten!$B$4*Steuerungsdaten!$B$10*IFERROR(VLOOKUP(IFERROR(INDEX(Aktiv!$C$6:$C$350,MATCH(A203,Aktiv!$A$6:$A$350,0)),""),Steuerungsdaten!$B$17:$I$37,8,FALSE),1)*POWER(IF(OR(IFERROR(INDEX(Aktiv!$E$6:$E$350,MATCH(A203,Aktiv!$A$6:$A$350,0)),0)=0,IFERROR(INDEX(Aktiv!$F$6:$F$350,MATCH(A203,Aktiv!$A$6:$A$350,0)),0)=0),1,(IFERROR(INDEX(Aktiv!$E$6:$E$350,MATCH(A203,Aktiv!$A$6:$A$350,0)),0)*IFERROR(INDEX(Aktiv!$F$6:$F$350,MATCH(A203,Aktiv!$A$6:$A$350,0)),0)/1000000)/Steuerungsdaten!$B$6),1-1),0))</f>
        <v>178</v>
      </c>
      <c r="Q203" s="297" t="str">
        <f>IFERROR(INDEX(Aktiv!$J$6:$J$350,MATCH(A203,Aktiv!$A$6:$A$350,0)),"")</f>
        <v>-</v>
      </c>
      <c r="R203" s="298" t="e">
        <f t="shared" si="30"/>
        <v>#VALUE!</v>
      </c>
      <c r="S203" s="296" t="e">
        <f t="shared" si="31"/>
        <v>#VALUE!</v>
      </c>
    </row>
    <row r="204" spans="1:19" x14ac:dyDescent="0.25">
      <c r="A204" s="292" t="s">
        <v>220</v>
      </c>
      <c r="B204" s="292" t="s">
        <v>221</v>
      </c>
      <c r="C204" s="293">
        <f>IFERROR(INDEX(Aktiv!$O$6:$O$350,MATCH(A204,Aktiv!$A$6:$A$350,0)),"")</f>
        <v>255</v>
      </c>
      <c r="D204" s="293">
        <f>IF(C204="","",ROUND(C204*Steuerungsdaten!$B$4*Steuerungsdaten!$B$7*IFERROR(VLOOKUP(IFERROR(INDEX(Aktiv!$C$6:$C$350,MATCH(A204,Aktiv!$A$6:$A$350,0)),""),Steuerungsdaten!$B$17:$C$37,2,FALSE),1)*POWER(IF(OR(IFERROR(INDEX(Aktiv!$E$6:$E$350,MATCH(A204,Aktiv!$A$6:$A$350,0)),0)=0,IFERROR(INDEX(Aktiv!$F$6:$F$350,MATCH(A204,Aktiv!$A$6:$A$350,0)),0)=0),1,(IFERROR(INDEX(Aktiv!$E$6:$E$350,MATCH(A204,Aktiv!$A$6:$A$350,0)),0)*IFERROR(INDEX(Aktiv!$F$6:$F$350,MATCH(A204,Aktiv!$A$6:$A$350,0)),0)/1000000)/Steuerungsdaten!$B$6),IF(ISNUMBER(MATCH(IFERROR(INDEX(Aktiv!$C$6:$C$350,MATCH(A204,Aktiv!$A$6:$A$350,0)),""),{"Boden","Seite außen","Seite außen SY32","Rücken","Seite innen","Seite innen SY32","Seite innen SY32 DB","Fachboden klein","Fachboden groß","Klappenboden"},0)),1.2,1)-1),0))</f>
        <v>247</v>
      </c>
      <c r="E204" s="293" t="str">
        <f>IFERROR(INDEX(Aktiv!$G$6:$G$350,MATCH(A204,Aktiv!$A$6:$A$350,0)),"")</f>
        <v>-</v>
      </c>
      <c r="F204" s="294" t="e">
        <f t="shared" si="24"/>
        <v>#VALUE!</v>
      </c>
      <c r="G204" s="295" t="e">
        <f t="shared" si="25"/>
        <v>#VALUE!</v>
      </c>
      <c r="H204" s="293">
        <f>IF(C204="","",ROUND(C204*Steuerungsdaten!$B$4*Steuerungsdaten!$B$8*IFERROR(VLOOKUP(IFERROR(INDEX(Aktiv!$C$6:$C$350,MATCH(A204,Aktiv!$A$6:$A$350,0)),""),Steuerungsdaten!$B$17:$E$37,4,FALSE),1)*POWER(IF(OR(IFERROR(INDEX(Aktiv!$E$6:$E$350,MATCH(A204,Aktiv!$A$6:$A$350,0)),0)=0,IFERROR(INDEX(Aktiv!$F$6:$F$350,MATCH(A204,Aktiv!$A$6:$A$350,0)),0)=0),1,(IFERROR(INDEX(Aktiv!$E$6:$E$350,MATCH(A204,Aktiv!$A$6:$A$350,0)),0)*IFERROR(INDEX(Aktiv!$F$6:$F$350,MATCH(A204,Aktiv!$A$6:$A$350,0)),0)/1000000)/Steuerungsdaten!$B$6),1-1),0))</f>
        <v>247</v>
      </c>
      <c r="I204" s="293" t="str">
        <f>IFERROR(INDEX(Aktiv!$H$6:$H$350,MATCH(A204,Aktiv!$A$6:$A$350,0)),"")</f>
        <v>-</v>
      </c>
      <c r="J204" s="294" t="e">
        <f t="shared" si="26"/>
        <v>#VALUE!</v>
      </c>
      <c r="K204" s="296" t="e">
        <f t="shared" si="27"/>
        <v>#VALUE!</v>
      </c>
      <c r="L204" s="297">
        <f>IF(C204="","",ROUND(C204*Steuerungsdaten!$B$4*Steuerungsdaten!$B$9*IFERROR(VLOOKUP(IFERROR(INDEX(Aktiv!$C$6:$C$350,MATCH(A204,Aktiv!$A$6:$A$350,0)),""),Steuerungsdaten!$B$17:$G$37,6,FALSE),1)*POWER(IF(OR(IFERROR(INDEX(Aktiv!$E$6:$E$350,MATCH(A204,Aktiv!$A$6:$A$350,0)),0)=0,IFERROR(INDEX(Aktiv!$F$6:$F$350,MATCH(A204,Aktiv!$A$6:$A$350,0)),0)=0),1,(IFERROR(INDEX(Aktiv!$E$6:$E$350,MATCH(A204,Aktiv!$A$6:$A$350,0)),0)*IFERROR(INDEX(Aktiv!$F$6:$F$350,MATCH(A204,Aktiv!$A$6:$A$350,0)),0)/1000000)/Steuerungsdaten!$B$6),1-1),0))</f>
        <v>247</v>
      </c>
      <c r="M204" s="297" t="str">
        <f>IFERROR(INDEX(Aktiv!$I$6:$I$350,MATCH(A204,Aktiv!$A$6:$A$350,0)),"")</f>
        <v>-</v>
      </c>
      <c r="N204" s="298" t="e">
        <f t="shared" si="28"/>
        <v>#VALUE!</v>
      </c>
      <c r="O204" s="296" t="e">
        <f t="shared" si="29"/>
        <v>#VALUE!</v>
      </c>
      <c r="P204" s="297">
        <f>IF(C204="","",ROUND(C204*Steuerungsdaten!$B$4*Steuerungsdaten!$B$10*IFERROR(VLOOKUP(IFERROR(INDEX(Aktiv!$C$6:$C$350,MATCH(A204,Aktiv!$A$6:$A$350,0)),""),Steuerungsdaten!$B$17:$I$37,8,FALSE),1)*POWER(IF(OR(IFERROR(INDEX(Aktiv!$E$6:$E$350,MATCH(A204,Aktiv!$A$6:$A$350,0)),0)=0,IFERROR(INDEX(Aktiv!$F$6:$F$350,MATCH(A204,Aktiv!$A$6:$A$350,0)),0)=0),1,(IFERROR(INDEX(Aktiv!$E$6:$E$350,MATCH(A204,Aktiv!$A$6:$A$350,0)),0)*IFERROR(INDEX(Aktiv!$F$6:$F$350,MATCH(A204,Aktiv!$A$6:$A$350,0)),0)/1000000)/Steuerungsdaten!$B$6),1-1),0))</f>
        <v>269</v>
      </c>
      <c r="Q204" s="297" t="str">
        <f>IFERROR(INDEX(Aktiv!$J$6:$J$350,MATCH(A204,Aktiv!$A$6:$A$350,0)),"")</f>
        <v>-</v>
      </c>
      <c r="R204" s="298" t="e">
        <f t="shared" si="30"/>
        <v>#VALUE!</v>
      </c>
      <c r="S204" s="296" t="e">
        <f t="shared" si="31"/>
        <v>#VALUE!</v>
      </c>
    </row>
    <row r="205" spans="1:19" x14ac:dyDescent="0.25">
      <c r="A205" s="292">
        <v>5100</v>
      </c>
      <c r="B205" s="292" t="s">
        <v>223</v>
      </c>
      <c r="C205" s="293">
        <f>IFERROR(INDEX(Aktiv!$O$6:$O$350,MATCH(A205,Aktiv!$A$6:$A$350,0)),"")</f>
        <v>136</v>
      </c>
      <c r="D205" s="293">
        <f>IF(C205="","",ROUND(C205*Steuerungsdaten!$B$4*Steuerungsdaten!$B$7*IFERROR(VLOOKUP(IFERROR(INDEX(Aktiv!$C$6:$C$350,MATCH(A205,Aktiv!$A$6:$A$350,0)),""),Steuerungsdaten!$B$17:$C$37,2,FALSE),1)*POWER(IF(OR(IFERROR(INDEX(Aktiv!$E$6:$E$350,MATCH(A205,Aktiv!$A$6:$A$350,0)),0)=0,IFERROR(INDEX(Aktiv!$F$6:$F$350,MATCH(A205,Aktiv!$A$6:$A$350,0)),0)=0),1,(IFERROR(INDEX(Aktiv!$E$6:$E$350,MATCH(A205,Aktiv!$A$6:$A$350,0)),0)*IFERROR(INDEX(Aktiv!$F$6:$F$350,MATCH(A205,Aktiv!$A$6:$A$350,0)),0)/1000000)/Steuerungsdaten!$B$6),IF(ISNUMBER(MATCH(IFERROR(INDEX(Aktiv!$C$6:$C$350,MATCH(A205,Aktiv!$A$6:$A$350,0)),""),{"Boden","Seite außen","Seite außen SY32","Rücken","Seite innen","Seite innen SY32","Seite innen SY32 DB","Fachboden klein","Fachboden groß","Klappenboden"},0)),1.2,1)-1),0))</f>
        <v>132</v>
      </c>
      <c r="E205" s="293">
        <f>IFERROR(INDEX(Aktiv!$G$6:$G$350,MATCH(A205,Aktiv!$A$6:$A$350,0)),"")</f>
        <v>127</v>
      </c>
      <c r="F205" s="294">
        <f t="shared" si="24"/>
        <v>-5</v>
      </c>
      <c r="G205" s="295">
        <f t="shared" si="25"/>
        <v>-3.787878787878788E-2</v>
      </c>
      <c r="H205" s="293">
        <f>IF(C205="","",ROUND(C205*Steuerungsdaten!$B$4*Steuerungsdaten!$B$8*IFERROR(VLOOKUP(IFERROR(INDEX(Aktiv!$C$6:$C$350,MATCH(A205,Aktiv!$A$6:$A$350,0)),""),Steuerungsdaten!$B$17:$E$37,4,FALSE),1)*POWER(IF(OR(IFERROR(INDEX(Aktiv!$E$6:$E$350,MATCH(A205,Aktiv!$A$6:$A$350,0)),0)=0,IFERROR(INDEX(Aktiv!$F$6:$F$350,MATCH(A205,Aktiv!$A$6:$A$350,0)),0)=0),1,(IFERROR(INDEX(Aktiv!$E$6:$E$350,MATCH(A205,Aktiv!$A$6:$A$350,0)),0)*IFERROR(INDEX(Aktiv!$F$6:$F$350,MATCH(A205,Aktiv!$A$6:$A$350,0)),0)/1000000)/Steuerungsdaten!$B$6),1-1),0))</f>
        <v>132</v>
      </c>
      <c r="I205" s="293">
        <f>IFERROR(INDEX(Aktiv!$H$6:$H$350,MATCH(A205,Aktiv!$A$6:$A$350,0)),"")</f>
        <v>273</v>
      </c>
      <c r="J205" s="294">
        <f t="shared" si="26"/>
        <v>141</v>
      </c>
      <c r="K205" s="296">
        <f t="shared" si="27"/>
        <v>1.0681818181818181</v>
      </c>
      <c r="L205" s="297">
        <f>IF(C205="","",ROUND(C205*Steuerungsdaten!$B$4*Steuerungsdaten!$B$9*IFERROR(VLOOKUP(IFERROR(INDEX(Aktiv!$C$6:$C$350,MATCH(A205,Aktiv!$A$6:$A$350,0)),""),Steuerungsdaten!$B$17:$G$37,6,FALSE),1)*POWER(IF(OR(IFERROR(INDEX(Aktiv!$E$6:$E$350,MATCH(A205,Aktiv!$A$6:$A$350,0)),0)=0,IFERROR(INDEX(Aktiv!$F$6:$F$350,MATCH(A205,Aktiv!$A$6:$A$350,0)),0)=0),1,(IFERROR(INDEX(Aktiv!$E$6:$E$350,MATCH(A205,Aktiv!$A$6:$A$350,0)),0)*IFERROR(INDEX(Aktiv!$F$6:$F$350,MATCH(A205,Aktiv!$A$6:$A$350,0)),0)/1000000)/Steuerungsdaten!$B$6),1-1),0))</f>
        <v>132</v>
      </c>
      <c r="M205" s="297">
        <f>IFERROR(INDEX(Aktiv!$I$6:$I$350,MATCH(A205,Aktiv!$A$6:$A$350,0)),"")</f>
        <v>298</v>
      </c>
      <c r="N205" s="298">
        <f t="shared" si="28"/>
        <v>166</v>
      </c>
      <c r="O205" s="296">
        <f t="shared" si="29"/>
        <v>1.2575757575757576</v>
      </c>
      <c r="P205" s="297">
        <f>IF(C205="","",ROUND(C205*Steuerungsdaten!$B$4*Steuerungsdaten!$B$10*IFERROR(VLOOKUP(IFERROR(INDEX(Aktiv!$C$6:$C$350,MATCH(A205,Aktiv!$A$6:$A$350,0)),""),Steuerungsdaten!$B$17:$I$37,8,FALSE),1)*POWER(IF(OR(IFERROR(INDEX(Aktiv!$E$6:$E$350,MATCH(A205,Aktiv!$A$6:$A$350,0)),0)=0,IFERROR(INDEX(Aktiv!$F$6:$F$350,MATCH(A205,Aktiv!$A$6:$A$350,0)),0)=0),1,(IFERROR(INDEX(Aktiv!$E$6:$E$350,MATCH(A205,Aktiv!$A$6:$A$350,0)),0)*IFERROR(INDEX(Aktiv!$F$6:$F$350,MATCH(A205,Aktiv!$A$6:$A$350,0)),0)/1000000)/Steuerungsdaten!$B$6),1-1),0))</f>
        <v>144</v>
      </c>
      <c r="Q205" s="297">
        <f>IFERROR(INDEX(Aktiv!$J$6:$J$350,MATCH(A205,Aktiv!$A$6:$A$350,0)),"")</f>
        <v>433</v>
      </c>
      <c r="R205" s="298">
        <f t="shared" si="30"/>
        <v>289</v>
      </c>
      <c r="S205" s="296">
        <f t="shared" si="31"/>
        <v>2.0069444444444446</v>
      </c>
    </row>
    <row r="206" spans="1:19" x14ac:dyDescent="0.25">
      <c r="A206" s="292">
        <v>5101</v>
      </c>
      <c r="B206" s="292" t="s">
        <v>224</v>
      </c>
      <c r="C206" s="293">
        <f>IFERROR(INDEX(Aktiv!$O$6:$O$350,MATCH(A206,Aktiv!$A$6:$A$350,0)),"")</f>
        <v>159</v>
      </c>
      <c r="D206" s="293">
        <f>IF(C206="","",ROUND(C206*Steuerungsdaten!$B$4*Steuerungsdaten!$B$7*IFERROR(VLOOKUP(IFERROR(INDEX(Aktiv!$C$6:$C$350,MATCH(A206,Aktiv!$A$6:$A$350,0)),""),Steuerungsdaten!$B$17:$C$37,2,FALSE),1)*POWER(IF(OR(IFERROR(INDEX(Aktiv!$E$6:$E$350,MATCH(A206,Aktiv!$A$6:$A$350,0)),0)=0,IFERROR(INDEX(Aktiv!$F$6:$F$350,MATCH(A206,Aktiv!$A$6:$A$350,0)),0)=0),1,(IFERROR(INDEX(Aktiv!$E$6:$E$350,MATCH(A206,Aktiv!$A$6:$A$350,0)),0)*IFERROR(INDEX(Aktiv!$F$6:$F$350,MATCH(A206,Aktiv!$A$6:$A$350,0)),0)/1000000)/Steuerungsdaten!$B$6),IF(ISNUMBER(MATCH(IFERROR(INDEX(Aktiv!$C$6:$C$350,MATCH(A206,Aktiv!$A$6:$A$350,0)),""),{"Boden","Seite außen","Seite außen SY32","Rücken","Seite innen","Seite innen SY32","Seite innen SY32 DB","Fachboden klein","Fachboden groß","Klappenboden"},0)),1.2,1)-1),0))</f>
        <v>154</v>
      </c>
      <c r="E206" s="293">
        <f>IFERROR(INDEX(Aktiv!$G$6:$G$350,MATCH(A206,Aktiv!$A$6:$A$350,0)),"")</f>
        <v>180</v>
      </c>
      <c r="F206" s="294">
        <f t="shared" si="24"/>
        <v>26</v>
      </c>
      <c r="G206" s="295">
        <f t="shared" si="25"/>
        <v>0.16883116883116883</v>
      </c>
      <c r="H206" s="293">
        <f>IF(C206="","",ROUND(C206*Steuerungsdaten!$B$4*Steuerungsdaten!$B$8*IFERROR(VLOOKUP(IFERROR(INDEX(Aktiv!$C$6:$C$350,MATCH(A206,Aktiv!$A$6:$A$350,0)),""),Steuerungsdaten!$B$17:$E$37,4,FALSE),1)*POWER(IF(OR(IFERROR(INDEX(Aktiv!$E$6:$E$350,MATCH(A206,Aktiv!$A$6:$A$350,0)),0)=0,IFERROR(INDEX(Aktiv!$F$6:$F$350,MATCH(A206,Aktiv!$A$6:$A$350,0)),0)=0),1,(IFERROR(INDEX(Aktiv!$E$6:$E$350,MATCH(A206,Aktiv!$A$6:$A$350,0)),0)*IFERROR(INDEX(Aktiv!$F$6:$F$350,MATCH(A206,Aktiv!$A$6:$A$350,0)),0)/1000000)/Steuerungsdaten!$B$6),1-1),0))</f>
        <v>154</v>
      </c>
      <c r="I206" s="293">
        <f>IFERROR(INDEX(Aktiv!$H$6:$H$350,MATCH(A206,Aktiv!$A$6:$A$350,0)),"")</f>
        <v>386</v>
      </c>
      <c r="J206" s="294">
        <f t="shared" si="26"/>
        <v>232</v>
      </c>
      <c r="K206" s="296">
        <f t="shared" si="27"/>
        <v>1.5064935064935066</v>
      </c>
      <c r="L206" s="297">
        <f>IF(C206="","",ROUND(C206*Steuerungsdaten!$B$4*Steuerungsdaten!$B$9*IFERROR(VLOOKUP(IFERROR(INDEX(Aktiv!$C$6:$C$350,MATCH(A206,Aktiv!$A$6:$A$350,0)),""),Steuerungsdaten!$B$17:$G$37,6,FALSE),1)*POWER(IF(OR(IFERROR(INDEX(Aktiv!$E$6:$E$350,MATCH(A206,Aktiv!$A$6:$A$350,0)),0)=0,IFERROR(INDEX(Aktiv!$F$6:$F$350,MATCH(A206,Aktiv!$A$6:$A$350,0)),0)=0),1,(IFERROR(INDEX(Aktiv!$E$6:$E$350,MATCH(A206,Aktiv!$A$6:$A$350,0)),0)*IFERROR(INDEX(Aktiv!$F$6:$F$350,MATCH(A206,Aktiv!$A$6:$A$350,0)),0)/1000000)/Steuerungsdaten!$B$6),1-1),0))</f>
        <v>154</v>
      </c>
      <c r="M206" s="297">
        <f>IFERROR(INDEX(Aktiv!$I$6:$I$350,MATCH(A206,Aktiv!$A$6:$A$350,0)),"")</f>
        <v>422</v>
      </c>
      <c r="N206" s="298">
        <f t="shared" si="28"/>
        <v>268</v>
      </c>
      <c r="O206" s="296">
        <f t="shared" si="29"/>
        <v>1.7402597402597402</v>
      </c>
      <c r="P206" s="297">
        <f>IF(C206="","",ROUND(C206*Steuerungsdaten!$B$4*Steuerungsdaten!$B$10*IFERROR(VLOOKUP(IFERROR(INDEX(Aktiv!$C$6:$C$350,MATCH(A206,Aktiv!$A$6:$A$350,0)),""),Steuerungsdaten!$B$17:$I$37,8,FALSE),1)*POWER(IF(OR(IFERROR(INDEX(Aktiv!$E$6:$E$350,MATCH(A206,Aktiv!$A$6:$A$350,0)),0)=0,IFERROR(INDEX(Aktiv!$F$6:$F$350,MATCH(A206,Aktiv!$A$6:$A$350,0)),0)=0),1,(IFERROR(INDEX(Aktiv!$E$6:$E$350,MATCH(A206,Aktiv!$A$6:$A$350,0)),0)*IFERROR(INDEX(Aktiv!$F$6:$F$350,MATCH(A206,Aktiv!$A$6:$A$350,0)),0)/1000000)/Steuerungsdaten!$B$6),1-1),0))</f>
        <v>168</v>
      </c>
      <c r="Q206" s="297">
        <f>IFERROR(INDEX(Aktiv!$J$6:$J$350,MATCH(A206,Aktiv!$A$6:$A$350,0)),"")</f>
        <v>612</v>
      </c>
      <c r="R206" s="298">
        <f t="shared" si="30"/>
        <v>444</v>
      </c>
      <c r="S206" s="296">
        <f t="shared" si="31"/>
        <v>2.6428571428571428</v>
      </c>
    </row>
    <row r="207" spans="1:19" x14ac:dyDescent="0.25">
      <c r="A207" s="292">
        <v>5102</v>
      </c>
      <c r="B207" s="292" t="s">
        <v>225</v>
      </c>
      <c r="C207" s="293">
        <f>IFERROR(INDEX(Aktiv!$O$6:$O$350,MATCH(A207,Aktiv!$A$6:$A$350,0)),"")</f>
        <v>235</v>
      </c>
      <c r="D207" s="293">
        <f>IF(C207="","",ROUND(C207*Steuerungsdaten!$B$4*Steuerungsdaten!$B$7*IFERROR(VLOOKUP(IFERROR(INDEX(Aktiv!$C$6:$C$350,MATCH(A207,Aktiv!$A$6:$A$350,0)),""),Steuerungsdaten!$B$17:$C$37,2,FALSE),1)*POWER(IF(OR(IFERROR(INDEX(Aktiv!$E$6:$E$350,MATCH(A207,Aktiv!$A$6:$A$350,0)),0)=0,IFERROR(INDEX(Aktiv!$F$6:$F$350,MATCH(A207,Aktiv!$A$6:$A$350,0)),0)=0),1,(IFERROR(INDEX(Aktiv!$E$6:$E$350,MATCH(A207,Aktiv!$A$6:$A$350,0)),0)*IFERROR(INDEX(Aktiv!$F$6:$F$350,MATCH(A207,Aktiv!$A$6:$A$350,0)),0)/1000000)/Steuerungsdaten!$B$6),IF(ISNUMBER(MATCH(IFERROR(INDEX(Aktiv!$C$6:$C$350,MATCH(A207,Aktiv!$A$6:$A$350,0)),""),{"Boden","Seite außen","Seite außen SY32","Rücken","Seite innen","Seite innen SY32","Seite innen SY32 DB","Fachboden klein","Fachboden groß","Klappenboden"},0)),1.2,1)-1),0))</f>
        <v>227</v>
      </c>
      <c r="E207" s="293">
        <f>IFERROR(INDEX(Aktiv!$G$6:$G$350,MATCH(A207,Aktiv!$A$6:$A$350,0)),"")</f>
        <v>220</v>
      </c>
      <c r="F207" s="294">
        <f t="shared" si="24"/>
        <v>-7</v>
      </c>
      <c r="G207" s="295">
        <f t="shared" si="25"/>
        <v>-3.0837004405286344E-2</v>
      </c>
      <c r="H207" s="293">
        <f>IF(C207="","",ROUND(C207*Steuerungsdaten!$B$4*Steuerungsdaten!$B$8*IFERROR(VLOOKUP(IFERROR(INDEX(Aktiv!$C$6:$C$350,MATCH(A207,Aktiv!$A$6:$A$350,0)),""),Steuerungsdaten!$B$17:$E$37,4,FALSE),1)*POWER(IF(OR(IFERROR(INDEX(Aktiv!$E$6:$E$350,MATCH(A207,Aktiv!$A$6:$A$350,0)),0)=0,IFERROR(INDEX(Aktiv!$F$6:$F$350,MATCH(A207,Aktiv!$A$6:$A$350,0)),0)=0),1,(IFERROR(INDEX(Aktiv!$E$6:$E$350,MATCH(A207,Aktiv!$A$6:$A$350,0)),0)*IFERROR(INDEX(Aktiv!$F$6:$F$350,MATCH(A207,Aktiv!$A$6:$A$350,0)),0)/1000000)/Steuerungsdaten!$B$6),1-1),0))</f>
        <v>227</v>
      </c>
      <c r="I207" s="293">
        <f>IFERROR(INDEX(Aktiv!$H$6:$H$350,MATCH(A207,Aktiv!$A$6:$A$350,0)),"")</f>
        <v>473</v>
      </c>
      <c r="J207" s="294">
        <f t="shared" si="26"/>
        <v>246</v>
      </c>
      <c r="K207" s="296">
        <f t="shared" si="27"/>
        <v>1.0837004405286343</v>
      </c>
      <c r="L207" s="297">
        <f>IF(C207="","",ROUND(C207*Steuerungsdaten!$B$4*Steuerungsdaten!$B$9*IFERROR(VLOOKUP(IFERROR(INDEX(Aktiv!$C$6:$C$350,MATCH(A207,Aktiv!$A$6:$A$350,0)),""),Steuerungsdaten!$B$17:$G$37,6,FALSE),1)*POWER(IF(OR(IFERROR(INDEX(Aktiv!$E$6:$E$350,MATCH(A207,Aktiv!$A$6:$A$350,0)),0)=0,IFERROR(INDEX(Aktiv!$F$6:$F$350,MATCH(A207,Aktiv!$A$6:$A$350,0)),0)=0),1,(IFERROR(INDEX(Aktiv!$E$6:$E$350,MATCH(A207,Aktiv!$A$6:$A$350,0)),0)*IFERROR(INDEX(Aktiv!$F$6:$F$350,MATCH(A207,Aktiv!$A$6:$A$350,0)),0)/1000000)/Steuerungsdaten!$B$6),1-1),0))</f>
        <v>227</v>
      </c>
      <c r="M207" s="297">
        <f>IFERROR(INDEX(Aktiv!$I$6:$I$350,MATCH(A207,Aktiv!$A$6:$A$350,0)),"")</f>
        <v>517</v>
      </c>
      <c r="N207" s="298">
        <f t="shared" si="28"/>
        <v>290</v>
      </c>
      <c r="O207" s="296">
        <f t="shared" si="29"/>
        <v>1.277533039647577</v>
      </c>
      <c r="P207" s="297">
        <f>IF(C207="","",ROUND(C207*Steuerungsdaten!$B$4*Steuerungsdaten!$B$10*IFERROR(VLOOKUP(IFERROR(INDEX(Aktiv!$C$6:$C$350,MATCH(A207,Aktiv!$A$6:$A$350,0)),""),Steuerungsdaten!$B$17:$I$37,8,FALSE),1)*POWER(IF(OR(IFERROR(INDEX(Aktiv!$E$6:$E$350,MATCH(A207,Aktiv!$A$6:$A$350,0)),0)=0,IFERROR(INDEX(Aktiv!$F$6:$F$350,MATCH(A207,Aktiv!$A$6:$A$350,0)),0)=0),1,(IFERROR(INDEX(Aktiv!$E$6:$E$350,MATCH(A207,Aktiv!$A$6:$A$350,0)),0)*IFERROR(INDEX(Aktiv!$F$6:$F$350,MATCH(A207,Aktiv!$A$6:$A$350,0)),0)/1000000)/Steuerungsdaten!$B$6),1-1),0))</f>
        <v>248</v>
      </c>
      <c r="Q207" s="297">
        <f>IFERROR(INDEX(Aktiv!$J$6:$J$350,MATCH(A207,Aktiv!$A$6:$A$350,0)),"")</f>
        <v>750</v>
      </c>
      <c r="R207" s="298">
        <f t="shared" si="30"/>
        <v>502</v>
      </c>
      <c r="S207" s="296">
        <f t="shared" si="31"/>
        <v>2.024193548387097</v>
      </c>
    </row>
    <row r="208" spans="1:19" x14ac:dyDescent="0.25">
      <c r="A208" s="292">
        <v>5103</v>
      </c>
      <c r="B208" s="292" t="s">
        <v>226</v>
      </c>
      <c r="C208" s="293">
        <f>IFERROR(INDEX(Aktiv!$O$6:$O$350,MATCH(A208,Aktiv!$A$6:$A$350,0)),"")</f>
        <v>257</v>
      </c>
      <c r="D208" s="293">
        <f>IF(C208="","",ROUND(C208*Steuerungsdaten!$B$4*Steuerungsdaten!$B$7*IFERROR(VLOOKUP(IFERROR(INDEX(Aktiv!$C$6:$C$350,MATCH(A208,Aktiv!$A$6:$A$350,0)),""),Steuerungsdaten!$B$17:$C$37,2,FALSE),1)*POWER(IF(OR(IFERROR(INDEX(Aktiv!$E$6:$E$350,MATCH(A208,Aktiv!$A$6:$A$350,0)),0)=0,IFERROR(INDEX(Aktiv!$F$6:$F$350,MATCH(A208,Aktiv!$A$6:$A$350,0)),0)=0),1,(IFERROR(INDEX(Aktiv!$E$6:$E$350,MATCH(A208,Aktiv!$A$6:$A$350,0)),0)*IFERROR(INDEX(Aktiv!$F$6:$F$350,MATCH(A208,Aktiv!$A$6:$A$350,0)),0)/1000000)/Steuerungsdaten!$B$6),IF(ISNUMBER(MATCH(IFERROR(INDEX(Aktiv!$C$6:$C$350,MATCH(A208,Aktiv!$A$6:$A$350,0)),""),{"Boden","Seite außen","Seite außen SY32","Rücken","Seite innen","Seite innen SY32","Seite innen SY32 DB","Fachboden klein","Fachboden groß","Klappenboden"},0)),1.2,1)-1),0))</f>
        <v>249</v>
      </c>
      <c r="E208" s="293">
        <f>IFERROR(INDEX(Aktiv!$G$6:$G$350,MATCH(A208,Aktiv!$A$6:$A$350,0)),"")</f>
        <v>254</v>
      </c>
      <c r="F208" s="294">
        <f t="shared" si="24"/>
        <v>5</v>
      </c>
      <c r="G208" s="295">
        <f t="shared" si="25"/>
        <v>2.0080321285140562E-2</v>
      </c>
      <c r="H208" s="293">
        <f>IF(C208="","",ROUND(C208*Steuerungsdaten!$B$4*Steuerungsdaten!$B$8*IFERROR(VLOOKUP(IFERROR(INDEX(Aktiv!$C$6:$C$350,MATCH(A208,Aktiv!$A$6:$A$350,0)),""),Steuerungsdaten!$B$17:$E$37,4,FALSE),1)*POWER(IF(OR(IFERROR(INDEX(Aktiv!$E$6:$E$350,MATCH(A208,Aktiv!$A$6:$A$350,0)),0)=0,IFERROR(INDEX(Aktiv!$F$6:$F$350,MATCH(A208,Aktiv!$A$6:$A$350,0)),0)=0),1,(IFERROR(INDEX(Aktiv!$E$6:$E$350,MATCH(A208,Aktiv!$A$6:$A$350,0)),0)*IFERROR(INDEX(Aktiv!$F$6:$F$350,MATCH(A208,Aktiv!$A$6:$A$350,0)),0)/1000000)/Steuerungsdaten!$B$6),1-1),0))</f>
        <v>249</v>
      </c>
      <c r="I208" s="293">
        <f>IFERROR(INDEX(Aktiv!$H$6:$H$350,MATCH(A208,Aktiv!$A$6:$A$350,0)),"")</f>
        <v>546</v>
      </c>
      <c r="J208" s="294">
        <f t="shared" si="26"/>
        <v>297</v>
      </c>
      <c r="K208" s="296">
        <f t="shared" si="27"/>
        <v>1.1927710843373494</v>
      </c>
      <c r="L208" s="297">
        <f>IF(C208="","",ROUND(C208*Steuerungsdaten!$B$4*Steuerungsdaten!$B$9*IFERROR(VLOOKUP(IFERROR(INDEX(Aktiv!$C$6:$C$350,MATCH(A208,Aktiv!$A$6:$A$350,0)),""),Steuerungsdaten!$B$17:$G$37,6,FALSE),1)*POWER(IF(OR(IFERROR(INDEX(Aktiv!$E$6:$E$350,MATCH(A208,Aktiv!$A$6:$A$350,0)),0)=0,IFERROR(INDEX(Aktiv!$F$6:$F$350,MATCH(A208,Aktiv!$A$6:$A$350,0)),0)=0),1,(IFERROR(INDEX(Aktiv!$E$6:$E$350,MATCH(A208,Aktiv!$A$6:$A$350,0)),0)*IFERROR(INDEX(Aktiv!$F$6:$F$350,MATCH(A208,Aktiv!$A$6:$A$350,0)),0)/1000000)/Steuerungsdaten!$B$6),1-1),0))</f>
        <v>249</v>
      </c>
      <c r="M208" s="297">
        <f>IFERROR(INDEX(Aktiv!$I$6:$I$350,MATCH(A208,Aktiv!$A$6:$A$350,0)),"")</f>
        <v>597</v>
      </c>
      <c r="N208" s="298">
        <f t="shared" si="28"/>
        <v>348</v>
      </c>
      <c r="O208" s="296">
        <f t="shared" si="29"/>
        <v>1.3975903614457832</v>
      </c>
      <c r="P208" s="297">
        <f>IF(C208="","",ROUND(C208*Steuerungsdaten!$B$4*Steuerungsdaten!$B$10*IFERROR(VLOOKUP(IFERROR(INDEX(Aktiv!$C$6:$C$350,MATCH(A208,Aktiv!$A$6:$A$350,0)),""),Steuerungsdaten!$B$17:$I$37,8,FALSE),1)*POWER(IF(OR(IFERROR(INDEX(Aktiv!$E$6:$E$350,MATCH(A208,Aktiv!$A$6:$A$350,0)),0)=0,IFERROR(INDEX(Aktiv!$F$6:$F$350,MATCH(A208,Aktiv!$A$6:$A$350,0)),0)=0),1,(IFERROR(INDEX(Aktiv!$E$6:$E$350,MATCH(A208,Aktiv!$A$6:$A$350,0)),0)*IFERROR(INDEX(Aktiv!$F$6:$F$350,MATCH(A208,Aktiv!$A$6:$A$350,0)),0)/1000000)/Steuerungsdaten!$B$6),1-1),0))</f>
        <v>271</v>
      </c>
      <c r="Q208" s="297">
        <f>IFERROR(INDEX(Aktiv!$J$6:$J$350,MATCH(A208,Aktiv!$A$6:$A$350,0)),"")</f>
        <v>866</v>
      </c>
      <c r="R208" s="298">
        <f t="shared" si="30"/>
        <v>595</v>
      </c>
      <c r="S208" s="296">
        <f t="shared" si="31"/>
        <v>2.195571955719557</v>
      </c>
    </row>
    <row r="209" spans="1:19" x14ac:dyDescent="0.25">
      <c r="A209" s="292">
        <v>5104</v>
      </c>
      <c r="B209" s="292" t="s">
        <v>227</v>
      </c>
      <c r="C209" s="293">
        <f>IFERROR(INDEX(Aktiv!$O$6:$O$350,MATCH(A209,Aktiv!$A$6:$A$350,0)),"")</f>
        <v>340</v>
      </c>
      <c r="D209" s="293">
        <f>IF(C209="","",ROUND(C209*Steuerungsdaten!$B$4*Steuerungsdaten!$B$7*IFERROR(VLOOKUP(IFERROR(INDEX(Aktiv!$C$6:$C$350,MATCH(A209,Aktiv!$A$6:$A$350,0)),""),Steuerungsdaten!$B$17:$C$37,2,FALSE),1)*POWER(IF(OR(IFERROR(INDEX(Aktiv!$E$6:$E$350,MATCH(A209,Aktiv!$A$6:$A$350,0)),0)=0,IFERROR(INDEX(Aktiv!$F$6:$F$350,MATCH(A209,Aktiv!$A$6:$A$350,0)),0)=0),1,(IFERROR(INDEX(Aktiv!$E$6:$E$350,MATCH(A209,Aktiv!$A$6:$A$350,0)),0)*IFERROR(INDEX(Aktiv!$F$6:$F$350,MATCH(A209,Aktiv!$A$6:$A$350,0)),0)/1000000)/Steuerungsdaten!$B$6),IF(ISNUMBER(MATCH(IFERROR(INDEX(Aktiv!$C$6:$C$350,MATCH(A209,Aktiv!$A$6:$A$350,0)),""),{"Boden","Seite außen","Seite außen SY32","Rücken","Seite innen","Seite innen SY32","Seite innen SY32 DB","Fachboden klein","Fachboden groß","Klappenboden"},0)),1.2,1)-1),0))</f>
        <v>329</v>
      </c>
      <c r="E209" s="293">
        <f>IFERROR(INDEX(Aktiv!$G$6:$G$350,MATCH(A209,Aktiv!$A$6:$A$350,0)),"")</f>
        <v>285</v>
      </c>
      <c r="F209" s="294">
        <f t="shared" si="24"/>
        <v>-44</v>
      </c>
      <c r="G209" s="295">
        <f t="shared" si="25"/>
        <v>-0.1337386018237082</v>
      </c>
      <c r="H209" s="293">
        <f>IF(C209="","",ROUND(C209*Steuerungsdaten!$B$4*Steuerungsdaten!$B$8*IFERROR(VLOOKUP(IFERROR(INDEX(Aktiv!$C$6:$C$350,MATCH(A209,Aktiv!$A$6:$A$350,0)),""),Steuerungsdaten!$B$17:$E$37,4,FALSE),1)*POWER(IF(OR(IFERROR(INDEX(Aktiv!$E$6:$E$350,MATCH(A209,Aktiv!$A$6:$A$350,0)),0)=0,IFERROR(INDEX(Aktiv!$F$6:$F$350,MATCH(A209,Aktiv!$A$6:$A$350,0)),0)=0),1,(IFERROR(INDEX(Aktiv!$E$6:$E$350,MATCH(A209,Aktiv!$A$6:$A$350,0)),0)*IFERROR(INDEX(Aktiv!$F$6:$F$350,MATCH(A209,Aktiv!$A$6:$A$350,0)),0)/1000000)/Steuerungsdaten!$B$6),1-1),0))</f>
        <v>329</v>
      </c>
      <c r="I209" s="293">
        <f>IFERROR(INDEX(Aktiv!$H$6:$H$350,MATCH(A209,Aktiv!$A$6:$A$350,0)),"")</f>
        <v>610</v>
      </c>
      <c r="J209" s="294">
        <f t="shared" si="26"/>
        <v>281</v>
      </c>
      <c r="K209" s="296">
        <f t="shared" si="27"/>
        <v>0.85410334346504557</v>
      </c>
      <c r="L209" s="297">
        <f>IF(C209="","",ROUND(C209*Steuerungsdaten!$B$4*Steuerungsdaten!$B$9*IFERROR(VLOOKUP(IFERROR(INDEX(Aktiv!$C$6:$C$350,MATCH(A209,Aktiv!$A$6:$A$350,0)),""),Steuerungsdaten!$B$17:$G$37,6,FALSE),1)*POWER(IF(OR(IFERROR(INDEX(Aktiv!$E$6:$E$350,MATCH(A209,Aktiv!$A$6:$A$350,0)),0)=0,IFERROR(INDEX(Aktiv!$F$6:$F$350,MATCH(A209,Aktiv!$A$6:$A$350,0)),0)=0),1,(IFERROR(INDEX(Aktiv!$E$6:$E$350,MATCH(A209,Aktiv!$A$6:$A$350,0)),0)*IFERROR(INDEX(Aktiv!$F$6:$F$350,MATCH(A209,Aktiv!$A$6:$A$350,0)),0)/1000000)/Steuerungsdaten!$B$6),1-1),0))</f>
        <v>329</v>
      </c>
      <c r="M209" s="297">
        <f>IFERROR(INDEX(Aktiv!$I$6:$I$350,MATCH(A209,Aktiv!$A$6:$A$350,0)),"")</f>
        <v>667</v>
      </c>
      <c r="N209" s="298">
        <f t="shared" si="28"/>
        <v>338</v>
      </c>
      <c r="O209" s="296">
        <f t="shared" si="29"/>
        <v>1.027355623100304</v>
      </c>
      <c r="P209" s="297">
        <f>IF(C209="","",ROUND(C209*Steuerungsdaten!$B$4*Steuerungsdaten!$B$10*IFERROR(VLOOKUP(IFERROR(INDEX(Aktiv!$C$6:$C$350,MATCH(A209,Aktiv!$A$6:$A$350,0)),""),Steuerungsdaten!$B$17:$I$37,8,FALSE),1)*POWER(IF(OR(IFERROR(INDEX(Aktiv!$E$6:$E$350,MATCH(A209,Aktiv!$A$6:$A$350,0)),0)=0,IFERROR(INDEX(Aktiv!$F$6:$F$350,MATCH(A209,Aktiv!$A$6:$A$350,0)),0)=0),1,(IFERROR(INDEX(Aktiv!$E$6:$E$350,MATCH(A209,Aktiv!$A$6:$A$350,0)),0)*IFERROR(INDEX(Aktiv!$F$6:$F$350,MATCH(A209,Aktiv!$A$6:$A$350,0)),0)/1000000)/Steuerungsdaten!$B$6),1-1),0))</f>
        <v>359</v>
      </c>
      <c r="Q209" s="297">
        <f>IFERROR(INDEX(Aktiv!$J$6:$J$350,MATCH(A209,Aktiv!$A$6:$A$350,0)),"")</f>
        <v>968</v>
      </c>
      <c r="R209" s="298">
        <f t="shared" si="30"/>
        <v>609</v>
      </c>
      <c r="S209" s="296">
        <f t="shared" si="31"/>
        <v>1.6963788300835654</v>
      </c>
    </row>
    <row r="210" spans="1:19" x14ac:dyDescent="0.25">
      <c r="A210" s="292">
        <v>5105</v>
      </c>
      <c r="B210" s="292" t="s">
        <v>228</v>
      </c>
      <c r="C210" s="293">
        <f>IFERROR(INDEX(Aktiv!$O$6:$O$350,MATCH(A210,Aktiv!$A$6:$A$350,0)),"")</f>
        <v>153</v>
      </c>
      <c r="D210" s="293">
        <f>IF(C210="","",ROUND(C210*Steuerungsdaten!$B$4*Steuerungsdaten!$B$7*IFERROR(VLOOKUP(IFERROR(INDEX(Aktiv!$C$6:$C$350,MATCH(A210,Aktiv!$A$6:$A$350,0)),""),Steuerungsdaten!$B$17:$C$37,2,FALSE),1)*POWER(IF(OR(IFERROR(INDEX(Aktiv!$E$6:$E$350,MATCH(A210,Aktiv!$A$6:$A$350,0)),0)=0,IFERROR(INDEX(Aktiv!$F$6:$F$350,MATCH(A210,Aktiv!$A$6:$A$350,0)),0)=0),1,(IFERROR(INDEX(Aktiv!$E$6:$E$350,MATCH(A210,Aktiv!$A$6:$A$350,0)),0)*IFERROR(INDEX(Aktiv!$F$6:$F$350,MATCH(A210,Aktiv!$A$6:$A$350,0)),0)/1000000)/Steuerungsdaten!$B$6),IF(ISNUMBER(MATCH(IFERROR(INDEX(Aktiv!$C$6:$C$350,MATCH(A210,Aktiv!$A$6:$A$350,0)),""),{"Boden","Seite außen","Seite außen SY32","Rücken","Seite innen","Seite innen SY32","Seite innen SY32 DB","Fachboden klein","Fachboden groß","Klappenboden"},0)),1.2,1)-1),0))</f>
        <v>148</v>
      </c>
      <c r="E210" s="293">
        <f>IFERROR(INDEX(Aktiv!$G$6:$G$350,MATCH(A210,Aktiv!$A$6:$A$350,0)),"")</f>
        <v>150</v>
      </c>
      <c r="F210" s="294">
        <f t="shared" si="24"/>
        <v>2</v>
      </c>
      <c r="G210" s="295">
        <f t="shared" si="25"/>
        <v>1.3513513513513514E-2</v>
      </c>
      <c r="H210" s="293">
        <f>IF(C210="","",ROUND(C210*Steuerungsdaten!$B$4*Steuerungsdaten!$B$8*IFERROR(VLOOKUP(IFERROR(INDEX(Aktiv!$C$6:$C$350,MATCH(A210,Aktiv!$A$6:$A$350,0)),""),Steuerungsdaten!$B$17:$E$37,4,FALSE),1)*POWER(IF(OR(IFERROR(INDEX(Aktiv!$E$6:$E$350,MATCH(A210,Aktiv!$A$6:$A$350,0)),0)=0,IFERROR(INDEX(Aktiv!$F$6:$F$350,MATCH(A210,Aktiv!$A$6:$A$350,0)),0)=0),1,(IFERROR(INDEX(Aktiv!$E$6:$E$350,MATCH(A210,Aktiv!$A$6:$A$350,0)),0)*IFERROR(INDEX(Aktiv!$F$6:$F$350,MATCH(A210,Aktiv!$A$6:$A$350,0)),0)/1000000)/Steuerungsdaten!$B$6),1-1),0))</f>
        <v>148</v>
      </c>
      <c r="I210" s="293">
        <f>IFERROR(INDEX(Aktiv!$H$6:$H$350,MATCH(A210,Aktiv!$A$6:$A$350,0)),"")</f>
        <v>321</v>
      </c>
      <c r="J210" s="294">
        <f t="shared" si="26"/>
        <v>173</v>
      </c>
      <c r="K210" s="296">
        <f t="shared" si="27"/>
        <v>1.1689189189189189</v>
      </c>
      <c r="L210" s="297">
        <f>IF(C210="","",ROUND(C210*Steuerungsdaten!$B$4*Steuerungsdaten!$B$9*IFERROR(VLOOKUP(IFERROR(INDEX(Aktiv!$C$6:$C$350,MATCH(A210,Aktiv!$A$6:$A$350,0)),""),Steuerungsdaten!$B$17:$G$37,6,FALSE),1)*POWER(IF(OR(IFERROR(INDEX(Aktiv!$E$6:$E$350,MATCH(A210,Aktiv!$A$6:$A$350,0)),0)=0,IFERROR(INDEX(Aktiv!$F$6:$F$350,MATCH(A210,Aktiv!$A$6:$A$350,0)),0)=0),1,(IFERROR(INDEX(Aktiv!$E$6:$E$350,MATCH(A210,Aktiv!$A$6:$A$350,0)),0)*IFERROR(INDEX(Aktiv!$F$6:$F$350,MATCH(A210,Aktiv!$A$6:$A$350,0)),0)/1000000)/Steuerungsdaten!$B$6),1-1),0))</f>
        <v>148</v>
      </c>
      <c r="M210" s="297">
        <f>IFERROR(INDEX(Aktiv!$I$6:$I$350,MATCH(A210,Aktiv!$A$6:$A$350,0)),"")</f>
        <v>351</v>
      </c>
      <c r="N210" s="298">
        <f t="shared" si="28"/>
        <v>203</v>
      </c>
      <c r="O210" s="296">
        <f t="shared" si="29"/>
        <v>1.3716216216216217</v>
      </c>
      <c r="P210" s="297">
        <f>IF(C210="","",ROUND(C210*Steuerungsdaten!$B$4*Steuerungsdaten!$B$10*IFERROR(VLOOKUP(IFERROR(INDEX(Aktiv!$C$6:$C$350,MATCH(A210,Aktiv!$A$6:$A$350,0)),""),Steuerungsdaten!$B$17:$I$37,8,FALSE),1)*POWER(IF(OR(IFERROR(INDEX(Aktiv!$E$6:$E$350,MATCH(A210,Aktiv!$A$6:$A$350,0)),0)=0,IFERROR(INDEX(Aktiv!$F$6:$F$350,MATCH(A210,Aktiv!$A$6:$A$350,0)),0)=0),1,(IFERROR(INDEX(Aktiv!$E$6:$E$350,MATCH(A210,Aktiv!$A$6:$A$350,0)),0)*IFERROR(INDEX(Aktiv!$F$6:$F$350,MATCH(A210,Aktiv!$A$6:$A$350,0)),0)/1000000)/Steuerungsdaten!$B$6),1-1),0))</f>
        <v>162</v>
      </c>
      <c r="Q210" s="297">
        <f>IFERROR(INDEX(Aktiv!$J$6:$J$350,MATCH(A210,Aktiv!$A$6:$A$350,0)),"")</f>
        <v>509</v>
      </c>
      <c r="R210" s="298">
        <f t="shared" si="30"/>
        <v>347</v>
      </c>
      <c r="S210" s="296">
        <f t="shared" si="31"/>
        <v>2.1419753086419755</v>
      </c>
    </row>
    <row r="211" spans="1:19" x14ac:dyDescent="0.25">
      <c r="A211" s="292">
        <v>5106</v>
      </c>
      <c r="B211" s="292" t="s">
        <v>229</v>
      </c>
      <c r="C211" s="293">
        <f>IFERROR(INDEX(Aktiv!$O$6:$O$350,MATCH(A211,Aktiv!$A$6:$A$350,0)),"")</f>
        <v>210</v>
      </c>
      <c r="D211" s="293">
        <f>IF(C211="","",ROUND(C211*Steuerungsdaten!$B$4*Steuerungsdaten!$B$7*IFERROR(VLOOKUP(IFERROR(INDEX(Aktiv!$C$6:$C$350,MATCH(A211,Aktiv!$A$6:$A$350,0)),""),Steuerungsdaten!$B$17:$C$37,2,FALSE),1)*POWER(IF(OR(IFERROR(INDEX(Aktiv!$E$6:$E$350,MATCH(A211,Aktiv!$A$6:$A$350,0)),0)=0,IFERROR(INDEX(Aktiv!$F$6:$F$350,MATCH(A211,Aktiv!$A$6:$A$350,0)),0)=0),1,(IFERROR(INDEX(Aktiv!$E$6:$E$350,MATCH(A211,Aktiv!$A$6:$A$350,0)),0)*IFERROR(INDEX(Aktiv!$F$6:$F$350,MATCH(A211,Aktiv!$A$6:$A$350,0)),0)/1000000)/Steuerungsdaten!$B$6),IF(ISNUMBER(MATCH(IFERROR(INDEX(Aktiv!$C$6:$C$350,MATCH(A211,Aktiv!$A$6:$A$350,0)),""),{"Boden","Seite außen","Seite außen SY32","Rücken","Seite innen","Seite innen SY32","Seite innen SY32 DB","Fachboden klein","Fachboden groß","Klappenboden"},0)),1.2,1)-1),0))</f>
        <v>203</v>
      </c>
      <c r="E211" s="293">
        <f>IFERROR(INDEX(Aktiv!$G$6:$G$350,MATCH(A211,Aktiv!$A$6:$A$350,0)),"")</f>
        <v>211</v>
      </c>
      <c r="F211" s="294">
        <f t="shared" si="24"/>
        <v>8</v>
      </c>
      <c r="G211" s="295">
        <f t="shared" si="25"/>
        <v>3.9408866995073892E-2</v>
      </c>
      <c r="H211" s="293">
        <f>IF(C211="","",ROUND(C211*Steuerungsdaten!$B$4*Steuerungsdaten!$B$8*IFERROR(VLOOKUP(IFERROR(INDEX(Aktiv!$C$6:$C$350,MATCH(A211,Aktiv!$A$6:$A$350,0)),""),Steuerungsdaten!$B$17:$E$37,4,FALSE),1)*POWER(IF(OR(IFERROR(INDEX(Aktiv!$E$6:$E$350,MATCH(A211,Aktiv!$A$6:$A$350,0)),0)=0,IFERROR(INDEX(Aktiv!$F$6:$F$350,MATCH(A211,Aktiv!$A$6:$A$350,0)),0)=0),1,(IFERROR(INDEX(Aktiv!$E$6:$E$350,MATCH(A211,Aktiv!$A$6:$A$350,0)),0)*IFERROR(INDEX(Aktiv!$F$6:$F$350,MATCH(A211,Aktiv!$A$6:$A$350,0)),0)/1000000)/Steuerungsdaten!$B$6),1-1),0))</f>
        <v>203</v>
      </c>
      <c r="I211" s="293">
        <f>IFERROR(INDEX(Aktiv!$H$6:$H$350,MATCH(A211,Aktiv!$A$6:$A$350,0)),"")</f>
        <v>454</v>
      </c>
      <c r="J211" s="294">
        <f t="shared" si="26"/>
        <v>251</v>
      </c>
      <c r="K211" s="296">
        <f t="shared" si="27"/>
        <v>1.2364532019704433</v>
      </c>
      <c r="L211" s="297">
        <f>IF(C211="","",ROUND(C211*Steuerungsdaten!$B$4*Steuerungsdaten!$B$9*IFERROR(VLOOKUP(IFERROR(INDEX(Aktiv!$C$6:$C$350,MATCH(A211,Aktiv!$A$6:$A$350,0)),""),Steuerungsdaten!$B$17:$G$37,6,FALSE),1)*POWER(IF(OR(IFERROR(INDEX(Aktiv!$E$6:$E$350,MATCH(A211,Aktiv!$A$6:$A$350,0)),0)=0,IFERROR(INDEX(Aktiv!$F$6:$F$350,MATCH(A211,Aktiv!$A$6:$A$350,0)),0)=0),1,(IFERROR(INDEX(Aktiv!$E$6:$E$350,MATCH(A211,Aktiv!$A$6:$A$350,0)),0)*IFERROR(INDEX(Aktiv!$F$6:$F$350,MATCH(A211,Aktiv!$A$6:$A$350,0)),0)/1000000)/Steuerungsdaten!$B$6),1-1),0))</f>
        <v>203</v>
      </c>
      <c r="M211" s="297">
        <f>IFERROR(INDEX(Aktiv!$I$6:$I$350,MATCH(A211,Aktiv!$A$6:$A$350,0)),"")</f>
        <v>496</v>
      </c>
      <c r="N211" s="298">
        <f t="shared" si="28"/>
        <v>293</v>
      </c>
      <c r="O211" s="296">
        <f t="shared" si="29"/>
        <v>1.4433497536945812</v>
      </c>
      <c r="P211" s="297">
        <f>IF(C211="","",ROUND(C211*Steuerungsdaten!$B$4*Steuerungsdaten!$B$10*IFERROR(VLOOKUP(IFERROR(INDEX(Aktiv!$C$6:$C$350,MATCH(A211,Aktiv!$A$6:$A$350,0)),""),Steuerungsdaten!$B$17:$I$37,8,FALSE),1)*POWER(IF(OR(IFERROR(INDEX(Aktiv!$E$6:$E$350,MATCH(A211,Aktiv!$A$6:$A$350,0)),0)=0,IFERROR(INDEX(Aktiv!$F$6:$F$350,MATCH(A211,Aktiv!$A$6:$A$350,0)),0)=0),1,(IFERROR(INDEX(Aktiv!$E$6:$E$350,MATCH(A211,Aktiv!$A$6:$A$350,0)),0)*IFERROR(INDEX(Aktiv!$F$6:$F$350,MATCH(A211,Aktiv!$A$6:$A$350,0)),0)/1000000)/Steuerungsdaten!$B$6),1-1),0))</f>
        <v>222</v>
      </c>
      <c r="Q211" s="297">
        <f>IFERROR(INDEX(Aktiv!$J$6:$J$350,MATCH(A211,Aktiv!$A$6:$A$350,0)),"")</f>
        <v>720</v>
      </c>
      <c r="R211" s="298">
        <f t="shared" si="30"/>
        <v>498</v>
      </c>
      <c r="S211" s="296">
        <f t="shared" si="31"/>
        <v>2.2432432432432434</v>
      </c>
    </row>
    <row r="212" spans="1:19" x14ac:dyDescent="0.25">
      <c r="A212" s="292">
        <v>5107</v>
      </c>
      <c r="B212" s="292" t="s">
        <v>230</v>
      </c>
      <c r="C212" s="293">
        <f>IFERROR(INDEX(Aktiv!$O$6:$O$350,MATCH(A212,Aktiv!$A$6:$A$350,0)),"")</f>
        <v>278</v>
      </c>
      <c r="D212" s="293">
        <f>IF(C212="","",ROUND(C212*Steuerungsdaten!$B$4*Steuerungsdaten!$B$7*IFERROR(VLOOKUP(IFERROR(INDEX(Aktiv!$C$6:$C$350,MATCH(A212,Aktiv!$A$6:$A$350,0)),""),Steuerungsdaten!$B$17:$C$37,2,FALSE),1)*POWER(IF(OR(IFERROR(INDEX(Aktiv!$E$6:$E$350,MATCH(A212,Aktiv!$A$6:$A$350,0)),0)=0,IFERROR(INDEX(Aktiv!$F$6:$F$350,MATCH(A212,Aktiv!$A$6:$A$350,0)),0)=0),1,(IFERROR(INDEX(Aktiv!$E$6:$E$350,MATCH(A212,Aktiv!$A$6:$A$350,0)),0)*IFERROR(INDEX(Aktiv!$F$6:$F$350,MATCH(A212,Aktiv!$A$6:$A$350,0)),0)/1000000)/Steuerungsdaten!$B$6),IF(ISNUMBER(MATCH(IFERROR(INDEX(Aktiv!$C$6:$C$350,MATCH(A212,Aktiv!$A$6:$A$350,0)),""),{"Boden","Seite außen","Seite außen SY32","Rücken","Seite innen","Seite innen SY32","Seite innen SY32 DB","Fachboden klein","Fachboden groß","Klappenboden"},0)),1.2,1)-1),0))</f>
        <v>269</v>
      </c>
      <c r="E212" s="293">
        <f>IFERROR(INDEX(Aktiv!$G$6:$G$350,MATCH(A212,Aktiv!$A$6:$A$350,0)),"")</f>
        <v>259</v>
      </c>
      <c r="F212" s="294">
        <f t="shared" si="24"/>
        <v>-10</v>
      </c>
      <c r="G212" s="295">
        <f t="shared" si="25"/>
        <v>-3.717472118959108E-2</v>
      </c>
      <c r="H212" s="293">
        <f>IF(C212="","",ROUND(C212*Steuerungsdaten!$B$4*Steuerungsdaten!$B$8*IFERROR(VLOOKUP(IFERROR(INDEX(Aktiv!$C$6:$C$350,MATCH(A212,Aktiv!$A$6:$A$350,0)),""),Steuerungsdaten!$B$17:$E$37,4,FALSE),1)*POWER(IF(OR(IFERROR(INDEX(Aktiv!$E$6:$E$350,MATCH(A212,Aktiv!$A$6:$A$350,0)),0)=0,IFERROR(INDEX(Aktiv!$F$6:$F$350,MATCH(A212,Aktiv!$A$6:$A$350,0)),0)=0),1,(IFERROR(INDEX(Aktiv!$E$6:$E$350,MATCH(A212,Aktiv!$A$6:$A$350,0)),0)*IFERROR(INDEX(Aktiv!$F$6:$F$350,MATCH(A212,Aktiv!$A$6:$A$350,0)),0)/1000000)/Steuerungsdaten!$B$6),1-1),0))</f>
        <v>269</v>
      </c>
      <c r="I212" s="293">
        <f>IFERROR(INDEX(Aktiv!$H$6:$H$350,MATCH(A212,Aktiv!$A$6:$A$350,0)),"")</f>
        <v>556</v>
      </c>
      <c r="J212" s="294">
        <f t="shared" si="26"/>
        <v>287</v>
      </c>
      <c r="K212" s="296">
        <f t="shared" si="27"/>
        <v>1.0669144981412639</v>
      </c>
      <c r="L212" s="297">
        <f>IF(C212="","",ROUND(C212*Steuerungsdaten!$B$4*Steuerungsdaten!$B$9*IFERROR(VLOOKUP(IFERROR(INDEX(Aktiv!$C$6:$C$350,MATCH(A212,Aktiv!$A$6:$A$350,0)),""),Steuerungsdaten!$B$17:$G$37,6,FALSE),1)*POWER(IF(OR(IFERROR(INDEX(Aktiv!$E$6:$E$350,MATCH(A212,Aktiv!$A$6:$A$350,0)),0)=0,IFERROR(INDEX(Aktiv!$F$6:$F$350,MATCH(A212,Aktiv!$A$6:$A$350,0)),0)=0),1,(IFERROR(INDEX(Aktiv!$E$6:$E$350,MATCH(A212,Aktiv!$A$6:$A$350,0)),0)*IFERROR(INDEX(Aktiv!$F$6:$F$350,MATCH(A212,Aktiv!$A$6:$A$350,0)),0)/1000000)/Steuerungsdaten!$B$6),1-1),0))</f>
        <v>269</v>
      </c>
      <c r="M212" s="297">
        <f>IFERROR(INDEX(Aktiv!$I$6:$I$350,MATCH(A212,Aktiv!$A$6:$A$350,0)),"")</f>
        <v>607</v>
      </c>
      <c r="N212" s="298">
        <f t="shared" si="28"/>
        <v>338</v>
      </c>
      <c r="O212" s="296">
        <f t="shared" si="29"/>
        <v>1.2565055762081785</v>
      </c>
      <c r="P212" s="297">
        <f>IF(C212="","",ROUND(C212*Steuerungsdaten!$B$4*Steuerungsdaten!$B$10*IFERROR(VLOOKUP(IFERROR(INDEX(Aktiv!$C$6:$C$350,MATCH(A212,Aktiv!$A$6:$A$350,0)),""),Steuerungsdaten!$B$17:$I$37,8,FALSE),1)*POWER(IF(OR(IFERROR(INDEX(Aktiv!$E$6:$E$350,MATCH(A212,Aktiv!$A$6:$A$350,0)),0)=0,IFERROR(INDEX(Aktiv!$F$6:$F$350,MATCH(A212,Aktiv!$A$6:$A$350,0)),0)=0),1,(IFERROR(INDEX(Aktiv!$E$6:$E$350,MATCH(A212,Aktiv!$A$6:$A$350,0)),0)*IFERROR(INDEX(Aktiv!$F$6:$F$350,MATCH(A212,Aktiv!$A$6:$A$350,0)),0)/1000000)/Steuerungsdaten!$B$6),1-1),0))</f>
        <v>294</v>
      </c>
      <c r="Q212" s="297">
        <f>IFERROR(INDEX(Aktiv!$J$6:$J$350,MATCH(A212,Aktiv!$A$6:$A$350,0)),"")</f>
        <v>882</v>
      </c>
      <c r="R212" s="298">
        <f t="shared" si="30"/>
        <v>588</v>
      </c>
      <c r="S212" s="296">
        <f t="shared" si="31"/>
        <v>2</v>
      </c>
    </row>
    <row r="213" spans="1:19" x14ac:dyDescent="0.25">
      <c r="A213" s="292">
        <v>5108</v>
      </c>
      <c r="B213" s="292" t="s">
        <v>231</v>
      </c>
      <c r="C213" s="293">
        <f>IFERROR(INDEX(Aktiv!$O$6:$O$350,MATCH(A213,Aktiv!$A$6:$A$350,0)),"")</f>
        <v>337</v>
      </c>
      <c r="D213" s="293">
        <f>IF(C213="","",ROUND(C213*Steuerungsdaten!$B$4*Steuerungsdaten!$B$7*IFERROR(VLOOKUP(IFERROR(INDEX(Aktiv!$C$6:$C$350,MATCH(A213,Aktiv!$A$6:$A$350,0)),""),Steuerungsdaten!$B$17:$C$37,2,FALSE),1)*POWER(IF(OR(IFERROR(INDEX(Aktiv!$E$6:$E$350,MATCH(A213,Aktiv!$A$6:$A$350,0)),0)=0,IFERROR(INDEX(Aktiv!$F$6:$F$350,MATCH(A213,Aktiv!$A$6:$A$350,0)),0)=0),1,(IFERROR(INDEX(Aktiv!$E$6:$E$350,MATCH(A213,Aktiv!$A$6:$A$350,0)),0)*IFERROR(INDEX(Aktiv!$F$6:$F$350,MATCH(A213,Aktiv!$A$6:$A$350,0)),0)/1000000)/Steuerungsdaten!$B$6),IF(ISNUMBER(MATCH(IFERROR(INDEX(Aktiv!$C$6:$C$350,MATCH(A213,Aktiv!$A$6:$A$350,0)),""),{"Boden","Seite außen","Seite außen SY32","Rücken","Seite innen","Seite innen SY32","Seite innen SY32 DB","Fachboden klein","Fachboden groß","Klappenboden"},0)),1.2,1)-1),0))</f>
        <v>326</v>
      </c>
      <c r="E213" s="293">
        <f>IFERROR(INDEX(Aktiv!$G$6:$G$350,MATCH(A213,Aktiv!$A$6:$A$350,0)),"")</f>
        <v>299</v>
      </c>
      <c r="F213" s="294">
        <f t="shared" si="24"/>
        <v>-27</v>
      </c>
      <c r="G213" s="295">
        <f t="shared" si="25"/>
        <v>-8.2822085889570546E-2</v>
      </c>
      <c r="H213" s="293">
        <f>IF(C213="","",ROUND(C213*Steuerungsdaten!$B$4*Steuerungsdaten!$B$8*IFERROR(VLOOKUP(IFERROR(INDEX(Aktiv!$C$6:$C$350,MATCH(A213,Aktiv!$A$6:$A$350,0)),""),Steuerungsdaten!$B$17:$E$37,4,FALSE),1)*POWER(IF(OR(IFERROR(INDEX(Aktiv!$E$6:$E$350,MATCH(A213,Aktiv!$A$6:$A$350,0)),0)=0,IFERROR(INDEX(Aktiv!$F$6:$F$350,MATCH(A213,Aktiv!$A$6:$A$350,0)),0)=0),1,(IFERROR(INDEX(Aktiv!$E$6:$E$350,MATCH(A213,Aktiv!$A$6:$A$350,0)),0)*IFERROR(INDEX(Aktiv!$F$6:$F$350,MATCH(A213,Aktiv!$A$6:$A$350,0)),0)/1000000)/Steuerungsdaten!$B$6),1-1),0))</f>
        <v>326</v>
      </c>
      <c r="I213" s="293">
        <f>IFERROR(INDEX(Aktiv!$H$6:$H$350,MATCH(A213,Aktiv!$A$6:$A$350,0)),"")</f>
        <v>641</v>
      </c>
      <c r="J213" s="294">
        <f t="shared" si="26"/>
        <v>315</v>
      </c>
      <c r="K213" s="296">
        <f t="shared" si="27"/>
        <v>0.96625766871165641</v>
      </c>
      <c r="L213" s="297">
        <f>IF(C213="","",ROUND(C213*Steuerungsdaten!$B$4*Steuerungsdaten!$B$9*IFERROR(VLOOKUP(IFERROR(INDEX(Aktiv!$C$6:$C$350,MATCH(A213,Aktiv!$A$6:$A$350,0)),""),Steuerungsdaten!$B$17:$G$37,6,FALSE),1)*POWER(IF(OR(IFERROR(INDEX(Aktiv!$E$6:$E$350,MATCH(A213,Aktiv!$A$6:$A$350,0)),0)=0,IFERROR(INDEX(Aktiv!$F$6:$F$350,MATCH(A213,Aktiv!$A$6:$A$350,0)),0)=0),1,(IFERROR(INDEX(Aktiv!$E$6:$E$350,MATCH(A213,Aktiv!$A$6:$A$350,0)),0)*IFERROR(INDEX(Aktiv!$F$6:$F$350,MATCH(A213,Aktiv!$A$6:$A$350,0)),0)/1000000)/Steuerungsdaten!$B$6),1-1),0))</f>
        <v>326</v>
      </c>
      <c r="M213" s="297">
        <f>IFERROR(INDEX(Aktiv!$I$6:$I$350,MATCH(A213,Aktiv!$A$6:$A$350,0)),"")</f>
        <v>701</v>
      </c>
      <c r="N213" s="298">
        <f t="shared" si="28"/>
        <v>375</v>
      </c>
      <c r="O213" s="296">
        <f t="shared" si="29"/>
        <v>1.1503067484662577</v>
      </c>
      <c r="P213" s="297">
        <f>IF(C213="","",ROUND(C213*Steuerungsdaten!$B$4*Steuerungsdaten!$B$10*IFERROR(VLOOKUP(IFERROR(INDEX(Aktiv!$C$6:$C$350,MATCH(A213,Aktiv!$A$6:$A$350,0)),""),Steuerungsdaten!$B$17:$I$37,8,FALSE),1)*POWER(IF(OR(IFERROR(INDEX(Aktiv!$E$6:$E$350,MATCH(A213,Aktiv!$A$6:$A$350,0)),0)=0,IFERROR(INDEX(Aktiv!$F$6:$F$350,MATCH(A213,Aktiv!$A$6:$A$350,0)),0)=0),1,(IFERROR(INDEX(Aktiv!$E$6:$E$350,MATCH(A213,Aktiv!$A$6:$A$350,0)),0)*IFERROR(INDEX(Aktiv!$F$6:$F$350,MATCH(A213,Aktiv!$A$6:$A$350,0)),0)/1000000)/Steuerungsdaten!$B$6),1-1),0))</f>
        <v>356</v>
      </c>
      <c r="Q213" s="297">
        <f>IFERROR(INDEX(Aktiv!$J$6:$J$350,MATCH(A213,Aktiv!$A$6:$A$350,0)),"")</f>
        <v>1018</v>
      </c>
      <c r="R213" s="298">
        <f t="shared" si="30"/>
        <v>662</v>
      </c>
      <c r="S213" s="296">
        <f t="shared" si="31"/>
        <v>1.8595505617977528</v>
      </c>
    </row>
    <row r="214" spans="1:19" x14ac:dyDescent="0.25">
      <c r="A214" s="292">
        <v>5109</v>
      </c>
      <c r="B214" s="292" t="s">
        <v>232</v>
      </c>
      <c r="C214" s="293">
        <f>IFERROR(INDEX(Aktiv!$O$6:$O$350,MATCH(A214,Aktiv!$A$6:$A$350,0)),"")</f>
        <v>417</v>
      </c>
      <c r="D214" s="293">
        <f>IF(C214="","",ROUND(C214*Steuerungsdaten!$B$4*Steuerungsdaten!$B$7*IFERROR(VLOOKUP(IFERROR(INDEX(Aktiv!$C$6:$C$350,MATCH(A214,Aktiv!$A$6:$A$350,0)),""),Steuerungsdaten!$B$17:$C$37,2,FALSE),1)*POWER(IF(OR(IFERROR(INDEX(Aktiv!$E$6:$E$350,MATCH(A214,Aktiv!$A$6:$A$350,0)),0)=0,IFERROR(INDEX(Aktiv!$F$6:$F$350,MATCH(A214,Aktiv!$A$6:$A$350,0)),0)=0),1,(IFERROR(INDEX(Aktiv!$E$6:$E$350,MATCH(A214,Aktiv!$A$6:$A$350,0)),0)*IFERROR(INDEX(Aktiv!$F$6:$F$350,MATCH(A214,Aktiv!$A$6:$A$350,0)),0)/1000000)/Steuerungsdaten!$B$6),IF(ISNUMBER(MATCH(IFERROR(INDEX(Aktiv!$C$6:$C$350,MATCH(A214,Aktiv!$A$6:$A$350,0)),""),{"Boden","Seite außen","Seite außen SY32","Rücken","Seite innen","Seite innen SY32","Seite innen SY32 DB","Fachboden klein","Fachboden groß","Klappenboden"},0)),1.2,1)-1),0))</f>
        <v>404</v>
      </c>
      <c r="E214" s="293">
        <f>IFERROR(INDEX(Aktiv!$G$6:$G$350,MATCH(A214,Aktiv!$A$6:$A$350,0)),"")</f>
        <v>334</v>
      </c>
      <c r="F214" s="294">
        <f t="shared" si="24"/>
        <v>-70</v>
      </c>
      <c r="G214" s="295">
        <f t="shared" si="25"/>
        <v>-0.17326732673267325</v>
      </c>
      <c r="H214" s="293">
        <f>IF(C214="","",ROUND(C214*Steuerungsdaten!$B$4*Steuerungsdaten!$B$8*IFERROR(VLOOKUP(IFERROR(INDEX(Aktiv!$C$6:$C$350,MATCH(A214,Aktiv!$A$6:$A$350,0)),""),Steuerungsdaten!$B$17:$E$37,4,FALSE),1)*POWER(IF(OR(IFERROR(INDEX(Aktiv!$E$6:$E$350,MATCH(A214,Aktiv!$A$6:$A$350,0)),0)=0,IFERROR(INDEX(Aktiv!$F$6:$F$350,MATCH(A214,Aktiv!$A$6:$A$350,0)),0)=0),1,(IFERROR(INDEX(Aktiv!$E$6:$E$350,MATCH(A214,Aktiv!$A$6:$A$350,0)),0)*IFERROR(INDEX(Aktiv!$F$6:$F$350,MATCH(A214,Aktiv!$A$6:$A$350,0)),0)/1000000)/Steuerungsdaten!$B$6),1-1),0))</f>
        <v>404</v>
      </c>
      <c r="I214" s="293">
        <f>IFERROR(INDEX(Aktiv!$H$6:$H$350,MATCH(A214,Aktiv!$A$6:$A$350,0)),"")</f>
        <v>717</v>
      </c>
      <c r="J214" s="294">
        <f t="shared" si="26"/>
        <v>313</v>
      </c>
      <c r="K214" s="296">
        <f t="shared" si="27"/>
        <v>0.77475247524752477</v>
      </c>
      <c r="L214" s="297">
        <f>IF(C214="","",ROUND(C214*Steuerungsdaten!$B$4*Steuerungsdaten!$B$9*IFERROR(VLOOKUP(IFERROR(INDEX(Aktiv!$C$6:$C$350,MATCH(A214,Aktiv!$A$6:$A$350,0)),""),Steuerungsdaten!$B$17:$G$37,6,FALSE),1)*POWER(IF(OR(IFERROR(INDEX(Aktiv!$E$6:$E$350,MATCH(A214,Aktiv!$A$6:$A$350,0)),0)=0,IFERROR(INDEX(Aktiv!$F$6:$F$350,MATCH(A214,Aktiv!$A$6:$A$350,0)),0)=0),1,(IFERROR(INDEX(Aktiv!$E$6:$E$350,MATCH(A214,Aktiv!$A$6:$A$350,0)),0)*IFERROR(INDEX(Aktiv!$F$6:$F$350,MATCH(A214,Aktiv!$A$6:$A$350,0)),0)/1000000)/Steuerungsdaten!$B$6),1-1),0))</f>
        <v>404</v>
      </c>
      <c r="M214" s="297">
        <f>IFERROR(INDEX(Aktiv!$I$6:$I$350,MATCH(A214,Aktiv!$A$6:$A$350,0)),"")</f>
        <v>784</v>
      </c>
      <c r="N214" s="298">
        <f t="shared" si="28"/>
        <v>380</v>
      </c>
      <c r="O214" s="296">
        <f t="shared" si="29"/>
        <v>0.94059405940594054</v>
      </c>
      <c r="P214" s="297">
        <f>IF(C214="","",ROUND(C214*Steuerungsdaten!$B$4*Steuerungsdaten!$B$10*IFERROR(VLOOKUP(IFERROR(INDEX(Aktiv!$C$6:$C$350,MATCH(A214,Aktiv!$A$6:$A$350,0)),""),Steuerungsdaten!$B$17:$I$37,8,FALSE),1)*POWER(IF(OR(IFERROR(INDEX(Aktiv!$E$6:$E$350,MATCH(A214,Aktiv!$A$6:$A$350,0)),0)=0,IFERROR(INDEX(Aktiv!$F$6:$F$350,MATCH(A214,Aktiv!$A$6:$A$350,0)),0)=0),1,(IFERROR(INDEX(Aktiv!$E$6:$E$350,MATCH(A214,Aktiv!$A$6:$A$350,0)),0)*IFERROR(INDEX(Aktiv!$F$6:$F$350,MATCH(A214,Aktiv!$A$6:$A$350,0)),0)/1000000)/Steuerungsdaten!$B$6),1-1),0))</f>
        <v>440</v>
      </c>
      <c r="Q214" s="297">
        <f>IFERROR(INDEX(Aktiv!$J$6:$J$350,MATCH(A214,Aktiv!$A$6:$A$350,0)),"")</f>
        <v>1138</v>
      </c>
      <c r="R214" s="298">
        <f t="shared" si="30"/>
        <v>698</v>
      </c>
      <c r="S214" s="296">
        <f t="shared" si="31"/>
        <v>1.5863636363636364</v>
      </c>
    </row>
    <row r="215" spans="1:19" x14ac:dyDescent="0.25">
      <c r="A215" s="292">
        <v>5110</v>
      </c>
      <c r="B215" s="292" t="s">
        <v>233</v>
      </c>
      <c r="C215" s="293">
        <f>IFERROR(INDEX(Aktiv!$O$6:$O$350,MATCH(A215,Aktiv!$A$6:$A$350,0)),"")</f>
        <v>136</v>
      </c>
      <c r="D215" s="293">
        <f>IF(C215="","",ROUND(C215*Steuerungsdaten!$B$4*Steuerungsdaten!$B$7*IFERROR(VLOOKUP(IFERROR(INDEX(Aktiv!$C$6:$C$350,MATCH(A215,Aktiv!$A$6:$A$350,0)),""),Steuerungsdaten!$B$17:$C$37,2,FALSE),1)*POWER(IF(OR(IFERROR(INDEX(Aktiv!$E$6:$E$350,MATCH(A215,Aktiv!$A$6:$A$350,0)),0)=0,IFERROR(INDEX(Aktiv!$F$6:$F$350,MATCH(A215,Aktiv!$A$6:$A$350,0)),0)=0),1,(IFERROR(INDEX(Aktiv!$E$6:$E$350,MATCH(A215,Aktiv!$A$6:$A$350,0)),0)*IFERROR(INDEX(Aktiv!$F$6:$F$350,MATCH(A215,Aktiv!$A$6:$A$350,0)),0)/1000000)/Steuerungsdaten!$B$6),IF(ISNUMBER(MATCH(IFERROR(INDEX(Aktiv!$C$6:$C$350,MATCH(A215,Aktiv!$A$6:$A$350,0)),""),{"Boden","Seite außen","Seite außen SY32","Rücken","Seite innen","Seite innen SY32","Seite innen SY32 DB","Fachboden klein","Fachboden groß","Klappenboden"},0)),1.2,1)-1),0))</f>
        <v>132</v>
      </c>
      <c r="E215" s="293" t="str">
        <f>IFERROR(INDEX(Aktiv!$G$6:$G$350,MATCH(A215,Aktiv!$A$6:$A$350,0)),"")</f>
        <v>-</v>
      </c>
      <c r="F215" s="294" t="e">
        <f t="shared" si="24"/>
        <v>#VALUE!</v>
      </c>
      <c r="G215" s="295" t="e">
        <f t="shared" si="25"/>
        <v>#VALUE!</v>
      </c>
      <c r="H215" s="293">
        <f>IF(C215="","",ROUND(C215*Steuerungsdaten!$B$4*Steuerungsdaten!$B$8*IFERROR(VLOOKUP(IFERROR(INDEX(Aktiv!$C$6:$C$350,MATCH(A215,Aktiv!$A$6:$A$350,0)),""),Steuerungsdaten!$B$17:$E$37,4,FALSE),1)*POWER(IF(OR(IFERROR(INDEX(Aktiv!$E$6:$E$350,MATCH(A215,Aktiv!$A$6:$A$350,0)),0)=0,IFERROR(INDEX(Aktiv!$F$6:$F$350,MATCH(A215,Aktiv!$A$6:$A$350,0)),0)=0),1,(IFERROR(INDEX(Aktiv!$E$6:$E$350,MATCH(A215,Aktiv!$A$6:$A$350,0)),0)*IFERROR(INDEX(Aktiv!$F$6:$F$350,MATCH(A215,Aktiv!$A$6:$A$350,0)),0)/1000000)/Steuerungsdaten!$B$6),1-1),0))</f>
        <v>132</v>
      </c>
      <c r="I215" s="293" t="str">
        <f>IFERROR(INDEX(Aktiv!$H$6:$H$350,MATCH(A215,Aktiv!$A$6:$A$350,0)),"")</f>
        <v>-</v>
      </c>
      <c r="J215" s="294" t="e">
        <f t="shared" si="26"/>
        <v>#VALUE!</v>
      </c>
      <c r="K215" s="296" t="e">
        <f t="shared" si="27"/>
        <v>#VALUE!</v>
      </c>
      <c r="L215" s="297">
        <f>IF(C215="","",ROUND(C215*Steuerungsdaten!$B$4*Steuerungsdaten!$B$9*IFERROR(VLOOKUP(IFERROR(INDEX(Aktiv!$C$6:$C$350,MATCH(A215,Aktiv!$A$6:$A$350,0)),""),Steuerungsdaten!$B$17:$G$37,6,FALSE),1)*POWER(IF(OR(IFERROR(INDEX(Aktiv!$E$6:$E$350,MATCH(A215,Aktiv!$A$6:$A$350,0)),0)=0,IFERROR(INDEX(Aktiv!$F$6:$F$350,MATCH(A215,Aktiv!$A$6:$A$350,0)),0)=0),1,(IFERROR(INDEX(Aktiv!$E$6:$E$350,MATCH(A215,Aktiv!$A$6:$A$350,0)),0)*IFERROR(INDEX(Aktiv!$F$6:$F$350,MATCH(A215,Aktiv!$A$6:$A$350,0)),0)/1000000)/Steuerungsdaten!$B$6),1-1),0))</f>
        <v>132</v>
      </c>
      <c r="M215" s="297" t="str">
        <f>IFERROR(INDEX(Aktiv!$I$6:$I$350,MATCH(A215,Aktiv!$A$6:$A$350,0)),"")</f>
        <v>-</v>
      </c>
      <c r="N215" s="298" t="e">
        <f t="shared" si="28"/>
        <v>#VALUE!</v>
      </c>
      <c r="O215" s="296" t="e">
        <f t="shared" si="29"/>
        <v>#VALUE!</v>
      </c>
      <c r="P215" s="297">
        <f>IF(C215="","",ROUND(C215*Steuerungsdaten!$B$4*Steuerungsdaten!$B$10*IFERROR(VLOOKUP(IFERROR(INDEX(Aktiv!$C$6:$C$350,MATCH(A215,Aktiv!$A$6:$A$350,0)),""),Steuerungsdaten!$B$17:$I$37,8,FALSE),1)*POWER(IF(OR(IFERROR(INDEX(Aktiv!$E$6:$E$350,MATCH(A215,Aktiv!$A$6:$A$350,0)),0)=0,IFERROR(INDEX(Aktiv!$F$6:$F$350,MATCH(A215,Aktiv!$A$6:$A$350,0)),0)=0),1,(IFERROR(INDEX(Aktiv!$E$6:$E$350,MATCH(A215,Aktiv!$A$6:$A$350,0)),0)*IFERROR(INDEX(Aktiv!$F$6:$F$350,MATCH(A215,Aktiv!$A$6:$A$350,0)),0)/1000000)/Steuerungsdaten!$B$6),1-1),0))</f>
        <v>144</v>
      </c>
      <c r="Q215" s="297" t="str">
        <f>IFERROR(INDEX(Aktiv!$J$6:$J$350,MATCH(A215,Aktiv!$A$6:$A$350,0)),"")</f>
        <v>-</v>
      </c>
      <c r="R215" s="298" t="e">
        <f t="shared" si="30"/>
        <v>#VALUE!</v>
      </c>
      <c r="S215" s="296" t="e">
        <f t="shared" si="31"/>
        <v>#VALUE!</v>
      </c>
    </row>
    <row r="216" spans="1:19" x14ac:dyDescent="0.25">
      <c r="A216" s="292">
        <v>5200</v>
      </c>
      <c r="B216" s="292" t="s">
        <v>236</v>
      </c>
      <c r="C216" s="293">
        <f>IFERROR(INDEX(Aktiv!$O$6:$O$350,MATCH(A216,Aktiv!$A$6:$A$350,0)),"")</f>
        <v>255</v>
      </c>
      <c r="D216" s="293">
        <f>IF(C216="","",ROUND(C216*Steuerungsdaten!$B$4*Steuerungsdaten!$B$7*IFERROR(VLOOKUP(IFERROR(INDEX(Aktiv!$C$6:$C$350,MATCH(A216,Aktiv!$A$6:$A$350,0)),""),Steuerungsdaten!$B$17:$C$37,2,FALSE),1)*POWER(IF(OR(IFERROR(INDEX(Aktiv!$E$6:$E$350,MATCH(A216,Aktiv!$A$6:$A$350,0)),0)=0,IFERROR(INDEX(Aktiv!$F$6:$F$350,MATCH(A216,Aktiv!$A$6:$A$350,0)),0)=0),1,(IFERROR(INDEX(Aktiv!$E$6:$E$350,MATCH(A216,Aktiv!$A$6:$A$350,0)),0)*IFERROR(INDEX(Aktiv!$F$6:$F$350,MATCH(A216,Aktiv!$A$6:$A$350,0)),0)/1000000)/Steuerungsdaten!$B$6),IF(ISNUMBER(MATCH(IFERROR(INDEX(Aktiv!$C$6:$C$350,MATCH(A216,Aktiv!$A$6:$A$350,0)),""),{"Boden","Seite außen","Seite außen SY32","Rücken","Seite innen","Seite innen SY32","Seite innen SY32 DB","Fachboden klein","Fachboden groß","Klappenboden"},0)),1.2,1)-1),0))</f>
        <v>247</v>
      </c>
      <c r="E216" s="293">
        <f>IFERROR(INDEX(Aktiv!$G$6:$G$350,MATCH(A216,Aktiv!$A$6:$A$350,0)),"")</f>
        <v>212</v>
      </c>
      <c r="F216" s="294">
        <f t="shared" si="24"/>
        <v>-35</v>
      </c>
      <c r="G216" s="295">
        <f t="shared" si="25"/>
        <v>-0.1417004048582996</v>
      </c>
      <c r="H216" s="293">
        <f>IF(C216="","",ROUND(C216*Steuerungsdaten!$B$4*Steuerungsdaten!$B$8*IFERROR(VLOOKUP(IFERROR(INDEX(Aktiv!$C$6:$C$350,MATCH(A216,Aktiv!$A$6:$A$350,0)),""),Steuerungsdaten!$B$17:$E$37,4,FALSE),1)*POWER(IF(OR(IFERROR(INDEX(Aktiv!$E$6:$E$350,MATCH(A216,Aktiv!$A$6:$A$350,0)),0)=0,IFERROR(INDEX(Aktiv!$F$6:$F$350,MATCH(A216,Aktiv!$A$6:$A$350,0)),0)=0),1,(IFERROR(INDEX(Aktiv!$E$6:$E$350,MATCH(A216,Aktiv!$A$6:$A$350,0)),0)*IFERROR(INDEX(Aktiv!$F$6:$F$350,MATCH(A216,Aktiv!$A$6:$A$350,0)),0)/1000000)/Steuerungsdaten!$B$6),1-1),0))</f>
        <v>247</v>
      </c>
      <c r="I216" s="293">
        <f>IFERROR(INDEX(Aktiv!$H$6:$H$350,MATCH(A216,Aktiv!$A$6:$A$350,0)),"")</f>
        <v>300</v>
      </c>
      <c r="J216" s="294">
        <f t="shared" si="26"/>
        <v>53</v>
      </c>
      <c r="K216" s="296">
        <f t="shared" si="27"/>
        <v>0.2145748987854251</v>
      </c>
      <c r="L216" s="297">
        <f>IF(C216="","",ROUND(C216*Steuerungsdaten!$B$4*Steuerungsdaten!$B$9*IFERROR(VLOOKUP(IFERROR(INDEX(Aktiv!$C$6:$C$350,MATCH(A216,Aktiv!$A$6:$A$350,0)),""),Steuerungsdaten!$B$17:$G$37,6,FALSE),1)*POWER(IF(OR(IFERROR(INDEX(Aktiv!$E$6:$E$350,MATCH(A216,Aktiv!$A$6:$A$350,0)),0)=0,IFERROR(INDEX(Aktiv!$F$6:$F$350,MATCH(A216,Aktiv!$A$6:$A$350,0)),0)=0),1,(IFERROR(INDEX(Aktiv!$E$6:$E$350,MATCH(A216,Aktiv!$A$6:$A$350,0)),0)*IFERROR(INDEX(Aktiv!$F$6:$F$350,MATCH(A216,Aktiv!$A$6:$A$350,0)),0)/1000000)/Steuerungsdaten!$B$6),1-1),0))</f>
        <v>247</v>
      </c>
      <c r="M216" s="297">
        <f>IFERROR(INDEX(Aktiv!$I$6:$I$350,MATCH(A216,Aktiv!$A$6:$A$350,0)),"")</f>
        <v>316</v>
      </c>
      <c r="N216" s="298">
        <f t="shared" si="28"/>
        <v>69</v>
      </c>
      <c r="O216" s="296">
        <f t="shared" si="29"/>
        <v>0.2793522267206478</v>
      </c>
      <c r="P216" s="297">
        <f>IF(C216="","",ROUND(C216*Steuerungsdaten!$B$4*Steuerungsdaten!$B$10*IFERROR(VLOOKUP(IFERROR(INDEX(Aktiv!$C$6:$C$350,MATCH(A216,Aktiv!$A$6:$A$350,0)),""),Steuerungsdaten!$B$17:$I$37,8,FALSE),1)*POWER(IF(OR(IFERROR(INDEX(Aktiv!$E$6:$E$350,MATCH(A216,Aktiv!$A$6:$A$350,0)),0)=0,IFERROR(INDEX(Aktiv!$F$6:$F$350,MATCH(A216,Aktiv!$A$6:$A$350,0)),0)=0),1,(IFERROR(INDEX(Aktiv!$E$6:$E$350,MATCH(A216,Aktiv!$A$6:$A$350,0)),0)*IFERROR(INDEX(Aktiv!$F$6:$F$350,MATCH(A216,Aktiv!$A$6:$A$350,0)),0)/1000000)/Steuerungsdaten!$B$6),1-1),0))</f>
        <v>269</v>
      </c>
      <c r="Q216" s="297">
        <f>IFERROR(INDEX(Aktiv!$J$6:$J$350,MATCH(A216,Aktiv!$A$6:$A$350,0)),"")</f>
        <v>697</v>
      </c>
      <c r="R216" s="298">
        <f t="shared" si="30"/>
        <v>428</v>
      </c>
      <c r="S216" s="296">
        <f t="shared" si="31"/>
        <v>1.5910780669144982</v>
      </c>
    </row>
    <row r="217" spans="1:19" x14ac:dyDescent="0.25">
      <c r="A217" s="292">
        <v>5210</v>
      </c>
      <c r="B217" s="292" t="s">
        <v>237</v>
      </c>
      <c r="C217" s="293">
        <f>IFERROR(INDEX(Aktiv!$O$6:$O$350,MATCH(A217,Aktiv!$A$6:$A$350,0)),"")</f>
        <v>314</v>
      </c>
      <c r="D217" s="293">
        <f>IF(C217="","",ROUND(C217*Steuerungsdaten!$B$4*Steuerungsdaten!$B$7*IFERROR(VLOOKUP(IFERROR(INDEX(Aktiv!$C$6:$C$350,MATCH(A217,Aktiv!$A$6:$A$350,0)),""),Steuerungsdaten!$B$17:$C$37,2,FALSE),1)*POWER(IF(OR(IFERROR(INDEX(Aktiv!$E$6:$E$350,MATCH(A217,Aktiv!$A$6:$A$350,0)),0)=0,IFERROR(INDEX(Aktiv!$F$6:$F$350,MATCH(A217,Aktiv!$A$6:$A$350,0)),0)=0),1,(IFERROR(INDEX(Aktiv!$E$6:$E$350,MATCH(A217,Aktiv!$A$6:$A$350,0)),0)*IFERROR(INDEX(Aktiv!$F$6:$F$350,MATCH(A217,Aktiv!$A$6:$A$350,0)),0)/1000000)/Steuerungsdaten!$B$6),IF(ISNUMBER(MATCH(IFERROR(INDEX(Aktiv!$C$6:$C$350,MATCH(A217,Aktiv!$A$6:$A$350,0)),""),{"Boden","Seite außen","Seite außen SY32","Rücken","Seite innen","Seite innen SY32","Seite innen SY32 DB","Fachboden klein","Fachboden groß","Klappenboden"},0)),1.2,1)-1),0))</f>
        <v>304</v>
      </c>
      <c r="E217" s="293">
        <f>IFERROR(INDEX(Aktiv!$G$6:$G$350,MATCH(A217,Aktiv!$A$6:$A$350,0)),"")</f>
        <v>323</v>
      </c>
      <c r="F217" s="294">
        <f t="shared" si="24"/>
        <v>19</v>
      </c>
      <c r="G217" s="295">
        <f t="shared" si="25"/>
        <v>6.25E-2</v>
      </c>
      <c r="H217" s="293">
        <f>IF(C217="","",ROUND(C217*Steuerungsdaten!$B$4*Steuerungsdaten!$B$8*IFERROR(VLOOKUP(IFERROR(INDEX(Aktiv!$C$6:$C$350,MATCH(A217,Aktiv!$A$6:$A$350,0)),""),Steuerungsdaten!$B$17:$E$37,4,FALSE),1)*POWER(IF(OR(IFERROR(INDEX(Aktiv!$E$6:$E$350,MATCH(A217,Aktiv!$A$6:$A$350,0)),0)=0,IFERROR(INDEX(Aktiv!$F$6:$F$350,MATCH(A217,Aktiv!$A$6:$A$350,0)),0)=0),1,(IFERROR(INDEX(Aktiv!$E$6:$E$350,MATCH(A217,Aktiv!$A$6:$A$350,0)),0)*IFERROR(INDEX(Aktiv!$F$6:$F$350,MATCH(A217,Aktiv!$A$6:$A$350,0)),0)/1000000)/Steuerungsdaten!$B$6),1-1),0))</f>
        <v>304</v>
      </c>
      <c r="I217" s="293">
        <f>IFERROR(INDEX(Aktiv!$H$6:$H$350,MATCH(A217,Aktiv!$A$6:$A$350,0)),"")</f>
        <v>458</v>
      </c>
      <c r="J217" s="294">
        <f t="shared" si="26"/>
        <v>154</v>
      </c>
      <c r="K217" s="296">
        <f t="shared" si="27"/>
        <v>0.50657894736842102</v>
      </c>
      <c r="L217" s="297">
        <f>IF(C217="","",ROUND(C217*Steuerungsdaten!$B$4*Steuerungsdaten!$B$9*IFERROR(VLOOKUP(IFERROR(INDEX(Aktiv!$C$6:$C$350,MATCH(A217,Aktiv!$A$6:$A$350,0)),""),Steuerungsdaten!$B$17:$G$37,6,FALSE),1)*POWER(IF(OR(IFERROR(INDEX(Aktiv!$E$6:$E$350,MATCH(A217,Aktiv!$A$6:$A$350,0)),0)=0,IFERROR(INDEX(Aktiv!$F$6:$F$350,MATCH(A217,Aktiv!$A$6:$A$350,0)),0)=0),1,(IFERROR(INDEX(Aktiv!$E$6:$E$350,MATCH(A217,Aktiv!$A$6:$A$350,0)),0)*IFERROR(INDEX(Aktiv!$F$6:$F$350,MATCH(A217,Aktiv!$A$6:$A$350,0)),0)/1000000)/Steuerungsdaten!$B$6),1-1),0))</f>
        <v>304</v>
      </c>
      <c r="M217" s="297">
        <f>IFERROR(INDEX(Aktiv!$I$6:$I$350,MATCH(A217,Aktiv!$A$6:$A$350,0)),"")</f>
        <v>483</v>
      </c>
      <c r="N217" s="298">
        <f t="shared" si="28"/>
        <v>179</v>
      </c>
      <c r="O217" s="296">
        <f t="shared" si="29"/>
        <v>0.58881578947368418</v>
      </c>
      <c r="P217" s="297">
        <f>IF(C217="","",ROUND(C217*Steuerungsdaten!$B$4*Steuerungsdaten!$B$10*IFERROR(VLOOKUP(IFERROR(INDEX(Aktiv!$C$6:$C$350,MATCH(A217,Aktiv!$A$6:$A$350,0)),""),Steuerungsdaten!$B$17:$I$37,8,FALSE),1)*POWER(IF(OR(IFERROR(INDEX(Aktiv!$E$6:$E$350,MATCH(A217,Aktiv!$A$6:$A$350,0)),0)=0,IFERROR(INDEX(Aktiv!$F$6:$F$350,MATCH(A217,Aktiv!$A$6:$A$350,0)),0)=0),1,(IFERROR(INDEX(Aktiv!$E$6:$E$350,MATCH(A217,Aktiv!$A$6:$A$350,0)),0)*IFERROR(INDEX(Aktiv!$F$6:$F$350,MATCH(A217,Aktiv!$A$6:$A$350,0)),0)/1000000)/Steuerungsdaten!$B$6),1-1),0))</f>
        <v>332</v>
      </c>
      <c r="Q217" s="297">
        <f>IFERROR(INDEX(Aktiv!$J$6:$J$350,MATCH(A217,Aktiv!$A$6:$A$350,0)),"")</f>
        <v>1065</v>
      </c>
      <c r="R217" s="298">
        <f t="shared" si="30"/>
        <v>733</v>
      </c>
      <c r="S217" s="296">
        <f t="shared" si="31"/>
        <v>2.2078313253012047</v>
      </c>
    </row>
    <row r="218" spans="1:19" x14ac:dyDescent="0.25">
      <c r="A218" s="292">
        <v>5201</v>
      </c>
      <c r="B218" s="292" t="s">
        <v>238</v>
      </c>
      <c r="C218" s="293">
        <f>IFERROR(INDEX(Aktiv!$O$6:$O$350,MATCH(A218,Aktiv!$A$6:$A$350,0)),"")</f>
        <v>314</v>
      </c>
      <c r="D218" s="293">
        <f>IF(C218="","",ROUND(C218*Steuerungsdaten!$B$4*Steuerungsdaten!$B$7*IFERROR(VLOOKUP(IFERROR(INDEX(Aktiv!$C$6:$C$350,MATCH(A218,Aktiv!$A$6:$A$350,0)),""),Steuerungsdaten!$B$17:$C$37,2,FALSE),1)*POWER(IF(OR(IFERROR(INDEX(Aktiv!$E$6:$E$350,MATCH(A218,Aktiv!$A$6:$A$350,0)),0)=0,IFERROR(INDEX(Aktiv!$F$6:$F$350,MATCH(A218,Aktiv!$A$6:$A$350,0)),0)=0),1,(IFERROR(INDEX(Aktiv!$E$6:$E$350,MATCH(A218,Aktiv!$A$6:$A$350,0)),0)*IFERROR(INDEX(Aktiv!$F$6:$F$350,MATCH(A218,Aktiv!$A$6:$A$350,0)),0)/1000000)/Steuerungsdaten!$B$6),IF(ISNUMBER(MATCH(IFERROR(INDEX(Aktiv!$C$6:$C$350,MATCH(A218,Aktiv!$A$6:$A$350,0)),""),{"Boden","Seite außen","Seite außen SY32","Rücken","Seite innen","Seite innen SY32","Seite innen SY32 DB","Fachboden klein","Fachboden groß","Klappenboden"},0)),1.2,1)-1),0))</f>
        <v>304</v>
      </c>
      <c r="E218" s="293">
        <f>IFERROR(INDEX(Aktiv!$G$6:$G$350,MATCH(A218,Aktiv!$A$6:$A$350,0)),"")</f>
        <v>344</v>
      </c>
      <c r="F218" s="294">
        <f t="shared" si="24"/>
        <v>40</v>
      </c>
      <c r="G218" s="295">
        <f t="shared" si="25"/>
        <v>0.13157894736842105</v>
      </c>
      <c r="H218" s="293">
        <f>IF(C218="","",ROUND(C218*Steuerungsdaten!$B$4*Steuerungsdaten!$B$8*IFERROR(VLOOKUP(IFERROR(INDEX(Aktiv!$C$6:$C$350,MATCH(A218,Aktiv!$A$6:$A$350,0)),""),Steuerungsdaten!$B$17:$E$37,4,FALSE),1)*POWER(IF(OR(IFERROR(INDEX(Aktiv!$E$6:$E$350,MATCH(A218,Aktiv!$A$6:$A$350,0)),0)=0,IFERROR(INDEX(Aktiv!$F$6:$F$350,MATCH(A218,Aktiv!$A$6:$A$350,0)),0)=0),1,(IFERROR(INDEX(Aktiv!$E$6:$E$350,MATCH(A218,Aktiv!$A$6:$A$350,0)),0)*IFERROR(INDEX(Aktiv!$F$6:$F$350,MATCH(A218,Aktiv!$A$6:$A$350,0)),0)/1000000)/Steuerungsdaten!$B$6),1-1),0))</f>
        <v>304</v>
      </c>
      <c r="I218" s="293">
        <f>IFERROR(INDEX(Aktiv!$H$6:$H$350,MATCH(A218,Aktiv!$A$6:$A$350,0)),"")</f>
        <v>487</v>
      </c>
      <c r="J218" s="294">
        <f t="shared" si="26"/>
        <v>183</v>
      </c>
      <c r="K218" s="296">
        <f t="shared" si="27"/>
        <v>0.60197368421052633</v>
      </c>
      <c r="L218" s="297">
        <f>IF(C218="","",ROUND(C218*Steuerungsdaten!$B$4*Steuerungsdaten!$B$9*IFERROR(VLOOKUP(IFERROR(INDEX(Aktiv!$C$6:$C$350,MATCH(A218,Aktiv!$A$6:$A$350,0)),""),Steuerungsdaten!$B$17:$G$37,6,FALSE),1)*POWER(IF(OR(IFERROR(INDEX(Aktiv!$E$6:$E$350,MATCH(A218,Aktiv!$A$6:$A$350,0)),0)=0,IFERROR(INDEX(Aktiv!$F$6:$F$350,MATCH(A218,Aktiv!$A$6:$A$350,0)),0)=0),1,(IFERROR(INDEX(Aktiv!$E$6:$E$350,MATCH(A218,Aktiv!$A$6:$A$350,0)),0)*IFERROR(INDEX(Aktiv!$F$6:$F$350,MATCH(A218,Aktiv!$A$6:$A$350,0)),0)/1000000)/Steuerungsdaten!$B$6),1-1),0))</f>
        <v>304</v>
      </c>
      <c r="M218" s="297">
        <f>IFERROR(INDEX(Aktiv!$I$6:$I$350,MATCH(A218,Aktiv!$A$6:$A$350,0)),"")</f>
        <v>514</v>
      </c>
      <c r="N218" s="298">
        <f t="shared" si="28"/>
        <v>210</v>
      </c>
      <c r="O218" s="296">
        <f t="shared" si="29"/>
        <v>0.69078947368421051</v>
      </c>
      <c r="P218" s="297">
        <f>IF(C218="","",ROUND(C218*Steuerungsdaten!$B$4*Steuerungsdaten!$B$10*IFERROR(VLOOKUP(IFERROR(INDEX(Aktiv!$C$6:$C$350,MATCH(A218,Aktiv!$A$6:$A$350,0)),""),Steuerungsdaten!$B$17:$I$37,8,FALSE),1)*POWER(IF(OR(IFERROR(INDEX(Aktiv!$E$6:$E$350,MATCH(A218,Aktiv!$A$6:$A$350,0)),0)=0,IFERROR(INDEX(Aktiv!$F$6:$F$350,MATCH(A218,Aktiv!$A$6:$A$350,0)),0)=0),1,(IFERROR(INDEX(Aktiv!$E$6:$E$350,MATCH(A218,Aktiv!$A$6:$A$350,0)),0)*IFERROR(INDEX(Aktiv!$F$6:$F$350,MATCH(A218,Aktiv!$A$6:$A$350,0)),0)/1000000)/Steuerungsdaten!$B$6),1-1),0))</f>
        <v>332</v>
      </c>
      <c r="Q218" s="297">
        <f>IFERROR(INDEX(Aktiv!$J$6:$J$350,MATCH(A218,Aktiv!$A$6:$A$350,0)),"")</f>
        <v>1132</v>
      </c>
      <c r="R218" s="298">
        <f t="shared" si="30"/>
        <v>800</v>
      </c>
      <c r="S218" s="296">
        <f t="shared" si="31"/>
        <v>2.4096385542168677</v>
      </c>
    </row>
    <row r="219" spans="1:19" x14ac:dyDescent="0.25">
      <c r="A219" s="292">
        <v>5202</v>
      </c>
      <c r="B219" s="292" t="s">
        <v>239</v>
      </c>
      <c r="C219" s="293">
        <f>IFERROR(INDEX(Aktiv!$O$6:$O$350,MATCH(A219,Aktiv!$A$6:$A$350,0)),"")</f>
        <v>464</v>
      </c>
      <c r="D219" s="293">
        <f>IF(C219="","",ROUND(C219*Steuerungsdaten!$B$4*Steuerungsdaten!$B$7*IFERROR(VLOOKUP(IFERROR(INDEX(Aktiv!$C$6:$C$350,MATCH(A219,Aktiv!$A$6:$A$350,0)),""),Steuerungsdaten!$B$17:$C$37,2,FALSE),1)*POWER(IF(OR(IFERROR(INDEX(Aktiv!$E$6:$E$350,MATCH(A219,Aktiv!$A$6:$A$350,0)),0)=0,IFERROR(INDEX(Aktiv!$F$6:$F$350,MATCH(A219,Aktiv!$A$6:$A$350,0)),0)=0),1,(IFERROR(INDEX(Aktiv!$E$6:$E$350,MATCH(A219,Aktiv!$A$6:$A$350,0)),0)*IFERROR(INDEX(Aktiv!$F$6:$F$350,MATCH(A219,Aktiv!$A$6:$A$350,0)),0)/1000000)/Steuerungsdaten!$B$6),IF(ISNUMBER(MATCH(IFERROR(INDEX(Aktiv!$C$6:$C$350,MATCH(A219,Aktiv!$A$6:$A$350,0)),""),{"Boden","Seite außen","Seite außen SY32","Rücken","Seite innen","Seite innen SY32","Seite innen SY32 DB","Fachboden klein","Fachboden groß","Klappenboden"},0)),1.2,1)-1),0))</f>
        <v>449</v>
      </c>
      <c r="E219" s="293">
        <f>IFERROR(INDEX(Aktiv!$G$6:$G$350,MATCH(A219,Aktiv!$A$6:$A$350,0)),"")</f>
        <v>456</v>
      </c>
      <c r="F219" s="294">
        <f t="shared" si="24"/>
        <v>7</v>
      </c>
      <c r="G219" s="295">
        <f t="shared" si="25"/>
        <v>1.5590200445434299E-2</v>
      </c>
      <c r="H219" s="293">
        <f>IF(C219="","",ROUND(C219*Steuerungsdaten!$B$4*Steuerungsdaten!$B$8*IFERROR(VLOOKUP(IFERROR(INDEX(Aktiv!$C$6:$C$350,MATCH(A219,Aktiv!$A$6:$A$350,0)),""),Steuerungsdaten!$B$17:$E$37,4,FALSE),1)*POWER(IF(OR(IFERROR(INDEX(Aktiv!$E$6:$E$350,MATCH(A219,Aktiv!$A$6:$A$350,0)),0)=0,IFERROR(INDEX(Aktiv!$F$6:$F$350,MATCH(A219,Aktiv!$A$6:$A$350,0)),0)=0),1,(IFERROR(INDEX(Aktiv!$E$6:$E$350,MATCH(A219,Aktiv!$A$6:$A$350,0)),0)*IFERROR(INDEX(Aktiv!$F$6:$F$350,MATCH(A219,Aktiv!$A$6:$A$350,0)),0)/1000000)/Steuerungsdaten!$B$6),1-1),0))</f>
        <v>449</v>
      </c>
      <c r="I219" s="293">
        <f>IFERROR(INDEX(Aktiv!$H$6:$H$350,MATCH(A219,Aktiv!$A$6:$A$350,0)),"")</f>
        <v>646</v>
      </c>
      <c r="J219" s="294">
        <f t="shared" si="26"/>
        <v>197</v>
      </c>
      <c r="K219" s="296">
        <f t="shared" si="27"/>
        <v>0.43875278396436523</v>
      </c>
      <c r="L219" s="297">
        <f>IF(C219="","",ROUND(C219*Steuerungsdaten!$B$4*Steuerungsdaten!$B$9*IFERROR(VLOOKUP(IFERROR(INDEX(Aktiv!$C$6:$C$350,MATCH(A219,Aktiv!$A$6:$A$350,0)),""),Steuerungsdaten!$B$17:$G$37,6,FALSE),1)*POWER(IF(OR(IFERROR(INDEX(Aktiv!$E$6:$E$350,MATCH(A219,Aktiv!$A$6:$A$350,0)),0)=0,IFERROR(INDEX(Aktiv!$F$6:$F$350,MATCH(A219,Aktiv!$A$6:$A$350,0)),0)=0),1,(IFERROR(INDEX(Aktiv!$E$6:$E$350,MATCH(A219,Aktiv!$A$6:$A$350,0)),0)*IFERROR(INDEX(Aktiv!$F$6:$F$350,MATCH(A219,Aktiv!$A$6:$A$350,0)),0)/1000000)/Steuerungsdaten!$B$6),1-1),0))</f>
        <v>449</v>
      </c>
      <c r="M219" s="297">
        <f>IFERROR(INDEX(Aktiv!$I$6:$I$350,MATCH(A219,Aktiv!$A$6:$A$350,0)),"")</f>
        <v>682</v>
      </c>
      <c r="N219" s="298">
        <f t="shared" si="28"/>
        <v>233</v>
      </c>
      <c r="O219" s="296">
        <f t="shared" si="29"/>
        <v>0.51893095768374164</v>
      </c>
      <c r="P219" s="297">
        <f>IF(C219="","",ROUND(C219*Steuerungsdaten!$B$4*Steuerungsdaten!$B$10*IFERROR(VLOOKUP(IFERROR(INDEX(Aktiv!$C$6:$C$350,MATCH(A219,Aktiv!$A$6:$A$350,0)),""),Steuerungsdaten!$B$17:$I$37,8,FALSE),1)*POWER(IF(OR(IFERROR(INDEX(Aktiv!$E$6:$E$350,MATCH(A219,Aktiv!$A$6:$A$350,0)),0)=0,IFERROR(INDEX(Aktiv!$F$6:$F$350,MATCH(A219,Aktiv!$A$6:$A$350,0)),0)=0),1,(IFERROR(INDEX(Aktiv!$E$6:$E$350,MATCH(A219,Aktiv!$A$6:$A$350,0)),0)*IFERROR(INDEX(Aktiv!$F$6:$F$350,MATCH(A219,Aktiv!$A$6:$A$350,0)),0)/1000000)/Steuerungsdaten!$B$6),1-1),0))</f>
        <v>490</v>
      </c>
      <c r="Q219" s="297">
        <f>IFERROR(INDEX(Aktiv!$J$6:$J$350,MATCH(A219,Aktiv!$A$6:$A$350,0)),"")</f>
        <v>1504</v>
      </c>
      <c r="R219" s="298">
        <f t="shared" si="30"/>
        <v>1014</v>
      </c>
      <c r="S219" s="296">
        <f t="shared" si="31"/>
        <v>2.0693877551020408</v>
      </c>
    </row>
    <row r="220" spans="1:19" x14ac:dyDescent="0.25">
      <c r="A220" s="292">
        <v>5203</v>
      </c>
      <c r="B220" s="292" t="s">
        <v>240</v>
      </c>
      <c r="C220" s="293">
        <f>IFERROR(INDEX(Aktiv!$O$6:$O$350,MATCH(A220,Aktiv!$A$6:$A$350,0)),"")</f>
        <v>542</v>
      </c>
      <c r="D220" s="293">
        <f>IF(C220="","",ROUND(C220*Steuerungsdaten!$B$4*Steuerungsdaten!$B$7*IFERROR(VLOOKUP(IFERROR(INDEX(Aktiv!$C$6:$C$350,MATCH(A220,Aktiv!$A$6:$A$350,0)),""),Steuerungsdaten!$B$17:$C$37,2,FALSE),1)*POWER(IF(OR(IFERROR(INDEX(Aktiv!$E$6:$E$350,MATCH(A220,Aktiv!$A$6:$A$350,0)),0)=0,IFERROR(INDEX(Aktiv!$F$6:$F$350,MATCH(A220,Aktiv!$A$6:$A$350,0)),0)=0),1,(IFERROR(INDEX(Aktiv!$E$6:$E$350,MATCH(A220,Aktiv!$A$6:$A$350,0)),0)*IFERROR(INDEX(Aktiv!$F$6:$F$350,MATCH(A220,Aktiv!$A$6:$A$350,0)),0)/1000000)/Steuerungsdaten!$B$6),IF(ISNUMBER(MATCH(IFERROR(INDEX(Aktiv!$C$6:$C$350,MATCH(A220,Aktiv!$A$6:$A$350,0)),""),{"Boden","Seite außen","Seite außen SY32","Rücken","Seite innen","Seite innen SY32","Seite innen SY32 DB","Fachboden klein","Fachboden groß","Klappenboden"},0)),1.2,1)-1),0))</f>
        <v>525</v>
      </c>
      <c r="E220" s="293">
        <f>IFERROR(INDEX(Aktiv!$G$6:$G$350,MATCH(A220,Aktiv!$A$6:$A$350,0)),"")</f>
        <v>558</v>
      </c>
      <c r="F220" s="294">
        <f t="shared" si="24"/>
        <v>33</v>
      </c>
      <c r="G220" s="295">
        <f t="shared" si="25"/>
        <v>6.2857142857142861E-2</v>
      </c>
      <c r="H220" s="293">
        <f>IF(C220="","",ROUND(C220*Steuerungsdaten!$B$4*Steuerungsdaten!$B$8*IFERROR(VLOOKUP(IFERROR(INDEX(Aktiv!$C$6:$C$350,MATCH(A220,Aktiv!$A$6:$A$350,0)),""),Steuerungsdaten!$B$17:$E$37,4,FALSE),1)*POWER(IF(OR(IFERROR(INDEX(Aktiv!$E$6:$E$350,MATCH(A220,Aktiv!$A$6:$A$350,0)),0)=0,IFERROR(INDEX(Aktiv!$F$6:$F$350,MATCH(A220,Aktiv!$A$6:$A$350,0)),0)=0),1,(IFERROR(INDEX(Aktiv!$E$6:$E$350,MATCH(A220,Aktiv!$A$6:$A$350,0)),0)*IFERROR(INDEX(Aktiv!$F$6:$F$350,MATCH(A220,Aktiv!$A$6:$A$350,0)),0)/1000000)/Steuerungsdaten!$B$6),1-1),0))</f>
        <v>525</v>
      </c>
      <c r="I220" s="293">
        <f>IFERROR(INDEX(Aktiv!$H$6:$H$350,MATCH(A220,Aktiv!$A$6:$A$350,0)),"")</f>
        <v>790</v>
      </c>
      <c r="J220" s="294">
        <f t="shared" si="26"/>
        <v>265</v>
      </c>
      <c r="K220" s="296">
        <f t="shared" si="27"/>
        <v>0.50476190476190474</v>
      </c>
      <c r="L220" s="297">
        <f>IF(C220="","",ROUND(C220*Steuerungsdaten!$B$4*Steuerungsdaten!$B$9*IFERROR(VLOOKUP(IFERROR(INDEX(Aktiv!$C$6:$C$350,MATCH(A220,Aktiv!$A$6:$A$350,0)),""),Steuerungsdaten!$B$17:$G$37,6,FALSE),1)*POWER(IF(OR(IFERROR(INDEX(Aktiv!$E$6:$E$350,MATCH(A220,Aktiv!$A$6:$A$350,0)),0)=0,IFERROR(INDEX(Aktiv!$F$6:$F$350,MATCH(A220,Aktiv!$A$6:$A$350,0)),0)=0),1,(IFERROR(INDEX(Aktiv!$E$6:$E$350,MATCH(A220,Aktiv!$A$6:$A$350,0)),0)*IFERROR(INDEX(Aktiv!$F$6:$F$350,MATCH(A220,Aktiv!$A$6:$A$350,0)),0)/1000000)/Steuerungsdaten!$B$6),1-1),0))</f>
        <v>525</v>
      </c>
      <c r="M220" s="297">
        <f>IFERROR(INDEX(Aktiv!$I$6:$I$350,MATCH(A220,Aktiv!$A$6:$A$350,0)),"")</f>
        <v>834</v>
      </c>
      <c r="N220" s="298">
        <f t="shared" si="28"/>
        <v>309</v>
      </c>
      <c r="O220" s="296">
        <f t="shared" si="29"/>
        <v>0.58857142857142852</v>
      </c>
      <c r="P220" s="297">
        <f>IF(C220="","",ROUND(C220*Steuerungsdaten!$B$4*Steuerungsdaten!$B$10*IFERROR(VLOOKUP(IFERROR(INDEX(Aktiv!$C$6:$C$350,MATCH(A220,Aktiv!$A$6:$A$350,0)),""),Steuerungsdaten!$B$17:$I$37,8,FALSE),1)*POWER(IF(OR(IFERROR(INDEX(Aktiv!$E$6:$E$350,MATCH(A220,Aktiv!$A$6:$A$350,0)),0)=0,IFERROR(INDEX(Aktiv!$F$6:$F$350,MATCH(A220,Aktiv!$A$6:$A$350,0)),0)=0),1,(IFERROR(INDEX(Aktiv!$E$6:$E$350,MATCH(A220,Aktiv!$A$6:$A$350,0)),0)*IFERROR(INDEX(Aktiv!$F$6:$F$350,MATCH(A220,Aktiv!$A$6:$A$350,0)),0)/1000000)/Steuerungsdaten!$B$6),1-1),0))</f>
        <v>572</v>
      </c>
      <c r="Q220" s="297">
        <f>IFERROR(INDEX(Aktiv!$J$6:$J$350,MATCH(A220,Aktiv!$A$6:$A$350,0)),"")</f>
        <v>1839</v>
      </c>
      <c r="R220" s="298">
        <f t="shared" si="30"/>
        <v>1267</v>
      </c>
      <c r="S220" s="296">
        <f t="shared" si="31"/>
        <v>2.215034965034965</v>
      </c>
    </row>
    <row r="221" spans="1:19" x14ac:dyDescent="0.25">
      <c r="A221" s="292">
        <v>5204</v>
      </c>
      <c r="B221" s="292" t="s">
        <v>241</v>
      </c>
      <c r="C221" s="293">
        <f>IFERROR(INDEX(Aktiv!$O$6:$O$350,MATCH(A221,Aktiv!$A$6:$A$350,0)),"")</f>
        <v>668</v>
      </c>
      <c r="D221" s="293">
        <f>IF(C221="","",ROUND(C221*Steuerungsdaten!$B$4*Steuerungsdaten!$B$7*IFERROR(VLOOKUP(IFERROR(INDEX(Aktiv!$C$6:$C$350,MATCH(A221,Aktiv!$A$6:$A$350,0)),""),Steuerungsdaten!$B$17:$C$37,2,FALSE),1)*POWER(IF(OR(IFERROR(INDEX(Aktiv!$E$6:$E$350,MATCH(A221,Aktiv!$A$6:$A$350,0)),0)=0,IFERROR(INDEX(Aktiv!$F$6:$F$350,MATCH(A221,Aktiv!$A$6:$A$350,0)),0)=0),1,(IFERROR(INDEX(Aktiv!$E$6:$E$350,MATCH(A221,Aktiv!$A$6:$A$350,0)),0)*IFERROR(INDEX(Aktiv!$F$6:$F$350,MATCH(A221,Aktiv!$A$6:$A$350,0)),0)/1000000)/Steuerungsdaten!$B$6),IF(ISNUMBER(MATCH(IFERROR(INDEX(Aktiv!$C$6:$C$350,MATCH(A221,Aktiv!$A$6:$A$350,0)),""),{"Boden","Seite außen","Seite außen SY32","Rücken","Seite innen","Seite innen SY32","Seite innen SY32 DB","Fachboden klein","Fachboden groß","Klappenboden"},0)),1.2,1)-1),0))</f>
        <v>647</v>
      </c>
      <c r="E221" s="293">
        <f>IFERROR(INDEX(Aktiv!$G$6:$G$350,MATCH(A221,Aktiv!$A$6:$A$350,0)),"")</f>
        <v>653</v>
      </c>
      <c r="F221" s="294">
        <f t="shared" si="24"/>
        <v>6</v>
      </c>
      <c r="G221" s="295">
        <f t="shared" si="25"/>
        <v>9.2735703245749607E-3</v>
      </c>
      <c r="H221" s="293">
        <f>IF(C221="","",ROUND(C221*Steuerungsdaten!$B$4*Steuerungsdaten!$B$8*IFERROR(VLOOKUP(IFERROR(INDEX(Aktiv!$C$6:$C$350,MATCH(A221,Aktiv!$A$6:$A$350,0)),""),Steuerungsdaten!$B$17:$E$37,4,FALSE),1)*POWER(IF(OR(IFERROR(INDEX(Aktiv!$E$6:$E$350,MATCH(A221,Aktiv!$A$6:$A$350,0)),0)=0,IFERROR(INDEX(Aktiv!$F$6:$F$350,MATCH(A221,Aktiv!$A$6:$A$350,0)),0)=0),1,(IFERROR(INDEX(Aktiv!$E$6:$E$350,MATCH(A221,Aktiv!$A$6:$A$350,0)),0)*IFERROR(INDEX(Aktiv!$F$6:$F$350,MATCH(A221,Aktiv!$A$6:$A$350,0)),0)/1000000)/Steuerungsdaten!$B$6),1-1),0))</f>
        <v>647</v>
      </c>
      <c r="I221" s="293">
        <f>IFERROR(INDEX(Aktiv!$H$6:$H$350,MATCH(A221,Aktiv!$A$6:$A$350,0)),"")</f>
        <v>924</v>
      </c>
      <c r="J221" s="294">
        <f t="shared" si="26"/>
        <v>277</v>
      </c>
      <c r="K221" s="296">
        <f t="shared" si="27"/>
        <v>0.42812982998454407</v>
      </c>
      <c r="L221" s="297">
        <f>IF(C221="","",ROUND(C221*Steuerungsdaten!$B$4*Steuerungsdaten!$B$9*IFERROR(VLOOKUP(IFERROR(INDEX(Aktiv!$C$6:$C$350,MATCH(A221,Aktiv!$A$6:$A$350,0)),""),Steuerungsdaten!$B$17:$G$37,6,FALSE),1)*POWER(IF(OR(IFERROR(INDEX(Aktiv!$E$6:$E$350,MATCH(A221,Aktiv!$A$6:$A$350,0)),0)=0,IFERROR(INDEX(Aktiv!$F$6:$F$350,MATCH(A221,Aktiv!$A$6:$A$350,0)),0)=0),1,(IFERROR(INDEX(Aktiv!$E$6:$E$350,MATCH(A221,Aktiv!$A$6:$A$350,0)),0)*IFERROR(INDEX(Aktiv!$F$6:$F$350,MATCH(A221,Aktiv!$A$6:$A$350,0)),0)/1000000)/Steuerungsdaten!$B$6),1-1),0))</f>
        <v>647</v>
      </c>
      <c r="M221" s="297">
        <f>IFERROR(INDEX(Aktiv!$I$6:$I$350,MATCH(A221,Aktiv!$A$6:$A$350,0)),"")</f>
        <v>975</v>
      </c>
      <c r="N221" s="298">
        <f t="shared" si="28"/>
        <v>328</v>
      </c>
      <c r="O221" s="296">
        <f t="shared" si="29"/>
        <v>0.50695517774343124</v>
      </c>
      <c r="P221" s="297">
        <f>IF(C221="","",ROUND(C221*Steuerungsdaten!$B$4*Steuerungsdaten!$B$10*IFERROR(VLOOKUP(IFERROR(INDEX(Aktiv!$C$6:$C$350,MATCH(A221,Aktiv!$A$6:$A$350,0)),""),Steuerungsdaten!$B$17:$I$37,8,FALSE),1)*POWER(IF(OR(IFERROR(INDEX(Aktiv!$E$6:$E$350,MATCH(A221,Aktiv!$A$6:$A$350,0)),0)=0,IFERROR(INDEX(Aktiv!$F$6:$F$350,MATCH(A221,Aktiv!$A$6:$A$350,0)),0)=0),1,(IFERROR(INDEX(Aktiv!$E$6:$E$350,MATCH(A221,Aktiv!$A$6:$A$350,0)),0)*IFERROR(INDEX(Aktiv!$F$6:$F$350,MATCH(A221,Aktiv!$A$6:$A$350,0)),0)/1000000)/Steuerungsdaten!$B$6),1-1),0))</f>
        <v>705</v>
      </c>
      <c r="Q221" s="297">
        <f>IFERROR(INDEX(Aktiv!$J$6:$J$350,MATCH(A221,Aktiv!$A$6:$A$350,0)),"")</f>
        <v>2150</v>
      </c>
      <c r="R221" s="298">
        <f t="shared" si="30"/>
        <v>1445</v>
      </c>
      <c r="S221" s="296">
        <f t="shared" si="31"/>
        <v>2.0496453900709222</v>
      </c>
    </row>
    <row r="222" spans="1:19" x14ac:dyDescent="0.25">
      <c r="A222" s="292">
        <v>5205</v>
      </c>
      <c r="B222" s="292" t="s">
        <v>242</v>
      </c>
      <c r="C222" s="293">
        <f>IFERROR(INDEX(Aktiv!$O$6:$O$350,MATCH(A222,Aktiv!$A$6:$A$350,0)),"")</f>
        <v>269</v>
      </c>
      <c r="D222" s="293">
        <f>IF(C222="","",ROUND(C222*Steuerungsdaten!$B$4*Steuerungsdaten!$B$7*IFERROR(VLOOKUP(IFERROR(INDEX(Aktiv!$C$6:$C$350,MATCH(A222,Aktiv!$A$6:$A$350,0)),""),Steuerungsdaten!$B$17:$C$37,2,FALSE),1)*POWER(IF(OR(IFERROR(INDEX(Aktiv!$E$6:$E$350,MATCH(A222,Aktiv!$A$6:$A$350,0)),0)=0,IFERROR(INDEX(Aktiv!$F$6:$F$350,MATCH(A222,Aktiv!$A$6:$A$350,0)),0)=0),1,(IFERROR(INDEX(Aktiv!$E$6:$E$350,MATCH(A222,Aktiv!$A$6:$A$350,0)),0)*IFERROR(INDEX(Aktiv!$F$6:$F$350,MATCH(A222,Aktiv!$A$6:$A$350,0)),0)/1000000)/Steuerungsdaten!$B$6),IF(ISNUMBER(MATCH(IFERROR(INDEX(Aktiv!$C$6:$C$350,MATCH(A222,Aktiv!$A$6:$A$350,0)),""),{"Boden","Seite außen","Seite außen SY32","Rücken","Seite innen","Seite innen SY32","Seite innen SY32 DB","Fachboden klein","Fachboden groß","Klappenboden"},0)),1.2,1)-1),0))</f>
        <v>260</v>
      </c>
      <c r="E222" s="293">
        <f>IFERROR(INDEX(Aktiv!$G$6:$G$350,MATCH(A222,Aktiv!$A$6:$A$350,0)),"")</f>
        <v>248</v>
      </c>
      <c r="F222" s="294">
        <f t="shared" si="24"/>
        <v>-12</v>
      </c>
      <c r="G222" s="295">
        <f t="shared" si="25"/>
        <v>-4.6153846153846156E-2</v>
      </c>
      <c r="H222" s="293">
        <f>IF(C222="","",ROUND(C222*Steuerungsdaten!$B$4*Steuerungsdaten!$B$8*IFERROR(VLOOKUP(IFERROR(INDEX(Aktiv!$C$6:$C$350,MATCH(A222,Aktiv!$A$6:$A$350,0)),""),Steuerungsdaten!$B$17:$E$37,4,FALSE),1)*POWER(IF(OR(IFERROR(INDEX(Aktiv!$E$6:$E$350,MATCH(A222,Aktiv!$A$6:$A$350,0)),0)=0,IFERROR(INDEX(Aktiv!$F$6:$F$350,MATCH(A222,Aktiv!$A$6:$A$350,0)),0)=0),1,(IFERROR(INDEX(Aktiv!$E$6:$E$350,MATCH(A222,Aktiv!$A$6:$A$350,0)),0)*IFERROR(INDEX(Aktiv!$F$6:$F$350,MATCH(A222,Aktiv!$A$6:$A$350,0)),0)/1000000)/Steuerungsdaten!$B$6),1-1),0))</f>
        <v>260</v>
      </c>
      <c r="I222" s="293">
        <f>IFERROR(INDEX(Aktiv!$H$6:$H$350,MATCH(A222,Aktiv!$A$6:$A$350,0)),"")</f>
        <v>351</v>
      </c>
      <c r="J222" s="294">
        <f t="shared" si="26"/>
        <v>91</v>
      </c>
      <c r="K222" s="296">
        <f t="shared" si="27"/>
        <v>0.35</v>
      </c>
      <c r="L222" s="297">
        <f>IF(C222="","",ROUND(C222*Steuerungsdaten!$B$4*Steuerungsdaten!$B$9*IFERROR(VLOOKUP(IFERROR(INDEX(Aktiv!$C$6:$C$350,MATCH(A222,Aktiv!$A$6:$A$350,0)),""),Steuerungsdaten!$B$17:$G$37,6,FALSE),1)*POWER(IF(OR(IFERROR(INDEX(Aktiv!$E$6:$E$350,MATCH(A222,Aktiv!$A$6:$A$350,0)),0)=0,IFERROR(INDEX(Aktiv!$F$6:$F$350,MATCH(A222,Aktiv!$A$6:$A$350,0)),0)=0),1,(IFERROR(INDEX(Aktiv!$E$6:$E$350,MATCH(A222,Aktiv!$A$6:$A$350,0)),0)*IFERROR(INDEX(Aktiv!$F$6:$F$350,MATCH(A222,Aktiv!$A$6:$A$350,0)),0)/1000000)/Steuerungsdaten!$B$6),1-1),0))</f>
        <v>260</v>
      </c>
      <c r="M222" s="297">
        <f>IFERROR(INDEX(Aktiv!$I$6:$I$350,MATCH(A222,Aktiv!$A$6:$A$350,0)),"")</f>
        <v>371</v>
      </c>
      <c r="N222" s="298">
        <f t="shared" si="28"/>
        <v>111</v>
      </c>
      <c r="O222" s="296">
        <f t="shared" si="29"/>
        <v>0.42692307692307691</v>
      </c>
      <c r="P222" s="297">
        <f>IF(C222="","",ROUND(C222*Steuerungsdaten!$B$4*Steuerungsdaten!$B$10*IFERROR(VLOOKUP(IFERROR(INDEX(Aktiv!$C$6:$C$350,MATCH(A222,Aktiv!$A$6:$A$350,0)),""),Steuerungsdaten!$B$17:$I$37,8,FALSE),1)*POWER(IF(OR(IFERROR(INDEX(Aktiv!$E$6:$E$350,MATCH(A222,Aktiv!$A$6:$A$350,0)),0)=0,IFERROR(INDEX(Aktiv!$F$6:$F$350,MATCH(A222,Aktiv!$A$6:$A$350,0)),0)=0),1,(IFERROR(INDEX(Aktiv!$E$6:$E$350,MATCH(A222,Aktiv!$A$6:$A$350,0)),0)*IFERROR(INDEX(Aktiv!$F$6:$F$350,MATCH(A222,Aktiv!$A$6:$A$350,0)),0)/1000000)/Steuerungsdaten!$B$6),1-1),0))</f>
        <v>284</v>
      </c>
      <c r="Q222" s="297">
        <f>IFERROR(INDEX(Aktiv!$J$6:$J$350,MATCH(A222,Aktiv!$A$6:$A$350,0)),"")</f>
        <v>818</v>
      </c>
      <c r="R222" s="298">
        <f t="shared" si="30"/>
        <v>534</v>
      </c>
      <c r="S222" s="296">
        <f t="shared" si="31"/>
        <v>1.880281690140845</v>
      </c>
    </row>
    <row r="223" spans="1:19" x14ac:dyDescent="0.25">
      <c r="A223" s="292">
        <v>5206</v>
      </c>
      <c r="B223" s="292" t="s">
        <v>243</v>
      </c>
      <c r="C223" s="293">
        <f>IFERROR(INDEX(Aktiv!$O$6:$O$350,MATCH(A223,Aktiv!$A$6:$A$350,0)),"")</f>
        <v>375</v>
      </c>
      <c r="D223" s="293">
        <f>IF(C223="","",ROUND(C223*Steuerungsdaten!$B$4*Steuerungsdaten!$B$7*IFERROR(VLOOKUP(IFERROR(INDEX(Aktiv!$C$6:$C$350,MATCH(A223,Aktiv!$A$6:$A$350,0)),""),Steuerungsdaten!$B$17:$C$37,2,FALSE),1)*POWER(IF(OR(IFERROR(INDEX(Aktiv!$E$6:$E$350,MATCH(A223,Aktiv!$A$6:$A$350,0)),0)=0,IFERROR(INDEX(Aktiv!$F$6:$F$350,MATCH(A223,Aktiv!$A$6:$A$350,0)),0)=0),1,(IFERROR(INDEX(Aktiv!$E$6:$E$350,MATCH(A223,Aktiv!$A$6:$A$350,0)),0)*IFERROR(INDEX(Aktiv!$F$6:$F$350,MATCH(A223,Aktiv!$A$6:$A$350,0)),0)/1000000)/Steuerungsdaten!$B$6),IF(ISNUMBER(MATCH(IFERROR(INDEX(Aktiv!$C$6:$C$350,MATCH(A223,Aktiv!$A$6:$A$350,0)),""),{"Boden","Seite außen","Seite außen SY32","Rücken","Seite innen","Seite innen SY32","Seite innen SY32 DB","Fachboden klein","Fachboden groß","Klappenboden"},0)),1.2,1)-1),0))</f>
        <v>363</v>
      </c>
      <c r="E223" s="293">
        <f>IFERROR(INDEX(Aktiv!$G$6:$G$350,MATCH(A223,Aktiv!$A$6:$A$350,0)),"")</f>
        <v>403</v>
      </c>
      <c r="F223" s="294">
        <f t="shared" si="24"/>
        <v>40</v>
      </c>
      <c r="G223" s="295">
        <f t="shared" si="25"/>
        <v>0.11019283746556474</v>
      </c>
      <c r="H223" s="293">
        <f>IF(C223="","",ROUND(C223*Steuerungsdaten!$B$4*Steuerungsdaten!$B$8*IFERROR(VLOOKUP(IFERROR(INDEX(Aktiv!$C$6:$C$350,MATCH(A223,Aktiv!$A$6:$A$350,0)),""),Steuerungsdaten!$B$17:$E$37,4,FALSE),1)*POWER(IF(OR(IFERROR(INDEX(Aktiv!$E$6:$E$350,MATCH(A223,Aktiv!$A$6:$A$350,0)),0)=0,IFERROR(INDEX(Aktiv!$F$6:$F$350,MATCH(A223,Aktiv!$A$6:$A$350,0)),0)=0),1,(IFERROR(INDEX(Aktiv!$E$6:$E$350,MATCH(A223,Aktiv!$A$6:$A$350,0)),0)*IFERROR(INDEX(Aktiv!$F$6:$F$350,MATCH(A223,Aktiv!$A$6:$A$350,0)),0)/1000000)/Steuerungsdaten!$B$6),1-1),0))</f>
        <v>363</v>
      </c>
      <c r="I223" s="293">
        <f>IFERROR(INDEX(Aktiv!$H$6:$H$350,MATCH(A223,Aktiv!$A$6:$A$350,0)),"")</f>
        <v>571</v>
      </c>
      <c r="J223" s="294">
        <f t="shared" si="26"/>
        <v>208</v>
      </c>
      <c r="K223" s="296">
        <f t="shared" si="27"/>
        <v>0.57300275482093666</v>
      </c>
      <c r="L223" s="297">
        <f>IF(C223="","",ROUND(C223*Steuerungsdaten!$B$4*Steuerungsdaten!$B$9*IFERROR(VLOOKUP(IFERROR(INDEX(Aktiv!$C$6:$C$350,MATCH(A223,Aktiv!$A$6:$A$350,0)),""),Steuerungsdaten!$B$17:$G$37,6,FALSE),1)*POWER(IF(OR(IFERROR(INDEX(Aktiv!$E$6:$E$350,MATCH(A223,Aktiv!$A$6:$A$350,0)),0)=0,IFERROR(INDEX(Aktiv!$F$6:$F$350,MATCH(A223,Aktiv!$A$6:$A$350,0)),0)=0),1,(IFERROR(INDEX(Aktiv!$E$6:$E$350,MATCH(A223,Aktiv!$A$6:$A$350,0)),0)*IFERROR(INDEX(Aktiv!$F$6:$F$350,MATCH(A223,Aktiv!$A$6:$A$350,0)),0)/1000000)/Steuerungsdaten!$B$6),1-1),0))</f>
        <v>363</v>
      </c>
      <c r="M223" s="297">
        <f>IFERROR(INDEX(Aktiv!$I$6:$I$350,MATCH(A223,Aktiv!$A$6:$A$350,0)),"")</f>
        <v>602</v>
      </c>
      <c r="N223" s="298">
        <f t="shared" si="28"/>
        <v>239</v>
      </c>
      <c r="O223" s="296">
        <f t="shared" si="29"/>
        <v>0.6584022038567493</v>
      </c>
      <c r="P223" s="297">
        <f>IF(C223="","",ROUND(C223*Steuerungsdaten!$B$4*Steuerungsdaten!$B$10*IFERROR(VLOOKUP(IFERROR(INDEX(Aktiv!$C$6:$C$350,MATCH(A223,Aktiv!$A$6:$A$350,0)),""),Steuerungsdaten!$B$17:$I$37,8,FALSE),1)*POWER(IF(OR(IFERROR(INDEX(Aktiv!$E$6:$E$350,MATCH(A223,Aktiv!$A$6:$A$350,0)),0)=0,IFERROR(INDEX(Aktiv!$F$6:$F$350,MATCH(A223,Aktiv!$A$6:$A$350,0)),0)=0),1,(IFERROR(INDEX(Aktiv!$E$6:$E$350,MATCH(A223,Aktiv!$A$6:$A$350,0)),0)*IFERROR(INDEX(Aktiv!$F$6:$F$350,MATCH(A223,Aktiv!$A$6:$A$350,0)),0)/1000000)/Steuerungsdaten!$B$6),1-1),0))</f>
        <v>396</v>
      </c>
      <c r="Q223" s="297">
        <f>IFERROR(INDEX(Aktiv!$J$6:$J$350,MATCH(A223,Aktiv!$A$6:$A$350,0)),"")</f>
        <v>1328</v>
      </c>
      <c r="R223" s="298">
        <f t="shared" si="30"/>
        <v>932</v>
      </c>
      <c r="S223" s="296">
        <f t="shared" si="31"/>
        <v>2.3535353535353534</v>
      </c>
    </row>
    <row r="224" spans="1:19" x14ac:dyDescent="0.25">
      <c r="A224" s="292">
        <v>5207</v>
      </c>
      <c r="B224" s="292" t="s">
        <v>244</v>
      </c>
      <c r="C224" s="293">
        <f>IFERROR(INDEX(Aktiv!$O$6:$O$350,MATCH(A224,Aktiv!$A$6:$A$350,0)),"")</f>
        <v>523</v>
      </c>
      <c r="D224" s="293">
        <f>IF(C224="","",ROUND(C224*Steuerungsdaten!$B$4*Steuerungsdaten!$B$7*IFERROR(VLOOKUP(IFERROR(INDEX(Aktiv!$C$6:$C$350,MATCH(A224,Aktiv!$A$6:$A$350,0)),""),Steuerungsdaten!$B$17:$C$37,2,FALSE),1)*POWER(IF(OR(IFERROR(INDEX(Aktiv!$E$6:$E$350,MATCH(A224,Aktiv!$A$6:$A$350,0)),0)=0,IFERROR(INDEX(Aktiv!$F$6:$F$350,MATCH(A224,Aktiv!$A$6:$A$350,0)),0)=0),1,(IFERROR(INDEX(Aktiv!$E$6:$E$350,MATCH(A224,Aktiv!$A$6:$A$350,0)),0)*IFERROR(INDEX(Aktiv!$F$6:$F$350,MATCH(A224,Aktiv!$A$6:$A$350,0)),0)/1000000)/Steuerungsdaten!$B$6),IF(ISNUMBER(MATCH(IFERROR(INDEX(Aktiv!$C$6:$C$350,MATCH(A224,Aktiv!$A$6:$A$350,0)),""),{"Boden","Seite außen","Seite außen SY32","Rücken","Seite innen","Seite innen SY32","Seite innen SY32 DB","Fachboden klein","Fachboden groß","Klappenboden"},0)),1.2,1)-1),0))</f>
        <v>506</v>
      </c>
      <c r="E224" s="293">
        <f>IFERROR(INDEX(Aktiv!$G$6:$G$350,MATCH(A224,Aktiv!$A$6:$A$350,0)),"")</f>
        <v>536</v>
      </c>
      <c r="F224" s="294">
        <f t="shared" si="24"/>
        <v>30</v>
      </c>
      <c r="G224" s="295">
        <f t="shared" si="25"/>
        <v>5.9288537549407112E-2</v>
      </c>
      <c r="H224" s="293">
        <f>IF(C224="","",ROUND(C224*Steuerungsdaten!$B$4*Steuerungsdaten!$B$8*IFERROR(VLOOKUP(IFERROR(INDEX(Aktiv!$C$6:$C$350,MATCH(A224,Aktiv!$A$6:$A$350,0)),""),Steuerungsdaten!$B$17:$E$37,4,FALSE),1)*POWER(IF(OR(IFERROR(INDEX(Aktiv!$E$6:$E$350,MATCH(A224,Aktiv!$A$6:$A$350,0)),0)=0,IFERROR(INDEX(Aktiv!$F$6:$F$350,MATCH(A224,Aktiv!$A$6:$A$350,0)),0)=0),1,(IFERROR(INDEX(Aktiv!$E$6:$E$350,MATCH(A224,Aktiv!$A$6:$A$350,0)),0)*IFERROR(INDEX(Aktiv!$F$6:$F$350,MATCH(A224,Aktiv!$A$6:$A$350,0)),0)/1000000)/Steuerungsdaten!$B$6),1-1),0))</f>
        <v>506</v>
      </c>
      <c r="I224" s="293">
        <f>IFERROR(INDEX(Aktiv!$H$6:$H$350,MATCH(A224,Aktiv!$A$6:$A$350,0)),"")</f>
        <v>758</v>
      </c>
      <c r="J224" s="294">
        <f t="shared" si="26"/>
        <v>252</v>
      </c>
      <c r="K224" s="296">
        <f t="shared" si="27"/>
        <v>0.49802371541501977</v>
      </c>
      <c r="L224" s="297">
        <f>IF(C224="","",ROUND(C224*Steuerungsdaten!$B$4*Steuerungsdaten!$B$9*IFERROR(VLOOKUP(IFERROR(INDEX(Aktiv!$C$6:$C$350,MATCH(A224,Aktiv!$A$6:$A$350,0)),""),Steuerungsdaten!$B$17:$G$37,6,FALSE),1)*POWER(IF(OR(IFERROR(INDEX(Aktiv!$E$6:$E$350,MATCH(A224,Aktiv!$A$6:$A$350,0)),0)=0,IFERROR(INDEX(Aktiv!$F$6:$F$350,MATCH(A224,Aktiv!$A$6:$A$350,0)),0)=0),1,(IFERROR(INDEX(Aktiv!$E$6:$E$350,MATCH(A224,Aktiv!$A$6:$A$350,0)),0)*IFERROR(INDEX(Aktiv!$F$6:$F$350,MATCH(A224,Aktiv!$A$6:$A$350,0)),0)/1000000)/Steuerungsdaten!$B$6),1-1),0))</f>
        <v>506</v>
      </c>
      <c r="M224" s="297">
        <f>IFERROR(INDEX(Aktiv!$I$6:$I$350,MATCH(A224,Aktiv!$A$6:$A$350,0)),"")</f>
        <v>800</v>
      </c>
      <c r="N224" s="298">
        <f t="shared" si="28"/>
        <v>294</v>
      </c>
      <c r="O224" s="296">
        <f t="shared" si="29"/>
        <v>0.5810276679841897</v>
      </c>
      <c r="P224" s="297">
        <f>IF(C224="","",ROUND(C224*Steuerungsdaten!$B$4*Steuerungsdaten!$B$10*IFERROR(VLOOKUP(IFERROR(INDEX(Aktiv!$C$6:$C$350,MATCH(A224,Aktiv!$A$6:$A$350,0)),""),Steuerungsdaten!$B$17:$I$37,8,FALSE),1)*POWER(IF(OR(IFERROR(INDEX(Aktiv!$E$6:$E$350,MATCH(A224,Aktiv!$A$6:$A$350,0)),0)=0,IFERROR(INDEX(Aktiv!$F$6:$F$350,MATCH(A224,Aktiv!$A$6:$A$350,0)),0)=0),1,(IFERROR(INDEX(Aktiv!$E$6:$E$350,MATCH(A224,Aktiv!$A$6:$A$350,0)),0)*IFERROR(INDEX(Aktiv!$F$6:$F$350,MATCH(A224,Aktiv!$A$6:$A$350,0)),0)/1000000)/Steuerungsdaten!$B$6),1-1),0))</f>
        <v>552</v>
      </c>
      <c r="Q224" s="297">
        <f>IFERROR(INDEX(Aktiv!$J$6:$J$350,MATCH(A224,Aktiv!$A$6:$A$350,0)),"")</f>
        <v>1764</v>
      </c>
      <c r="R224" s="298">
        <f t="shared" si="30"/>
        <v>1212</v>
      </c>
      <c r="S224" s="296">
        <f t="shared" si="31"/>
        <v>2.1956521739130435</v>
      </c>
    </row>
    <row r="225" spans="1:19" x14ac:dyDescent="0.25">
      <c r="A225" s="292">
        <v>5208</v>
      </c>
      <c r="B225" s="292" t="s">
        <v>245</v>
      </c>
      <c r="C225" s="293">
        <f>IFERROR(INDEX(Aktiv!$O$6:$O$350,MATCH(A225,Aktiv!$A$6:$A$350,0)),"")</f>
        <v>625</v>
      </c>
      <c r="D225" s="293">
        <f>IF(C225="","",ROUND(C225*Steuerungsdaten!$B$4*Steuerungsdaten!$B$7*IFERROR(VLOOKUP(IFERROR(INDEX(Aktiv!$C$6:$C$350,MATCH(A225,Aktiv!$A$6:$A$350,0)),""),Steuerungsdaten!$B$17:$C$37,2,FALSE),1)*POWER(IF(OR(IFERROR(INDEX(Aktiv!$E$6:$E$350,MATCH(A225,Aktiv!$A$6:$A$350,0)),0)=0,IFERROR(INDEX(Aktiv!$F$6:$F$350,MATCH(A225,Aktiv!$A$6:$A$350,0)),0)=0),1,(IFERROR(INDEX(Aktiv!$E$6:$E$350,MATCH(A225,Aktiv!$A$6:$A$350,0)),0)*IFERROR(INDEX(Aktiv!$F$6:$F$350,MATCH(A225,Aktiv!$A$6:$A$350,0)),0)/1000000)/Steuerungsdaten!$B$6),IF(ISNUMBER(MATCH(IFERROR(INDEX(Aktiv!$C$6:$C$350,MATCH(A225,Aktiv!$A$6:$A$350,0)),""),{"Boden","Seite außen","Seite außen SY32","Rücken","Seite innen","Seite innen SY32","Seite innen SY32 DB","Fachboden klein","Fachboden groß","Klappenboden"},0)),1.2,1)-1),0))</f>
        <v>605</v>
      </c>
      <c r="E225" s="293" t="str">
        <f>IFERROR(INDEX(Aktiv!$G$6:$G$350,MATCH(A225,Aktiv!$A$6:$A$350,0)),"")</f>
        <v>-</v>
      </c>
      <c r="F225" s="294" t="e">
        <f t="shared" si="24"/>
        <v>#VALUE!</v>
      </c>
      <c r="G225" s="295" t="e">
        <f t="shared" si="25"/>
        <v>#VALUE!</v>
      </c>
      <c r="H225" s="293">
        <f>IF(C225="","",ROUND(C225*Steuerungsdaten!$B$4*Steuerungsdaten!$B$8*IFERROR(VLOOKUP(IFERROR(INDEX(Aktiv!$C$6:$C$350,MATCH(A225,Aktiv!$A$6:$A$350,0)),""),Steuerungsdaten!$B$17:$E$37,4,FALSE),1)*POWER(IF(OR(IFERROR(INDEX(Aktiv!$E$6:$E$350,MATCH(A225,Aktiv!$A$6:$A$350,0)),0)=0,IFERROR(INDEX(Aktiv!$F$6:$F$350,MATCH(A225,Aktiv!$A$6:$A$350,0)),0)=0),1,(IFERROR(INDEX(Aktiv!$E$6:$E$350,MATCH(A225,Aktiv!$A$6:$A$350,0)),0)*IFERROR(INDEX(Aktiv!$F$6:$F$350,MATCH(A225,Aktiv!$A$6:$A$350,0)),0)/1000000)/Steuerungsdaten!$B$6),1-1),0))</f>
        <v>605</v>
      </c>
      <c r="I225" s="293" t="str">
        <f>IFERROR(INDEX(Aktiv!$H$6:$H$350,MATCH(A225,Aktiv!$A$6:$A$350,0)),"")</f>
        <v>-</v>
      </c>
      <c r="J225" s="294" t="e">
        <f t="shared" si="26"/>
        <v>#VALUE!</v>
      </c>
      <c r="K225" s="296" t="e">
        <f t="shared" si="27"/>
        <v>#VALUE!</v>
      </c>
      <c r="L225" s="297">
        <f>IF(C225="","",ROUND(C225*Steuerungsdaten!$B$4*Steuerungsdaten!$B$9*IFERROR(VLOOKUP(IFERROR(INDEX(Aktiv!$C$6:$C$350,MATCH(A225,Aktiv!$A$6:$A$350,0)),""),Steuerungsdaten!$B$17:$G$37,6,FALSE),1)*POWER(IF(OR(IFERROR(INDEX(Aktiv!$E$6:$E$350,MATCH(A225,Aktiv!$A$6:$A$350,0)),0)=0,IFERROR(INDEX(Aktiv!$F$6:$F$350,MATCH(A225,Aktiv!$A$6:$A$350,0)),0)=0),1,(IFERROR(INDEX(Aktiv!$E$6:$E$350,MATCH(A225,Aktiv!$A$6:$A$350,0)),0)*IFERROR(INDEX(Aktiv!$F$6:$F$350,MATCH(A225,Aktiv!$A$6:$A$350,0)),0)/1000000)/Steuerungsdaten!$B$6),1-1),0))</f>
        <v>605</v>
      </c>
      <c r="M225" s="297" t="str">
        <f>IFERROR(INDEX(Aktiv!$I$6:$I$350,MATCH(A225,Aktiv!$A$6:$A$350,0)),"")</f>
        <v>-</v>
      </c>
      <c r="N225" s="298" t="e">
        <f t="shared" si="28"/>
        <v>#VALUE!</v>
      </c>
      <c r="O225" s="296" t="e">
        <f t="shared" si="29"/>
        <v>#VALUE!</v>
      </c>
      <c r="P225" s="297">
        <f>IF(C225="","",ROUND(C225*Steuerungsdaten!$B$4*Steuerungsdaten!$B$10*IFERROR(VLOOKUP(IFERROR(INDEX(Aktiv!$C$6:$C$350,MATCH(A225,Aktiv!$A$6:$A$350,0)),""),Steuerungsdaten!$B$17:$I$37,8,FALSE),1)*POWER(IF(OR(IFERROR(INDEX(Aktiv!$E$6:$E$350,MATCH(A225,Aktiv!$A$6:$A$350,0)),0)=0,IFERROR(INDEX(Aktiv!$F$6:$F$350,MATCH(A225,Aktiv!$A$6:$A$350,0)),0)=0),1,(IFERROR(INDEX(Aktiv!$E$6:$E$350,MATCH(A225,Aktiv!$A$6:$A$350,0)),0)*IFERROR(INDEX(Aktiv!$F$6:$F$350,MATCH(A225,Aktiv!$A$6:$A$350,0)),0)/1000000)/Steuerungsdaten!$B$6),1-1),0))</f>
        <v>660</v>
      </c>
      <c r="Q225" s="297" t="str">
        <f>IFERROR(INDEX(Aktiv!$J$6:$J$350,MATCH(A225,Aktiv!$A$6:$A$350,0)),"")</f>
        <v>-</v>
      </c>
      <c r="R225" s="298" t="e">
        <f t="shared" si="30"/>
        <v>#VALUE!</v>
      </c>
      <c r="S225" s="296" t="e">
        <f t="shared" si="31"/>
        <v>#VALUE!</v>
      </c>
    </row>
    <row r="226" spans="1:19" x14ac:dyDescent="0.25">
      <c r="A226" s="292">
        <v>5209</v>
      </c>
      <c r="B226" s="292" t="s">
        <v>246</v>
      </c>
      <c r="C226" s="293">
        <f>IFERROR(INDEX(Aktiv!$O$6:$O$350,MATCH(A226,Aktiv!$A$6:$A$350,0)),"")</f>
        <v>769</v>
      </c>
      <c r="D226" s="293">
        <f>IF(C226="","",ROUND(C226*Steuerungsdaten!$B$4*Steuerungsdaten!$B$7*IFERROR(VLOOKUP(IFERROR(INDEX(Aktiv!$C$6:$C$350,MATCH(A226,Aktiv!$A$6:$A$350,0)),""),Steuerungsdaten!$B$17:$C$37,2,FALSE),1)*POWER(IF(OR(IFERROR(INDEX(Aktiv!$E$6:$E$350,MATCH(A226,Aktiv!$A$6:$A$350,0)),0)=0,IFERROR(INDEX(Aktiv!$F$6:$F$350,MATCH(A226,Aktiv!$A$6:$A$350,0)),0)=0),1,(IFERROR(INDEX(Aktiv!$E$6:$E$350,MATCH(A226,Aktiv!$A$6:$A$350,0)),0)*IFERROR(INDEX(Aktiv!$F$6:$F$350,MATCH(A226,Aktiv!$A$6:$A$350,0)),0)/1000000)/Steuerungsdaten!$B$6),IF(ISNUMBER(MATCH(IFERROR(INDEX(Aktiv!$C$6:$C$350,MATCH(A226,Aktiv!$A$6:$A$350,0)),""),{"Boden","Seite außen","Seite außen SY32","Rücken","Seite innen","Seite innen SY32","Seite innen SY32 DB","Fachboden klein","Fachboden groß","Klappenboden"},0)),1.2,1)-1),0))</f>
        <v>744</v>
      </c>
      <c r="E226" s="293" t="str">
        <f>IFERROR(INDEX(Aktiv!$G$6:$G$350,MATCH(A226,Aktiv!$A$6:$A$350,0)),"")</f>
        <v>-</v>
      </c>
      <c r="F226" s="294" t="e">
        <f t="shared" si="24"/>
        <v>#VALUE!</v>
      </c>
      <c r="G226" s="295" t="e">
        <f t="shared" si="25"/>
        <v>#VALUE!</v>
      </c>
      <c r="H226" s="293">
        <f>IF(C226="","",ROUND(C226*Steuerungsdaten!$B$4*Steuerungsdaten!$B$8*IFERROR(VLOOKUP(IFERROR(INDEX(Aktiv!$C$6:$C$350,MATCH(A226,Aktiv!$A$6:$A$350,0)),""),Steuerungsdaten!$B$17:$E$37,4,FALSE),1)*POWER(IF(OR(IFERROR(INDEX(Aktiv!$E$6:$E$350,MATCH(A226,Aktiv!$A$6:$A$350,0)),0)=0,IFERROR(INDEX(Aktiv!$F$6:$F$350,MATCH(A226,Aktiv!$A$6:$A$350,0)),0)=0),1,(IFERROR(INDEX(Aktiv!$E$6:$E$350,MATCH(A226,Aktiv!$A$6:$A$350,0)),0)*IFERROR(INDEX(Aktiv!$F$6:$F$350,MATCH(A226,Aktiv!$A$6:$A$350,0)),0)/1000000)/Steuerungsdaten!$B$6),1-1),0))</f>
        <v>744</v>
      </c>
      <c r="I226" s="293" t="str">
        <f>IFERROR(INDEX(Aktiv!$H$6:$H$350,MATCH(A226,Aktiv!$A$6:$A$350,0)),"")</f>
        <v>-</v>
      </c>
      <c r="J226" s="294" t="e">
        <f t="shared" si="26"/>
        <v>#VALUE!</v>
      </c>
      <c r="K226" s="296" t="e">
        <f t="shared" si="27"/>
        <v>#VALUE!</v>
      </c>
      <c r="L226" s="297">
        <f>IF(C226="","",ROUND(C226*Steuerungsdaten!$B$4*Steuerungsdaten!$B$9*IFERROR(VLOOKUP(IFERROR(INDEX(Aktiv!$C$6:$C$350,MATCH(A226,Aktiv!$A$6:$A$350,0)),""),Steuerungsdaten!$B$17:$G$37,6,FALSE),1)*POWER(IF(OR(IFERROR(INDEX(Aktiv!$E$6:$E$350,MATCH(A226,Aktiv!$A$6:$A$350,0)),0)=0,IFERROR(INDEX(Aktiv!$F$6:$F$350,MATCH(A226,Aktiv!$A$6:$A$350,0)),0)=0),1,(IFERROR(INDEX(Aktiv!$E$6:$E$350,MATCH(A226,Aktiv!$A$6:$A$350,0)),0)*IFERROR(INDEX(Aktiv!$F$6:$F$350,MATCH(A226,Aktiv!$A$6:$A$350,0)),0)/1000000)/Steuerungsdaten!$B$6),1-1),0))</f>
        <v>744</v>
      </c>
      <c r="M226" s="297" t="str">
        <f>IFERROR(INDEX(Aktiv!$I$6:$I$350,MATCH(A226,Aktiv!$A$6:$A$350,0)),"")</f>
        <v>-</v>
      </c>
      <c r="N226" s="298" t="e">
        <f t="shared" si="28"/>
        <v>#VALUE!</v>
      </c>
      <c r="O226" s="296" t="e">
        <f t="shared" si="29"/>
        <v>#VALUE!</v>
      </c>
      <c r="P226" s="297">
        <f>IF(C226="","",ROUND(C226*Steuerungsdaten!$B$4*Steuerungsdaten!$B$10*IFERROR(VLOOKUP(IFERROR(INDEX(Aktiv!$C$6:$C$350,MATCH(A226,Aktiv!$A$6:$A$350,0)),""),Steuerungsdaten!$B$17:$I$37,8,FALSE),1)*POWER(IF(OR(IFERROR(INDEX(Aktiv!$E$6:$E$350,MATCH(A226,Aktiv!$A$6:$A$350,0)),0)=0,IFERROR(INDEX(Aktiv!$F$6:$F$350,MATCH(A226,Aktiv!$A$6:$A$350,0)),0)=0),1,(IFERROR(INDEX(Aktiv!$E$6:$E$350,MATCH(A226,Aktiv!$A$6:$A$350,0)),0)*IFERROR(INDEX(Aktiv!$F$6:$F$350,MATCH(A226,Aktiv!$A$6:$A$350,0)),0)/1000000)/Steuerungsdaten!$B$6),1-1),0))</f>
        <v>812</v>
      </c>
      <c r="Q226" s="297" t="str">
        <f>IFERROR(INDEX(Aktiv!$J$6:$J$350,MATCH(A226,Aktiv!$A$6:$A$350,0)),"")</f>
        <v>-</v>
      </c>
      <c r="R226" s="298" t="e">
        <f t="shared" si="30"/>
        <v>#VALUE!</v>
      </c>
      <c r="S226" s="296" t="e">
        <f t="shared" si="31"/>
        <v>#VALUE!</v>
      </c>
    </row>
    <row r="227" spans="1:19" x14ac:dyDescent="0.25">
      <c r="A227" s="292">
        <v>5300</v>
      </c>
      <c r="B227" s="292" t="s">
        <v>247</v>
      </c>
      <c r="C227" s="293">
        <f>IFERROR(INDEX(Aktiv!$O$6:$O$350,MATCH(A227,Aktiv!$A$6:$A$350,0)),"")</f>
        <v>285</v>
      </c>
      <c r="D227" s="293">
        <f>IF(C227="","",ROUND(C227*Steuerungsdaten!$B$4*Steuerungsdaten!$B$7*IFERROR(VLOOKUP(IFERROR(INDEX(Aktiv!$C$6:$C$350,MATCH(A227,Aktiv!$A$6:$A$350,0)),""),Steuerungsdaten!$B$17:$C$37,2,FALSE),1)*POWER(IF(OR(IFERROR(INDEX(Aktiv!$E$6:$E$350,MATCH(A227,Aktiv!$A$6:$A$350,0)),0)=0,IFERROR(INDEX(Aktiv!$F$6:$F$350,MATCH(A227,Aktiv!$A$6:$A$350,0)),0)=0),1,(IFERROR(INDEX(Aktiv!$E$6:$E$350,MATCH(A227,Aktiv!$A$6:$A$350,0)),0)*IFERROR(INDEX(Aktiv!$F$6:$F$350,MATCH(A227,Aktiv!$A$6:$A$350,0)),0)/1000000)/Steuerungsdaten!$B$6),IF(ISNUMBER(MATCH(IFERROR(INDEX(Aktiv!$C$6:$C$350,MATCH(A227,Aktiv!$A$6:$A$350,0)),""),{"Boden","Seite außen","Seite außen SY32","Rücken","Seite innen","Seite innen SY32","Seite innen SY32 DB","Fachboden klein","Fachboden groß","Klappenboden"},0)),1.2,1)-1),0))</f>
        <v>282</v>
      </c>
      <c r="E227" s="293">
        <f>IFERROR(INDEX(Aktiv!$G$6:$G$350,MATCH(A227,Aktiv!$A$6:$A$350,0)),"")</f>
        <v>299</v>
      </c>
      <c r="F227" s="294">
        <f t="shared" si="24"/>
        <v>17</v>
      </c>
      <c r="G227" s="295">
        <f t="shared" si="25"/>
        <v>6.0283687943262408E-2</v>
      </c>
      <c r="H227" s="293">
        <f>IF(C227="","",ROUND(C227*Steuerungsdaten!$B$4*Steuerungsdaten!$B$8*IFERROR(VLOOKUP(IFERROR(INDEX(Aktiv!$C$6:$C$350,MATCH(A227,Aktiv!$A$6:$A$350,0)),""),Steuerungsdaten!$B$17:$E$37,4,FALSE),1)*POWER(IF(OR(IFERROR(INDEX(Aktiv!$E$6:$E$350,MATCH(A227,Aktiv!$A$6:$A$350,0)),0)=0,IFERROR(INDEX(Aktiv!$F$6:$F$350,MATCH(A227,Aktiv!$A$6:$A$350,0)),0)=0),1,(IFERROR(INDEX(Aktiv!$E$6:$E$350,MATCH(A227,Aktiv!$A$6:$A$350,0)),0)*IFERROR(INDEX(Aktiv!$F$6:$F$350,MATCH(A227,Aktiv!$A$6:$A$350,0)),0)/1000000)/Steuerungsdaten!$B$6),1-1),0))</f>
        <v>282</v>
      </c>
      <c r="I227" s="293">
        <f>IFERROR(INDEX(Aktiv!$H$6:$H$350,MATCH(A227,Aktiv!$A$6:$A$350,0)),"")</f>
        <v>355</v>
      </c>
      <c r="J227" s="294">
        <f t="shared" si="26"/>
        <v>73</v>
      </c>
      <c r="K227" s="296">
        <f t="shared" si="27"/>
        <v>0.25886524822695034</v>
      </c>
      <c r="L227" s="297">
        <f>IF(C227="","",ROUND(C227*Steuerungsdaten!$B$4*Steuerungsdaten!$B$9*IFERROR(VLOOKUP(IFERROR(INDEX(Aktiv!$C$6:$C$350,MATCH(A227,Aktiv!$A$6:$A$350,0)),""),Steuerungsdaten!$B$17:$G$37,6,FALSE),1)*POWER(IF(OR(IFERROR(INDEX(Aktiv!$E$6:$E$350,MATCH(A227,Aktiv!$A$6:$A$350,0)),0)=0,IFERROR(INDEX(Aktiv!$F$6:$F$350,MATCH(A227,Aktiv!$A$6:$A$350,0)),0)=0),1,(IFERROR(INDEX(Aktiv!$E$6:$E$350,MATCH(A227,Aktiv!$A$6:$A$350,0)),0)*IFERROR(INDEX(Aktiv!$F$6:$F$350,MATCH(A227,Aktiv!$A$6:$A$350,0)),0)/1000000)/Steuerungsdaten!$B$6),1-1),0))</f>
        <v>282</v>
      </c>
      <c r="M227" s="297">
        <f>IFERROR(INDEX(Aktiv!$I$6:$I$350,MATCH(A227,Aktiv!$A$6:$A$350,0)),"")</f>
        <v>386</v>
      </c>
      <c r="N227" s="298">
        <f t="shared" si="28"/>
        <v>104</v>
      </c>
      <c r="O227" s="296">
        <f t="shared" si="29"/>
        <v>0.36879432624113473</v>
      </c>
      <c r="P227" s="297">
        <f>IF(C227="","",ROUND(C227*Steuerungsdaten!$B$4*Steuerungsdaten!$B$10*IFERROR(VLOOKUP(IFERROR(INDEX(Aktiv!$C$6:$C$350,MATCH(A227,Aktiv!$A$6:$A$350,0)),""),Steuerungsdaten!$B$17:$I$37,8,FALSE),1)*POWER(IF(OR(IFERROR(INDEX(Aktiv!$E$6:$E$350,MATCH(A227,Aktiv!$A$6:$A$350,0)),0)=0,IFERROR(INDEX(Aktiv!$F$6:$F$350,MATCH(A227,Aktiv!$A$6:$A$350,0)),0)=0),1,(IFERROR(INDEX(Aktiv!$E$6:$E$350,MATCH(A227,Aktiv!$A$6:$A$350,0)),0)*IFERROR(INDEX(Aktiv!$F$6:$F$350,MATCH(A227,Aktiv!$A$6:$A$350,0)),0)/1000000)/Steuerungsdaten!$B$6),1-1),0))</f>
        <v>308</v>
      </c>
      <c r="Q227" s="297" t="str">
        <f>IFERROR(INDEX(Aktiv!$J$6:$J$350,MATCH(A227,Aktiv!$A$6:$A$350,0)),"")</f>
        <v>-</v>
      </c>
      <c r="R227" s="298" t="e">
        <f t="shared" si="30"/>
        <v>#VALUE!</v>
      </c>
      <c r="S227" s="296" t="e">
        <f t="shared" si="31"/>
        <v>#VALUE!</v>
      </c>
    </row>
    <row r="228" spans="1:19" x14ac:dyDescent="0.25">
      <c r="A228" s="292">
        <v>5301</v>
      </c>
      <c r="B228" s="292" t="s">
        <v>248</v>
      </c>
      <c r="C228" s="293">
        <f>IFERROR(INDEX(Aktiv!$O$6:$O$350,MATCH(A228,Aktiv!$A$6:$A$350,0)),"")</f>
        <v>352</v>
      </c>
      <c r="D228" s="293">
        <f>IF(C228="","",ROUND(C228*Steuerungsdaten!$B$4*Steuerungsdaten!$B$7*IFERROR(VLOOKUP(IFERROR(INDEX(Aktiv!$C$6:$C$350,MATCH(A228,Aktiv!$A$6:$A$350,0)),""),Steuerungsdaten!$B$17:$C$37,2,FALSE),1)*POWER(IF(OR(IFERROR(INDEX(Aktiv!$E$6:$E$350,MATCH(A228,Aktiv!$A$6:$A$350,0)),0)=0,IFERROR(INDEX(Aktiv!$F$6:$F$350,MATCH(A228,Aktiv!$A$6:$A$350,0)),0)=0),1,(IFERROR(INDEX(Aktiv!$E$6:$E$350,MATCH(A228,Aktiv!$A$6:$A$350,0)),0)*IFERROR(INDEX(Aktiv!$F$6:$F$350,MATCH(A228,Aktiv!$A$6:$A$350,0)),0)/1000000)/Steuerungsdaten!$B$6),IF(ISNUMBER(MATCH(IFERROR(INDEX(Aktiv!$C$6:$C$350,MATCH(A228,Aktiv!$A$6:$A$350,0)),""),{"Boden","Seite außen","Seite außen SY32","Rücken","Seite innen","Seite innen SY32","Seite innen SY32 DB","Fachboden klein","Fachboden groß","Klappenboden"},0)),1.2,1)-1),0))</f>
        <v>348</v>
      </c>
      <c r="E228" s="293">
        <f>IFERROR(INDEX(Aktiv!$G$6:$G$350,MATCH(A228,Aktiv!$A$6:$A$350,0)),"")</f>
        <v>320</v>
      </c>
      <c r="F228" s="294">
        <f t="shared" si="24"/>
        <v>-28</v>
      </c>
      <c r="G228" s="295">
        <f t="shared" si="25"/>
        <v>-8.0459770114942528E-2</v>
      </c>
      <c r="H228" s="293">
        <f>IF(C228="","",ROUND(C228*Steuerungsdaten!$B$4*Steuerungsdaten!$B$8*IFERROR(VLOOKUP(IFERROR(INDEX(Aktiv!$C$6:$C$350,MATCH(A228,Aktiv!$A$6:$A$350,0)),""),Steuerungsdaten!$B$17:$E$37,4,FALSE),1)*POWER(IF(OR(IFERROR(INDEX(Aktiv!$E$6:$E$350,MATCH(A228,Aktiv!$A$6:$A$350,0)),0)=0,IFERROR(INDEX(Aktiv!$F$6:$F$350,MATCH(A228,Aktiv!$A$6:$A$350,0)),0)=0),1,(IFERROR(INDEX(Aktiv!$E$6:$E$350,MATCH(A228,Aktiv!$A$6:$A$350,0)),0)*IFERROR(INDEX(Aktiv!$F$6:$F$350,MATCH(A228,Aktiv!$A$6:$A$350,0)),0)/1000000)/Steuerungsdaten!$B$6),1-1),0))</f>
        <v>348</v>
      </c>
      <c r="I228" s="293">
        <f>IFERROR(INDEX(Aktiv!$H$6:$H$350,MATCH(A228,Aktiv!$A$6:$A$350,0)),"")</f>
        <v>381</v>
      </c>
      <c r="J228" s="294">
        <f t="shared" si="26"/>
        <v>33</v>
      </c>
      <c r="K228" s="296">
        <f t="shared" si="27"/>
        <v>9.4827586206896547E-2</v>
      </c>
      <c r="L228" s="297">
        <f>IF(C228="","",ROUND(C228*Steuerungsdaten!$B$4*Steuerungsdaten!$B$9*IFERROR(VLOOKUP(IFERROR(INDEX(Aktiv!$C$6:$C$350,MATCH(A228,Aktiv!$A$6:$A$350,0)),""),Steuerungsdaten!$B$17:$G$37,6,FALSE),1)*POWER(IF(OR(IFERROR(INDEX(Aktiv!$E$6:$E$350,MATCH(A228,Aktiv!$A$6:$A$350,0)),0)=0,IFERROR(INDEX(Aktiv!$F$6:$F$350,MATCH(A228,Aktiv!$A$6:$A$350,0)),0)=0),1,(IFERROR(INDEX(Aktiv!$E$6:$E$350,MATCH(A228,Aktiv!$A$6:$A$350,0)),0)*IFERROR(INDEX(Aktiv!$F$6:$F$350,MATCH(A228,Aktiv!$A$6:$A$350,0)),0)/1000000)/Steuerungsdaten!$B$6),1-1),0))</f>
        <v>348</v>
      </c>
      <c r="M228" s="297">
        <f>IFERROR(INDEX(Aktiv!$I$6:$I$350,MATCH(A228,Aktiv!$A$6:$A$350,0)),"")</f>
        <v>414</v>
      </c>
      <c r="N228" s="298">
        <f t="shared" si="28"/>
        <v>66</v>
      </c>
      <c r="O228" s="296">
        <f t="shared" si="29"/>
        <v>0.18965517241379309</v>
      </c>
      <c r="P228" s="297">
        <f>IF(C228="","",ROUND(C228*Steuerungsdaten!$B$4*Steuerungsdaten!$B$10*IFERROR(VLOOKUP(IFERROR(INDEX(Aktiv!$C$6:$C$350,MATCH(A228,Aktiv!$A$6:$A$350,0)),""),Steuerungsdaten!$B$17:$I$37,8,FALSE),1)*POWER(IF(OR(IFERROR(INDEX(Aktiv!$E$6:$E$350,MATCH(A228,Aktiv!$A$6:$A$350,0)),0)=0,IFERROR(INDEX(Aktiv!$F$6:$F$350,MATCH(A228,Aktiv!$A$6:$A$350,0)),0)=0),1,(IFERROR(INDEX(Aktiv!$E$6:$E$350,MATCH(A228,Aktiv!$A$6:$A$350,0)),0)*IFERROR(INDEX(Aktiv!$F$6:$F$350,MATCH(A228,Aktiv!$A$6:$A$350,0)),0)/1000000)/Steuerungsdaten!$B$6),1-1),0))</f>
        <v>380</v>
      </c>
      <c r="Q228" s="297" t="str">
        <f>IFERROR(INDEX(Aktiv!$J$6:$J$350,MATCH(A228,Aktiv!$A$6:$A$350,0)),"")</f>
        <v>-</v>
      </c>
      <c r="R228" s="298" t="e">
        <f t="shared" si="30"/>
        <v>#VALUE!</v>
      </c>
      <c r="S228" s="296" t="e">
        <f t="shared" si="31"/>
        <v>#VALUE!</v>
      </c>
    </row>
    <row r="229" spans="1:19" x14ac:dyDescent="0.25">
      <c r="A229" s="292">
        <v>5302</v>
      </c>
      <c r="B229" s="292" t="s">
        <v>249</v>
      </c>
      <c r="C229" s="293">
        <f>IFERROR(INDEX(Aktiv!$O$6:$O$350,MATCH(A229,Aktiv!$A$6:$A$350,0)),"")</f>
        <v>298</v>
      </c>
      <c r="D229" s="293">
        <f>IF(C229="","",ROUND(C229*Steuerungsdaten!$B$4*Steuerungsdaten!$B$7*IFERROR(VLOOKUP(IFERROR(INDEX(Aktiv!$C$6:$C$350,MATCH(A229,Aktiv!$A$6:$A$350,0)),""),Steuerungsdaten!$B$17:$C$37,2,FALSE),1)*POWER(IF(OR(IFERROR(INDEX(Aktiv!$E$6:$E$350,MATCH(A229,Aktiv!$A$6:$A$350,0)),0)=0,IFERROR(INDEX(Aktiv!$F$6:$F$350,MATCH(A229,Aktiv!$A$6:$A$350,0)),0)=0),1,(IFERROR(INDEX(Aktiv!$E$6:$E$350,MATCH(A229,Aktiv!$A$6:$A$350,0)),0)*IFERROR(INDEX(Aktiv!$F$6:$F$350,MATCH(A229,Aktiv!$A$6:$A$350,0)),0)/1000000)/Steuerungsdaten!$B$6),IF(ISNUMBER(MATCH(IFERROR(INDEX(Aktiv!$C$6:$C$350,MATCH(A229,Aktiv!$A$6:$A$350,0)),""),{"Boden","Seite außen","Seite außen SY32","Rücken","Seite innen","Seite innen SY32","Seite innen SY32 DB","Fachboden klein","Fachboden groß","Klappenboden"},0)),1.2,1)-1),0))</f>
        <v>295</v>
      </c>
      <c r="E229" s="293">
        <f>IFERROR(INDEX(Aktiv!$G$6:$G$350,MATCH(A229,Aktiv!$A$6:$A$350,0)),"")</f>
        <v>309</v>
      </c>
      <c r="F229" s="294">
        <f t="shared" si="24"/>
        <v>14</v>
      </c>
      <c r="G229" s="295">
        <f t="shared" si="25"/>
        <v>4.7457627118644069E-2</v>
      </c>
      <c r="H229" s="293">
        <f>IF(C229="","",ROUND(C229*Steuerungsdaten!$B$4*Steuerungsdaten!$B$8*IFERROR(VLOOKUP(IFERROR(INDEX(Aktiv!$C$6:$C$350,MATCH(A229,Aktiv!$A$6:$A$350,0)),""),Steuerungsdaten!$B$17:$E$37,4,FALSE),1)*POWER(IF(OR(IFERROR(INDEX(Aktiv!$E$6:$E$350,MATCH(A229,Aktiv!$A$6:$A$350,0)),0)=0,IFERROR(INDEX(Aktiv!$F$6:$F$350,MATCH(A229,Aktiv!$A$6:$A$350,0)),0)=0),1,(IFERROR(INDEX(Aktiv!$E$6:$E$350,MATCH(A229,Aktiv!$A$6:$A$350,0)),0)*IFERROR(INDEX(Aktiv!$F$6:$F$350,MATCH(A229,Aktiv!$A$6:$A$350,0)),0)/1000000)/Steuerungsdaten!$B$6),1-1),0))</f>
        <v>295</v>
      </c>
      <c r="I229" s="293">
        <f>IFERROR(INDEX(Aktiv!$H$6:$H$350,MATCH(A229,Aktiv!$A$6:$A$350,0)),"")</f>
        <v>367</v>
      </c>
      <c r="J229" s="294">
        <f t="shared" si="26"/>
        <v>72</v>
      </c>
      <c r="K229" s="296">
        <f t="shared" si="27"/>
        <v>0.2440677966101695</v>
      </c>
      <c r="L229" s="297">
        <f>IF(C229="","",ROUND(C229*Steuerungsdaten!$B$4*Steuerungsdaten!$B$9*IFERROR(VLOOKUP(IFERROR(INDEX(Aktiv!$C$6:$C$350,MATCH(A229,Aktiv!$A$6:$A$350,0)),""),Steuerungsdaten!$B$17:$G$37,6,FALSE),1)*POWER(IF(OR(IFERROR(INDEX(Aktiv!$E$6:$E$350,MATCH(A229,Aktiv!$A$6:$A$350,0)),0)=0,IFERROR(INDEX(Aktiv!$F$6:$F$350,MATCH(A229,Aktiv!$A$6:$A$350,0)),0)=0),1,(IFERROR(INDEX(Aktiv!$E$6:$E$350,MATCH(A229,Aktiv!$A$6:$A$350,0)),0)*IFERROR(INDEX(Aktiv!$F$6:$F$350,MATCH(A229,Aktiv!$A$6:$A$350,0)),0)/1000000)/Steuerungsdaten!$B$6),1-1),0))</f>
        <v>295</v>
      </c>
      <c r="M229" s="297">
        <f>IFERROR(INDEX(Aktiv!$I$6:$I$350,MATCH(A229,Aktiv!$A$6:$A$350,0)),"")</f>
        <v>399</v>
      </c>
      <c r="N229" s="298">
        <f t="shared" si="28"/>
        <v>104</v>
      </c>
      <c r="O229" s="296">
        <f t="shared" si="29"/>
        <v>0.35254237288135593</v>
      </c>
      <c r="P229" s="297">
        <f>IF(C229="","",ROUND(C229*Steuerungsdaten!$B$4*Steuerungsdaten!$B$10*IFERROR(VLOOKUP(IFERROR(INDEX(Aktiv!$C$6:$C$350,MATCH(A229,Aktiv!$A$6:$A$350,0)),""),Steuerungsdaten!$B$17:$I$37,8,FALSE),1)*POWER(IF(OR(IFERROR(INDEX(Aktiv!$E$6:$E$350,MATCH(A229,Aktiv!$A$6:$A$350,0)),0)=0,IFERROR(INDEX(Aktiv!$F$6:$F$350,MATCH(A229,Aktiv!$A$6:$A$350,0)),0)=0),1,(IFERROR(INDEX(Aktiv!$E$6:$E$350,MATCH(A229,Aktiv!$A$6:$A$350,0)),0)*IFERROR(INDEX(Aktiv!$F$6:$F$350,MATCH(A229,Aktiv!$A$6:$A$350,0)),0)/1000000)/Steuerungsdaten!$B$6),1-1),0))</f>
        <v>322</v>
      </c>
      <c r="Q229" s="297" t="str">
        <f>IFERROR(INDEX(Aktiv!$J$6:$J$350,MATCH(A229,Aktiv!$A$6:$A$350,0)),"")</f>
        <v>-</v>
      </c>
      <c r="R229" s="298" t="e">
        <f t="shared" si="30"/>
        <v>#VALUE!</v>
      </c>
      <c r="S229" s="296" t="e">
        <f t="shared" si="31"/>
        <v>#VALUE!</v>
      </c>
    </row>
    <row r="230" spans="1:19" x14ac:dyDescent="0.25">
      <c r="A230" s="292">
        <v>5303</v>
      </c>
      <c r="B230" s="292" t="s">
        <v>250</v>
      </c>
      <c r="C230" s="293">
        <f>IFERROR(INDEX(Aktiv!$O$6:$O$350,MATCH(A230,Aktiv!$A$6:$A$350,0)),"")</f>
        <v>353</v>
      </c>
      <c r="D230" s="293">
        <f>IF(C230="","",ROUND(C230*Steuerungsdaten!$B$4*Steuerungsdaten!$B$7*IFERROR(VLOOKUP(IFERROR(INDEX(Aktiv!$C$6:$C$350,MATCH(A230,Aktiv!$A$6:$A$350,0)),""),Steuerungsdaten!$B$17:$C$37,2,FALSE),1)*POWER(IF(OR(IFERROR(INDEX(Aktiv!$E$6:$E$350,MATCH(A230,Aktiv!$A$6:$A$350,0)),0)=0,IFERROR(INDEX(Aktiv!$F$6:$F$350,MATCH(A230,Aktiv!$A$6:$A$350,0)),0)=0),1,(IFERROR(INDEX(Aktiv!$E$6:$E$350,MATCH(A230,Aktiv!$A$6:$A$350,0)),0)*IFERROR(INDEX(Aktiv!$F$6:$F$350,MATCH(A230,Aktiv!$A$6:$A$350,0)),0)/1000000)/Steuerungsdaten!$B$6),IF(ISNUMBER(MATCH(IFERROR(INDEX(Aktiv!$C$6:$C$350,MATCH(A230,Aktiv!$A$6:$A$350,0)),""),{"Boden","Seite außen","Seite außen SY32","Rücken","Seite innen","Seite innen SY32","Seite innen SY32 DB","Fachboden klein","Fachboden groß","Klappenboden"},0)),1.2,1)-1),0))</f>
        <v>349</v>
      </c>
      <c r="E230" s="293">
        <f>IFERROR(INDEX(Aktiv!$G$6:$G$350,MATCH(A230,Aktiv!$A$6:$A$350,0)),"")</f>
        <v>331</v>
      </c>
      <c r="F230" s="294">
        <f t="shared" si="24"/>
        <v>-18</v>
      </c>
      <c r="G230" s="295">
        <f t="shared" si="25"/>
        <v>-5.1575931232091692E-2</v>
      </c>
      <c r="H230" s="293">
        <f>IF(C230="","",ROUND(C230*Steuerungsdaten!$B$4*Steuerungsdaten!$B$8*IFERROR(VLOOKUP(IFERROR(INDEX(Aktiv!$C$6:$C$350,MATCH(A230,Aktiv!$A$6:$A$350,0)),""),Steuerungsdaten!$B$17:$E$37,4,FALSE),1)*POWER(IF(OR(IFERROR(INDEX(Aktiv!$E$6:$E$350,MATCH(A230,Aktiv!$A$6:$A$350,0)),0)=0,IFERROR(INDEX(Aktiv!$F$6:$F$350,MATCH(A230,Aktiv!$A$6:$A$350,0)),0)=0),1,(IFERROR(INDEX(Aktiv!$E$6:$E$350,MATCH(A230,Aktiv!$A$6:$A$350,0)),0)*IFERROR(INDEX(Aktiv!$F$6:$F$350,MATCH(A230,Aktiv!$A$6:$A$350,0)),0)/1000000)/Steuerungsdaten!$B$6),1-1),0))</f>
        <v>349</v>
      </c>
      <c r="I230" s="293">
        <f>IFERROR(INDEX(Aktiv!$H$6:$H$350,MATCH(A230,Aktiv!$A$6:$A$350,0)),"")</f>
        <v>393</v>
      </c>
      <c r="J230" s="294">
        <f t="shared" si="26"/>
        <v>44</v>
      </c>
      <c r="K230" s="296">
        <f t="shared" si="27"/>
        <v>0.12607449856733524</v>
      </c>
      <c r="L230" s="297">
        <f>IF(C230="","",ROUND(C230*Steuerungsdaten!$B$4*Steuerungsdaten!$B$9*IFERROR(VLOOKUP(IFERROR(INDEX(Aktiv!$C$6:$C$350,MATCH(A230,Aktiv!$A$6:$A$350,0)),""),Steuerungsdaten!$B$17:$G$37,6,FALSE),1)*POWER(IF(OR(IFERROR(INDEX(Aktiv!$E$6:$E$350,MATCH(A230,Aktiv!$A$6:$A$350,0)),0)=0,IFERROR(INDEX(Aktiv!$F$6:$F$350,MATCH(A230,Aktiv!$A$6:$A$350,0)),0)=0),1,(IFERROR(INDEX(Aktiv!$E$6:$E$350,MATCH(A230,Aktiv!$A$6:$A$350,0)),0)*IFERROR(INDEX(Aktiv!$F$6:$F$350,MATCH(A230,Aktiv!$A$6:$A$350,0)),0)/1000000)/Steuerungsdaten!$B$6),1-1),0))</f>
        <v>349</v>
      </c>
      <c r="M230" s="297">
        <f>IFERROR(INDEX(Aktiv!$I$6:$I$350,MATCH(A230,Aktiv!$A$6:$A$350,0)),"")</f>
        <v>428</v>
      </c>
      <c r="N230" s="298">
        <f t="shared" si="28"/>
        <v>79</v>
      </c>
      <c r="O230" s="296">
        <f t="shared" si="29"/>
        <v>0.22636103151862463</v>
      </c>
      <c r="P230" s="297">
        <f>IF(C230="","",ROUND(C230*Steuerungsdaten!$B$4*Steuerungsdaten!$B$10*IFERROR(VLOOKUP(IFERROR(INDEX(Aktiv!$C$6:$C$350,MATCH(A230,Aktiv!$A$6:$A$350,0)),""),Steuerungsdaten!$B$17:$I$37,8,FALSE),1)*POWER(IF(OR(IFERROR(INDEX(Aktiv!$E$6:$E$350,MATCH(A230,Aktiv!$A$6:$A$350,0)),0)=0,IFERROR(INDEX(Aktiv!$F$6:$F$350,MATCH(A230,Aktiv!$A$6:$A$350,0)),0)=0),1,(IFERROR(INDEX(Aktiv!$E$6:$E$350,MATCH(A230,Aktiv!$A$6:$A$350,0)),0)*IFERROR(INDEX(Aktiv!$F$6:$F$350,MATCH(A230,Aktiv!$A$6:$A$350,0)),0)/1000000)/Steuerungsdaten!$B$6),1-1),0))</f>
        <v>381</v>
      </c>
      <c r="Q230" s="297" t="str">
        <f>IFERROR(INDEX(Aktiv!$J$6:$J$350,MATCH(A230,Aktiv!$A$6:$A$350,0)),"")</f>
        <v>-</v>
      </c>
      <c r="R230" s="298" t="e">
        <f t="shared" si="30"/>
        <v>#VALUE!</v>
      </c>
      <c r="S230" s="296" t="e">
        <f t="shared" si="31"/>
        <v>#VALUE!</v>
      </c>
    </row>
    <row r="231" spans="1:19" x14ac:dyDescent="0.25">
      <c r="A231" s="292">
        <v>5304</v>
      </c>
      <c r="B231" s="292" t="s">
        <v>251</v>
      </c>
      <c r="C231" s="293">
        <f>IFERROR(INDEX(Aktiv!$O$6:$O$350,MATCH(A231,Aktiv!$A$6:$A$350,0)),"")</f>
        <v>309</v>
      </c>
      <c r="D231" s="293">
        <f>IF(C231="","",ROUND(C231*Steuerungsdaten!$B$4*Steuerungsdaten!$B$7*IFERROR(VLOOKUP(IFERROR(INDEX(Aktiv!$C$6:$C$350,MATCH(A231,Aktiv!$A$6:$A$350,0)),""),Steuerungsdaten!$B$17:$C$37,2,FALSE),1)*POWER(IF(OR(IFERROR(INDEX(Aktiv!$E$6:$E$350,MATCH(A231,Aktiv!$A$6:$A$350,0)),0)=0,IFERROR(INDEX(Aktiv!$F$6:$F$350,MATCH(A231,Aktiv!$A$6:$A$350,0)),0)=0),1,(IFERROR(INDEX(Aktiv!$E$6:$E$350,MATCH(A231,Aktiv!$A$6:$A$350,0)),0)*IFERROR(INDEX(Aktiv!$F$6:$F$350,MATCH(A231,Aktiv!$A$6:$A$350,0)),0)/1000000)/Steuerungsdaten!$B$6),IF(ISNUMBER(MATCH(IFERROR(INDEX(Aktiv!$C$6:$C$350,MATCH(A231,Aktiv!$A$6:$A$350,0)),""),{"Boden","Seite außen","Seite außen SY32","Rücken","Seite innen","Seite innen SY32","Seite innen SY32 DB","Fachboden klein","Fachboden groß","Klappenboden"},0)),1.2,1)-1),0))</f>
        <v>306</v>
      </c>
      <c r="E231" s="293">
        <f>IFERROR(INDEX(Aktiv!$G$6:$G$350,MATCH(A231,Aktiv!$A$6:$A$350,0)),"")</f>
        <v>318</v>
      </c>
      <c r="F231" s="294">
        <f t="shared" si="24"/>
        <v>12</v>
      </c>
      <c r="G231" s="295">
        <f t="shared" si="25"/>
        <v>3.9215686274509803E-2</v>
      </c>
      <c r="H231" s="293">
        <f>IF(C231="","",ROUND(C231*Steuerungsdaten!$B$4*Steuerungsdaten!$B$8*IFERROR(VLOOKUP(IFERROR(INDEX(Aktiv!$C$6:$C$350,MATCH(A231,Aktiv!$A$6:$A$350,0)),""),Steuerungsdaten!$B$17:$E$37,4,FALSE),1)*POWER(IF(OR(IFERROR(INDEX(Aktiv!$E$6:$E$350,MATCH(A231,Aktiv!$A$6:$A$350,0)),0)=0,IFERROR(INDEX(Aktiv!$F$6:$F$350,MATCH(A231,Aktiv!$A$6:$A$350,0)),0)=0),1,(IFERROR(INDEX(Aktiv!$E$6:$E$350,MATCH(A231,Aktiv!$A$6:$A$350,0)),0)*IFERROR(INDEX(Aktiv!$F$6:$F$350,MATCH(A231,Aktiv!$A$6:$A$350,0)),0)/1000000)/Steuerungsdaten!$B$6),1-1),0))</f>
        <v>306</v>
      </c>
      <c r="I231" s="293">
        <f>IFERROR(INDEX(Aktiv!$H$6:$H$350,MATCH(A231,Aktiv!$A$6:$A$350,0)),"")</f>
        <v>378</v>
      </c>
      <c r="J231" s="294">
        <f t="shared" si="26"/>
        <v>72</v>
      </c>
      <c r="K231" s="296">
        <f t="shared" si="27"/>
        <v>0.23529411764705882</v>
      </c>
      <c r="L231" s="297">
        <f>IF(C231="","",ROUND(C231*Steuerungsdaten!$B$4*Steuerungsdaten!$B$9*IFERROR(VLOOKUP(IFERROR(INDEX(Aktiv!$C$6:$C$350,MATCH(A231,Aktiv!$A$6:$A$350,0)),""),Steuerungsdaten!$B$17:$G$37,6,FALSE),1)*POWER(IF(OR(IFERROR(INDEX(Aktiv!$E$6:$E$350,MATCH(A231,Aktiv!$A$6:$A$350,0)),0)=0,IFERROR(INDEX(Aktiv!$F$6:$F$350,MATCH(A231,Aktiv!$A$6:$A$350,0)),0)=0),1,(IFERROR(INDEX(Aktiv!$E$6:$E$350,MATCH(A231,Aktiv!$A$6:$A$350,0)),0)*IFERROR(INDEX(Aktiv!$F$6:$F$350,MATCH(A231,Aktiv!$A$6:$A$350,0)),0)/1000000)/Steuerungsdaten!$B$6),1-1),0))</f>
        <v>306</v>
      </c>
      <c r="M231" s="297">
        <f>IFERROR(INDEX(Aktiv!$I$6:$I$350,MATCH(A231,Aktiv!$A$6:$A$350,0)),"")</f>
        <v>411</v>
      </c>
      <c r="N231" s="298">
        <f t="shared" si="28"/>
        <v>105</v>
      </c>
      <c r="O231" s="296">
        <f t="shared" si="29"/>
        <v>0.34313725490196079</v>
      </c>
      <c r="P231" s="297">
        <f>IF(C231="","",ROUND(C231*Steuerungsdaten!$B$4*Steuerungsdaten!$B$10*IFERROR(VLOOKUP(IFERROR(INDEX(Aktiv!$C$6:$C$350,MATCH(A231,Aktiv!$A$6:$A$350,0)),""),Steuerungsdaten!$B$17:$I$37,8,FALSE),1)*POWER(IF(OR(IFERROR(INDEX(Aktiv!$E$6:$E$350,MATCH(A231,Aktiv!$A$6:$A$350,0)),0)=0,IFERROR(INDEX(Aktiv!$F$6:$F$350,MATCH(A231,Aktiv!$A$6:$A$350,0)),0)=0),1,(IFERROR(INDEX(Aktiv!$E$6:$E$350,MATCH(A231,Aktiv!$A$6:$A$350,0)),0)*IFERROR(INDEX(Aktiv!$F$6:$F$350,MATCH(A231,Aktiv!$A$6:$A$350,0)),0)/1000000)/Steuerungsdaten!$B$6),1-1),0))</f>
        <v>334</v>
      </c>
      <c r="Q231" s="297" t="str">
        <f>IFERROR(INDEX(Aktiv!$J$6:$J$350,MATCH(A231,Aktiv!$A$6:$A$350,0)),"")</f>
        <v>-</v>
      </c>
      <c r="R231" s="298" t="e">
        <f t="shared" si="30"/>
        <v>#VALUE!</v>
      </c>
      <c r="S231" s="296" t="e">
        <f t="shared" si="31"/>
        <v>#VALUE!</v>
      </c>
    </row>
    <row r="232" spans="1:19" x14ac:dyDescent="0.25">
      <c r="A232" s="292">
        <v>5305</v>
      </c>
      <c r="B232" s="292" t="s">
        <v>252</v>
      </c>
      <c r="C232" s="293">
        <f>IFERROR(INDEX(Aktiv!$O$6:$O$350,MATCH(A232,Aktiv!$A$6:$A$350,0)),"")</f>
        <v>356</v>
      </c>
      <c r="D232" s="293">
        <f>IF(C232="","",ROUND(C232*Steuerungsdaten!$B$4*Steuerungsdaten!$B$7*IFERROR(VLOOKUP(IFERROR(INDEX(Aktiv!$C$6:$C$350,MATCH(A232,Aktiv!$A$6:$A$350,0)),""),Steuerungsdaten!$B$17:$C$37,2,FALSE),1)*POWER(IF(OR(IFERROR(INDEX(Aktiv!$E$6:$E$350,MATCH(A232,Aktiv!$A$6:$A$350,0)),0)=0,IFERROR(INDEX(Aktiv!$F$6:$F$350,MATCH(A232,Aktiv!$A$6:$A$350,0)),0)=0),1,(IFERROR(INDEX(Aktiv!$E$6:$E$350,MATCH(A232,Aktiv!$A$6:$A$350,0)),0)*IFERROR(INDEX(Aktiv!$F$6:$F$350,MATCH(A232,Aktiv!$A$6:$A$350,0)),0)/1000000)/Steuerungsdaten!$B$6),IF(ISNUMBER(MATCH(IFERROR(INDEX(Aktiv!$C$6:$C$350,MATCH(A232,Aktiv!$A$6:$A$350,0)),""),{"Boden","Seite außen","Seite außen SY32","Rücken","Seite innen","Seite innen SY32","Seite innen SY32 DB","Fachboden klein","Fachboden groß","Klappenboden"},0)),1.2,1)-1),0))</f>
        <v>352</v>
      </c>
      <c r="E232" s="293">
        <f>IFERROR(INDEX(Aktiv!$G$6:$G$350,MATCH(A232,Aktiv!$A$6:$A$350,0)),"")</f>
        <v>341</v>
      </c>
      <c r="F232" s="294">
        <f t="shared" si="24"/>
        <v>-11</v>
      </c>
      <c r="G232" s="295">
        <f t="shared" si="25"/>
        <v>-3.125E-2</v>
      </c>
      <c r="H232" s="293">
        <f>IF(C232="","",ROUND(C232*Steuerungsdaten!$B$4*Steuerungsdaten!$B$8*IFERROR(VLOOKUP(IFERROR(INDEX(Aktiv!$C$6:$C$350,MATCH(A232,Aktiv!$A$6:$A$350,0)),""),Steuerungsdaten!$B$17:$E$37,4,FALSE),1)*POWER(IF(OR(IFERROR(INDEX(Aktiv!$E$6:$E$350,MATCH(A232,Aktiv!$A$6:$A$350,0)),0)=0,IFERROR(INDEX(Aktiv!$F$6:$F$350,MATCH(A232,Aktiv!$A$6:$A$350,0)),0)=0),1,(IFERROR(INDEX(Aktiv!$E$6:$E$350,MATCH(A232,Aktiv!$A$6:$A$350,0)),0)*IFERROR(INDEX(Aktiv!$F$6:$F$350,MATCH(A232,Aktiv!$A$6:$A$350,0)),0)/1000000)/Steuerungsdaten!$B$6),1-1),0))</f>
        <v>352</v>
      </c>
      <c r="I232" s="293">
        <f>IFERROR(INDEX(Aktiv!$H$6:$H$350,MATCH(A232,Aktiv!$A$6:$A$350,0)),"")</f>
        <v>405</v>
      </c>
      <c r="J232" s="294">
        <f t="shared" si="26"/>
        <v>53</v>
      </c>
      <c r="K232" s="296">
        <f t="shared" si="27"/>
        <v>0.15056818181818182</v>
      </c>
      <c r="L232" s="297">
        <f>IF(C232="","",ROUND(C232*Steuerungsdaten!$B$4*Steuerungsdaten!$B$9*IFERROR(VLOOKUP(IFERROR(INDEX(Aktiv!$C$6:$C$350,MATCH(A232,Aktiv!$A$6:$A$350,0)),""),Steuerungsdaten!$B$17:$G$37,6,FALSE),1)*POWER(IF(OR(IFERROR(INDEX(Aktiv!$E$6:$E$350,MATCH(A232,Aktiv!$A$6:$A$350,0)),0)=0,IFERROR(INDEX(Aktiv!$F$6:$F$350,MATCH(A232,Aktiv!$A$6:$A$350,0)),0)=0),1,(IFERROR(INDEX(Aktiv!$E$6:$E$350,MATCH(A232,Aktiv!$A$6:$A$350,0)),0)*IFERROR(INDEX(Aktiv!$F$6:$F$350,MATCH(A232,Aktiv!$A$6:$A$350,0)),0)/1000000)/Steuerungsdaten!$B$6),1-1),0))</f>
        <v>352</v>
      </c>
      <c r="M232" s="297">
        <f>IFERROR(INDEX(Aktiv!$I$6:$I$350,MATCH(A232,Aktiv!$A$6:$A$350,0)),"")</f>
        <v>441</v>
      </c>
      <c r="N232" s="298">
        <f t="shared" si="28"/>
        <v>89</v>
      </c>
      <c r="O232" s="296">
        <f t="shared" si="29"/>
        <v>0.25284090909090912</v>
      </c>
      <c r="P232" s="297">
        <f>IF(C232="","",ROUND(C232*Steuerungsdaten!$B$4*Steuerungsdaten!$B$10*IFERROR(VLOOKUP(IFERROR(INDEX(Aktiv!$C$6:$C$350,MATCH(A232,Aktiv!$A$6:$A$350,0)),""),Steuerungsdaten!$B$17:$I$37,8,FALSE),1)*POWER(IF(OR(IFERROR(INDEX(Aktiv!$E$6:$E$350,MATCH(A232,Aktiv!$A$6:$A$350,0)),0)=0,IFERROR(INDEX(Aktiv!$F$6:$F$350,MATCH(A232,Aktiv!$A$6:$A$350,0)),0)=0),1,(IFERROR(INDEX(Aktiv!$E$6:$E$350,MATCH(A232,Aktiv!$A$6:$A$350,0)),0)*IFERROR(INDEX(Aktiv!$F$6:$F$350,MATCH(A232,Aktiv!$A$6:$A$350,0)),0)/1000000)/Steuerungsdaten!$B$6),1-1),0))</f>
        <v>384</v>
      </c>
      <c r="Q232" s="297" t="str">
        <f>IFERROR(INDEX(Aktiv!$J$6:$J$350,MATCH(A232,Aktiv!$A$6:$A$350,0)),"")</f>
        <v>-</v>
      </c>
      <c r="R232" s="298" t="e">
        <f t="shared" si="30"/>
        <v>#VALUE!</v>
      </c>
      <c r="S232" s="296" t="e">
        <f t="shared" si="31"/>
        <v>#VALUE!</v>
      </c>
    </row>
    <row r="233" spans="1:19" x14ac:dyDescent="0.25">
      <c r="A233" s="292">
        <v>5306</v>
      </c>
      <c r="B233" s="292" t="s">
        <v>253</v>
      </c>
      <c r="C233" s="293">
        <f>IFERROR(INDEX(Aktiv!$O$6:$O$350,MATCH(A233,Aktiv!$A$6:$A$350,0)),"")</f>
        <v>348</v>
      </c>
      <c r="D233" s="293">
        <f>IF(C233="","",ROUND(C233*Steuerungsdaten!$B$4*Steuerungsdaten!$B$7*IFERROR(VLOOKUP(IFERROR(INDEX(Aktiv!$C$6:$C$350,MATCH(A233,Aktiv!$A$6:$A$350,0)),""),Steuerungsdaten!$B$17:$C$37,2,FALSE),1)*POWER(IF(OR(IFERROR(INDEX(Aktiv!$E$6:$E$350,MATCH(A233,Aktiv!$A$6:$A$350,0)),0)=0,IFERROR(INDEX(Aktiv!$F$6:$F$350,MATCH(A233,Aktiv!$A$6:$A$350,0)),0)=0),1,(IFERROR(INDEX(Aktiv!$E$6:$E$350,MATCH(A233,Aktiv!$A$6:$A$350,0)),0)*IFERROR(INDEX(Aktiv!$F$6:$F$350,MATCH(A233,Aktiv!$A$6:$A$350,0)),0)/1000000)/Steuerungsdaten!$B$6),IF(ISNUMBER(MATCH(IFERROR(INDEX(Aktiv!$C$6:$C$350,MATCH(A233,Aktiv!$A$6:$A$350,0)),""),{"Boden","Seite außen","Seite außen SY32","Rücken","Seite innen","Seite innen SY32","Seite innen SY32 DB","Fachboden klein","Fachboden groß","Klappenboden"},0)),1.2,1)-1),0))</f>
        <v>345</v>
      </c>
      <c r="E233" s="293">
        <f>IFERROR(INDEX(Aktiv!$G$6:$G$350,MATCH(A233,Aktiv!$A$6:$A$350,0)),"")</f>
        <v>325</v>
      </c>
      <c r="F233" s="294">
        <f t="shared" si="24"/>
        <v>-20</v>
      </c>
      <c r="G233" s="295">
        <f t="shared" si="25"/>
        <v>-5.7971014492753624E-2</v>
      </c>
      <c r="H233" s="293">
        <f>IF(C233="","",ROUND(C233*Steuerungsdaten!$B$4*Steuerungsdaten!$B$8*IFERROR(VLOOKUP(IFERROR(INDEX(Aktiv!$C$6:$C$350,MATCH(A233,Aktiv!$A$6:$A$350,0)),""),Steuerungsdaten!$B$17:$E$37,4,FALSE),1)*POWER(IF(OR(IFERROR(INDEX(Aktiv!$E$6:$E$350,MATCH(A233,Aktiv!$A$6:$A$350,0)),0)=0,IFERROR(INDEX(Aktiv!$F$6:$F$350,MATCH(A233,Aktiv!$A$6:$A$350,0)),0)=0),1,(IFERROR(INDEX(Aktiv!$E$6:$E$350,MATCH(A233,Aktiv!$A$6:$A$350,0)),0)*IFERROR(INDEX(Aktiv!$F$6:$F$350,MATCH(A233,Aktiv!$A$6:$A$350,0)),0)/1000000)/Steuerungsdaten!$B$6),1-1),0))</f>
        <v>345</v>
      </c>
      <c r="I233" s="293">
        <f>IFERROR(INDEX(Aktiv!$H$6:$H$350,MATCH(A233,Aktiv!$A$6:$A$350,0)),"")</f>
        <v>386</v>
      </c>
      <c r="J233" s="294">
        <f t="shared" si="26"/>
        <v>41</v>
      </c>
      <c r="K233" s="296">
        <f t="shared" si="27"/>
        <v>0.11884057971014493</v>
      </c>
      <c r="L233" s="297">
        <f>IF(C233="","",ROUND(C233*Steuerungsdaten!$B$4*Steuerungsdaten!$B$9*IFERROR(VLOOKUP(IFERROR(INDEX(Aktiv!$C$6:$C$350,MATCH(A233,Aktiv!$A$6:$A$350,0)),""),Steuerungsdaten!$B$17:$G$37,6,FALSE),1)*POWER(IF(OR(IFERROR(INDEX(Aktiv!$E$6:$E$350,MATCH(A233,Aktiv!$A$6:$A$350,0)),0)=0,IFERROR(INDEX(Aktiv!$F$6:$F$350,MATCH(A233,Aktiv!$A$6:$A$350,0)),0)=0),1,(IFERROR(INDEX(Aktiv!$E$6:$E$350,MATCH(A233,Aktiv!$A$6:$A$350,0)),0)*IFERROR(INDEX(Aktiv!$F$6:$F$350,MATCH(A233,Aktiv!$A$6:$A$350,0)),0)/1000000)/Steuerungsdaten!$B$6),1-1),0))</f>
        <v>345</v>
      </c>
      <c r="M233" s="297">
        <f>IFERROR(INDEX(Aktiv!$I$6:$I$350,MATCH(A233,Aktiv!$A$6:$A$350,0)),"")</f>
        <v>421</v>
      </c>
      <c r="N233" s="298">
        <f t="shared" si="28"/>
        <v>76</v>
      </c>
      <c r="O233" s="296">
        <f t="shared" si="29"/>
        <v>0.22028985507246376</v>
      </c>
      <c r="P233" s="297">
        <f>IF(C233="","",ROUND(C233*Steuerungsdaten!$B$4*Steuerungsdaten!$B$10*IFERROR(VLOOKUP(IFERROR(INDEX(Aktiv!$C$6:$C$350,MATCH(A233,Aktiv!$A$6:$A$350,0)),""),Steuerungsdaten!$B$17:$I$37,8,FALSE),1)*POWER(IF(OR(IFERROR(INDEX(Aktiv!$E$6:$E$350,MATCH(A233,Aktiv!$A$6:$A$350,0)),0)=0,IFERROR(INDEX(Aktiv!$F$6:$F$350,MATCH(A233,Aktiv!$A$6:$A$350,0)),0)=0),1,(IFERROR(INDEX(Aktiv!$E$6:$E$350,MATCH(A233,Aktiv!$A$6:$A$350,0)),0)*IFERROR(INDEX(Aktiv!$F$6:$F$350,MATCH(A233,Aktiv!$A$6:$A$350,0)),0)/1000000)/Steuerungsdaten!$B$6),1-1),0))</f>
        <v>376</v>
      </c>
      <c r="Q233" s="297" t="str">
        <f>IFERROR(INDEX(Aktiv!$J$6:$J$350,MATCH(A233,Aktiv!$A$6:$A$350,0)),"")</f>
        <v>-</v>
      </c>
      <c r="R233" s="298" t="e">
        <f t="shared" si="30"/>
        <v>#VALUE!</v>
      </c>
      <c r="S233" s="296" t="e">
        <f t="shared" si="31"/>
        <v>#VALUE!</v>
      </c>
    </row>
    <row r="234" spans="1:19" x14ac:dyDescent="0.25">
      <c r="A234" s="292">
        <v>5307</v>
      </c>
      <c r="B234" s="292" t="s">
        <v>254</v>
      </c>
      <c r="C234" s="293">
        <f>IFERROR(INDEX(Aktiv!$O$6:$O$350,MATCH(A234,Aktiv!$A$6:$A$350,0)),"")</f>
        <v>429</v>
      </c>
      <c r="D234" s="293">
        <f>IF(C234="","",ROUND(C234*Steuerungsdaten!$B$4*Steuerungsdaten!$B$7*IFERROR(VLOOKUP(IFERROR(INDEX(Aktiv!$C$6:$C$350,MATCH(A234,Aktiv!$A$6:$A$350,0)),""),Steuerungsdaten!$B$17:$C$37,2,FALSE),1)*POWER(IF(OR(IFERROR(INDEX(Aktiv!$E$6:$E$350,MATCH(A234,Aktiv!$A$6:$A$350,0)),0)=0,IFERROR(INDEX(Aktiv!$F$6:$F$350,MATCH(A234,Aktiv!$A$6:$A$350,0)),0)=0),1,(IFERROR(INDEX(Aktiv!$E$6:$E$350,MATCH(A234,Aktiv!$A$6:$A$350,0)),0)*IFERROR(INDEX(Aktiv!$F$6:$F$350,MATCH(A234,Aktiv!$A$6:$A$350,0)),0)/1000000)/Steuerungsdaten!$B$6),IF(ISNUMBER(MATCH(IFERROR(INDEX(Aktiv!$C$6:$C$350,MATCH(A234,Aktiv!$A$6:$A$350,0)),""),{"Boden","Seite außen","Seite außen SY32","Rücken","Seite innen","Seite innen SY32","Seite innen SY32 DB","Fachboden klein","Fachboden groß","Klappenboden"},0)),1.2,1)-1),0))</f>
        <v>425</v>
      </c>
      <c r="E234" s="293">
        <f>IFERROR(INDEX(Aktiv!$G$6:$G$350,MATCH(A234,Aktiv!$A$6:$A$350,0)),"")</f>
        <v>349</v>
      </c>
      <c r="F234" s="294">
        <f t="shared" si="24"/>
        <v>-76</v>
      </c>
      <c r="G234" s="295">
        <f t="shared" si="25"/>
        <v>-0.17882352941176471</v>
      </c>
      <c r="H234" s="293">
        <f>IF(C234="","",ROUND(C234*Steuerungsdaten!$B$4*Steuerungsdaten!$B$8*IFERROR(VLOOKUP(IFERROR(INDEX(Aktiv!$C$6:$C$350,MATCH(A234,Aktiv!$A$6:$A$350,0)),""),Steuerungsdaten!$B$17:$E$37,4,FALSE),1)*POWER(IF(OR(IFERROR(INDEX(Aktiv!$E$6:$E$350,MATCH(A234,Aktiv!$A$6:$A$350,0)),0)=0,IFERROR(INDEX(Aktiv!$F$6:$F$350,MATCH(A234,Aktiv!$A$6:$A$350,0)),0)=0),1,(IFERROR(INDEX(Aktiv!$E$6:$E$350,MATCH(A234,Aktiv!$A$6:$A$350,0)),0)*IFERROR(INDEX(Aktiv!$F$6:$F$350,MATCH(A234,Aktiv!$A$6:$A$350,0)),0)/1000000)/Steuerungsdaten!$B$6),1-1),0))</f>
        <v>425</v>
      </c>
      <c r="I234" s="293">
        <f>IFERROR(INDEX(Aktiv!$H$6:$H$350,MATCH(A234,Aktiv!$A$6:$A$350,0)),"")</f>
        <v>414</v>
      </c>
      <c r="J234" s="294">
        <f t="shared" si="26"/>
        <v>-11</v>
      </c>
      <c r="K234" s="296">
        <f t="shared" si="27"/>
        <v>-2.5882352941176471E-2</v>
      </c>
      <c r="L234" s="297">
        <f>IF(C234="","",ROUND(C234*Steuerungsdaten!$B$4*Steuerungsdaten!$B$9*IFERROR(VLOOKUP(IFERROR(INDEX(Aktiv!$C$6:$C$350,MATCH(A234,Aktiv!$A$6:$A$350,0)),""),Steuerungsdaten!$B$17:$G$37,6,FALSE),1)*POWER(IF(OR(IFERROR(INDEX(Aktiv!$E$6:$E$350,MATCH(A234,Aktiv!$A$6:$A$350,0)),0)=0,IFERROR(INDEX(Aktiv!$F$6:$F$350,MATCH(A234,Aktiv!$A$6:$A$350,0)),0)=0),1,(IFERROR(INDEX(Aktiv!$E$6:$E$350,MATCH(A234,Aktiv!$A$6:$A$350,0)),0)*IFERROR(INDEX(Aktiv!$F$6:$F$350,MATCH(A234,Aktiv!$A$6:$A$350,0)),0)/1000000)/Steuerungsdaten!$B$6),1-1),0))</f>
        <v>425</v>
      </c>
      <c r="M234" s="297">
        <f>IFERROR(INDEX(Aktiv!$I$6:$I$350,MATCH(A234,Aktiv!$A$6:$A$350,0)),"")</f>
        <v>451</v>
      </c>
      <c r="N234" s="298">
        <f t="shared" si="28"/>
        <v>26</v>
      </c>
      <c r="O234" s="296">
        <f t="shared" si="29"/>
        <v>6.1176470588235297E-2</v>
      </c>
      <c r="P234" s="297">
        <f>IF(C234="","",ROUND(C234*Steuerungsdaten!$B$4*Steuerungsdaten!$B$10*IFERROR(VLOOKUP(IFERROR(INDEX(Aktiv!$C$6:$C$350,MATCH(A234,Aktiv!$A$6:$A$350,0)),""),Steuerungsdaten!$B$17:$I$37,8,FALSE),1)*POWER(IF(OR(IFERROR(INDEX(Aktiv!$E$6:$E$350,MATCH(A234,Aktiv!$A$6:$A$350,0)),0)=0,IFERROR(INDEX(Aktiv!$F$6:$F$350,MATCH(A234,Aktiv!$A$6:$A$350,0)),0)=0),1,(IFERROR(INDEX(Aktiv!$E$6:$E$350,MATCH(A234,Aktiv!$A$6:$A$350,0)),0)*IFERROR(INDEX(Aktiv!$F$6:$F$350,MATCH(A234,Aktiv!$A$6:$A$350,0)),0)/1000000)/Steuerungsdaten!$B$6),1-1),0))</f>
        <v>463</v>
      </c>
      <c r="Q234" s="297" t="str">
        <f>IFERROR(INDEX(Aktiv!$J$6:$J$350,MATCH(A234,Aktiv!$A$6:$A$350,0)),"")</f>
        <v>-</v>
      </c>
      <c r="R234" s="298" t="e">
        <f t="shared" si="30"/>
        <v>#VALUE!</v>
      </c>
      <c r="S234" s="296" t="e">
        <f t="shared" si="31"/>
        <v>#VALUE!</v>
      </c>
    </row>
    <row r="235" spans="1:19" x14ac:dyDescent="0.25">
      <c r="A235" s="292" t="s">
        <v>255</v>
      </c>
      <c r="B235" s="292" t="s">
        <v>251</v>
      </c>
      <c r="C235" s="293">
        <f>IFERROR(INDEX(Aktiv!$O$6:$O$350,MATCH(A235,Aktiv!$A$6:$A$350,0)),"")</f>
        <v>309</v>
      </c>
      <c r="D235" s="293">
        <f>IF(C235="","",ROUND(C235*Steuerungsdaten!$B$4*Steuerungsdaten!$B$7*IFERROR(VLOOKUP(IFERROR(INDEX(Aktiv!$C$6:$C$350,MATCH(A235,Aktiv!$A$6:$A$350,0)),""),Steuerungsdaten!$B$17:$C$37,2,FALSE),1)*POWER(IF(OR(IFERROR(INDEX(Aktiv!$E$6:$E$350,MATCH(A235,Aktiv!$A$6:$A$350,0)),0)=0,IFERROR(INDEX(Aktiv!$F$6:$F$350,MATCH(A235,Aktiv!$A$6:$A$350,0)),0)=0),1,(IFERROR(INDEX(Aktiv!$E$6:$E$350,MATCH(A235,Aktiv!$A$6:$A$350,0)),0)*IFERROR(INDEX(Aktiv!$F$6:$F$350,MATCH(A235,Aktiv!$A$6:$A$350,0)),0)/1000000)/Steuerungsdaten!$B$6),IF(ISNUMBER(MATCH(IFERROR(INDEX(Aktiv!$C$6:$C$350,MATCH(A235,Aktiv!$A$6:$A$350,0)),""),{"Boden","Seite außen","Seite außen SY32","Rücken","Seite innen","Seite innen SY32","Seite innen SY32 DB","Fachboden klein","Fachboden groß","Klappenboden"},0)),1.2,1)-1),0))</f>
        <v>306</v>
      </c>
      <c r="E235" s="293">
        <f>IFERROR(INDEX(Aktiv!$G$6:$G$350,MATCH(A235,Aktiv!$A$6:$A$350,0)),"")</f>
        <v>318</v>
      </c>
      <c r="F235" s="294">
        <f t="shared" si="24"/>
        <v>12</v>
      </c>
      <c r="G235" s="295">
        <f t="shared" si="25"/>
        <v>3.9215686274509803E-2</v>
      </c>
      <c r="H235" s="293">
        <f>IF(C235="","",ROUND(C235*Steuerungsdaten!$B$4*Steuerungsdaten!$B$8*IFERROR(VLOOKUP(IFERROR(INDEX(Aktiv!$C$6:$C$350,MATCH(A235,Aktiv!$A$6:$A$350,0)),""),Steuerungsdaten!$B$17:$E$37,4,FALSE),1)*POWER(IF(OR(IFERROR(INDEX(Aktiv!$E$6:$E$350,MATCH(A235,Aktiv!$A$6:$A$350,0)),0)=0,IFERROR(INDEX(Aktiv!$F$6:$F$350,MATCH(A235,Aktiv!$A$6:$A$350,0)),0)=0),1,(IFERROR(INDEX(Aktiv!$E$6:$E$350,MATCH(A235,Aktiv!$A$6:$A$350,0)),0)*IFERROR(INDEX(Aktiv!$F$6:$F$350,MATCH(A235,Aktiv!$A$6:$A$350,0)),0)/1000000)/Steuerungsdaten!$B$6),1-1),0))</f>
        <v>306</v>
      </c>
      <c r="I235" s="293">
        <f>IFERROR(INDEX(Aktiv!$H$6:$H$350,MATCH(A235,Aktiv!$A$6:$A$350,0)),"")</f>
        <v>378</v>
      </c>
      <c r="J235" s="294">
        <f t="shared" si="26"/>
        <v>72</v>
      </c>
      <c r="K235" s="296">
        <f t="shared" si="27"/>
        <v>0.23529411764705882</v>
      </c>
      <c r="L235" s="297">
        <f>IF(C235="","",ROUND(C235*Steuerungsdaten!$B$4*Steuerungsdaten!$B$9*IFERROR(VLOOKUP(IFERROR(INDEX(Aktiv!$C$6:$C$350,MATCH(A235,Aktiv!$A$6:$A$350,0)),""),Steuerungsdaten!$B$17:$G$37,6,FALSE),1)*POWER(IF(OR(IFERROR(INDEX(Aktiv!$E$6:$E$350,MATCH(A235,Aktiv!$A$6:$A$350,0)),0)=0,IFERROR(INDEX(Aktiv!$F$6:$F$350,MATCH(A235,Aktiv!$A$6:$A$350,0)),0)=0),1,(IFERROR(INDEX(Aktiv!$E$6:$E$350,MATCH(A235,Aktiv!$A$6:$A$350,0)),0)*IFERROR(INDEX(Aktiv!$F$6:$F$350,MATCH(A235,Aktiv!$A$6:$A$350,0)),0)/1000000)/Steuerungsdaten!$B$6),1-1),0))</f>
        <v>306</v>
      </c>
      <c r="M235" s="297">
        <f>IFERROR(INDEX(Aktiv!$I$6:$I$350,MATCH(A235,Aktiv!$A$6:$A$350,0)),"")</f>
        <v>411</v>
      </c>
      <c r="N235" s="298">
        <f t="shared" si="28"/>
        <v>105</v>
      </c>
      <c r="O235" s="296">
        <f t="shared" si="29"/>
        <v>0.34313725490196079</v>
      </c>
      <c r="P235" s="297">
        <f>IF(C235="","",ROUND(C235*Steuerungsdaten!$B$4*Steuerungsdaten!$B$10*IFERROR(VLOOKUP(IFERROR(INDEX(Aktiv!$C$6:$C$350,MATCH(A235,Aktiv!$A$6:$A$350,0)),""),Steuerungsdaten!$B$17:$I$37,8,FALSE),1)*POWER(IF(OR(IFERROR(INDEX(Aktiv!$E$6:$E$350,MATCH(A235,Aktiv!$A$6:$A$350,0)),0)=0,IFERROR(INDEX(Aktiv!$F$6:$F$350,MATCH(A235,Aktiv!$A$6:$A$350,0)),0)=0),1,(IFERROR(INDEX(Aktiv!$E$6:$E$350,MATCH(A235,Aktiv!$A$6:$A$350,0)),0)*IFERROR(INDEX(Aktiv!$F$6:$F$350,MATCH(A235,Aktiv!$A$6:$A$350,0)),0)/1000000)/Steuerungsdaten!$B$6),1-1),0))</f>
        <v>334</v>
      </c>
      <c r="Q235" s="297" t="str">
        <f>IFERROR(INDEX(Aktiv!$J$6:$J$350,MATCH(A235,Aktiv!$A$6:$A$350,0)),"")</f>
        <v>-</v>
      </c>
      <c r="R235" s="298" t="e">
        <f t="shared" si="30"/>
        <v>#VALUE!</v>
      </c>
      <c r="S235" s="296" t="e">
        <f t="shared" si="31"/>
        <v>#VALUE!</v>
      </c>
    </row>
    <row r="236" spans="1:19" x14ac:dyDescent="0.25">
      <c r="A236" s="292" t="s">
        <v>258</v>
      </c>
      <c r="B236" s="292" t="s">
        <v>259</v>
      </c>
      <c r="C236" s="293">
        <f>IFERROR(INDEX(Aktiv!$O$6:$O$350,MATCH(A236,Aktiv!$A$6:$A$350,0)),"")</f>
        <v>285</v>
      </c>
      <c r="D236" s="293">
        <f>IF(C236="","",ROUND(C236*Steuerungsdaten!$B$4*Steuerungsdaten!$B$7*IFERROR(VLOOKUP(IFERROR(INDEX(Aktiv!$C$6:$C$350,MATCH(A236,Aktiv!$A$6:$A$350,0)),""),Steuerungsdaten!$B$17:$C$37,2,FALSE),1)*POWER(IF(OR(IFERROR(INDEX(Aktiv!$E$6:$E$350,MATCH(A236,Aktiv!$A$6:$A$350,0)),0)=0,IFERROR(INDEX(Aktiv!$F$6:$F$350,MATCH(A236,Aktiv!$A$6:$A$350,0)),0)=0),1,(IFERROR(INDEX(Aktiv!$E$6:$E$350,MATCH(A236,Aktiv!$A$6:$A$350,0)),0)*IFERROR(INDEX(Aktiv!$F$6:$F$350,MATCH(A236,Aktiv!$A$6:$A$350,0)),0)/1000000)/Steuerungsdaten!$B$6),IF(ISNUMBER(MATCH(IFERROR(INDEX(Aktiv!$C$6:$C$350,MATCH(A236,Aktiv!$A$6:$A$350,0)),""),{"Boden","Seite außen","Seite außen SY32","Rücken","Seite innen","Seite innen SY32","Seite innen SY32 DB","Fachboden klein","Fachboden groß","Klappenboden"},0)),1.2,1)-1),0))</f>
        <v>282</v>
      </c>
      <c r="E236" s="293" t="str">
        <f>IFERROR(INDEX(Aktiv!$G$6:$G$350,MATCH(A236,Aktiv!$A$6:$A$350,0)),"")</f>
        <v>-</v>
      </c>
      <c r="F236" s="294" t="e">
        <f t="shared" si="24"/>
        <v>#VALUE!</v>
      </c>
      <c r="G236" s="295" t="e">
        <f t="shared" si="25"/>
        <v>#VALUE!</v>
      </c>
      <c r="H236" s="293">
        <f>IF(C236="","",ROUND(C236*Steuerungsdaten!$B$4*Steuerungsdaten!$B$8*IFERROR(VLOOKUP(IFERROR(INDEX(Aktiv!$C$6:$C$350,MATCH(A236,Aktiv!$A$6:$A$350,0)),""),Steuerungsdaten!$B$17:$E$37,4,FALSE),1)*POWER(IF(OR(IFERROR(INDEX(Aktiv!$E$6:$E$350,MATCH(A236,Aktiv!$A$6:$A$350,0)),0)=0,IFERROR(INDEX(Aktiv!$F$6:$F$350,MATCH(A236,Aktiv!$A$6:$A$350,0)),0)=0),1,(IFERROR(INDEX(Aktiv!$E$6:$E$350,MATCH(A236,Aktiv!$A$6:$A$350,0)),0)*IFERROR(INDEX(Aktiv!$F$6:$F$350,MATCH(A236,Aktiv!$A$6:$A$350,0)),0)/1000000)/Steuerungsdaten!$B$6),1-1),0))</f>
        <v>282</v>
      </c>
      <c r="I236" s="293" t="str">
        <f>IFERROR(INDEX(Aktiv!$H$6:$H$350,MATCH(A236,Aktiv!$A$6:$A$350,0)),"")</f>
        <v>-</v>
      </c>
      <c r="J236" s="294" t="e">
        <f t="shared" si="26"/>
        <v>#VALUE!</v>
      </c>
      <c r="K236" s="296" t="e">
        <f t="shared" si="27"/>
        <v>#VALUE!</v>
      </c>
      <c r="L236" s="297">
        <f>IF(C236="","",ROUND(C236*Steuerungsdaten!$B$4*Steuerungsdaten!$B$9*IFERROR(VLOOKUP(IFERROR(INDEX(Aktiv!$C$6:$C$350,MATCH(A236,Aktiv!$A$6:$A$350,0)),""),Steuerungsdaten!$B$17:$G$37,6,FALSE),1)*POWER(IF(OR(IFERROR(INDEX(Aktiv!$E$6:$E$350,MATCH(A236,Aktiv!$A$6:$A$350,0)),0)=0,IFERROR(INDEX(Aktiv!$F$6:$F$350,MATCH(A236,Aktiv!$A$6:$A$350,0)),0)=0),1,(IFERROR(INDEX(Aktiv!$E$6:$E$350,MATCH(A236,Aktiv!$A$6:$A$350,0)),0)*IFERROR(INDEX(Aktiv!$F$6:$F$350,MATCH(A236,Aktiv!$A$6:$A$350,0)),0)/1000000)/Steuerungsdaten!$B$6),1-1),0))</f>
        <v>282</v>
      </c>
      <c r="M236" s="297" t="str">
        <f>IFERROR(INDEX(Aktiv!$I$6:$I$350,MATCH(A236,Aktiv!$A$6:$A$350,0)),"")</f>
        <v>-</v>
      </c>
      <c r="N236" s="298" t="e">
        <f t="shared" si="28"/>
        <v>#VALUE!</v>
      </c>
      <c r="O236" s="296" t="e">
        <f t="shared" si="29"/>
        <v>#VALUE!</v>
      </c>
      <c r="P236" s="297">
        <f>IF(C236="","",ROUND(C236*Steuerungsdaten!$B$4*Steuerungsdaten!$B$10*IFERROR(VLOOKUP(IFERROR(INDEX(Aktiv!$C$6:$C$350,MATCH(A236,Aktiv!$A$6:$A$350,0)),""),Steuerungsdaten!$B$17:$I$37,8,FALSE),1)*POWER(IF(OR(IFERROR(INDEX(Aktiv!$E$6:$E$350,MATCH(A236,Aktiv!$A$6:$A$350,0)),0)=0,IFERROR(INDEX(Aktiv!$F$6:$F$350,MATCH(A236,Aktiv!$A$6:$A$350,0)),0)=0),1,(IFERROR(INDEX(Aktiv!$E$6:$E$350,MATCH(A236,Aktiv!$A$6:$A$350,0)),0)*IFERROR(INDEX(Aktiv!$F$6:$F$350,MATCH(A236,Aktiv!$A$6:$A$350,0)),0)/1000000)/Steuerungsdaten!$B$6),1-1),0))</f>
        <v>308</v>
      </c>
      <c r="Q236" s="297" t="str">
        <f>IFERROR(INDEX(Aktiv!$J$6:$J$350,MATCH(A236,Aktiv!$A$6:$A$350,0)),"")</f>
        <v>-</v>
      </c>
      <c r="R236" s="298" t="e">
        <f t="shared" si="30"/>
        <v>#VALUE!</v>
      </c>
      <c r="S236" s="296" t="e">
        <f t="shared" si="31"/>
        <v>#VALUE!</v>
      </c>
    </row>
    <row r="237" spans="1:19" x14ac:dyDescent="0.25">
      <c r="A237" s="292" t="s">
        <v>260</v>
      </c>
      <c r="B237" s="292" t="s">
        <v>261</v>
      </c>
      <c r="C237" s="293">
        <f>IFERROR(INDEX(Aktiv!$O$6:$O$350,MATCH(A237,Aktiv!$A$6:$A$350,0)),"")</f>
        <v>285</v>
      </c>
      <c r="D237" s="293">
        <f>IF(C237="","",ROUND(C237*Steuerungsdaten!$B$4*Steuerungsdaten!$B$7*IFERROR(VLOOKUP(IFERROR(INDEX(Aktiv!$C$6:$C$350,MATCH(A237,Aktiv!$A$6:$A$350,0)),""),Steuerungsdaten!$B$17:$C$37,2,FALSE),1)*POWER(IF(OR(IFERROR(INDEX(Aktiv!$E$6:$E$350,MATCH(A237,Aktiv!$A$6:$A$350,0)),0)=0,IFERROR(INDEX(Aktiv!$F$6:$F$350,MATCH(A237,Aktiv!$A$6:$A$350,0)),0)=0),1,(IFERROR(INDEX(Aktiv!$E$6:$E$350,MATCH(A237,Aktiv!$A$6:$A$350,0)),0)*IFERROR(INDEX(Aktiv!$F$6:$F$350,MATCH(A237,Aktiv!$A$6:$A$350,0)),0)/1000000)/Steuerungsdaten!$B$6),IF(ISNUMBER(MATCH(IFERROR(INDEX(Aktiv!$C$6:$C$350,MATCH(A237,Aktiv!$A$6:$A$350,0)),""),{"Boden","Seite außen","Seite außen SY32","Rücken","Seite innen","Seite innen SY32","Seite innen SY32 DB","Fachboden klein","Fachboden groß","Klappenboden"},0)),1.2,1)-1),0))</f>
        <v>282</v>
      </c>
      <c r="E237" s="293" t="str">
        <f>IFERROR(INDEX(Aktiv!$G$6:$G$350,MATCH(A237,Aktiv!$A$6:$A$350,0)),"")</f>
        <v>-</v>
      </c>
      <c r="F237" s="294" t="e">
        <f t="shared" si="24"/>
        <v>#VALUE!</v>
      </c>
      <c r="G237" s="295" t="e">
        <f t="shared" si="25"/>
        <v>#VALUE!</v>
      </c>
      <c r="H237" s="293">
        <f>IF(C237="","",ROUND(C237*Steuerungsdaten!$B$4*Steuerungsdaten!$B$8*IFERROR(VLOOKUP(IFERROR(INDEX(Aktiv!$C$6:$C$350,MATCH(A237,Aktiv!$A$6:$A$350,0)),""),Steuerungsdaten!$B$17:$E$37,4,FALSE),1)*POWER(IF(OR(IFERROR(INDEX(Aktiv!$E$6:$E$350,MATCH(A237,Aktiv!$A$6:$A$350,0)),0)=0,IFERROR(INDEX(Aktiv!$F$6:$F$350,MATCH(A237,Aktiv!$A$6:$A$350,0)),0)=0),1,(IFERROR(INDEX(Aktiv!$E$6:$E$350,MATCH(A237,Aktiv!$A$6:$A$350,0)),0)*IFERROR(INDEX(Aktiv!$F$6:$F$350,MATCH(A237,Aktiv!$A$6:$A$350,0)),0)/1000000)/Steuerungsdaten!$B$6),1-1),0))</f>
        <v>282</v>
      </c>
      <c r="I237" s="293" t="str">
        <f>IFERROR(INDEX(Aktiv!$H$6:$H$350,MATCH(A237,Aktiv!$A$6:$A$350,0)),"")</f>
        <v>-</v>
      </c>
      <c r="J237" s="294" t="e">
        <f t="shared" si="26"/>
        <v>#VALUE!</v>
      </c>
      <c r="K237" s="296" t="e">
        <f t="shared" si="27"/>
        <v>#VALUE!</v>
      </c>
      <c r="L237" s="297">
        <f>IF(C237="","",ROUND(C237*Steuerungsdaten!$B$4*Steuerungsdaten!$B$9*IFERROR(VLOOKUP(IFERROR(INDEX(Aktiv!$C$6:$C$350,MATCH(A237,Aktiv!$A$6:$A$350,0)),""),Steuerungsdaten!$B$17:$G$37,6,FALSE),1)*POWER(IF(OR(IFERROR(INDEX(Aktiv!$E$6:$E$350,MATCH(A237,Aktiv!$A$6:$A$350,0)),0)=0,IFERROR(INDEX(Aktiv!$F$6:$F$350,MATCH(A237,Aktiv!$A$6:$A$350,0)),0)=0),1,(IFERROR(INDEX(Aktiv!$E$6:$E$350,MATCH(A237,Aktiv!$A$6:$A$350,0)),0)*IFERROR(INDEX(Aktiv!$F$6:$F$350,MATCH(A237,Aktiv!$A$6:$A$350,0)),0)/1000000)/Steuerungsdaten!$B$6),1-1),0))</f>
        <v>282</v>
      </c>
      <c r="M237" s="297" t="str">
        <f>IFERROR(INDEX(Aktiv!$I$6:$I$350,MATCH(A237,Aktiv!$A$6:$A$350,0)),"")</f>
        <v>-</v>
      </c>
      <c r="N237" s="298" t="e">
        <f t="shared" si="28"/>
        <v>#VALUE!</v>
      </c>
      <c r="O237" s="296" t="e">
        <f t="shared" si="29"/>
        <v>#VALUE!</v>
      </c>
      <c r="P237" s="297">
        <f>IF(C237="","",ROUND(C237*Steuerungsdaten!$B$4*Steuerungsdaten!$B$10*IFERROR(VLOOKUP(IFERROR(INDEX(Aktiv!$C$6:$C$350,MATCH(A237,Aktiv!$A$6:$A$350,0)),""),Steuerungsdaten!$B$17:$I$37,8,FALSE),1)*POWER(IF(OR(IFERROR(INDEX(Aktiv!$E$6:$E$350,MATCH(A237,Aktiv!$A$6:$A$350,0)),0)=0,IFERROR(INDEX(Aktiv!$F$6:$F$350,MATCH(A237,Aktiv!$A$6:$A$350,0)),0)=0),1,(IFERROR(INDEX(Aktiv!$E$6:$E$350,MATCH(A237,Aktiv!$A$6:$A$350,0)),0)*IFERROR(INDEX(Aktiv!$F$6:$F$350,MATCH(A237,Aktiv!$A$6:$A$350,0)),0)/1000000)/Steuerungsdaten!$B$6),1-1),0))</f>
        <v>308</v>
      </c>
      <c r="Q237" s="297" t="str">
        <f>IFERROR(INDEX(Aktiv!$J$6:$J$350,MATCH(A237,Aktiv!$A$6:$A$350,0)),"")</f>
        <v>-</v>
      </c>
      <c r="R237" s="298" t="e">
        <f t="shared" si="30"/>
        <v>#VALUE!</v>
      </c>
      <c r="S237" s="296" t="e">
        <f t="shared" si="31"/>
        <v>#VALUE!</v>
      </c>
    </row>
    <row r="238" spans="1:19" x14ac:dyDescent="0.25">
      <c r="A238" s="292" t="s">
        <v>262</v>
      </c>
      <c r="B238" s="292" t="s">
        <v>263</v>
      </c>
      <c r="C238" s="293">
        <f>IFERROR(INDEX(Aktiv!$O$6:$O$350,MATCH(A238,Aktiv!$A$6:$A$350,0)),"")</f>
        <v>285</v>
      </c>
      <c r="D238" s="293">
        <f>IF(C238="","",ROUND(C238*Steuerungsdaten!$B$4*Steuerungsdaten!$B$7*IFERROR(VLOOKUP(IFERROR(INDEX(Aktiv!$C$6:$C$350,MATCH(A238,Aktiv!$A$6:$A$350,0)),""),Steuerungsdaten!$B$17:$C$37,2,FALSE),1)*POWER(IF(OR(IFERROR(INDEX(Aktiv!$E$6:$E$350,MATCH(A238,Aktiv!$A$6:$A$350,0)),0)=0,IFERROR(INDEX(Aktiv!$F$6:$F$350,MATCH(A238,Aktiv!$A$6:$A$350,0)),0)=0),1,(IFERROR(INDEX(Aktiv!$E$6:$E$350,MATCH(A238,Aktiv!$A$6:$A$350,0)),0)*IFERROR(INDEX(Aktiv!$F$6:$F$350,MATCH(A238,Aktiv!$A$6:$A$350,0)),0)/1000000)/Steuerungsdaten!$B$6),IF(ISNUMBER(MATCH(IFERROR(INDEX(Aktiv!$C$6:$C$350,MATCH(A238,Aktiv!$A$6:$A$350,0)),""),{"Boden","Seite außen","Seite außen SY32","Rücken","Seite innen","Seite innen SY32","Seite innen SY32 DB","Fachboden klein","Fachboden groß","Klappenboden"},0)),1.2,1)-1),0))</f>
        <v>282</v>
      </c>
      <c r="E238" s="293" t="str">
        <f>IFERROR(INDEX(Aktiv!$G$6:$G$350,MATCH(A238,Aktiv!$A$6:$A$350,0)),"")</f>
        <v>-</v>
      </c>
      <c r="F238" s="294" t="e">
        <f t="shared" si="24"/>
        <v>#VALUE!</v>
      </c>
      <c r="G238" s="295" t="e">
        <f t="shared" si="25"/>
        <v>#VALUE!</v>
      </c>
      <c r="H238" s="293">
        <f>IF(C238="","",ROUND(C238*Steuerungsdaten!$B$4*Steuerungsdaten!$B$8*IFERROR(VLOOKUP(IFERROR(INDEX(Aktiv!$C$6:$C$350,MATCH(A238,Aktiv!$A$6:$A$350,0)),""),Steuerungsdaten!$B$17:$E$37,4,FALSE),1)*POWER(IF(OR(IFERROR(INDEX(Aktiv!$E$6:$E$350,MATCH(A238,Aktiv!$A$6:$A$350,0)),0)=0,IFERROR(INDEX(Aktiv!$F$6:$F$350,MATCH(A238,Aktiv!$A$6:$A$350,0)),0)=0),1,(IFERROR(INDEX(Aktiv!$E$6:$E$350,MATCH(A238,Aktiv!$A$6:$A$350,0)),0)*IFERROR(INDEX(Aktiv!$F$6:$F$350,MATCH(A238,Aktiv!$A$6:$A$350,0)),0)/1000000)/Steuerungsdaten!$B$6),1-1),0))</f>
        <v>282</v>
      </c>
      <c r="I238" s="293" t="str">
        <f>IFERROR(INDEX(Aktiv!$H$6:$H$350,MATCH(A238,Aktiv!$A$6:$A$350,0)),"")</f>
        <v>-</v>
      </c>
      <c r="J238" s="294" t="e">
        <f t="shared" si="26"/>
        <v>#VALUE!</v>
      </c>
      <c r="K238" s="296" t="e">
        <f t="shared" si="27"/>
        <v>#VALUE!</v>
      </c>
      <c r="L238" s="297">
        <f>IF(C238="","",ROUND(C238*Steuerungsdaten!$B$4*Steuerungsdaten!$B$9*IFERROR(VLOOKUP(IFERROR(INDEX(Aktiv!$C$6:$C$350,MATCH(A238,Aktiv!$A$6:$A$350,0)),""),Steuerungsdaten!$B$17:$G$37,6,FALSE),1)*POWER(IF(OR(IFERROR(INDEX(Aktiv!$E$6:$E$350,MATCH(A238,Aktiv!$A$6:$A$350,0)),0)=0,IFERROR(INDEX(Aktiv!$F$6:$F$350,MATCH(A238,Aktiv!$A$6:$A$350,0)),0)=0),1,(IFERROR(INDEX(Aktiv!$E$6:$E$350,MATCH(A238,Aktiv!$A$6:$A$350,0)),0)*IFERROR(INDEX(Aktiv!$F$6:$F$350,MATCH(A238,Aktiv!$A$6:$A$350,0)),0)/1000000)/Steuerungsdaten!$B$6),1-1),0))</f>
        <v>282</v>
      </c>
      <c r="M238" s="297" t="str">
        <f>IFERROR(INDEX(Aktiv!$I$6:$I$350,MATCH(A238,Aktiv!$A$6:$A$350,0)),"")</f>
        <v>-</v>
      </c>
      <c r="N238" s="298" t="e">
        <f t="shared" si="28"/>
        <v>#VALUE!</v>
      </c>
      <c r="O238" s="296" t="e">
        <f t="shared" si="29"/>
        <v>#VALUE!</v>
      </c>
      <c r="P238" s="297">
        <f>IF(C238="","",ROUND(C238*Steuerungsdaten!$B$4*Steuerungsdaten!$B$10*IFERROR(VLOOKUP(IFERROR(INDEX(Aktiv!$C$6:$C$350,MATCH(A238,Aktiv!$A$6:$A$350,0)),""),Steuerungsdaten!$B$17:$I$37,8,FALSE),1)*POWER(IF(OR(IFERROR(INDEX(Aktiv!$E$6:$E$350,MATCH(A238,Aktiv!$A$6:$A$350,0)),0)=0,IFERROR(INDEX(Aktiv!$F$6:$F$350,MATCH(A238,Aktiv!$A$6:$A$350,0)),0)=0),1,(IFERROR(INDEX(Aktiv!$E$6:$E$350,MATCH(A238,Aktiv!$A$6:$A$350,0)),0)*IFERROR(INDEX(Aktiv!$F$6:$F$350,MATCH(A238,Aktiv!$A$6:$A$350,0)),0)/1000000)/Steuerungsdaten!$B$6),1-1),0))</f>
        <v>308</v>
      </c>
      <c r="Q238" s="297" t="str">
        <f>IFERROR(INDEX(Aktiv!$J$6:$J$350,MATCH(A238,Aktiv!$A$6:$A$350,0)),"")</f>
        <v>-</v>
      </c>
      <c r="R238" s="298" t="e">
        <f t="shared" si="30"/>
        <v>#VALUE!</v>
      </c>
      <c r="S238" s="296" t="e">
        <f t="shared" si="31"/>
        <v>#VALUE!</v>
      </c>
    </row>
    <row r="239" spans="1:19" x14ac:dyDescent="0.25">
      <c r="A239" s="292" t="s">
        <v>264</v>
      </c>
      <c r="B239" s="292" t="s">
        <v>265</v>
      </c>
      <c r="C239" s="293">
        <f>IFERROR(INDEX(Aktiv!$O$6:$O$350,MATCH(A239,Aktiv!$A$6:$A$350,0)),"")</f>
        <v>352</v>
      </c>
      <c r="D239" s="293">
        <f>IF(C239="","",ROUND(C239*Steuerungsdaten!$B$4*Steuerungsdaten!$B$7*IFERROR(VLOOKUP(IFERROR(INDEX(Aktiv!$C$6:$C$350,MATCH(A239,Aktiv!$A$6:$A$350,0)),""),Steuerungsdaten!$B$17:$C$37,2,FALSE),1)*POWER(IF(OR(IFERROR(INDEX(Aktiv!$E$6:$E$350,MATCH(A239,Aktiv!$A$6:$A$350,0)),0)=0,IFERROR(INDEX(Aktiv!$F$6:$F$350,MATCH(A239,Aktiv!$A$6:$A$350,0)),0)=0),1,(IFERROR(INDEX(Aktiv!$E$6:$E$350,MATCH(A239,Aktiv!$A$6:$A$350,0)),0)*IFERROR(INDEX(Aktiv!$F$6:$F$350,MATCH(A239,Aktiv!$A$6:$A$350,0)),0)/1000000)/Steuerungsdaten!$B$6),IF(ISNUMBER(MATCH(IFERROR(INDEX(Aktiv!$C$6:$C$350,MATCH(A239,Aktiv!$A$6:$A$350,0)),""),{"Boden","Seite außen","Seite außen SY32","Rücken","Seite innen","Seite innen SY32","Seite innen SY32 DB","Fachboden klein","Fachboden groß","Klappenboden"},0)),1.2,1)-1),0))</f>
        <v>348</v>
      </c>
      <c r="E239" s="293" t="str">
        <f>IFERROR(INDEX(Aktiv!$G$6:$G$350,MATCH(A239,Aktiv!$A$6:$A$350,0)),"")</f>
        <v>-</v>
      </c>
      <c r="F239" s="294" t="e">
        <f t="shared" si="24"/>
        <v>#VALUE!</v>
      </c>
      <c r="G239" s="295" t="e">
        <f t="shared" si="25"/>
        <v>#VALUE!</v>
      </c>
      <c r="H239" s="293">
        <f>IF(C239="","",ROUND(C239*Steuerungsdaten!$B$4*Steuerungsdaten!$B$8*IFERROR(VLOOKUP(IFERROR(INDEX(Aktiv!$C$6:$C$350,MATCH(A239,Aktiv!$A$6:$A$350,0)),""),Steuerungsdaten!$B$17:$E$37,4,FALSE),1)*POWER(IF(OR(IFERROR(INDEX(Aktiv!$E$6:$E$350,MATCH(A239,Aktiv!$A$6:$A$350,0)),0)=0,IFERROR(INDEX(Aktiv!$F$6:$F$350,MATCH(A239,Aktiv!$A$6:$A$350,0)),0)=0),1,(IFERROR(INDEX(Aktiv!$E$6:$E$350,MATCH(A239,Aktiv!$A$6:$A$350,0)),0)*IFERROR(INDEX(Aktiv!$F$6:$F$350,MATCH(A239,Aktiv!$A$6:$A$350,0)),0)/1000000)/Steuerungsdaten!$B$6),1-1),0))</f>
        <v>348</v>
      </c>
      <c r="I239" s="293" t="str">
        <f>IFERROR(INDEX(Aktiv!$H$6:$H$350,MATCH(A239,Aktiv!$A$6:$A$350,0)),"")</f>
        <v>-</v>
      </c>
      <c r="J239" s="294" t="e">
        <f t="shared" si="26"/>
        <v>#VALUE!</v>
      </c>
      <c r="K239" s="296" t="e">
        <f t="shared" si="27"/>
        <v>#VALUE!</v>
      </c>
      <c r="L239" s="297">
        <f>IF(C239="","",ROUND(C239*Steuerungsdaten!$B$4*Steuerungsdaten!$B$9*IFERROR(VLOOKUP(IFERROR(INDEX(Aktiv!$C$6:$C$350,MATCH(A239,Aktiv!$A$6:$A$350,0)),""),Steuerungsdaten!$B$17:$G$37,6,FALSE),1)*POWER(IF(OR(IFERROR(INDEX(Aktiv!$E$6:$E$350,MATCH(A239,Aktiv!$A$6:$A$350,0)),0)=0,IFERROR(INDEX(Aktiv!$F$6:$F$350,MATCH(A239,Aktiv!$A$6:$A$350,0)),0)=0),1,(IFERROR(INDEX(Aktiv!$E$6:$E$350,MATCH(A239,Aktiv!$A$6:$A$350,0)),0)*IFERROR(INDEX(Aktiv!$F$6:$F$350,MATCH(A239,Aktiv!$A$6:$A$350,0)),0)/1000000)/Steuerungsdaten!$B$6),1-1),0))</f>
        <v>348</v>
      </c>
      <c r="M239" s="297" t="str">
        <f>IFERROR(INDEX(Aktiv!$I$6:$I$350,MATCH(A239,Aktiv!$A$6:$A$350,0)),"")</f>
        <v>-</v>
      </c>
      <c r="N239" s="298" t="e">
        <f t="shared" si="28"/>
        <v>#VALUE!</v>
      </c>
      <c r="O239" s="296" t="e">
        <f t="shared" si="29"/>
        <v>#VALUE!</v>
      </c>
      <c r="P239" s="297">
        <f>IF(C239="","",ROUND(C239*Steuerungsdaten!$B$4*Steuerungsdaten!$B$10*IFERROR(VLOOKUP(IFERROR(INDEX(Aktiv!$C$6:$C$350,MATCH(A239,Aktiv!$A$6:$A$350,0)),""),Steuerungsdaten!$B$17:$I$37,8,FALSE),1)*POWER(IF(OR(IFERROR(INDEX(Aktiv!$E$6:$E$350,MATCH(A239,Aktiv!$A$6:$A$350,0)),0)=0,IFERROR(INDEX(Aktiv!$F$6:$F$350,MATCH(A239,Aktiv!$A$6:$A$350,0)),0)=0),1,(IFERROR(INDEX(Aktiv!$E$6:$E$350,MATCH(A239,Aktiv!$A$6:$A$350,0)),0)*IFERROR(INDEX(Aktiv!$F$6:$F$350,MATCH(A239,Aktiv!$A$6:$A$350,0)),0)/1000000)/Steuerungsdaten!$B$6),1-1),0))</f>
        <v>380</v>
      </c>
      <c r="Q239" s="297" t="str">
        <f>IFERROR(INDEX(Aktiv!$J$6:$J$350,MATCH(A239,Aktiv!$A$6:$A$350,0)),"")</f>
        <v>-</v>
      </c>
      <c r="R239" s="298" t="e">
        <f t="shared" si="30"/>
        <v>#VALUE!</v>
      </c>
      <c r="S239" s="296" t="e">
        <f t="shared" si="31"/>
        <v>#VALUE!</v>
      </c>
    </row>
    <row r="240" spans="1:19" x14ac:dyDescent="0.25">
      <c r="A240" s="292" t="s">
        <v>266</v>
      </c>
      <c r="B240" s="292" t="s">
        <v>267</v>
      </c>
      <c r="C240" s="293">
        <f>IFERROR(INDEX(Aktiv!$O$6:$O$350,MATCH(A240,Aktiv!$A$6:$A$350,0)),"")</f>
        <v>285</v>
      </c>
      <c r="D240" s="293">
        <f>IF(C240="","",ROUND(C240*Steuerungsdaten!$B$4*Steuerungsdaten!$B$7*IFERROR(VLOOKUP(IFERROR(INDEX(Aktiv!$C$6:$C$350,MATCH(A240,Aktiv!$A$6:$A$350,0)),""),Steuerungsdaten!$B$17:$C$37,2,FALSE),1)*POWER(IF(OR(IFERROR(INDEX(Aktiv!$E$6:$E$350,MATCH(A240,Aktiv!$A$6:$A$350,0)),0)=0,IFERROR(INDEX(Aktiv!$F$6:$F$350,MATCH(A240,Aktiv!$A$6:$A$350,0)),0)=0),1,(IFERROR(INDEX(Aktiv!$E$6:$E$350,MATCH(A240,Aktiv!$A$6:$A$350,0)),0)*IFERROR(INDEX(Aktiv!$F$6:$F$350,MATCH(A240,Aktiv!$A$6:$A$350,0)),0)/1000000)/Steuerungsdaten!$B$6),IF(ISNUMBER(MATCH(IFERROR(INDEX(Aktiv!$C$6:$C$350,MATCH(A240,Aktiv!$A$6:$A$350,0)),""),{"Boden","Seite außen","Seite außen SY32","Rücken","Seite innen","Seite innen SY32","Seite innen SY32 DB","Fachboden klein","Fachboden groß","Klappenboden"},0)),1.2,1)-1),0))</f>
        <v>282</v>
      </c>
      <c r="E240" s="293" t="str">
        <f>IFERROR(INDEX(Aktiv!$G$6:$G$350,MATCH(A240,Aktiv!$A$6:$A$350,0)),"")</f>
        <v>-</v>
      </c>
      <c r="F240" s="294" t="e">
        <f t="shared" si="24"/>
        <v>#VALUE!</v>
      </c>
      <c r="G240" s="295" t="e">
        <f t="shared" si="25"/>
        <v>#VALUE!</v>
      </c>
      <c r="H240" s="293">
        <f>IF(C240="","",ROUND(C240*Steuerungsdaten!$B$4*Steuerungsdaten!$B$8*IFERROR(VLOOKUP(IFERROR(INDEX(Aktiv!$C$6:$C$350,MATCH(A240,Aktiv!$A$6:$A$350,0)),""),Steuerungsdaten!$B$17:$E$37,4,FALSE),1)*POWER(IF(OR(IFERROR(INDEX(Aktiv!$E$6:$E$350,MATCH(A240,Aktiv!$A$6:$A$350,0)),0)=0,IFERROR(INDEX(Aktiv!$F$6:$F$350,MATCH(A240,Aktiv!$A$6:$A$350,0)),0)=0),1,(IFERROR(INDEX(Aktiv!$E$6:$E$350,MATCH(A240,Aktiv!$A$6:$A$350,0)),0)*IFERROR(INDEX(Aktiv!$F$6:$F$350,MATCH(A240,Aktiv!$A$6:$A$350,0)),0)/1000000)/Steuerungsdaten!$B$6),1-1),0))</f>
        <v>282</v>
      </c>
      <c r="I240" s="293" t="str">
        <f>IFERROR(INDEX(Aktiv!$H$6:$H$350,MATCH(A240,Aktiv!$A$6:$A$350,0)),"")</f>
        <v>-</v>
      </c>
      <c r="J240" s="294" t="e">
        <f t="shared" si="26"/>
        <v>#VALUE!</v>
      </c>
      <c r="K240" s="296" t="e">
        <f t="shared" si="27"/>
        <v>#VALUE!</v>
      </c>
      <c r="L240" s="297">
        <f>IF(C240="","",ROUND(C240*Steuerungsdaten!$B$4*Steuerungsdaten!$B$9*IFERROR(VLOOKUP(IFERROR(INDEX(Aktiv!$C$6:$C$350,MATCH(A240,Aktiv!$A$6:$A$350,0)),""),Steuerungsdaten!$B$17:$G$37,6,FALSE),1)*POWER(IF(OR(IFERROR(INDEX(Aktiv!$E$6:$E$350,MATCH(A240,Aktiv!$A$6:$A$350,0)),0)=0,IFERROR(INDEX(Aktiv!$F$6:$F$350,MATCH(A240,Aktiv!$A$6:$A$350,0)),0)=0),1,(IFERROR(INDEX(Aktiv!$E$6:$E$350,MATCH(A240,Aktiv!$A$6:$A$350,0)),0)*IFERROR(INDEX(Aktiv!$F$6:$F$350,MATCH(A240,Aktiv!$A$6:$A$350,0)),0)/1000000)/Steuerungsdaten!$B$6),1-1),0))</f>
        <v>282</v>
      </c>
      <c r="M240" s="297" t="str">
        <f>IFERROR(INDEX(Aktiv!$I$6:$I$350,MATCH(A240,Aktiv!$A$6:$A$350,0)),"")</f>
        <v>-</v>
      </c>
      <c r="N240" s="298" t="e">
        <f t="shared" si="28"/>
        <v>#VALUE!</v>
      </c>
      <c r="O240" s="296" t="e">
        <f t="shared" si="29"/>
        <v>#VALUE!</v>
      </c>
      <c r="P240" s="297">
        <f>IF(C240="","",ROUND(C240*Steuerungsdaten!$B$4*Steuerungsdaten!$B$10*IFERROR(VLOOKUP(IFERROR(INDEX(Aktiv!$C$6:$C$350,MATCH(A240,Aktiv!$A$6:$A$350,0)),""),Steuerungsdaten!$B$17:$I$37,8,FALSE),1)*POWER(IF(OR(IFERROR(INDEX(Aktiv!$E$6:$E$350,MATCH(A240,Aktiv!$A$6:$A$350,0)),0)=0,IFERROR(INDEX(Aktiv!$F$6:$F$350,MATCH(A240,Aktiv!$A$6:$A$350,0)),0)=0),1,(IFERROR(INDEX(Aktiv!$E$6:$E$350,MATCH(A240,Aktiv!$A$6:$A$350,0)),0)*IFERROR(INDEX(Aktiv!$F$6:$F$350,MATCH(A240,Aktiv!$A$6:$A$350,0)),0)/1000000)/Steuerungsdaten!$B$6),1-1),0))</f>
        <v>308</v>
      </c>
      <c r="Q240" s="297" t="str">
        <f>IFERROR(INDEX(Aktiv!$J$6:$J$350,MATCH(A240,Aktiv!$A$6:$A$350,0)),"")</f>
        <v>-</v>
      </c>
      <c r="R240" s="298" t="e">
        <f t="shared" si="30"/>
        <v>#VALUE!</v>
      </c>
      <c r="S240" s="296" t="e">
        <f t="shared" si="31"/>
        <v>#VALUE!</v>
      </c>
    </row>
    <row r="241" spans="1:19" x14ac:dyDescent="0.25">
      <c r="A241" s="292" t="s">
        <v>268</v>
      </c>
      <c r="B241" s="292" t="s">
        <v>269</v>
      </c>
      <c r="C241" s="293">
        <f>IFERROR(INDEX(Aktiv!$O$6:$O$350,MATCH(A241,Aktiv!$A$6:$A$350,0)),"")</f>
        <v>352</v>
      </c>
      <c r="D241" s="293">
        <f>IF(C241="","",ROUND(C241*Steuerungsdaten!$B$4*Steuerungsdaten!$B$7*IFERROR(VLOOKUP(IFERROR(INDEX(Aktiv!$C$6:$C$350,MATCH(A241,Aktiv!$A$6:$A$350,0)),""),Steuerungsdaten!$B$17:$C$37,2,FALSE),1)*POWER(IF(OR(IFERROR(INDEX(Aktiv!$E$6:$E$350,MATCH(A241,Aktiv!$A$6:$A$350,0)),0)=0,IFERROR(INDEX(Aktiv!$F$6:$F$350,MATCH(A241,Aktiv!$A$6:$A$350,0)),0)=0),1,(IFERROR(INDEX(Aktiv!$E$6:$E$350,MATCH(A241,Aktiv!$A$6:$A$350,0)),0)*IFERROR(INDEX(Aktiv!$F$6:$F$350,MATCH(A241,Aktiv!$A$6:$A$350,0)),0)/1000000)/Steuerungsdaten!$B$6),IF(ISNUMBER(MATCH(IFERROR(INDEX(Aktiv!$C$6:$C$350,MATCH(A241,Aktiv!$A$6:$A$350,0)),""),{"Boden","Seite außen","Seite außen SY32","Rücken","Seite innen","Seite innen SY32","Seite innen SY32 DB","Fachboden klein","Fachboden groß","Klappenboden"},0)),1.2,1)-1),0))</f>
        <v>348</v>
      </c>
      <c r="E241" s="293" t="str">
        <f>IFERROR(INDEX(Aktiv!$G$6:$G$350,MATCH(A241,Aktiv!$A$6:$A$350,0)),"")</f>
        <v>-</v>
      </c>
      <c r="F241" s="294" t="e">
        <f t="shared" si="24"/>
        <v>#VALUE!</v>
      </c>
      <c r="G241" s="295" t="e">
        <f t="shared" si="25"/>
        <v>#VALUE!</v>
      </c>
      <c r="H241" s="293">
        <f>IF(C241="","",ROUND(C241*Steuerungsdaten!$B$4*Steuerungsdaten!$B$8*IFERROR(VLOOKUP(IFERROR(INDEX(Aktiv!$C$6:$C$350,MATCH(A241,Aktiv!$A$6:$A$350,0)),""),Steuerungsdaten!$B$17:$E$37,4,FALSE),1)*POWER(IF(OR(IFERROR(INDEX(Aktiv!$E$6:$E$350,MATCH(A241,Aktiv!$A$6:$A$350,0)),0)=0,IFERROR(INDEX(Aktiv!$F$6:$F$350,MATCH(A241,Aktiv!$A$6:$A$350,0)),0)=0),1,(IFERROR(INDEX(Aktiv!$E$6:$E$350,MATCH(A241,Aktiv!$A$6:$A$350,0)),0)*IFERROR(INDEX(Aktiv!$F$6:$F$350,MATCH(A241,Aktiv!$A$6:$A$350,0)),0)/1000000)/Steuerungsdaten!$B$6),1-1),0))</f>
        <v>348</v>
      </c>
      <c r="I241" s="293" t="str">
        <f>IFERROR(INDEX(Aktiv!$H$6:$H$350,MATCH(A241,Aktiv!$A$6:$A$350,0)),"")</f>
        <v>-</v>
      </c>
      <c r="J241" s="294" t="e">
        <f t="shared" si="26"/>
        <v>#VALUE!</v>
      </c>
      <c r="K241" s="296" t="e">
        <f t="shared" si="27"/>
        <v>#VALUE!</v>
      </c>
      <c r="L241" s="297">
        <f>IF(C241="","",ROUND(C241*Steuerungsdaten!$B$4*Steuerungsdaten!$B$9*IFERROR(VLOOKUP(IFERROR(INDEX(Aktiv!$C$6:$C$350,MATCH(A241,Aktiv!$A$6:$A$350,0)),""),Steuerungsdaten!$B$17:$G$37,6,FALSE),1)*POWER(IF(OR(IFERROR(INDEX(Aktiv!$E$6:$E$350,MATCH(A241,Aktiv!$A$6:$A$350,0)),0)=0,IFERROR(INDEX(Aktiv!$F$6:$F$350,MATCH(A241,Aktiv!$A$6:$A$350,0)),0)=0),1,(IFERROR(INDEX(Aktiv!$E$6:$E$350,MATCH(A241,Aktiv!$A$6:$A$350,0)),0)*IFERROR(INDEX(Aktiv!$F$6:$F$350,MATCH(A241,Aktiv!$A$6:$A$350,0)),0)/1000000)/Steuerungsdaten!$B$6),1-1),0))</f>
        <v>348</v>
      </c>
      <c r="M241" s="297" t="str">
        <f>IFERROR(INDEX(Aktiv!$I$6:$I$350,MATCH(A241,Aktiv!$A$6:$A$350,0)),"")</f>
        <v>-</v>
      </c>
      <c r="N241" s="298" t="e">
        <f t="shared" si="28"/>
        <v>#VALUE!</v>
      </c>
      <c r="O241" s="296" t="e">
        <f t="shared" si="29"/>
        <v>#VALUE!</v>
      </c>
      <c r="P241" s="297">
        <f>IF(C241="","",ROUND(C241*Steuerungsdaten!$B$4*Steuerungsdaten!$B$10*IFERROR(VLOOKUP(IFERROR(INDEX(Aktiv!$C$6:$C$350,MATCH(A241,Aktiv!$A$6:$A$350,0)),""),Steuerungsdaten!$B$17:$I$37,8,FALSE),1)*POWER(IF(OR(IFERROR(INDEX(Aktiv!$E$6:$E$350,MATCH(A241,Aktiv!$A$6:$A$350,0)),0)=0,IFERROR(INDEX(Aktiv!$F$6:$F$350,MATCH(A241,Aktiv!$A$6:$A$350,0)),0)=0),1,(IFERROR(INDEX(Aktiv!$E$6:$E$350,MATCH(A241,Aktiv!$A$6:$A$350,0)),0)*IFERROR(INDEX(Aktiv!$F$6:$F$350,MATCH(A241,Aktiv!$A$6:$A$350,0)),0)/1000000)/Steuerungsdaten!$B$6),1-1),0))</f>
        <v>380</v>
      </c>
      <c r="Q241" s="297" t="str">
        <f>IFERROR(INDEX(Aktiv!$J$6:$J$350,MATCH(A241,Aktiv!$A$6:$A$350,0)),"")</f>
        <v>-</v>
      </c>
      <c r="R241" s="298" t="e">
        <f t="shared" si="30"/>
        <v>#VALUE!</v>
      </c>
      <c r="S241" s="296" t="e">
        <f t="shared" si="31"/>
        <v>#VALUE!</v>
      </c>
    </row>
    <row r="242" spans="1:19" x14ac:dyDescent="0.25">
      <c r="A242" s="292" t="s">
        <v>270</v>
      </c>
      <c r="B242" s="292" t="s">
        <v>271</v>
      </c>
      <c r="C242" s="293">
        <f>IFERROR(INDEX(Aktiv!$O$6:$O$350,MATCH(A242,Aktiv!$A$6:$A$350,0)),"")</f>
        <v>285</v>
      </c>
      <c r="D242" s="293">
        <f>IF(C242="","",ROUND(C242*Steuerungsdaten!$B$4*Steuerungsdaten!$B$7*IFERROR(VLOOKUP(IFERROR(INDEX(Aktiv!$C$6:$C$350,MATCH(A242,Aktiv!$A$6:$A$350,0)),""),Steuerungsdaten!$B$17:$C$37,2,FALSE),1)*POWER(IF(OR(IFERROR(INDEX(Aktiv!$E$6:$E$350,MATCH(A242,Aktiv!$A$6:$A$350,0)),0)=0,IFERROR(INDEX(Aktiv!$F$6:$F$350,MATCH(A242,Aktiv!$A$6:$A$350,0)),0)=0),1,(IFERROR(INDEX(Aktiv!$E$6:$E$350,MATCH(A242,Aktiv!$A$6:$A$350,0)),0)*IFERROR(INDEX(Aktiv!$F$6:$F$350,MATCH(A242,Aktiv!$A$6:$A$350,0)),0)/1000000)/Steuerungsdaten!$B$6),IF(ISNUMBER(MATCH(IFERROR(INDEX(Aktiv!$C$6:$C$350,MATCH(A242,Aktiv!$A$6:$A$350,0)),""),{"Boden","Seite außen","Seite außen SY32","Rücken","Seite innen","Seite innen SY32","Seite innen SY32 DB","Fachboden klein","Fachboden groß","Klappenboden"},0)),1.2,1)-1),0))</f>
        <v>282</v>
      </c>
      <c r="E242" s="293" t="str">
        <f>IFERROR(INDEX(Aktiv!$G$6:$G$350,MATCH(A242,Aktiv!$A$6:$A$350,0)),"")</f>
        <v>-</v>
      </c>
      <c r="F242" s="294" t="e">
        <f t="shared" si="24"/>
        <v>#VALUE!</v>
      </c>
      <c r="G242" s="295" t="e">
        <f t="shared" si="25"/>
        <v>#VALUE!</v>
      </c>
      <c r="H242" s="293">
        <f>IF(C242="","",ROUND(C242*Steuerungsdaten!$B$4*Steuerungsdaten!$B$8*IFERROR(VLOOKUP(IFERROR(INDEX(Aktiv!$C$6:$C$350,MATCH(A242,Aktiv!$A$6:$A$350,0)),""),Steuerungsdaten!$B$17:$E$37,4,FALSE),1)*POWER(IF(OR(IFERROR(INDEX(Aktiv!$E$6:$E$350,MATCH(A242,Aktiv!$A$6:$A$350,0)),0)=0,IFERROR(INDEX(Aktiv!$F$6:$F$350,MATCH(A242,Aktiv!$A$6:$A$350,0)),0)=0),1,(IFERROR(INDEX(Aktiv!$E$6:$E$350,MATCH(A242,Aktiv!$A$6:$A$350,0)),0)*IFERROR(INDEX(Aktiv!$F$6:$F$350,MATCH(A242,Aktiv!$A$6:$A$350,0)),0)/1000000)/Steuerungsdaten!$B$6),1-1),0))</f>
        <v>282</v>
      </c>
      <c r="I242" s="293" t="str">
        <f>IFERROR(INDEX(Aktiv!$H$6:$H$350,MATCH(A242,Aktiv!$A$6:$A$350,0)),"")</f>
        <v>-</v>
      </c>
      <c r="J242" s="294" t="e">
        <f t="shared" si="26"/>
        <v>#VALUE!</v>
      </c>
      <c r="K242" s="296" t="e">
        <f t="shared" si="27"/>
        <v>#VALUE!</v>
      </c>
      <c r="L242" s="297">
        <f>IF(C242="","",ROUND(C242*Steuerungsdaten!$B$4*Steuerungsdaten!$B$9*IFERROR(VLOOKUP(IFERROR(INDEX(Aktiv!$C$6:$C$350,MATCH(A242,Aktiv!$A$6:$A$350,0)),""),Steuerungsdaten!$B$17:$G$37,6,FALSE),1)*POWER(IF(OR(IFERROR(INDEX(Aktiv!$E$6:$E$350,MATCH(A242,Aktiv!$A$6:$A$350,0)),0)=0,IFERROR(INDEX(Aktiv!$F$6:$F$350,MATCH(A242,Aktiv!$A$6:$A$350,0)),0)=0),1,(IFERROR(INDEX(Aktiv!$E$6:$E$350,MATCH(A242,Aktiv!$A$6:$A$350,0)),0)*IFERROR(INDEX(Aktiv!$F$6:$F$350,MATCH(A242,Aktiv!$A$6:$A$350,0)),0)/1000000)/Steuerungsdaten!$B$6),1-1),0))</f>
        <v>282</v>
      </c>
      <c r="M242" s="297" t="str">
        <f>IFERROR(INDEX(Aktiv!$I$6:$I$350,MATCH(A242,Aktiv!$A$6:$A$350,0)),"")</f>
        <v>-</v>
      </c>
      <c r="N242" s="298" t="e">
        <f t="shared" si="28"/>
        <v>#VALUE!</v>
      </c>
      <c r="O242" s="296" t="e">
        <f t="shared" si="29"/>
        <v>#VALUE!</v>
      </c>
      <c r="P242" s="297">
        <f>IF(C242="","",ROUND(C242*Steuerungsdaten!$B$4*Steuerungsdaten!$B$10*IFERROR(VLOOKUP(IFERROR(INDEX(Aktiv!$C$6:$C$350,MATCH(A242,Aktiv!$A$6:$A$350,0)),""),Steuerungsdaten!$B$17:$I$37,8,FALSE),1)*POWER(IF(OR(IFERROR(INDEX(Aktiv!$E$6:$E$350,MATCH(A242,Aktiv!$A$6:$A$350,0)),0)=0,IFERROR(INDEX(Aktiv!$F$6:$F$350,MATCH(A242,Aktiv!$A$6:$A$350,0)),0)=0),1,(IFERROR(INDEX(Aktiv!$E$6:$E$350,MATCH(A242,Aktiv!$A$6:$A$350,0)),0)*IFERROR(INDEX(Aktiv!$F$6:$F$350,MATCH(A242,Aktiv!$A$6:$A$350,0)),0)/1000000)/Steuerungsdaten!$B$6),1-1),0))</f>
        <v>308</v>
      </c>
      <c r="Q242" s="297" t="str">
        <f>IFERROR(INDEX(Aktiv!$J$6:$J$350,MATCH(A242,Aktiv!$A$6:$A$350,0)),"")</f>
        <v>-</v>
      </c>
      <c r="R242" s="298" t="e">
        <f t="shared" si="30"/>
        <v>#VALUE!</v>
      </c>
      <c r="S242" s="296" t="e">
        <f t="shared" si="31"/>
        <v>#VALUE!</v>
      </c>
    </row>
    <row r="243" spans="1:19" x14ac:dyDescent="0.25">
      <c r="A243" s="292" t="s">
        <v>272</v>
      </c>
      <c r="B243" s="292" t="s">
        <v>273</v>
      </c>
      <c r="C243" s="293">
        <f>IFERROR(INDEX(Aktiv!$O$6:$O$350,MATCH(A243,Aktiv!$A$6:$A$350,0)),"")</f>
        <v>285</v>
      </c>
      <c r="D243" s="293">
        <f>IF(C243="","",ROUND(C243*Steuerungsdaten!$B$4*Steuerungsdaten!$B$7*IFERROR(VLOOKUP(IFERROR(INDEX(Aktiv!$C$6:$C$350,MATCH(A243,Aktiv!$A$6:$A$350,0)),""),Steuerungsdaten!$B$17:$C$37,2,FALSE),1)*POWER(IF(OR(IFERROR(INDEX(Aktiv!$E$6:$E$350,MATCH(A243,Aktiv!$A$6:$A$350,0)),0)=0,IFERROR(INDEX(Aktiv!$F$6:$F$350,MATCH(A243,Aktiv!$A$6:$A$350,0)),0)=0),1,(IFERROR(INDEX(Aktiv!$E$6:$E$350,MATCH(A243,Aktiv!$A$6:$A$350,0)),0)*IFERROR(INDEX(Aktiv!$F$6:$F$350,MATCH(A243,Aktiv!$A$6:$A$350,0)),0)/1000000)/Steuerungsdaten!$B$6),IF(ISNUMBER(MATCH(IFERROR(INDEX(Aktiv!$C$6:$C$350,MATCH(A243,Aktiv!$A$6:$A$350,0)),""),{"Boden","Seite außen","Seite außen SY32","Rücken","Seite innen","Seite innen SY32","Seite innen SY32 DB","Fachboden klein","Fachboden groß","Klappenboden"},0)),1.2,1)-1),0))</f>
        <v>282</v>
      </c>
      <c r="E243" s="293" t="str">
        <f>IFERROR(INDEX(Aktiv!$G$6:$G$350,MATCH(A243,Aktiv!$A$6:$A$350,0)),"")</f>
        <v>-</v>
      </c>
      <c r="F243" s="294" t="e">
        <f t="shared" si="24"/>
        <v>#VALUE!</v>
      </c>
      <c r="G243" s="295" t="e">
        <f t="shared" si="25"/>
        <v>#VALUE!</v>
      </c>
      <c r="H243" s="293">
        <f>IF(C243="","",ROUND(C243*Steuerungsdaten!$B$4*Steuerungsdaten!$B$8*IFERROR(VLOOKUP(IFERROR(INDEX(Aktiv!$C$6:$C$350,MATCH(A243,Aktiv!$A$6:$A$350,0)),""),Steuerungsdaten!$B$17:$E$37,4,FALSE),1)*POWER(IF(OR(IFERROR(INDEX(Aktiv!$E$6:$E$350,MATCH(A243,Aktiv!$A$6:$A$350,0)),0)=0,IFERROR(INDEX(Aktiv!$F$6:$F$350,MATCH(A243,Aktiv!$A$6:$A$350,0)),0)=0),1,(IFERROR(INDEX(Aktiv!$E$6:$E$350,MATCH(A243,Aktiv!$A$6:$A$350,0)),0)*IFERROR(INDEX(Aktiv!$F$6:$F$350,MATCH(A243,Aktiv!$A$6:$A$350,0)),0)/1000000)/Steuerungsdaten!$B$6),1-1),0))</f>
        <v>282</v>
      </c>
      <c r="I243" s="293" t="str">
        <f>IFERROR(INDEX(Aktiv!$H$6:$H$350,MATCH(A243,Aktiv!$A$6:$A$350,0)),"")</f>
        <v>-</v>
      </c>
      <c r="J243" s="294" t="e">
        <f t="shared" si="26"/>
        <v>#VALUE!</v>
      </c>
      <c r="K243" s="296" t="e">
        <f t="shared" si="27"/>
        <v>#VALUE!</v>
      </c>
      <c r="L243" s="297">
        <f>IF(C243="","",ROUND(C243*Steuerungsdaten!$B$4*Steuerungsdaten!$B$9*IFERROR(VLOOKUP(IFERROR(INDEX(Aktiv!$C$6:$C$350,MATCH(A243,Aktiv!$A$6:$A$350,0)),""),Steuerungsdaten!$B$17:$G$37,6,FALSE),1)*POWER(IF(OR(IFERROR(INDEX(Aktiv!$E$6:$E$350,MATCH(A243,Aktiv!$A$6:$A$350,0)),0)=0,IFERROR(INDEX(Aktiv!$F$6:$F$350,MATCH(A243,Aktiv!$A$6:$A$350,0)),0)=0),1,(IFERROR(INDEX(Aktiv!$E$6:$E$350,MATCH(A243,Aktiv!$A$6:$A$350,0)),0)*IFERROR(INDEX(Aktiv!$F$6:$F$350,MATCH(A243,Aktiv!$A$6:$A$350,0)),0)/1000000)/Steuerungsdaten!$B$6),1-1),0))</f>
        <v>282</v>
      </c>
      <c r="M243" s="297" t="str">
        <f>IFERROR(INDEX(Aktiv!$I$6:$I$350,MATCH(A243,Aktiv!$A$6:$A$350,0)),"")</f>
        <v>-</v>
      </c>
      <c r="N243" s="298" t="e">
        <f t="shared" si="28"/>
        <v>#VALUE!</v>
      </c>
      <c r="O243" s="296" t="e">
        <f t="shared" si="29"/>
        <v>#VALUE!</v>
      </c>
      <c r="P243" s="297">
        <f>IF(C243="","",ROUND(C243*Steuerungsdaten!$B$4*Steuerungsdaten!$B$10*IFERROR(VLOOKUP(IFERROR(INDEX(Aktiv!$C$6:$C$350,MATCH(A243,Aktiv!$A$6:$A$350,0)),""),Steuerungsdaten!$B$17:$I$37,8,FALSE),1)*POWER(IF(OR(IFERROR(INDEX(Aktiv!$E$6:$E$350,MATCH(A243,Aktiv!$A$6:$A$350,0)),0)=0,IFERROR(INDEX(Aktiv!$F$6:$F$350,MATCH(A243,Aktiv!$A$6:$A$350,0)),0)=0),1,(IFERROR(INDEX(Aktiv!$E$6:$E$350,MATCH(A243,Aktiv!$A$6:$A$350,0)),0)*IFERROR(INDEX(Aktiv!$F$6:$F$350,MATCH(A243,Aktiv!$A$6:$A$350,0)),0)/1000000)/Steuerungsdaten!$B$6),1-1),0))</f>
        <v>308</v>
      </c>
      <c r="Q243" s="297" t="str">
        <f>IFERROR(INDEX(Aktiv!$J$6:$J$350,MATCH(A243,Aktiv!$A$6:$A$350,0)),"")</f>
        <v>-</v>
      </c>
      <c r="R243" s="298" t="e">
        <f t="shared" si="30"/>
        <v>#VALUE!</v>
      </c>
      <c r="S243" s="296" t="e">
        <f t="shared" si="31"/>
        <v>#VALUE!</v>
      </c>
    </row>
    <row r="244" spans="1:19" x14ac:dyDescent="0.25">
      <c r="A244" s="292" t="s">
        <v>274</v>
      </c>
      <c r="B244" s="292" t="s">
        <v>275</v>
      </c>
      <c r="C244" s="293">
        <f>IFERROR(INDEX(Aktiv!$O$6:$O$350,MATCH(A244,Aktiv!$A$6:$A$350,0)),"")</f>
        <v>285</v>
      </c>
      <c r="D244" s="293">
        <f>IF(C244="","",ROUND(C244*Steuerungsdaten!$B$4*Steuerungsdaten!$B$7*IFERROR(VLOOKUP(IFERROR(INDEX(Aktiv!$C$6:$C$350,MATCH(A244,Aktiv!$A$6:$A$350,0)),""),Steuerungsdaten!$B$17:$C$37,2,FALSE),1)*POWER(IF(OR(IFERROR(INDEX(Aktiv!$E$6:$E$350,MATCH(A244,Aktiv!$A$6:$A$350,0)),0)=0,IFERROR(INDEX(Aktiv!$F$6:$F$350,MATCH(A244,Aktiv!$A$6:$A$350,0)),0)=0),1,(IFERROR(INDEX(Aktiv!$E$6:$E$350,MATCH(A244,Aktiv!$A$6:$A$350,0)),0)*IFERROR(INDEX(Aktiv!$F$6:$F$350,MATCH(A244,Aktiv!$A$6:$A$350,0)),0)/1000000)/Steuerungsdaten!$B$6),IF(ISNUMBER(MATCH(IFERROR(INDEX(Aktiv!$C$6:$C$350,MATCH(A244,Aktiv!$A$6:$A$350,0)),""),{"Boden","Seite außen","Seite außen SY32","Rücken","Seite innen","Seite innen SY32","Seite innen SY32 DB","Fachboden klein","Fachboden groß","Klappenboden"},0)),1.2,1)-1),0))</f>
        <v>282</v>
      </c>
      <c r="E244" s="293" t="str">
        <f>IFERROR(INDEX(Aktiv!$G$6:$G$350,MATCH(A244,Aktiv!$A$6:$A$350,0)),"")</f>
        <v>-</v>
      </c>
      <c r="F244" s="294" t="e">
        <f t="shared" si="24"/>
        <v>#VALUE!</v>
      </c>
      <c r="G244" s="295" t="e">
        <f t="shared" si="25"/>
        <v>#VALUE!</v>
      </c>
      <c r="H244" s="293">
        <f>IF(C244="","",ROUND(C244*Steuerungsdaten!$B$4*Steuerungsdaten!$B$8*IFERROR(VLOOKUP(IFERROR(INDEX(Aktiv!$C$6:$C$350,MATCH(A244,Aktiv!$A$6:$A$350,0)),""),Steuerungsdaten!$B$17:$E$37,4,FALSE),1)*POWER(IF(OR(IFERROR(INDEX(Aktiv!$E$6:$E$350,MATCH(A244,Aktiv!$A$6:$A$350,0)),0)=0,IFERROR(INDEX(Aktiv!$F$6:$F$350,MATCH(A244,Aktiv!$A$6:$A$350,0)),0)=0),1,(IFERROR(INDEX(Aktiv!$E$6:$E$350,MATCH(A244,Aktiv!$A$6:$A$350,0)),0)*IFERROR(INDEX(Aktiv!$F$6:$F$350,MATCH(A244,Aktiv!$A$6:$A$350,0)),0)/1000000)/Steuerungsdaten!$B$6),1-1),0))</f>
        <v>282</v>
      </c>
      <c r="I244" s="293" t="str">
        <f>IFERROR(INDEX(Aktiv!$H$6:$H$350,MATCH(A244,Aktiv!$A$6:$A$350,0)),"")</f>
        <v>-</v>
      </c>
      <c r="J244" s="294" t="e">
        <f t="shared" si="26"/>
        <v>#VALUE!</v>
      </c>
      <c r="K244" s="296" t="e">
        <f t="shared" si="27"/>
        <v>#VALUE!</v>
      </c>
      <c r="L244" s="297">
        <f>IF(C244="","",ROUND(C244*Steuerungsdaten!$B$4*Steuerungsdaten!$B$9*IFERROR(VLOOKUP(IFERROR(INDEX(Aktiv!$C$6:$C$350,MATCH(A244,Aktiv!$A$6:$A$350,0)),""),Steuerungsdaten!$B$17:$G$37,6,FALSE),1)*POWER(IF(OR(IFERROR(INDEX(Aktiv!$E$6:$E$350,MATCH(A244,Aktiv!$A$6:$A$350,0)),0)=0,IFERROR(INDEX(Aktiv!$F$6:$F$350,MATCH(A244,Aktiv!$A$6:$A$350,0)),0)=0),1,(IFERROR(INDEX(Aktiv!$E$6:$E$350,MATCH(A244,Aktiv!$A$6:$A$350,0)),0)*IFERROR(INDEX(Aktiv!$F$6:$F$350,MATCH(A244,Aktiv!$A$6:$A$350,0)),0)/1000000)/Steuerungsdaten!$B$6),1-1),0))</f>
        <v>282</v>
      </c>
      <c r="M244" s="297" t="str">
        <f>IFERROR(INDEX(Aktiv!$I$6:$I$350,MATCH(A244,Aktiv!$A$6:$A$350,0)),"")</f>
        <v>-</v>
      </c>
      <c r="N244" s="298" t="e">
        <f t="shared" si="28"/>
        <v>#VALUE!</v>
      </c>
      <c r="O244" s="296" t="e">
        <f t="shared" si="29"/>
        <v>#VALUE!</v>
      </c>
      <c r="P244" s="297">
        <f>IF(C244="","",ROUND(C244*Steuerungsdaten!$B$4*Steuerungsdaten!$B$10*IFERROR(VLOOKUP(IFERROR(INDEX(Aktiv!$C$6:$C$350,MATCH(A244,Aktiv!$A$6:$A$350,0)),""),Steuerungsdaten!$B$17:$I$37,8,FALSE),1)*POWER(IF(OR(IFERROR(INDEX(Aktiv!$E$6:$E$350,MATCH(A244,Aktiv!$A$6:$A$350,0)),0)=0,IFERROR(INDEX(Aktiv!$F$6:$F$350,MATCH(A244,Aktiv!$A$6:$A$350,0)),0)=0),1,(IFERROR(INDEX(Aktiv!$E$6:$E$350,MATCH(A244,Aktiv!$A$6:$A$350,0)),0)*IFERROR(INDEX(Aktiv!$F$6:$F$350,MATCH(A244,Aktiv!$A$6:$A$350,0)),0)/1000000)/Steuerungsdaten!$B$6),1-1),0))</f>
        <v>308</v>
      </c>
      <c r="Q244" s="297" t="str">
        <f>IFERROR(INDEX(Aktiv!$J$6:$J$350,MATCH(A244,Aktiv!$A$6:$A$350,0)),"")</f>
        <v>-</v>
      </c>
      <c r="R244" s="298" t="e">
        <f t="shared" si="30"/>
        <v>#VALUE!</v>
      </c>
      <c r="S244" s="296" t="e">
        <f t="shared" si="31"/>
        <v>#VALUE!</v>
      </c>
    </row>
    <row r="245" spans="1:19" x14ac:dyDescent="0.25">
      <c r="A245" s="292" t="s">
        <v>276</v>
      </c>
      <c r="B245" s="292" t="s">
        <v>277</v>
      </c>
      <c r="C245" s="293">
        <f>IFERROR(INDEX(Aktiv!$O$6:$O$350,MATCH(A245,Aktiv!$A$6:$A$350,0)),"")</f>
        <v>285</v>
      </c>
      <c r="D245" s="293">
        <f>IF(C245="","",ROUND(C245*Steuerungsdaten!$B$4*Steuerungsdaten!$B$7*IFERROR(VLOOKUP(IFERROR(INDEX(Aktiv!$C$6:$C$350,MATCH(A245,Aktiv!$A$6:$A$350,0)),""),Steuerungsdaten!$B$17:$C$37,2,FALSE),1)*POWER(IF(OR(IFERROR(INDEX(Aktiv!$E$6:$E$350,MATCH(A245,Aktiv!$A$6:$A$350,0)),0)=0,IFERROR(INDEX(Aktiv!$F$6:$F$350,MATCH(A245,Aktiv!$A$6:$A$350,0)),0)=0),1,(IFERROR(INDEX(Aktiv!$E$6:$E$350,MATCH(A245,Aktiv!$A$6:$A$350,0)),0)*IFERROR(INDEX(Aktiv!$F$6:$F$350,MATCH(A245,Aktiv!$A$6:$A$350,0)),0)/1000000)/Steuerungsdaten!$B$6),IF(ISNUMBER(MATCH(IFERROR(INDEX(Aktiv!$C$6:$C$350,MATCH(A245,Aktiv!$A$6:$A$350,0)),""),{"Boden","Seite außen","Seite außen SY32","Rücken","Seite innen","Seite innen SY32","Seite innen SY32 DB","Fachboden klein","Fachboden groß","Klappenboden"},0)),1.2,1)-1),0))</f>
        <v>282</v>
      </c>
      <c r="E245" s="293" t="str">
        <f>IFERROR(INDEX(Aktiv!$G$6:$G$350,MATCH(A245,Aktiv!$A$6:$A$350,0)),"")</f>
        <v>-</v>
      </c>
      <c r="F245" s="294" t="e">
        <f t="shared" si="24"/>
        <v>#VALUE!</v>
      </c>
      <c r="G245" s="295" t="e">
        <f t="shared" si="25"/>
        <v>#VALUE!</v>
      </c>
      <c r="H245" s="293">
        <f>IF(C245="","",ROUND(C245*Steuerungsdaten!$B$4*Steuerungsdaten!$B$8*IFERROR(VLOOKUP(IFERROR(INDEX(Aktiv!$C$6:$C$350,MATCH(A245,Aktiv!$A$6:$A$350,0)),""),Steuerungsdaten!$B$17:$E$37,4,FALSE),1)*POWER(IF(OR(IFERROR(INDEX(Aktiv!$E$6:$E$350,MATCH(A245,Aktiv!$A$6:$A$350,0)),0)=0,IFERROR(INDEX(Aktiv!$F$6:$F$350,MATCH(A245,Aktiv!$A$6:$A$350,0)),0)=0),1,(IFERROR(INDEX(Aktiv!$E$6:$E$350,MATCH(A245,Aktiv!$A$6:$A$350,0)),0)*IFERROR(INDEX(Aktiv!$F$6:$F$350,MATCH(A245,Aktiv!$A$6:$A$350,0)),0)/1000000)/Steuerungsdaten!$B$6),1-1),0))</f>
        <v>282</v>
      </c>
      <c r="I245" s="293" t="str">
        <f>IFERROR(INDEX(Aktiv!$H$6:$H$350,MATCH(A245,Aktiv!$A$6:$A$350,0)),"")</f>
        <v>-</v>
      </c>
      <c r="J245" s="294" t="e">
        <f t="shared" si="26"/>
        <v>#VALUE!</v>
      </c>
      <c r="K245" s="296" t="e">
        <f t="shared" si="27"/>
        <v>#VALUE!</v>
      </c>
      <c r="L245" s="297">
        <f>IF(C245="","",ROUND(C245*Steuerungsdaten!$B$4*Steuerungsdaten!$B$9*IFERROR(VLOOKUP(IFERROR(INDEX(Aktiv!$C$6:$C$350,MATCH(A245,Aktiv!$A$6:$A$350,0)),""),Steuerungsdaten!$B$17:$G$37,6,FALSE),1)*POWER(IF(OR(IFERROR(INDEX(Aktiv!$E$6:$E$350,MATCH(A245,Aktiv!$A$6:$A$350,0)),0)=0,IFERROR(INDEX(Aktiv!$F$6:$F$350,MATCH(A245,Aktiv!$A$6:$A$350,0)),0)=0),1,(IFERROR(INDEX(Aktiv!$E$6:$E$350,MATCH(A245,Aktiv!$A$6:$A$350,0)),0)*IFERROR(INDEX(Aktiv!$F$6:$F$350,MATCH(A245,Aktiv!$A$6:$A$350,0)),0)/1000000)/Steuerungsdaten!$B$6),1-1),0))</f>
        <v>282</v>
      </c>
      <c r="M245" s="297" t="str">
        <f>IFERROR(INDEX(Aktiv!$I$6:$I$350,MATCH(A245,Aktiv!$A$6:$A$350,0)),"")</f>
        <v>-</v>
      </c>
      <c r="N245" s="298" t="e">
        <f t="shared" si="28"/>
        <v>#VALUE!</v>
      </c>
      <c r="O245" s="296" t="e">
        <f t="shared" si="29"/>
        <v>#VALUE!</v>
      </c>
      <c r="P245" s="297">
        <f>IF(C245="","",ROUND(C245*Steuerungsdaten!$B$4*Steuerungsdaten!$B$10*IFERROR(VLOOKUP(IFERROR(INDEX(Aktiv!$C$6:$C$350,MATCH(A245,Aktiv!$A$6:$A$350,0)),""),Steuerungsdaten!$B$17:$I$37,8,FALSE),1)*POWER(IF(OR(IFERROR(INDEX(Aktiv!$E$6:$E$350,MATCH(A245,Aktiv!$A$6:$A$350,0)),0)=0,IFERROR(INDEX(Aktiv!$F$6:$F$350,MATCH(A245,Aktiv!$A$6:$A$350,0)),0)=0),1,(IFERROR(INDEX(Aktiv!$E$6:$E$350,MATCH(A245,Aktiv!$A$6:$A$350,0)),0)*IFERROR(INDEX(Aktiv!$F$6:$F$350,MATCH(A245,Aktiv!$A$6:$A$350,0)),0)/1000000)/Steuerungsdaten!$B$6),1-1),0))</f>
        <v>308</v>
      </c>
      <c r="Q245" s="297" t="str">
        <f>IFERROR(INDEX(Aktiv!$J$6:$J$350,MATCH(A245,Aktiv!$A$6:$A$350,0)),"")</f>
        <v>-</v>
      </c>
      <c r="R245" s="298" t="e">
        <f t="shared" si="30"/>
        <v>#VALUE!</v>
      </c>
      <c r="S245" s="296" t="e">
        <f t="shared" si="31"/>
        <v>#VALUE!</v>
      </c>
    </row>
    <row r="246" spans="1:19" x14ac:dyDescent="0.25">
      <c r="A246" s="292">
        <v>5400</v>
      </c>
      <c r="B246" s="292" t="s">
        <v>279</v>
      </c>
      <c r="C246" s="293">
        <f>IFERROR(INDEX(Aktiv!$O$6:$O$350,MATCH(A246,Aktiv!$A$6:$A$350,0)),"")</f>
        <v>285</v>
      </c>
      <c r="D246" s="293">
        <f>IF(C246="","",ROUND(C246*Steuerungsdaten!$B$4*Steuerungsdaten!$B$7*IFERROR(VLOOKUP(IFERROR(INDEX(Aktiv!$C$6:$C$350,MATCH(A246,Aktiv!$A$6:$A$350,0)),""),Steuerungsdaten!$B$17:$C$37,2,FALSE),1)*POWER(IF(OR(IFERROR(INDEX(Aktiv!$E$6:$E$350,MATCH(A246,Aktiv!$A$6:$A$350,0)),0)=0,IFERROR(INDEX(Aktiv!$F$6:$F$350,MATCH(A246,Aktiv!$A$6:$A$350,0)),0)=0),1,(IFERROR(INDEX(Aktiv!$E$6:$E$350,MATCH(A246,Aktiv!$A$6:$A$350,0)),0)*IFERROR(INDEX(Aktiv!$F$6:$F$350,MATCH(A246,Aktiv!$A$6:$A$350,0)),0)/1000000)/Steuerungsdaten!$B$6),IF(ISNUMBER(MATCH(IFERROR(INDEX(Aktiv!$C$6:$C$350,MATCH(A246,Aktiv!$A$6:$A$350,0)),""),{"Boden","Seite außen","Seite außen SY32","Rücken","Seite innen","Seite innen SY32","Seite innen SY32 DB","Fachboden klein","Fachboden groß","Klappenboden"},0)),1.2,1)-1),0))</f>
        <v>282</v>
      </c>
      <c r="E246" s="293">
        <f>IFERROR(INDEX(Aktiv!$G$6:$G$350,MATCH(A246,Aktiv!$A$6:$A$350,0)),"")</f>
        <v>299</v>
      </c>
      <c r="F246" s="294">
        <f t="shared" si="24"/>
        <v>17</v>
      </c>
      <c r="G246" s="295">
        <f t="shared" si="25"/>
        <v>6.0283687943262408E-2</v>
      </c>
      <c r="H246" s="293">
        <f>IF(C246="","",ROUND(C246*Steuerungsdaten!$B$4*Steuerungsdaten!$B$8*IFERROR(VLOOKUP(IFERROR(INDEX(Aktiv!$C$6:$C$350,MATCH(A246,Aktiv!$A$6:$A$350,0)),""),Steuerungsdaten!$B$17:$E$37,4,FALSE),1)*POWER(IF(OR(IFERROR(INDEX(Aktiv!$E$6:$E$350,MATCH(A246,Aktiv!$A$6:$A$350,0)),0)=0,IFERROR(INDEX(Aktiv!$F$6:$F$350,MATCH(A246,Aktiv!$A$6:$A$350,0)),0)=0),1,(IFERROR(INDEX(Aktiv!$E$6:$E$350,MATCH(A246,Aktiv!$A$6:$A$350,0)),0)*IFERROR(INDEX(Aktiv!$F$6:$F$350,MATCH(A246,Aktiv!$A$6:$A$350,0)),0)/1000000)/Steuerungsdaten!$B$6),1-1),0))</f>
        <v>282</v>
      </c>
      <c r="I246" s="293">
        <f>IFERROR(INDEX(Aktiv!$H$6:$H$350,MATCH(A246,Aktiv!$A$6:$A$350,0)),"")</f>
        <v>355</v>
      </c>
      <c r="J246" s="294">
        <f t="shared" si="26"/>
        <v>73</v>
      </c>
      <c r="K246" s="296">
        <f t="shared" si="27"/>
        <v>0.25886524822695034</v>
      </c>
      <c r="L246" s="297">
        <f>IF(C246="","",ROUND(C246*Steuerungsdaten!$B$4*Steuerungsdaten!$B$9*IFERROR(VLOOKUP(IFERROR(INDEX(Aktiv!$C$6:$C$350,MATCH(A246,Aktiv!$A$6:$A$350,0)),""),Steuerungsdaten!$B$17:$G$37,6,FALSE),1)*POWER(IF(OR(IFERROR(INDEX(Aktiv!$E$6:$E$350,MATCH(A246,Aktiv!$A$6:$A$350,0)),0)=0,IFERROR(INDEX(Aktiv!$F$6:$F$350,MATCH(A246,Aktiv!$A$6:$A$350,0)),0)=0),1,(IFERROR(INDEX(Aktiv!$E$6:$E$350,MATCH(A246,Aktiv!$A$6:$A$350,0)),0)*IFERROR(INDEX(Aktiv!$F$6:$F$350,MATCH(A246,Aktiv!$A$6:$A$350,0)),0)/1000000)/Steuerungsdaten!$B$6),1-1),0))</f>
        <v>282</v>
      </c>
      <c r="M246" s="297">
        <f>IFERROR(INDEX(Aktiv!$I$6:$I$350,MATCH(A246,Aktiv!$A$6:$A$350,0)),"")</f>
        <v>386</v>
      </c>
      <c r="N246" s="298">
        <f t="shared" si="28"/>
        <v>104</v>
      </c>
      <c r="O246" s="296">
        <f t="shared" si="29"/>
        <v>0.36879432624113473</v>
      </c>
      <c r="P246" s="297">
        <f>IF(C246="","",ROUND(C246*Steuerungsdaten!$B$4*Steuerungsdaten!$B$10*IFERROR(VLOOKUP(IFERROR(INDEX(Aktiv!$C$6:$C$350,MATCH(A246,Aktiv!$A$6:$A$350,0)),""),Steuerungsdaten!$B$17:$I$37,8,FALSE),1)*POWER(IF(OR(IFERROR(INDEX(Aktiv!$E$6:$E$350,MATCH(A246,Aktiv!$A$6:$A$350,0)),0)=0,IFERROR(INDEX(Aktiv!$F$6:$F$350,MATCH(A246,Aktiv!$A$6:$A$350,0)),0)=0),1,(IFERROR(INDEX(Aktiv!$E$6:$E$350,MATCH(A246,Aktiv!$A$6:$A$350,0)),0)*IFERROR(INDEX(Aktiv!$F$6:$F$350,MATCH(A246,Aktiv!$A$6:$A$350,0)),0)/1000000)/Steuerungsdaten!$B$6),1-1),0))</f>
        <v>308</v>
      </c>
      <c r="Q246" s="297" t="str">
        <f>IFERROR(INDEX(Aktiv!$J$6:$J$350,MATCH(A246,Aktiv!$A$6:$A$350,0)),"")</f>
        <v>-</v>
      </c>
      <c r="R246" s="298" t="e">
        <f t="shared" si="30"/>
        <v>#VALUE!</v>
      </c>
      <c r="S246" s="296" t="e">
        <f t="shared" si="31"/>
        <v>#VALUE!</v>
      </c>
    </row>
    <row r="247" spans="1:19" x14ac:dyDescent="0.25">
      <c r="A247" s="292">
        <v>5401</v>
      </c>
      <c r="B247" s="292" t="s">
        <v>280</v>
      </c>
      <c r="C247" s="293">
        <f>IFERROR(INDEX(Aktiv!$O$6:$O$350,MATCH(A247,Aktiv!$A$6:$A$350,0)),"")</f>
        <v>352</v>
      </c>
      <c r="D247" s="293">
        <f>IF(C247="","",ROUND(C247*Steuerungsdaten!$B$4*Steuerungsdaten!$B$7*IFERROR(VLOOKUP(IFERROR(INDEX(Aktiv!$C$6:$C$350,MATCH(A247,Aktiv!$A$6:$A$350,0)),""),Steuerungsdaten!$B$17:$C$37,2,FALSE),1)*POWER(IF(OR(IFERROR(INDEX(Aktiv!$E$6:$E$350,MATCH(A247,Aktiv!$A$6:$A$350,0)),0)=0,IFERROR(INDEX(Aktiv!$F$6:$F$350,MATCH(A247,Aktiv!$A$6:$A$350,0)),0)=0),1,(IFERROR(INDEX(Aktiv!$E$6:$E$350,MATCH(A247,Aktiv!$A$6:$A$350,0)),0)*IFERROR(INDEX(Aktiv!$F$6:$F$350,MATCH(A247,Aktiv!$A$6:$A$350,0)),0)/1000000)/Steuerungsdaten!$B$6),IF(ISNUMBER(MATCH(IFERROR(INDEX(Aktiv!$C$6:$C$350,MATCH(A247,Aktiv!$A$6:$A$350,0)),""),{"Boden","Seite außen","Seite außen SY32","Rücken","Seite innen","Seite innen SY32","Seite innen SY32 DB","Fachboden klein","Fachboden groß","Klappenboden"},0)),1.2,1)-1),0))</f>
        <v>348</v>
      </c>
      <c r="E247" s="293">
        <f>IFERROR(INDEX(Aktiv!$G$6:$G$350,MATCH(A247,Aktiv!$A$6:$A$350,0)),"")</f>
        <v>320</v>
      </c>
      <c r="F247" s="294">
        <f t="shared" si="24"/>
        <v>-28</v>
      </c>
      <c r="G247" s="295">
        <f t="shared" si="25"/>
        <v>-8.0459770114942528E-2</v>
      </c>
      <c r="H247" s="293">
        <f>IF(C247="","",ROUND(C247*Steuerungsdaten!$B$4*Steuerungsdaten!$B$8*IFERROR(VLOOKUP(IFERROR(INDEX(Aktiv!$C$6:$C$350,MATCH(A247,Aktiv!$A$6:$A$350,0)),""),Steuerungsdaten!$B$17:$E$37,4,FALSE),1)*POWER(IF(OR(IFERROR(INDEX(Aktiv!$E$6:$E$350,MATCH(A247,Aktiv!$A$6:$A$350,0)),0)=0,IFERROR(INDEX(Aktiv!$F$6:$F$350,MATCH(A247,Aktiv!$A$6:$A$350,0)),0)=0),1,(IFERROR(INDEX(Aktiv!$E$6:$E$350,MATCH(A247,Aktiv!$A$6:$A$350,0)),0)*IFERROR(INDEX(Aktiv!$F$6:$F$350,MATCH(A247,Aktiv!$A$6:$A$350,0)),0)/1000000)/Steuerungsdaten!$B$6),1-1),0))</f>
        <v>348</v>
      </c>
      <c r="I247" s="293">
        <f>IFERROR(INDEX(Aktiv!$H$6:$H$350,MATCH(A247,Aktiv!$A$6:$A$350,0)),"")</f>
        <v>381</v>
      </c>
      <c r="J247" s="294">
        <f t="shared" si="26"/>
        <v>33</v>
      </c>
      <c r="K247" s="296">
        <f t="shared" si="27"/>
        <v>9.4827586206896547E-2</v>
      </c>
      <c r="L247" s="297">
        <f>IF(C247="","",ROUND(C247*Steuerungsdaten!$B$4*Steuerungsdaten!$B$9*IFERROR(VLOOKUP(IFERROR(INDEX(Aktiv!$C$6:$C$350,MATCH(A247,Aktiv!$A$6:$A$350,0)),""),Steuerungsdaten!$B$17:$G$37,6,FALSE),1)*POWER(IF(OR(IFERROR(INDEX(Aktiv!$E$6:$E$350,MATCH(A247,Aktiv!$A$6:$A$350,0)),0)=0,IFERROR(INDEX(Aktiv!$F$6:$F$350,MATCH(A247,Aktiv!$A$6:$A$350,0)),0)=0),1,(IFERROR(INDEX(Aktiv!$E$6:$E$350,MATCH(A247,Aktiv!$A$6:$A$350,0)),0)*IFERROR(INDEX(Aktiv!$F$6:$F$350,MATCH(A247,Aktiv!$A$6:$A$350,0)),0)/1000000)/Steuerungsdaten!$B$6),1-1),0))</f>
        <v>348</v>
      </c>
      <c r="M247" s="297">
        <f>IFERROR(INDEX(Aktiv!$I$6:$I$350,MATCH(A247,Aktiv!$A$6:$A$350,0)),"")</f>
        <v>414</v>
      </c>
      <c r="N247" s="298">
        <f t="shared" si="28"/>
        <v>66</v>
      </c>
      <c r="O247" s="296">
        <f t="shared" si="29"/>
        <v>0.18965517241379309</v>
      </c>
      <c r="P247" s="297">
        <f>IF(C247="","",ROUND(C247*Steuerungsdaten!$B$4*Steuerungsdaten!$B$10*IFERROR(VLOOKUP(IFERROR(INDEX(Aktiv!$C$6:$C$350,MATCH(A247,Aktiv!$A$6:$A$350,0)),""),Steuerungsdaten!$B$17:$I$37,8,FALSE),1)*POWER(IF(OR(IFERROR(INDEX(Aktiv!$E$6:$E$350,MATCH(A247,Aktiv!$A$6:$A$350,0)),0)=0,IFERROR(INDEX(Aktiv!$F$6:$F$350,MATCH(A247,Aktiv!$A$6:$A$350,0)),0)=0),1,(IFERROR(INDEX(Aktiv!$E$6:$E$350,MATCH(A247,Aktiv!$A$6:$A$350,0)),0)*IFERROR(INDEX(Aktiv!$F$6:$F$350,MATCH(A247,Aktiv!$A$6:$A$350,0)),0)/1000000)/Steuerungsdaten!$B$6),1-1),0))</f>
        <v>380</v>
      </c>
      <c r="Q247" s="297" t="str">
        <f>IFERROR(INDEX(Aktiv!$J$6:$J$350,MATCH(A247,Aktiv!$A$6:$A$350,0)),"")</f>
        <v>-</v>
      </c>
      <c r="R247" s="298" t="e">
        <f t="shared" si="30"/>
        <v>#VALUE!</v>
      </c>
      <c r="S247" s="296" t="e">
        <f t="shared" si="31"/>
        <v>#VALUE!</v>
      </c>
    </row>
    <row r="248" spans="1:19" x14ac:dyDescent="0.25">
      <c r="A248" s="292">
        <v>5402</v>
      </c>
      <c r="B248" s="292" t="s">
        <v>281</v>
      </c>
      <c r="C248" s="293">
        <f>IFERROR(INDEX(Aktiv!$O$6:$O$350,MATCH(A248,Aktiv!$A$6:$A$350,0)),"")</f>
        <v>298</v>
      </c>
      <c r="D248" s="293">
        <f>IF(C248="","",ROUND(C248*Steuerungsdaten!$B$4*Steuerungsdaten!$B$7*IFERROR(VLOOKUP(IFERROR(INDEX(Aktiv!$C$6:$C$350,MATCH(A248,Aktiv!$A$6:$A$350,0)),""),Steuerungsdaten!$B$17:$C$37,2,FALSE),1)*POWER(IF(OR(IFERROR(INDEX(Aktiv!$E$6:$E$350,MATCH(A248,Aktiv!$A$6:$A$350,0)),0)=0,IFERROR(INDEX(Aktiv!$F$6:$F$350,MATCH(A248,Aktiv!$A$6:$A$350,0)),0)=0),1,(IFERROR(INDEX(Aktiv!$E$6:$E$350,MATCH(A248,Aktiv!$A$6:$A$350,0)),0)*IFERROR(INDEX(Aktiv!$F$6:$F$350,MATCH(A248,Aktiv!$A$6:$A$350,0)),0)/1000000)/Steuerungsdaten!$B$6),IF(ISNUMBER(MATCH(IFERROR(INDEX(Aktiv!$C$6:$C$350,MATCH(A248,Aktiv!$A$6:$A$350,0)),""),{"Boden","Seite außen","Seite außen SY32","Rücken","Seite innen","Seite innen SY32","Seite innen SY32 DB","Fachboden klein","Fachboden groß","Klappenboden"},0)),1.2,1)-1),0))</f>
        <v>295</v>
      </c>
      <c r="E248" s="293">
        <f>IFERROR(INDEX(Aktiv!$G$6:$G$350,MATCH(A248,Aktiv!$A$6:$A$350,0)),"")</f>
        <v>309</v>
      </c>
      <c r="F248" s="294">
        <f t="shared" si="24"/>
        <v>14</v>
      </c>
      <c r="G248" s="295">
        <f t="shared" si="25"/>
        <v>4.7457627118644069E-2</v>
      </c>
      <c r="H248" s="293">
        <f>IF(C248="","",ROUND(C248*Steuerungsdaten!$B$4*Steuerungsdaten!$B$8*IFERROR(VLOOKUP(IFERROR(INDEX(Aktiv!$C$6:$C$350,MATCH(A248,Aktiv!$A$6:$A$350,0)),""),Steuerungsdaten!$B$17:$E$37,4,FALSE),1)*POWER(IF(OR(IFERROR(INDEX(Aktiv!$E$6:$E$350,MATCH(A248,Aktiv!$A$6:$A$350,0)),0)=0,IFERROR(INDEX(Aktiv!$F$6:$F$350,MATCH(A248,Aktiv!$A$6:$A$350,0)),0)=0),1,(IFERROR(INDEX(Aktiv!$E$6:$E$350,MATCH(A248,Aktiv!$A$6:$A$350,0)),0)*IFERROR(INDEX(Aktiv!$F$6:$F$350,MATCH(A248,Aktiv!$A$6:$A$350,0)),0)/1000000)/Steuerungsdaten!$B$6),1-1),0))</f>
        <v>295</v>
      </c>
      <c r="I248" s="293">
        <f>IFERROR(INDEX(Aktiv!$H$6:$H$350,MATCH(A248,Aktiv!$A$6:$A$350,0)),"")</f>
        <v>367</v>
      </c>
      <c r="J248" s="294">
        <f t="shared" si="26"/>
        <v>72</v>
      </c>
      <c r="K248" s="296">
        <f t="shared" si="27"/>
        <v>0.2440677966101695</v>
      </c>
      <c r="L248" s="297">
        <f>IF(C248="","",ROUND(C248*Steuerungsdaten!$B$4*Steuerungsdaten!$B$9*IFERROR(VLOOKUP(IFERROR(INDEX(Aktiv!$C$6:$C$350,MATCH(A248,Aktiv!$A$6:$A$350,0)),""),Steuerungsdaten!$B$17:$G$37,6,FALSE),1)*POWER(IF(OR(IFERROR(INDEX(Aktiv!$E$6:$E$350,MATCH(A248,Aktiv!$A$6:$A$350,0)),0)=0,IFERROR(INDEX(Aktiv!$F$6:$F$350,MATCH(A248,Aktiv!$A$6:$A$350,0)),0)=0),1,(IFERROR(INDEX(Aktiv!$E$6:$E$350,MATCH(A248,Aktiv!$A$6:$A$350,0)),0)*IFERROR(INDEX(Aktiv!$F$6:$F$350,MATCH(A248,Aktiv!$A$6:$A$350,0)),0)/1000000)/Steuerungsdaten!$B$6),1-1),0))</f>
        <v>295</v>
      </c>
      <c r="M248" s="297">
        <f>IFERROR(INDEX(Aktiv!$I$6:$I$350,MATCH(A248,Aktiv!$A$6:$A$350,0)),"")</f>
        <v>399</v>
      </c>
      <c r="N248" s="298">
        <f t="shared" si="28"/>
        <v>104</v>
      </c>
      <c r="O248" s="296">
        <f t="shared" si="29"/>
        <v>0.35254237288135593</v>
      </c>
      <c r="P248" s="297">
        <f>IF(C248="","",ROUND(C248*Steuerungsdaten!$B$4*Steuerungsdaten!$B$10*IFERROR(VLOOKUP(IFERROR(INDEX(Aktiv!$C$6:$C$350,MATCH(A248,Aktiv!$A$6:$A$350,0)),""),Steuerungsdaten!$B$17:$I$37,8,FALSE),1)*POWER(IF(OR(IFERROR(INDEX(Aktiv!$E$6:$E$350,MATCH(A248,Aktiv!$A$6:$A$350,0)),0)=0,IFERROR(INDEX(Aktiv!$F$6:$F$350,MATCH(A248,Aktiv!$A$6:$A$350,0)),0)=0),1,(IFERROR(INDEX(Aktiv!$E$6:$E$350,MATCH(A248,Aktiv!$A$6:$A$350,0)),0)*IFERROR(INDEX(Aktiv!$F$6:$F$350,MATCH(A248,Aktiv!$A$6:$A$350,0)),0)/1000000)/Steuerungsdaten!$B$6),1-1),0))</f>
        <v>322</v>
      </c>
      <c r="Q248" s="297" t="str">
        <f>IFERROR(INDEX(Aktiv!$J$6:$J$350,MATCH(A248,Aktiv!$A$6:$A$350,0)),"")</f>
        <v>-</v>
      </c>
      <c r="R248" s="298" t="e">
        <f t="shared" si="30"/>
        <v>#VALUE!</v>
      </c>
      <c r="S248" s="296" t="e">
        <f t="shared" si="31"/>
        <v>#VALUE!</v>
      </c>
    </row>
    <row r="249" spans="1:19" x14ac:dyDescent="0.25">
      <c r="A249" s="292">
        <v>5403</v>
      </c>
      <c r="B249" s="292" t="s">
        <v>282</v>
      </c>
      <c r="C249" s="293">
        <f>IFERROR(INDEX(Aktiv!$O$6:$O$350,MATCH(A249,Aktiv!$A$6:$A$350,0)),"")</f>
        <v>353</v>
      </c>
      <c r="D249" s="293">
        <f>IF(C249="","",ROUND(C249*Steuerungsdaten!$B$4*Steuerungsdaten!$B$7*IFERROR(VLOOKUP(IFERROR(INDEX(Aktiv!$C$6:$C$350,MATCH(A249,Aktiv!$A$6:$A$350,0)),""),Steuerungsdaten!$B$17:$C$37,2,FALSE),1)*POWER(IF(OR(IFERROR(INDEX(Aktiv!$E$6:$E$350,MATCH(A249,Aktiv!$A$6:$A$350,0)),0)=0,IFERROR(INDEX(Aktiv!$F$6:$F$350,MATCH(A249,Aktiv!$A$6:$A$350,0)),0)=0),1,(IFERROR(INDEX(Aktiv!$E$6:$E$350,MATCH(A249,Aktiv!$A$6:$A$350,0)),0)*IFERROR(INDEX(Aktiv!$F$6:$F$350,MATCH(A249,Aktiv!$A$6:$A$350,0)),0)/1000000)/Steuerungsdaten!$B$6),IF(ISNUMBER(MATCH(IFERROR(INDEX(Aktiv!$C$6:$C$350,MATCH(A249,Aktiv!$A$6:$A$350,0)),""),{"Boden","Seite außen","Seite außen SY32","Rücken","Seite innen","Seite innen SY32","Seite innen SY32 DB","Fachboden klein","Fachboden groß","Klappenboden"},0)),1.2,1)-1),0))</f>
        <v>349</v>
      </c>
      <c r="E249" s="293">
        <f>IFERROR(INDEX(Aktiv!$G$6:$G$350,MATCH(A249,Aktiv!$A$6:$A$350,0)),"")</f>
        <v>331</v>
      </c>
      <c r="F249" s="294">
        <f t="shared" si="24"/>
        <v>-18</v>
      </c>
      <c r="G249" s="295">
        <f t="shared" si="25"/>
        <v>-5.1575931232091692E-2</v>
      </c>
      <c r="H249" s="293">
        <f>IF(C249="","",ROUND(C249*Steuerungsdaten!$B$4*Steuerungsdaten!$B$8*IFERROR(VLOOKUP(IFERROR(INDEX(Aktiv!$C$6:$C$350,MATCH(A249,Aktiv!$A$6:$A$350,0)),""),Steuerungsdaten!$B$17:$E$37,4,FALSE),1)*POWER(IF(OR(IFERROR(INDEX(Aktiv!$E$6:$E$350,MATCH(A249,Aktiv!$A$6:$A$350,0)),0)=0,IFERROR(INDEX(Aktiv!$F$6:$F$350,MATCH(A249,Aktiv!$A$6:$A$350,0)),0)=0),1,(IFERROR(INDEX(Aktiv!$E$6:$E$350,MATCH(A249,Aktiv!$A$6:$A$350,0)),0)*IFERROR(INDEX(Aktiv!$F$6:$F$350,MATCH(A249,Aktiv!$A$6:$A$350,0)),0)/1000000)/Steuerungsdaten!$B$6),1-1),0))</f>
        <v>349</v>
      </c>
      <c r="I249" s="293">
        <f>IFERROR(INDEX(Aktiv!$H$6:$H$350,MATCH(A249,Aktiv!$A$6:$A$350,0)),"")</f>
        <v>393</v>
      </c>
      <c r="J249" s="294">
        <f t="shared" si="26"/>
        <v>44</v>
      </c>
      <c r="K249" s="296">
        <f t="shared" si="27"/>
        <v>0.12607449856733524</v>
      </c>
      <c r="L249" s="297">
        <f>IF(C249="","",ROUND(C249*Steuerungsdaten!$B$4*Steuerungsdaten!$B$9*IFERROR(VLOOKUP(IFERROR(INDEX(Aktiv!$C$6:$C$350,MATCH(A249,Aktiv!$A$6:$A$350,0)),""),Steuerungsdaten!$B$17:$G$37,6,FALSE),1)*POWER(IF(OR(IFERROR(INDEX(Aktiv!$E$6:$E$350,MATCH(A249,Aktiv!$A$6:$A$350,0)),0)=0,IFERROR(INDEX(Aktiv!$F$6:$F$350,MATCH(A249,Aktiv!$A$6:$A$350,0)),0)=0),1,(IFERROR(INDEX(Aktiv!$E$6:$E$350,MATCH(A249,Aktiv!$A$6:$A$350,0)),0)*IFERROR(INDEX(Aktiv!$F$6:$F$350,MATCH(A249,Aktiv!$A$6:$A$350,0)),0)/1000000)/Steuerungsdaten!$B$6),1-1),0))</f>
        <v>349</v>
      </c>
      <c r="M249" s="297">
        <f>IFERROR(INDEX(Aktiv!$I$6:$I$350,MATCH(A249,Aktiv!$A$6:$A$350,0)),"")</f>
        <v>428</v>
      </c>
      <c r="N249" s="298">
        <f t="shared" si="28"/>
        <v>79</v>
      </c>
      <c r="O249" s="296">
        <f t="shared" si="29"/>
        <v>0.22636103151862463</v>
      </c>
      <c r="P249" s="297">
        <f>IF(C249="","",ROUND(C249*Steuerungsdaten!$B$4*Steuerungsdaten!$B$10*IFERROR(VLOOKUP(IFERROR(INDEX(Aktiv!$C$6:$C$350,MATCH(A249,Aktiv!$A$6:$A$350,0)),""),Steuerungsdaten!$B$17:$I$37,8,FALSE),1)*POWER(IF(OR(IFERROR(INDEX(Aktiv!$E$6:$E$350,MATCH(A249,Aktiv!$A$6:$A$350,0)),0)=0,IFERROR(INDEX(Aktiv!$F$6:$F$350,MATCH(A249,Aktiv!$A$6:$A$350,0)),0)=0),1,(IFERROR(INDEX(Aktiv!$E$6:$E$350,MATCH(A249,Aktiv!$A$6:$A$350,0)),0)*IFERROR(INDEX(Aktiv!$F$6:$F$350,MATCH(A249,Aktiv!$A$6:$A$350,0)),0)/1000000)/Steuerungsdaten!$B$6),1-1),0))</f>
        <v>381</v>
      </c>
      <c r="Q249" s="297" t="str">
        <f>IFERROR(INDEX(Aktiv!$J$6:$J$350,MATCH(A249,Aktiv!$A$6:$A$350,0)),"")</f>
        <v>-</v>
      </c>
      <c r="R249" s="298" t="e">
        <f t="shared" si="30"/>
        <v>#VALUE!</v>
      </c>
      <c r="S249" s="296" t="e">
        <f t="shared" si="31"/>
        <v>#VALUE!</v>
      </c>
    </row>
    <row r="250" spans="1:19" x14ac:dyDescent="0.25">
      <c r="A250" s="292">
        <v>5404</v>
      </c>
      <c r="B250" s="292" t="s">
        <v>283</v>
      </c>
      <c r="C250" s="293">
        <f>IFERROR(INDEX(Aktiv!$O$6:$O$350,MATCH(A250,Aktiv!$A$6:$A$350,0)),"")</f>
        <v>309</v>
      </c>
      <c r="D250" s="293">
        <f>IF(C250="","",ROUND(C250*Steuerungsdaten!$B$4*Steuerungsdaten!$B$7*IFERROR(VLOOKUP(IFERROR(INDEX(Aktiv!$C$6:$C$350,MATCH(A250,Aktiv!$A$6:$A$350,0)),""),Steuerungsdaten!$B$17:$C$37,2,FALSE),1)*POWER(IF(OR(IFERROR(INDEX(Aktiv!$E$6:$E$350,MATCH(A250,Aktiv!$A$6:$A$350,0)),0)=0,IFERROR(INDEX(Aktiv!$F$6:$F$350,MATCH(A250,Aktiv!$A$6:$A$350,0)),0)=0),1,(IFERROR(INDEX(Aktiv!$E$6:$E$350,MATCH(A250,Aktiv!$A$6:$A$350,0)),0)*IFERROR(INDEX(Aktiv!$F$6:$F$350,MATCH(A250,Aktiv!$A$6:$A$350,0)),0)/1000000)/Steuerungsdaten!$B$6),IF(ISNUMBER(MATCH(IFERROR(INDEX(Aktiv!$C$6:$C$350,MATCH(A250,Aktiv!$A$6:$A$350,0)),""),{"Boden","Seite außen","Seite außen SY32","Rücken","Seite innen","Seite innen SY32","Seite innen SY32 DB","Fachboden klein","Fachboden groß","Klappenboden"},0)),1.2,1)-1),0))</f>
        <v>306</v>
      </c>
      <c r="E250" s="293">
        <f>IFERROR(INDEX(Aktiv!$G$6:$G$350,MATCH(A250,Aktiv!$A$6:$A$350,0)),"")</f>
        <v>318</v>
      </c>
      <c r="F250" s="294">
        <f t="shared" si="24"/>
        <v>12</v>
      </c>
      <c r="G250" s="295">
        <f t="shared" si="25"/>
        <v>3.9215686274509803E-2</v>
      </c>
      <c r="H250" s="293">
        <f>IF(C250="","",ROUND(C250*Steuerungsdaten!$B$4*Steuerungsdaten!$B$8*IFERROR(VLOOKUP(IFERROR(INDEX(Aktiv!$C$6:$C$350,MATCH(A250,Aktiv!$A$6:$A$350,0)),""),Steuerungsdaten!$B$17:$E$37,4,FALSE),1)*POWER(IF(OR(IFERROR(INDEX(Aktiv!$E$6:$E$350,MATCH(A250,Aktiv!$A$6:$A$350,0)),0)=0,IFERROR(INDEX(Aktiv!$F$6:$F$350,MATCH(A250,Aktiv!$A$6:$A$350,0)),0)=0),1,(IFERROR(INDEX(Aktiv!$E$6:$E$350,MATCH(A250,Aktiv!$A$6:$A$350,0)),0)*IFERROR(INDEX(Aktiv!$F$6:$F$350,MATCH(A250,Aktiv!$A$6:$A$350,0)),0)/1000000)/Steuerungsdaten!$B$6),1-1),0))</f>
        <v>306</v>
      </c>
      <c r="I250" s="293">
        <f>IFERROR(INDEX(Aktiv!$H$6:$H$350,MATCH(A250,Aktiv!$A$6:$A$350,0)),"")</f>
        <v>378</v>
      </c>
      <c r="J250" s="294">
        <f t="shared" si="26"/>
        <v>72</v>
      </c>
      <c r="K250" s="296">
        <f t="shared" si="27"/>
        <v>0.23529411764705882</v>
      </c>
      <c r="L250" s="297">
        <f>IF(C250="","",ROUND(C250*Steuerungsdaten!$B$4*Steuerungsdaten!$B$9*IFERROR(VLOOKUP(IFERROR(INDEX(Aktiv!$C$6:$C$350,MATCH(A250,Aktiv!$A$6:$A$350,0)),""),Steuerungsdaten!$B$17:$G$37,6,FALSE),1)*POWER(IF(OR(IFERROR(INDEX(Aktiv!$E$6:$E$350,MATCH(A250,Aktiv!$A$6:$A$350,0)),0)=0,IFERROR(INDEX(Aktiv!$F$6:$F$350,MATCH(A250,Aktiv!$A$6:$A$350,0)),0)=0),1,(IFERROR(INDEX(Aktiv!$E$6:$E$350,MATCH(A250,Aktiv!$A$6:$A$350,0)),0)*IFERROR(INDEX(Aktiv!$F$6:$F$350,MATCH(A250,Aktiv!$A$6:$A$350,0)),0)/1000000)/Steuerungsdaten!$B$6),1-1),0))</f>
        <v>306</v>
      </c>
      <c r="M250" s="297">
        <f>IFERROR(INDEX(Aktiv!$I$6:$I$350,MATCH(A250,Aktiv!$A$6:$A$350,0)),"")</f>
        <v>411</v>
      </c>
      <c r="N250" s="298">
        <f t="shared" si="28"/>
        <v>105</v>
      </c>
      <c r="O250" s="296">
        <f t="shared" si="29"/>
        <v>0.34313725490196079</v>
      </c>
      <c r="P250" s="297">
        <f>IF(C250="","",ROUND(C250*Steuerungsdaten!$B$4*Steuerungsdaten!$B$10*IFERROR(VLOOKUP(IFERROR(INDEX(Aktiv!$C$6:$C$350,MATCH(A250,Aktiv!$A$6:$A$350,0)),""),Steuerungsdaten!$B$17:$I$37,8,FALSE),1)*POWER(IF(OR(IFERROR(INDEX(Aktiv!$E$6:$E$350,MATCH(A250,Aktiv!$A$6:$A$350,0)),0)=0,IFERROR(INDEX(Aktiv!$F$6:$F$350,MATCH(A250,Aktiv!$A$6:$A$350,0)),0)=0),1,(IFERROR(INDEX(Aktiv!$E$6:$E$350,MATCH(A250,Aktiv!$A$6:$A$350,0)),0)*IFERROR(INDEX(Aktiv!$F$6:$F$350,MATCH(A250,Aktiv!$A$6:$A$350,0)),0)/1000000)/Steuerungsdaten!$B$6),1-1),0))</f>
        <v>334</v>
      </c>
      <c r="Q250" s="297" t="str">
        <f>IFERROR(INDEX(Aktiv!$J$6:$J$350,MATCH(A250,Aktiv!$A$6:$A$350,0)),"")</f>
        <v>-</v>
      </c>
      <c r="R250" s="298" t="e">
        <f t="shared" si="30"/>
        <v>#VALUE!</v>
      </c>
      <c r="S250" s="296" t="e">
        <f t="shared" si="31"/>
        <v>#VALUE!</v>
      </c>
    </row>
    <row r="251" spans="1:19" x14ac:dyDescent="0.25">
      <c r="A251" s="292">
        <v>5405</v>
      </c>
      <c r="B251" s="292" t="s">
        <v>284</v>
      </c>
      <c r="C251" s="293">
        <f>IFERROR(INDEX(Aktiv!$O$6:$O$350,MATCH(A251,Aktiv!$A$6:$A$350,0)),"")</f>
        <v>356</v>
      </c>
      <c r="D251" s="293">
        <f>IF(C251="","",ROUND(C251*Steuerungsdaten!$B$4*Steuerungsdaten!$B$7*IFERROR(VLOOKUP(IFERROR(INDEX(Aktiv!$C$6:$C$350,MATCH(A251,Aktiv!$A$6:$A$350,0)),""),Steuerungsdaten!$B$17:$C$37,2,FALSE),1)*POWER(IF(OR(IFERROR(INDEX(Aktiv!$E$6:$E$350,MATCH(A251,Aktiv!$A$6:$A$350,0)),0)=0,IFERROR(INDEX(Aktiv!$F$6:$F$350,MATCH(A251,Aktiv!$A$6:$A$350,0)),0)=0),1,(IFERROR(INDEX(Aktiv!$E$6:$E$350,MATCH(A251,Aktiv!$A$6:$A$350,0)),0)*IFERROR(INDEX(Aktiv!$F$6:$F$350,MATCH(A251,Aktiv!$A$6:$A$350,0)),0)/1000000)/Steuerungsdaten!$B$6),IF(ISNUMBER(MATCH(IFERROR(INDEX(Aktiv!$C$6:$C$350,MATCH(A251,Aktiv!$A$6:$A$350,0)),""),{"Boden","Seite außen","Seite außen SY32","Rücken","Seite innen","Seite innen SY32","Seite innen SY32 DB","Fachboden klein","Fachboden groß","Klappenboden"},0)),1.2,1)-1),0))</f>
        <v>352</v>
      </c>
      <c r="E251" s="293">
        <f>IFERROR(INDEX(Aktiv!$G$6:$G$350,MATCH(A251,Aktiv!$A$6:$A$350,0)),"")</f>
        <v>341</v>
      </c>
      <c r="F251" s="294">
        <f t="shared" si="24"/>
        <v>-11</v>
      </c>
      <c r="G251" s="295">
        <f t="shared" si="25"/>
        <v>-3.125E-2</v>
      </c>
      <c r="H251" s="293">
        <f>IF(C251="","",ROUND(C251*Steuerungsdaten!$B$4*Steuerungsdaten!$B$8*IFERROR(VLOOKUP(IFERROR(INDEX(Aktiv!$C$6:$C$350,MATCH(A251,Aktiv!$A$6:$A$350,0)),""),Steuerungsdaten!$B$17:$E$37,4,FALSE),1)*POWER(IF(OR(IFERROR(INDEX(Aktiv!$E$6:$E$350,MATCH(A251,Aktiv!$A$6:$A$350,0)),0)=0,IFERROR(INDEX(Aktiv!$F$6:$F$350,MATCH(A251,Aktiv!$A$6:$A$350,0)),0)=0),1,(IFERROR(INDEX(Aktiv!$E$6:$E$350,MATCH(A251,Aktiv!$A$6:$A$350,0)),0)*IFERROR(INDEX(Aktiv!$F$6:$F$350,MATCH(A251,Aktiv!$A$6:$A$350,0)),0)/1000000)/Steuerungsdaten!$B$6),1-1),0))</f>
        <v>352</v>
      </c>
      <c r="I251" s="293">
        <f>IFERROR(INDEX(Aktiv!$H$6:$H$350,MATCH(A251,Aktiv!$A$6:$A$350,0)),"")</f>
        <v>405</v>
      </c>
      <c r="J251" s="294">
        <f t="shared" si="26"/>
        <v>53</v>
      </c>
      <c r="K251" s="296">
        <f t="shared" si="27"/>
        <v>0.15056818181818182</v>
      </c>
      <c r="L251" s="297">
        <f>IF(C251="","",ROUND(C251*Steuerungsdaten!$B$4*Steuerungsdaten!$B$9*IFERROR(VLOOKUP(IFERROR(INDEX(Aktiv!$C$6:$C$350,MATCH(A251,Aktiv!$A$6:$A$350,0)),""),Steuerungsdaten!$B$17:$G$37,6,FALSE),1)*POWER(IF(OR(IFERROR(INDEX(Aktiv!$E$6:$E$350,MATCH(A251,Aktiv!$A$6:$A$350,0)),0)=0,IFERROR(INDEX(Aktiv!$F$6:$F$350,MATCH(A251,Aktiv!$A$6:$A$350,0)),0)=0),1,(IFERROR(INDEX(Aktiv!$E$6:$E$350,MATCH(A251,Aktiv!$A$6:$A$350,0)),0)*IFERROR(INDEX(Aktiv!$F$6:$F$350,MATCH(A251,Aktiv!$A$6:$A$350,0)),0)/1000000)/Steuerungsdaten!$B$6),1-1),0))</f>
        <v>352</v>
      </c>
      <c r="M251" s="297">
        <f>IFERROR(INDEX(Aktiv!$I$6:$I$350,MATCH(A251,Aktiv!$A$6:$A$350,0)),"")</f>
        <v>441</v>
      </c>
      <c r="N251" s="298">
        <f t="shared" si="28"/>
        <v>89</v>
      </c>
      <c r="O251" s="296">
        <f t="shared" si="29"/>
        <v>0.25284090909090912</v>
      </c>
      <c r="P251" s="297">
        <f>IF(C251="","",ROUND(C251*Steuerungsdaten!$B$4*Steuerungsdaten!$B$10*IFERROR(VLOOKUP(IFERROR(INDEX(Aktiv!$C$6:$C$350,MATCH(A251,Aktiv!$A$6:$A$350,0)),""),Steuerungsdaten!$B$17:$I$37,8,FALSE),1)*POWER(IF(OR(IFERROR(INDEX(Aktiv!$E$6:$E$350,MATCH(A251,Aktiv!$A$6:$A$350,0)),0)=0,IFERROR(INDEX(Aktiv!$F$6:$F$350,MATCH(A251,Aktiv!$A$6:$A$350,0)),0)=0),1,(IFERROR(INDEX(Aktiv!$E$6:$E$350,MATCH(A251,Aktiv!$A$6:$A$350,0)),0)*IFERROR(INDEX(Aktiv!$F$6:$F$350,MATCH(A251,Aktiv!$A$6:$A$350,0)),0)/1000000)/Steuerungsdaten!$B$6),1-1),0))</f>
        <v>384</v>
      </c>
      <c r="Q251" s="297" t="str">
        <f>IFERROR(INDEX(Aktiv!$J$6:$J$350,MATCH(A251,Aktiv!$A$6:$A$350,0)),"")</f>
        <v>-</v>
      </c>
      <c r="R251" s="298" t="e">
        <f t="shared" si="30"/>
        <v>#VALUE!</v>
      </c>
      <c r="S251" s="296" t="e">
        <f t="shared" si="31"/>
        <v>#VALUE!</v>
      </c>
    </row>
    <row r="252" spans="1:19" x14ac:dyDescent="0.25">
      <c r="A252" s="292">
        <v>5406</v>
      </c>
      <c r="B252" s="292" t="s">
        <v>285</v>
      </c>
      <c r="C252" s="293">
        <f>IFERROR(INDEX(Aktiv!$O$6:$O$350,MATCH(A252,Aktiv!$A$6:$A$350,0)),"")</f>
        <v>348</v>
      </c>
      <c r="D252" s="293">
        <f>IF(C252="","",ROUND(C252*Steuerungsdaten!$B$4*Steuerungsdaten!$B$7*IFERROR(VLOOKUP(IFERROR(INDEX(Aktiv!$C$6:$C$350,MATCH(A252,Aktiv!$A$6:$A$350,0)),""),Steuerungsdaten!$B$17:$C$37,2,FALSE),1)*POWER(IF(OR(IFERROR(INDEX(Aktiv!$E$6:$E$350,MATCH(A252,Aktiv!$A$6:$A$350,0)),0)=0,IFERROR(INDEX(Aktiv!$F$6:$F$350,MATCH(A252,Aktiv!$A$6:$A$350,0)),0)=0),1,(IFERROR(INDEX(Aktiv!$E$6:$E$350,MATCH(A252,Aktiv!$A$6:$A$350,0)),0)*IFERROR(INDEX(Aktiv!$F$6:$F$350,MATCH(A252,Aktiv!$A$6:$A$350,0)),0)/1000000)/Steuerungsdaten!$B$6),IF(ISNUMBER(MATCH(IFERROR(INDEX(Aktiv!$C$6:$C$350,MATCH(A252,Aktiv!$A$6:$A$350,0)),""),{"Boden","Seite außen","Seite außen SY32","Rücken","Seite innen","Seite innen SY32","Seite innen SY32 DB","Fachboden klein","Fachboden groß","Klappenboden"},0)),1.2,1)-1),0))</f>
        <v>345</v>
      </c>
      <c r="E252" s="293">
        <f>IFERROR(INDEX(Aktiv!$G$6:$G$350,MATCH(A252,Aktiv!$A$6:$A$350,0)),"")</f>
        <v>325</v>
      </c>
      <c r="F252" s="294">
        <f t="shared" si="24"/>
        <v>-20</v>
      </c>
      <c r="G252" s="295">
        <f t="shared" si="25"/>
        <v>-5.7971014492753624E-2</v>
      </c>
      <c r="H252" s="293">
        <f>IF(C252="","",ROUND(C252*Steuerungsdaten!$B$4*Steuerungsdaten!$B$8*IFERROR(VLOOKUP(IFERROR(INDEX(Aktiv!$C$6:$C$350,MATCH(A252,Aktiv!$A$6:$A$350,0)),""),Steuerungsdaten!$B$17:$E$37,4,FALSE),1)*POWER(IF(OR(IFERROR(INDEX(Aktiv!$E$6:$E$350,MATCH(A252,Aktiv!$A$6:$A$350,0)),0)=0,IFERROR(INDEX(Aktiv!$F$6:$F$350,MATCH(A252,Aktiv!$A$6:$A$350,0)),0)=0),1,(IFERROR(INDEX(Aktiv!$E$6:$E$350,MATCH(A252,Aktiv!$A$6:$A$350,0)),0)*IFERROR(INDEX(Aktiv!$F$6:$F$350,MATCH(A252,Aktiv!$A$6:$A$350,0)),0)/1000000)/Steuerungsdaten!$B$6),1-1),0))</f>
        <v>345</v>
      </c>
      <c r="I252" s="293">
        <f>IFERROR(INDEX(Aktiv!$H$6:$H$350,MATCH(A252,Aktiv!$A$6:$A$350,0)),"")</f>
        <v>386</v>
      </c>
      <c r="J252" s="294">
        <f t="shared" si="26"/>
        <v>41</v>
      </c>
      <c r="K252" s="296">
        <f t="shared" si="27"/>
        <v>0.11884057971014493</v>
      </c>
      <c r="L252" s="297">
        <f>IF(C252="","",ROUND(C252*Steuerungsdaten!$B$4*Steuerungsdaten!$B$9*IFERROR(VLOOKUP(IFERROR(INDEX(Aktiv!$C$6:$C$350,MATCH(A252,Aktiv!$A$6:$A$350,0)),""),Steuerungsdaten!$B$17:$G$37,6,FALSE),1)*POWER(IF(OR(IFERROR(INDEX(Aktiv!$E$6:$E$350,MATCH(A252,Aktiv!$A$6:$A$350,0)),0)=0,IFERROR(INDEX(Aktiv!$F$6:$F$350,MATCH(A252,Aktiv!$A$6:$A$350,0)),0)=0),1,(IFERROR(INDEX(Aktiv!$E$6:$E$350,MATCH(A252,Aktiv!$A$6:$A$350,0)),0)*IFERROR(INDEX(Aktiv!$F$6:$F$350,MATCH(A252,Aktiv!$A$6:$A$350,0)),0)/1000000)/Steuerungsdaten!$B$6),1-1),0))</f>
        <v>345</v>
      </c>
      <c r="M252" s="297">
        <f>IFERROR(INDEX(Aktiv!$I$6:$I$350,MATCH(A252,Aktiv!$A$6:$A$350,0)),"")</f>
        <v>421</v>
      </c>
      <c r="N252" s="298">
        <f t="shared" si="28"/>
        <v>76</v>
      </c>
      <c r="O252" s="296">
        <f t="shared" si="29"/>
        <v>0.22028985507246376</v>
      </c>
      <c r="P252" s="297">
        <f>IF(C252="","",ROUND(C252*Steuerungsdaten!$B$4*Steuerungsdaten!$B$10*IFERROR(VLOOKUP(IFERROR(INDEX(Aktiv!$C$6:$C$350,MATCH(A252,Aktiv!$A$6:$A$350,0)),""),Steuerungsdaten!$B$17:$I$37,8,FALSE),1)*POWER(IF(OR(IFERROR(INDEX(Aktiv!$E$6:$E$350,MATCH(A252,Aktiv!$A$6:$A$350,0)),0)=0,IFERROR(INDEX(Aktiv!$F$6:$F$350,MATCH(A252,Aktiv!$A$6:$A$350,0)),0)=0),1,(IFERROR(INDEX(Aktiv!$E$6:$E$350,MATCH(A252,Aktiv!$A$6:$A$350,0)),0)*IFERROR(INDEX(Aktiv!$F$6:$F$350,MATCH(A252,Aktiv!$A$6:$A$350,0)),0)/1000000)/Steuerungsdaten!$B$6),1-1),0))</f>
        <v>376</v>
      </c>
      <c r="Q252" s="297" t="str">
        <f>IFERROR(INDEX(Aktiv!$J$6:$J$350,MATCH(A252,Aktiv!$A$6:$A$350,0)),"")</f>
        <v>-</v>
      </c>
      <c r="R252" s="298" t="e">
        <f t="shared" si="30"/>
        <v>#VALUE!</v>
      </c>
      <c r="S252" s="296" t="e">
        <f t="shared" si="31"/>
        <v>#VALUE!</v>
      </c>
    </row>
    <row r="253" spans="1:19" x14ac:dyDescent="0.25">
      <c r="A253" s="292">
        <v>5407</v>
      </c>
      <c r="B253" s="292" t="s">
        <v>286</v>
      </c>
      <c r="C253" s="293">
        <f>IFERROR(INDEX(Aktiv!$O$6:$O$350,MATCH(A253,Aktiv!$A$6:$A$350,0)),"")</f>
        <v>429</v>
      </c>
      <c r="D253" s="293">
        <f>IF(C253="","",ROUND(C253*Steuerungsdaten!$B$4*Steuerungsdaten!$B$7*IFERROR(VLOOKUP(IFERROR(INDEX(Aktiv!$C$6:$C$350,MATCH(A253,Aktiv!$A$6:$A$350,0)),""),Steuerungsdaten!$B$17:$C$37,2,FALSE),1)*POWER(IF(OR(IFERROR(INDEX(Aktiv!$E$6:$E$350,MATCH(A253,Aktiv!$A$6:$A$350,0)),0)=0,IFERROR(INDEX(Aktiv!$F$6:$F$350,MATCH(A253,Aktiv!$A$6:$A$350,0)),0)=0),1,(IFERROR(INDEX(Aktiv!$E$6:$E$350,MATCH(A253,Aktiv!$A$6:$A$350,0)),0)*IFERROR(INDEX(Aktiv!$F$6:$F$350,MATCH(A253,Aktiv!$A$6:$A$350,0)),0)/1000000)/Steuerungsdaten!$B$6),IF(ISNUMBER(MATCH(IFERROR(INDEX(Aktiv!$C$6:$C$350,MATCH(A253,Aktiv!$A$6:$A$350,0)),""),{"Boden","Seite außen","Seite außen SY32","Rücken","Seite innen","Seite innen SY32","Seite innen SY32 DB","Fachboden klein","Fachboden groß","Klappenboden"},0)),1.2,1)-1),0))</f>
        <v>425</v>
      </c>
      <c r="E253" s="293">
        <f>IFERROR(INDEX(Aktiv!$G$6:$G$350,MATCH(A253,Aktiv!$A$6:$A$350,0)),"")</f>
        <v>349</v>
      </c>
      <c r="F253" s="294">
        <f t="shared" si="24"/>
        <v>-76</v>
      </c>
      <c r="G253" s="295">
        <f t="shared" si="25"/>
        <v>-0.17882352941176471</v>
      </c>
      <c r="H253" s="293">
        <f>IF(C253="","",ROUND(C253*Steuerungsdaten!$B$4*Steuerungsdaten!$B$8*IFERROR(VLOOKUP(IFERROR(INDEX(Aktiv!$C$6:$C$350,MATCH(A253,Aktiv!$A$6:$A$350,0)),""),Steuerungsdaten!$B$17:$E$37,4,FALSE),1)*POWER(IF(OR(IFERROR(INDEX(Aktiv!$E$6:$E$350,MATCH(A253,Aktiv!$A$6:$A$350,0)),0)=0,IFERROR(INDEX(Aktiv!$F$6:$F$350,MATCH(A253,Aktiv!$A$6:$A$350,0)),0)=0),1,(IFERROR(INDEX(Aktiv!$E$6:$E$350,MATCH(A253,Aktiv!$A$6:$A$350,0)),0)*IFERROR(INDEX(Aktiv!$F$6:$F$350,MATCH(A253,Aktiv!$A$6:$A$350,0)),0)/1000000)/Steuerungsdaten!$B$6),1-1),0))</f>
        <v>425</v>
      </c>
      <c r="I253" s="293">
        <f>IFERROR(INDEX(Aktiv!$H$6:$H$350,MATCH(A253,Aktiv!$A$6:$A$350,0)),"")</f>
        <v>414</v>
      </c>
      <c r="J253" s="294">
        <f t="shared" si="26"/>
        <v>-11</v>
      </c>
      <c r="K253" s="296">
        <f t="shared" si="27"/>
        <v>-2.5882352941176471E-2</v>
      </c>
      <c r="L253" s="297">
        <f>IF(C253="","",ROUND(C253*Steuerungsdaten!$B$4*Steuerungsdaten!$B$9*IFERROR(VLOOKUP(IFERROR(INDEX(Aktiv!$C$6:$C$350,MATCH(A253,Aktiv!$A$6:$A$350,0)),""),Steuerungsdaten!$B$17:$G$37,6,FALSE),1)*POWER(IF(OR(IFERROR(INDEX(Aktiv!$E$6:$E$350,MATCH(A253,Aktiv!$A$6:$A$350,0)),0)=0,IFERROR(INDEX(Aktiv!$F$6:$F$350,MATCH(A253,Aktiv!$A$6:$A$350,0)),0)=0),1,(IFERROR(INDEX(Aktiv!$E$6:$E$350,MATCH(A253,Aktiv!$A$6:$A$350,0)),0)*IFERROR(INDEX(Aktiv!$F$6:$F$350,MATCH(A253,Aktiv!$A$6:$A$350,0)),0)/1000000)/Steuerungsdaten!$B$6),1-1),0))</f>
        <v>425</v>
      </c>
      <c r="M253" s="297">
        <f>IFERROR(INDEX(Aktiv!$I$6:$I$350,MATCH(A253,Aktiv!$A$6:$A$350,0)),"")</f>
        <v>451</v>
      </c>
      <c r="N253" s="298">
        <f t="shared" si="28"/>
        <v>26</v>
      </c>
      <c r="O253" s="296">
        <f t="shared" si="29"/>
        <v>6.1176470588235297E-2</v>
      </c>
      <c r="P253" s="297">
        <f>IF(C253="","",ROUND(C253*Steuerungsdaten!$B$4*Steuerungsdaten!$B$10*IFERROR(VLOOKUP(IFERROR(INDEX(Aktiv!$C$6:$C$350,MATCH(A253,Aktiv!$A$6:$A$350,0)),""),Steuerungsdaten!$B$17:$I$37,8,FALSE),1)*POWER(IF(OR(IFERROR(INDEX(Aktiv!$E$6:$E$350,MATCH(A253,Aktiv!$A$6:$A$350,0)),0)=0,IFERROR(INDEX(Aktiv!$F$6:$F$350,MATCH(A253,Aktiv!$A$6:$A$350,0)),0)=0),1,(IFERROR(INDEX(Aktiv!$E$6:$E$350,MATCH(A253,Aktiv!$A$6:$A$350,0)),0)*IFERROR(INDEX(Aktiv!$F$6:$F$350,MATCH(A253,Aktiv!$A$6:$A$350,0)),0)/1000000)/Steuerungsdaten!$B$6),1-1),0))</f>
        <v>463</v>
      </c>
      <c r="Q253" s="297" t="str">
        <f>IFERROR(INDEX(Aktiv!$J$6:$J$350,MATCH(A253,Aktiv!$A$6:$A$350,0)),"")</f>
        <v>-</v>
      </c>
      <c r="R253" s="298" t="e">
        <f t="shared" si="30"/>
        <v>#VALUE!</v>
      </c>
      <c r="S253" s="296" t="e">
        <f t="shared" si="31"/>
        <v>#VALUE!</v>
      </c>
    </row>
    <row r="254" spans="1:19" x14ac:dyDescent="0.25">
      <c r="A254" s="292">
        <v>5500</v>
      </c>
      <c r="B254" s="292" t="s">
        <v>288</v>
      </c>
      <c r="C254" s="293">
        <f>IFERROR(INDEX(Aktiv!$O$6:$O$350,MATCH(A254,Aktiv!$A$6:$A$350,0)),"")</f>
        <v>285</v>
      </c>
      <c r="D254" s="293">
        <f>IF(C254="","",ROUND(C254*Steuerungsdaten!$B$4*Steuerungsdaten!$B$7*IFERROR(VLOOKUP(IFERROR(INDEX(Aktiv!$C$6:$C$350,MATCH(A254,Aktiv!$A$6:$A$350,0)),""),Steuerungsdaten!$B$17:$C$37,2,FALSE),1)*POWER(IF(OR(IFERROR(INDEX(Aktiv!$E$6:$E$350,MATCH(A254,Aktiv!$A$6:$A$350,0)),0)=0,IFERROR(INDEX(Aktiv!$F$6:$F$350,MATCH(A254,Aktiv!$A$6:$A$350,0)),0)=0),1,(IFERROR(INDEX(Aktiv!$E$6:$E$350,MATCH(A254,Aktiv!$A$6:$A$350,0)),0)*IFERROR(INDEX(Aktiv!$F$6:$F$350,MATCH(A254,Aktiv!$A$6:$A$350,0)),0)/1000000)/Steuerungsdaten!$B$6),IF(ISNUMBER(MATCH(IFERROR(INDEX(Aktiv!$C$6:$C$350,MATCH(A254,Aktiv!$A$6:$A$350,0)),""),{"Boden","Seite außen","Seite außen SY32","Rücken","Seite innen","Seite innen SY32","Seite innen SY32 DB","Fachboden klein","Fachboden groß","Klappenboden"},0)),1.2,1)-1),0))</f>
        <v>282</v>
      </c>
      <c r="E254" s="293">
        <f>IFERROR(INDEX(Aktiv!$G$6:$G$350,MATCH(A254,Aktiv!$A$6:$A$350,0)),"")</f>
        <v>299</v>
      </c>
      <c r="F254" s="294">
        <f t="shared" si="24"/>
        <v>17</v>
      </c>
      <c r="G254" s="295">
        <f t="shared" si="25"/>
        <v>6.0283687943262408E-2</v>
      </c>
      <c r="H254" s="293">
        <f>IF(C254="","",ROUND(C254*Steuerungsdaten!$B$4*Steuerungsdaten!$B$8*IFERROR(VLOOKUP(IFERROR(INDEX(Aktiv!$C$6:$C$350,MATCH(A254,Aktiv!$A$6:$A$350,0)),""),Steuerungsdaten!$B$17:$E$37,4,FALSE),1)*POWER(IF(OR(IFERROR(INDEX(Aktiv!$E$6:$E$350,MATCH(A254,Aktiv!$A$6:$A$350,0)),0)=0,IFERROR(INDEX(Aktiv!$F$6:$F$350,MATCH(A254,Aktiv!$A$6:$A$350,0)),0)=0),1,(IFERROR(INDEX(Aktiv!$E$6:$E$350,MATCH(A254,Aktiv!$A$6:$A$350,0)),0)*IFERROR(INDEX(Aktiv!$F$6:$F$350,MATCH(A254,Aktiv!$A$6:$A$350,0)),0)/1000000)/Steuerungsdaten!$B$6),1-1),0))</f>
        <v>282</v>
      </c>
      <c r="I254" s="293">
        <f>IFERROR(INDEX(Aktiv!$H$6:$H$350,MATCH(A254,Aktiv!$A$6:$A$350,0)),"")</f>
        <v>355</v>
      </c>
      <c r="J254" s="294">
        <f t="shared" si="26"/>
        <v>73</v>
      </c>
      <c r="K254" s="296">
        <f t="shared" si="27"/>
        <v>0.25886524822695034</v>
      </c>
      <c r="L254" s="297">
        <f>IF(C254="","",ROUND(C254*Steuerungsdaten!$B$4*Steuerungsdaten!$B$9*IFERROR(VLOOKUP(IFERROR(INDEX(Aktiv!$C$6:$C$350,MATCH(A254,Aktiv!$A$6:$A$350,0)),""),Steuerungsdaten!$B$17:$G$37,6,FALSE),1)*POWER(IF(OR(IFERROR(INDEX(Aktiv!$E$6:$E$350,MATCH(A254,Aktiv!$A$6:$A$350,0)),0)=0,IFERROR(INDEX(Aktiv!$F$6:$F$350,MATCH(A254,Aktiv!$A$6:$A$350,0)),0)=0),1,(IFERROR(INDEX(Aktiv!$E$6:$E$350,MATCH(A254,Aktiv!$A$6:$A$350,0)),0)*IFERROR(INDEX(Aktiv!$F$6:$F$350,MATCH(A254,Aktiv!$A$6:$A$350,0)),0)/1000000)/Steuerungsdaten!$B$6),1-1),0))</f>
        <v>282</v>
      </c>
      <c r="M254" s="297">
        <f>IFERROR(INDEX(Aktiv!$I$6:$I$350,MATCH(A254,Aktiv!$A$6:$A$350,0)),"")</f>
        <v>386</v>
      </c>
      <c r="N254" s="298">
        <f t="shared" si="28"/>
        <v>104</v>
      </c>
      <c r="O254" s="296">
        <f t="shared" si="29"/>
        <v>0.36879432624113473</v>
      </c>
      <c r="P254" s="297">
        <f>IF(C254="","",ROUND(C254*Steuerungsdaten!$B$4*Steuerungsdaten!$B$10*IFERROR(VLOOKUP(IFERROR(INDEX(Aktiv!$C$6:$C$350,MATCH(A254,Aktiv!$A$6:$A$350,0)),""),Steuerungsdaten!$B$17:$I$37,8,FALSE),1)*POWER(IF(OR(IFERROR(INDEX(Aktiv!$E$6:$E$350,MATCH(A254,Aktiv!$A$6:$A$350,0)),0)=0,IFERROR(INDEX(Aktiv!$F$6:$F$350,MATCH(A254,Aktiv!$A$6:$A$350,0)),0)=0),1,(IFERROR(INDEX(Aktiv!$E$6:$E$350,MATCH(A254,Aktiv!$A$6:$A$350,0)),0)*IFERROR(INDEX(Aktiv!$F$6:$F$350,MATCH(A254,Aktiv!$A$6:$A$350,0)),0)/1000000)/Steuerungsdaten!$B$6),1-1),0))</f>
        <v>308</v>
      </c>
      <c r="Q254" s="297" t="str">
        <f>IFERROR(INDEX(Aktiv!$J$6:$J$350,MATCH(A254,Aktiv!$A$6:$A$350,0)),"")</f>
        <v>-</v>
      </c>
      <c r="R254" s="298" t="e">
        <f t="shared" si="30"/>
        <v>#VALUE!</v>
      </c>
      <c r="S254" s="296" t="e">
        <f t="shared" si="31"/>
        <v>#VALUE!</v>
      </c>
    </row>
    <row r="255" spans="1:19" x14ac:dyDescent="0.25">
      <c r="A255" s="292">
        <v>5501</v>
      </c>
      <c r="B255" s="292" t="s">
        <v>289</v>
      </c>
      <c r="C255" s="293">
        <f>IFERROR(INDEX(Aktiv!$O$6:$O$350,MATCH(A255,Aktiv!$A$6:$A$350,0)),"")</f>
        <v>352</v>
      </c>
      <c r="D255" s="293">
        <f>IF(C255="","",ROUND(C255*Steuerungsdaten!$B$4*Steuerungsdaten!$B$7*IFERROR(VLOOKUP(IFERROR(INDEX(Aktiv!$C$6:$C$350,MATCH(A255,Aktiv!$A$6:$A$350,0)),""),Steuerungsdaten!$B$17:$C$37,2,FALSE),1)*POWER(IF(OR(IFERROR(INDEX(Aktiv!$E$6:$E$350,MATCH(A255,Aktiv!$A$6:$A$350,0)),0)=0,IFERROR(INDEX(Aktiv!$F$6:$F$350,MATCH(A255,Aktiv!$A$6:$A$350,0)),0)=0),1,(IFERROR(INDEX(Aktiv!$E$6:$E$350,MATCH(A255,Aktiv!$A$6:$A$350,0)),0)*IFERROR(INDEX(Aktiv!$F$6:$F$350,MATCH(A255,Aktiv!$A$6:$A$350,0)),0)/1000000)/Steuerungsdaten!$B$6),IF(ISNUMBER(MATCH(IFERROR(INDEX(Aktiv!$C$6:$C$350,MATCH(A255,Aktiv!$A$6:$A$350,0)),""),{"Boden","Seite außen","Seite außen SY32","Rücken","Seite innen","Seite innen SY32","Seite innen SY32 DB","Fachboden klein","Fachboden groß","Klappenboden"},0)),1.2,1)-1),0))</f>
        <v>348</v>
      </c>
      <c r="E255" s="293">
        <f>IFERROR(INDEX(Aktiv!$G$6:$G$350,MATCH(A255,Aktiv!$A$6:$A$350,0)),"")</f>
        <v>320</v>
      </c>
      <c r="F255" s="294">
        <f t="shared" si="24"/>
        <v>-28</v>
      </c>
      <c r="G255" s="295">
        <f t="shared" si="25"/>
        <v>-8.0459770114942528E-2</v>
      </c>
      <c r="H255" s="293">
        <f>IF(C255="","",ROUND(C255*Steuerungsdaten!$B$4*Steuerungsdaten!$B$8*IFERROR(VLOOKUP(IFERROR(INDEX(Aktiv!$C$6:$C$350,MATCH(A255,Aktiv!$A$6:$A$350,0)),""),Steuerungsdaten!$B$17:$E$37,4,FALSE),1)*POWER(IF(OR(IFERROR(INDEX(Aktiv!$E$6:$E$350,MATCH(A255,Aktiv!$A$6:$A$350,0)),0)=0,IFERROR(INDEX(Aktiv!$F$6:$F$350,MATCH(A255,Aktiv!$A$6:$A$350,0)),0)=0),1,(IFERROR(INDEX(Aktiv!$E$6:$E$350,MATCH(A255,Aktiv!$A$6:$A$350,0)),0)*IFERROR(INDEX(Aktiv!$F$6:$F$350,MATCH(A255,Aktiv!$A$6:$A$350,0)),0)/1000000)/Steuerungsdaten!$B$6),1-1),0))</f>
        <v>348</v>
      </c>
      <c r="I255" s="293">
        <f>IFERROR(INDEX(Aktiv!$H$6:$H$350,MATCH(A255,Aktiv!$A$6:$A$350,0)),"")</f>
        <v>381</v>
      </c>
      <c r="J255" s="294">
        <f t="shared" si="26"/>
        <v>33</v>
      </c>
      <c r="K255" s="296">
        <f t="shared" si="27"/>
        <v>9.4827586206896547E-2</v>
      </c>
      <c r="L255" s="297">
        <f>IF(C255="","",ROUND(C255*Steuerungsdaten!$B$4*Steuerungsdaten!$B$9*IFERROR(VLOOKUP(IFERROR(INDEX(Aktiv!$C$6:$C$350,MATCH(A255,Aktiv!$A$6:$A$350,0)),""),Steuerungsdaten!$B$17:$G$37,6,FALSE),1)*POWER(IF(OR(IFERROR(INDEX(Aktiv!$E$6:$E$350,MATCH(A255,Aktiv!$A$6:$A$350,0)),0)=0,IFERROR(INDEX(Aktiv!$F$6:$F$350,MATCH(A255,Aktiv!$A$6:$A$350,0)),0)=0),1,(IFERROR(INDEX(Aktiv!$E$6:$E$350,MATCH(A255,Aktiv!$A$6:$A$350,0)),0)*IFERROR(INDEX(Aktiv!$F$6:$F$350,MATCH(A255,Aktiv!$A$6:$A$350,0)),0)/1000000)/Steuerungsdaten!$B$6),1-1),0))</f>
        <v>348</v>
      </c>
      <c r="M255" s="297">
        <f>IFERROR(INDEX(Aktiv!$I$6:$I$350,MATCH(A255,Aktiv!$A$6:$A$350,0)),"")</f>
        <v>414</v>
      </c>
      <c r="N255" s="298">
        <f t="shared" si="28"/>
        <v>66</v>
      </c>
      <c r="O255" s="296">
        <f t="shared" si="29"/>
        <v>0.18965517241379309</v>
      </c>
      <c r="P255" s="297">
        <f>IF(C255="","",ROUND(C255*Steuerungsdaten!$B$4*Steuerungsdaten!$B$10*IFERROR(VLOOKUP(IFERROR(INDEX(Aktiv!$C$6:$C$350,MATCH(A255,Aktiv!$A$6:$A$350,0)),""),Steuerungsdaten!$B$17:$I$37,8,FALSE),1)*POWER(IF(OR(IFERROR(INDEX(Aktiv!$E$6:$E$350,MATCH(A255,Aktiv!$A$6:$A$350,0)),0)=0,IFERROR(INDEX(Aktiv!$F$6:$F$350,MATCH(A255,Aktiv!$A$6:$A$350,0)),0)=0),1,(IFERROR(INDEX(Aktiv!$E$6:$E$350,MATCH(A255,Aktiv!$A$6:$A$350,0)),0)*IFERROR(INDEX(Aktiv!$F$6:$F$350,MATCH(A255,Aktiv!$A$6:$A$350,0)),0)/1000000)/Steuerungsdaten!$B$6),1-1),0))</f>
        <v>380</v>
      </c>
      <c r="Q255" s="297" t="str">
        <f>IFERROR(INDEX(Aktiv!$J$6:$J$350,MATCH(A255,Aktiv!$A$6:$A$350,0)),"")</f>
        <v>-</v>
      </c>
      <c r="R255" s="298" t="e">
        <f t="shared" si="30"/>
        <v>#VALUE!</v>
      </c>
      <c r="S255" s="296" t="e">
        <f t="shared" si="31"/>
        <v>#VALUE!</v>
      </c>
    </row>
    <row r="256" spans="1:19" x14ac:dyDescent="0.25">
      <c r="A256" s="292">
        <v>5502</v>
      </c>
      <c r="B256" s="292" t="s">
        <v>290</v>
      </c>
      <c r="C256" s="293">
        <f>IFERROR(INDEX(Aktiv!$O$6:$O$350,MATCH(A256,Aktiv!$A$6:$A$350,0)),"")</f>
        <v>298</v>
      </c>
      <c r="D256" s="293">
        <f>IF(C256="","",ROUND(C256*Steuerungsdaten!$B$4*Steuerungsdaten!$B$7*IFERROR(VLOOKUP(IFERROR(INDEX(Aktiv!$C$6:$C$350,MATCH(A256,Aktiv!$A$6:$A$350,0)),""),Steuerungsdaten!$B$17:$C$37,2,FALSE),1)*POWER(IF(OR(IFERROR(INDEX(Aktiv!$E$6:$E$350,MATCH(A256,Aktiv!$A$6:$A$350,0)),0)=0,IFERROR(INDEX(Aktiv!$F$6:$F$350,MATCH(A256,Aktiv!$A$6:$A$350,0)),0)=0),1,(IFERROR(INDEX(Aktiv!$E$6:$E$350,MATCH(A256,Aktiv!$A$6:$A$350,0)),0)*IFERROR(INDEX(Aktiv!$F$6:$F$350,MATCH(A256,Aktiv!$A$6:$A$350,0)),0)/1000000)/Steuerungsdaten!$B$6),IF(ISNUMBER(MATCH(IFERROR(INDEX(Aktiv!$C$6:$C$350,MATCH(A256,Aktiv!$A$6:$A$350,0)),""),{"Boden","Seite außen","Seite außen SY32","Rücken","Seite innen","Seite innen SY32","Seite innen SY32 DB","Fachboden klein","Fachboden groß","Klappenboden"},0)),1.2,1)-1),0))</f>
        <v>295</v>
      </c>
      <c r="E256" s="293">
        <f>IFERROR(INDEX(Aktiv!$G$6:$G$350,MATCH(A256,Aktiv!$A$6:$A$350,0)),"")</f>
        <v>309</v>
      </c>
      <c r="F256" s="294">
        <f t="shared" si="24"/>
        <v>14</v>
      </c>
      <c r="G256" s="295">
        <f t="shared" si="25"/>
        <v>4.7457627118644069E-2</v>
      </c>
      <c r="H256" s="293">
        <f>IF(C256="","",ROUND(C256*Steuerungsdaten!$B$4*Steuerungsdaten!$B$8*IFERROR(VLOOKUP(IFERROR(INDEX(Aktiv!$C$6:$C$350,MATCH(A256,Aktiv!$A$6:$A$350,0)),""),Steuerungsdaten!$B$17:$E$37,4,FALSE),1)*POWER(IF(OR(IFERROR(INDEX(Aktiv!$E$6:$E$350,MATCH(A256,Aktiv!$A$6:$A$350,0)),0)=0,IFERROR(INDEX(Aktiv!$F$6:$F$350,MATCH(A256,Aktiv!$A$6:$A$350,0)),0)=0),1,(IFERROR(INDEX(Aktiv!$E$6:$E$350,MATCH(A256,Aktiv!$A$6:$A$350,0)),0)*IFERROR(INDEX(Aktiv!$F$6:$F$350,MATCH(A256,Aktiv!$A$6:$A$350,0)),0)/1000000)/Steuerungsdaten!$B$6),1-1),0))</f>
        <v>295</v>
      </c>
      <c r="I256" s="293">
        <f>IFERROR(INDEX(Aktiv!$H$6:$H$350,MATCH(A256,Aktiv!$A$6:$A$350,0)),"")</f>
        <v>367</v>
      </c>
      <c r="J256" s="294">
        <f t="shared" si="26"/>
        <v>72</v>
      </c>
      <c r="K256" s="296">
        <f t="shared" si="27"/>
        <v>0.2440677966101695</v>
      </c>
      <c r="L256" s="297">
        <f>IF(C256="","",ROUND(C256*Steuerungsdaten!$B$4*Steuerungsdaten!$B$9*IFERROR(VLOOKUP(IFERROR(INDEX(Aktiv!$C$6:$C$350,MATCH(A256,Aktiv!$A$6:$A$350,0)),""),Steuerungsdaten!$B$17:$G$37,6,FALSE),1)*POWER(IF(OR(IFERROR(INDEX(Aktiv!$E$6:$E$350,MATCH(A256,Aktiv!$A$6:$A$350,0)),0)=0,IFERROR(INDEX(Aktiv!$F$6:$F$350,MATCH(A256,Aktiv!$A$6:$A$350,0)),0)=0),1,(IFERROR(INDEX(Aktiv!$E$6:$E$350,MATCH(A256,Aktiv!$A$6:$A$350,0)),0)*IFERROR(INDEX(Aktiv!$F$6:$F$350,MATCH(A256,Aktiv!$A$6:$A$350,0)),0)/1000000)/Steuerungsdaten!$B$6),1-1),0))</f>
        <v>295</v>
      </c>
      <c r="M256" s="297">
        <f>IFERROR(INDEX(Aktiv!$I$6:$I$350,MATCH(A256,Aktiv!$A$6:$A$350,0)),"")</f>
        <v>399</v>
      </c>
      <c r="N256" s="298">
        <f t="shared" si="28"/>
        <v>104</v>
      </c>
      <c r="O256" s="296">
        <f t="shared" si="29"/>
        <v>0.35254237288135593</v>
      </c>
      <c r="P256" s="297">
        <f>IF(C256="","",ROUND(C256*Steuerungsdaten!$B$4*Steuerungsdaten!$B$10*IFERROR(VLOOKUP(IFERROR(INDEX(Aktiv!$C$6:$C$350,MATCH(A256,Aktiv!$A$6:$A$350,0)),""),Steuerungsdaten!$B$17:$I$37,8,FALSE),1)*POWER(IF(OR(IFERROR(INDEX(Aktiv!$E$6:$E$350,MATCH(A256,Aktiv!$A$6:$A$350,0)),0)=0,IFERROR(INDEX(Aktiv!$F$6:$F$350,MATCH(A256,Aktiv!$A$6:$A$350,0)),0)=0),1,(IFERROR(INDEX(Aktiv!$E$6:$E$350,MATCH(A256,Aktiv!$A$6:$A$350,0)),0)*IFERROR(INDEX(Aktiv!$F$6:$F$350,MATCH(A256,Aktiv!$A$6:$A$350,0)),0)/1000000)/Steuerungsdaten!$B$6),1-1),0))</f>
        <v>322</v>
      </c>
      <c r="Q256" s="297" t="str">
        <f>IFERROR(INDEX(Aktiv!$J$6:$J$350,MATCH(A256,Aktiv!$A$6:$A$350,0)),"")</f>
        <v>-</v>
      </c>
      <c r="R256" s="298" t="e">
        <f t="shared" si="30"/>
        <v>#VALUE!</v>
      </c>
      <c r="S256" s="296" t="e">
        <f t="shared" si="31"/>
        <v>#VALUE!</v>
      </c>
    </row>
    <row r="257" spans="1:19" x14ac:dyDescent="0.25">
      <c r="A257" s="292">
        <v>5503</v>
      </c>
      <c r="B257" s="292" t="s">
        <v>291</v>
      </c>
      <c r="C257" s="293">
        <f>IFERROR(INDEX(Aktiv!$O$6:$O$350,MATCH(A257,Aktiv!$A$6:$A$350,0)),"")</f>
        <v>353</v>
      </c>
      <c r="D257" s="293">
        <f>IF(C257="","",ROUND(C257*Steuerungsdaten!$B$4*Steuerungsdaten!$B$7*IFERROR(VLOOKUP(IFERROR(INDEX(Aktiv!$C$6:$C$350,MATCH(A257,Aktiv!$A$6:$A$350,0)),""),Steuerungsdaten!$B$17:$C$37,2,FALSE),1)*POWER(IF(OR(IFERROR(INDEX(Aktiv!$E$6:$E$350,MATCH(A257,Aktiv!$A$6:$A$350,0)),0)=0,IFERROR(INDEX(Aktiv!$F$6:$F$350,MATCH(A257,Aktiv!$A$6:$A$350,0)),0)=0),1,(IFERROR(INDEX(Aktiv!$E$6:$E$350,MATCH(A257,Aktiv!$A$6:$A$350,0)),0)*IFERROR(INDEX(Aktiv!$F$6:$F$350,MATCH(A257,Aktiv!$A$6:$A$350,0)),0)/1000000)/Steuerungsdaten!$B$6),IF(ISNUMBER(MATCH(IFERROR(INDEX(Aktiv!$C$6:$C$350,MATCH(A257,Aktiv!$A$6:$A$350,0)),""),{"Boden","Seite außen","Seite außen SY32","Rücken","Seite innen","Seite innen SY32","Seite innen SY32 DB","Fachboden klein","Fachboden groß","Klappenboden"},0)),1.2,1)-1),0))</f>
        <v>349</v>
      </c>
      <c r="E257" s="293">
        <f>IFERROR(INDEX(Aktiv!$G$6:$G$350,MATCH(A257,Aktiv!$A$6:$A$350,0)),"")</f>
        <v>331</v>
      </c>
      <c r="F257" s="294">
        <f t="shared" si="24"/>
        <v>-18</v>
      </c>
      <c r="G257" s="295">
        <f t="shared" si="25"/>
        <v>-5.1575931232091692E-2</v>
      </c>
      <c r="H257" s="293">
        <f>IF(C257="","",ROUND(C257*Steuerungsdaten!$B$4*Steuerungsdaten!$B$8*IFERROR(VLOOKUP(IFERROR(INDEX(Aktiv!$C$6:$C$350,MATCH(A257,Aktiv!$A$6:$A$350,0)),""),Steuerungsdaten!$B$17:$E$37,4,FALSE),1)*POWER(IF(OR(IFERROR(INDEX(Aktiv!$E$6:$E$350,MATCH(A257,Aktiv!$A$6:$A$350,0)),0)=0,IFERROR(INDEX(Aktiv!$F$6:$F$350,MATCH(A257,Aktiv!$A$6:$A$350,0)),0)=0),1,(IFERROR(INDEX(Aktiv!$E$6:$E$350,MATCH(A257,Aktiv!$A$6:$A$350,0)),0)*IFERROR(INDEX(Aktiv!$F$6:$F$350,MATCH(A257,Aktiv!$A$6:$A$350,0)),0)/1000000)/Steuerungsdaten!$B$6),1-1),0))</f>
        <v>349</v>
      </c>
      <c r="I257" s="293">
        <f>IFERROR(INDEX(Aktiv!$H$6:$H$350,MATCH(A257,Aktiv!$A$6:$A$350,0)),"")</f>
        <v>393</v>
      </c>
      <c r="J257" s="294">
        <f t="shared" si="26"/>
        <v>44</v>
      </c>
      <c r="K257" s="296">
        <f t="shared" si="27"/>
        <v>0.12607449856733524</v>
      </c>
      <c r="L257" s="297">
        <f>IF(C257="","",ROUND(C257*Steuerungsdaten!$B$4*Steuerungsdaten!$B$9*IFERROR(VLOOKUP(IFERROR(INDEX(Aktiv!$C$6:$C$350,MATCH(A257,Aktiv!$A$6:$A$350,0)),""),Steuerungsdaten!$B$17:$G$37,6,FALSE),1)*POWER(IF(OR(IFERROR(INDEX(Aktiv!$E$6:$E$350,MATCH(A257,Aktiv!$A$6:$A$350,0)),0)=0,IFERROR(INDEX(Aktiv!$F$6:$F$350,MATCH(A257,Aktiv!$A$6:$A$350,0)),0)=0),1,(IFERROR(INDEX(Aktiv!$E$6:$E$350,MATCH(A257,Aktiv!$A$6:$A$350,0)),0)*IFERROR(INDEX(Aktiv!$F$6:$F$350,MATCH(A257,Aktiv!$A$6:$A$350,0)),0)/1000000)/Steuerungsdaten!$B$6),1-1),0))</f>
        <v>349</v>
      </c>
      <c r="M257" s="297">
        <f>IFERROR(INDEX(Aktiv!$I$6:$I$350,MATCH(A257,Aktiv!$A$6:$A$350,0)),"")</f>
        <v>428</v>
      </c>
      <c r="N257" s="298">
        <f t="shared" si="28"/>
        <v>79</v>
      </c>
      <c r="O257" s="296">
        <f t="shared" si="29"/>
        <v>0.22636103151862463</v>
      </c>
      <c r="P257" s="297">
        <f>IF(C257="","",ROUND(C257*Steuerungsdaten!$B$4*Steuerungsdaten!$B$10*IFERROR(VLOOKUP(IFERROR(INDEX(Aktiv!$C$6:$C$350,MATCH(A257,Aktiv!$A$6:$A$350,0)),""),Steuerungsdaten!$B$17:$I$37,8,FALSE),1)*POWER(IF(OR(IFERROR(INDEX(Aktiv!$E$6:$E$350,MATCH(A257,Aktiv!$A$6:$A$350,0)),0)=0,IFERROR(INDEX(Aktiv!$F$6:$F$350,MATCH(A257,Aktiv!$A$6:$A$350,0)),0)=0),1,(IFERROR(INDEX(Aktiv!$E$6:$E$350,MATCH(A257,Aktiv!$A$6:$A$350,0)),0)*IFERROR(INDEX(Aktiv!$F$6:$F$350,MATCH(A257,Aktiv!$A$6:$A$350,0)),0)/1000000)/Steuerungsdaten!$B$6),1-1),0))</f>
        <v>381</v>
      </c>
      <c r="Q257" s="297" t="str">
        <f>IFERROR(INDEX(Aktiv!$J$6:$J$350,MATCH(A257,Aktiv!$A$6:$A$350,0)),"")</f>
        <v>-</v>
      </c>
      <c r="R257" s="298" t="e">
        <f t="shared" si="30"/>
        <v>#VALUE!</v>
      </c>
      <c r="S257" s="296" t="e">
        <f t="shared" si="31"/>
        <v>#VALUE!</v>
      </c>
    </row>
    <row r="258" spans="1:19" x14ac:dyDescent="0.25">
      <c r="A258" s="292">
        <v>5504</v>
      </c>
      <c r="B258" s="292" t="s">
        <v>292</v>
      </c>
      <c r="C258" s="293">
        <f>IFERROR(INDEX(Aktiv!$O$6:$O$350,MATCH(A258,Aktiv!$A$6:$A$350,0)),"")</f>
        <v>309</v>
      </c>
      <c r="D258" s="293">
        <f>IF(C258="","",ROUND(C258*Steuerungsdaten!$B$4*Steuerungsdaten!$B$7*IFERROR(VLOOKUP(IFERROR(INDEX(Aktiv!$C$6:$C$350,MATCH(A258,Aktiv!$A$6:$A$350,0)),""),Steuerungsdaten!$B$17:$C$37,2,FALSE),1)*POWER(IF(OR(IFERROR(INDEX(Aktiv!$E$6:$E$350,MATCH(A258,Aktiv!$A$6:$A$350,0)),0)=0,IFERROR(INDEX(Aktiv!$F$6:$F$350,MATCH(A258,Aktiv!$A$6:$A$350,0)),0)=0),1,(IFERROR(INDEX(Aktiv!$E$6:$E$350,MATCH(A258,Aktiv!$A$6:$A$350,0)),0)*IFERROR(INDEX(Aktiv!$F$6:$F$350,MATCH(A258,Aktiv!$A$6:$A$350,0)),0)/1000000)/Steuerungsdaten!$B$6),IF(ISNUMBER(MATCH(IFERROR(INDEX(Aktiv!$C$6:$C$350,MATCH(A258,Aktiv!$A$6:$A$350,0)),""),{"Boden","Seite außen","Seite außen SY32","Rücken","Seite innen","Seite innen SY32","Seite innen SY32 DB","Fachboden klein","Fachboden groß","Klappenboden"},0)),1.2,1)-1),0))</f>
        <v>306</v>
      </c>
      <c r="E258" s="293">
        <f>IFERROR(INDEX(Aktiv!$G$6:$G$350,MATCH(A258,Aktiv!$A$6:$A$350,0)),"")</f>
        <v>318</v>
      </c>
      <c r="F258" s="294">
        <f t="shared" si="24"/>
        <v>12</v>
      </c>
      <c r="G258" s="295">
        <f t="shared" si="25"/>
        <v>3.9215686274509803E-2</v>
      </c>
      <c r="H258" s="293">
        <f>IF(C258="","",ROUND(C258*Steuerungsdaten!$B$4*Steuerungsdaten!$B$8*IFERROR(VLOOKUP(IFERROR(INDEX(Aktiv!$C$6:$C$350,MATCH(A258,Aktiv!$A$6:$A$350,0)),""),Steuerungsdaten!$B$17:$E$37,4,FALSE),1)*POWER(IF(OR(IFERROR(INDEX(Aktiv!$E$6:$E$350,MATCH(A258,Aktiv!$A$6:$A$350,0)),0)=0,IFERROR(INDEX(Aktiv!$F$6:$F$350,MATCH(A258,Aktiv!$A$6:$A$350,0)),0)=0),1,(IFERROR(INDEX(Aktiv!$E$6:$E$350,MATCH(A258,Aktiv!$A$6:$A$350,0)),0)*IFERROR(INDEX(Aktiv!$F$6:$F$350,MATCH(A258,Aktiv!$A$6:$A$350,0)),0)/1000000)/Steuerungsdaten!$B$6),1-1),0))</f>
        <v>306</v>
      </c>
      <c r="I258" s="293">
        <f>IFERROR(INDEX(Aktiv!$H$6:$H$350,MATCH(A258,Aktiv!$A$6:$A$350,0)),"")</f>
        <v>378</v>
      </c>
      <c r="J258" s="294">
        <f t="shared" si="26"/>
        <v>72</v>
      </c>
      <c r="K258" s="296">
        <f t="shared" si="27"/>
        <v>0.23529411764705882</v>
      </c>
      <c r="L258" s="297">
        <f>IF(C258="","",ROUND(C258*Steuerungsdaten!$B$4*Steuerungsdaten!$B$9*IFERROR(VLOOKUP(IFERROR(INDEX(Aktiv!$C$6:$C$350,MATCH(A258,Aktiv!$A$6:$A$350,0)),""),Steuerungsdaten!$B$17:$G$37,6,FALSE),1)*POWER(IF(OR(IFERROR(INDEX(Aktiv!$E$6:$E$350,MATCH(A258,Aktiv!$A$6:$A$350,0)),0)=0,IFERROR(INDEX(Aktiv!$F$6:$F$350,MATCH(A258,Aktiv!$A$6:$A$350,0)),0)=0),1,(IFERROR(INDEX(Aktiv!$E$6:$E$350,MATCH(A258,Aktiv!$A$6:$A$350,0)),0)*IFERROR(INDEX(Aktiv!$F$6:$F$350,MATCH(A258,Aktiv!$A$6:$A$350,0)),0)/1000000)/Steuerungsdaten!$B$6),1-1),0))</f>
        <v>306</v>
      </c>
      <c r="M258" s="297">
        <f>IFERROR(INDEX(Aktiv!$I$6:$I$350,MATCH(A258,Aktiv!$A$6:$A$350,0)),"")</f>
        <v>411</v>
      </c>
      <c r="N258" s="298">
        <f t="shared" si="28"/>
        <v>105</v>
      </c>
      <c r="O258" s="296">
        <f t="shared" si="29"/>
        <v>0.34313725490196079</v>
      </c>
      <c r="P258" s="297">
        <f>IF(C258="","",ROUND(C258*Steuerungsdaten!$B$4*Steuerungsdaten!$B$10*IFERROR(VLOOKUP(IFERROR(INDEX(Aktiv!$C$6:$C$350,MATCH(A258,Aktiv!$A$6:$A$350,0)),""),Steuerungsdaten!$B$17:$I$37,8,FALSE),1)*POWER(IF(OR(IFERROR(INDEX(Aktiv!$E$6:$E$350,MATCH(A258,Aktiv!$A$6:$A$350,0)),0)=0,IFERROR(INDEX(Aktiv!$F$6:$F$350,MATCH(A258,Aktiv!$A$6:$A$350,0)),0)=0),1,(IFERROR(INDEX(Aktiv!$E$6:$E$350,MATCH(A258,Aktiv!$A$6:$A$350,0)),0)*IFERROR(INDEX(Aktiv!$F$6:$F$350,MATCH(A258,Aktiv!$A$6:$A$350,0)),0)/1000000)/Steuerungsdaten!$B$6),1-1),0))</f>
        <v>334</v>
      </c>
      <c r="Q258" s="297" t="str">
        <f>IFERROR(INDEX(Aktiv!$J$6:$J$350,MATCH(A258,Aktiv!$A$6:$A$350,0)),"")</f>
        <v>-</v>
      </c>
      <c r="R258" s="298" t="e">
        <f t="shared" si="30"/>
        <v>#VALUE!</v>
      </c>
      <c r="S258" s="296" t="e">
        <f t="shared" si="31"/>
        <v>#VALUE!</v>
      </c>
    </row>
    <row r="259" spans="1:19" x14ac:dyDescent="0.25">
      <c r="A259" s="292">
        <v>5505</v>
      </c>
      <c r="B259" s="292" t="s">
        <v>293</v>
      </c>
      <c r="C259" s="293">
        <f>IFERROR(INDEX(Aktiv!$O$6:$O$350,MATCH(A259,Aktiv!$A$6:$A$350,0)),"")</f>
        <v>356</v>
      </c>
      <c r="D259" s="293">
        <f>IF(C259="","",ROUND(C259*Steuerungsdaten!$B$4*Steuerungsdaten!$B$7*IFERROR(VLOOKUP(IFERROR(INDEX(Aktiv!$C$6:$C$350,MATCH(A259,Aktiv!$A$6:$A$350,0)),""),Steuerungsdaten!$B$17:$C$37,2,FALSE),1)*POWER(IF(OR(IFERROR(INDEX(Aktiv!$E$6:$E$350,MATCH(A259,Aktiv!$A$6:$A$350,0)),0)=0,IFERROR(INDEX(Aktiv!$F$6:$F$350,MATCH(A259,Aktiv!$A$6:$A$350,0)),0)=0),1,(IFERROR(INDEX(Aktiv!$E$6:$E$350,MATCH(A259,Aktiv!$A$6:$A$350,0)),0)*IFERROR(INDEX(Aktiv!$F$6:$F$350,MATCH(A259,Aktiv!$A$6:$A$350,0)),0)/1000000)/Steuerungsdaten!$B$6),IF(ISNUMBER(MATCH(IFERROR(INDEX(Aktiv!$C$6:$C$350,MATCH(A259,Aktiv!$A$6:$A$350,0)),""),{"Boden","Seite außen","Seite außen SY32","Rücken","Seite innen","Seite innen SY32","Seite innen SY32 DB","Fachboden klein","Fachboden groß","Klappenboden"},0)),1.2,1)-1),0))</f>
        <v>352</v>
      </c>
      <c r="E259" s="293">
        <f>IFERROR(INDEX(Aktiv!$G$6:$G$350,MATCH(A259,Aktiv!$A$6:$A$350,0)),"")</f>
        <v>341</v>
      </c>
      <c r="F259" s="294">
        <f t="shared" si="24"/>
        <v>-11</v>
      </c>
      <c r="G259" s="295">
        <f t="shared" si="25"/>
        <v>-3.125E-2</v>
      </c>
      <c r="H259" s="293">
        <f>IF(C259="","",ROUND(C259*Steuerungsdaten!$B$4*Steuerungsdaten!$B$8*IFERROR(VLOOKUP(IFERROR(INDEX(Aktiv!$C$6:$C$350,MATCH(A259,Aktiv!$A$6:$A$350,0)),""),Steuerungsdaten!$B$17:$E$37,4,FALSE),1)*POWER(IF(OR(IFERROR(INDEX(Aktiv!$E$6:$E$350,MATCH(A259,Aktiv!$A$6:$A$350,0)),0)=0,IFERROR(INDEX(Aktiv!$F$6:$F$350,MATCH(A259,Aktiv!$A$6:$A$350,0)),0)=0),1,(IFERROR(INDEX(Aktiv!$E$6:$E$350,MATCH(A259,Aktiv!$A$6:$A$350,0)),0)*IFERROR(INDEX(Aktiv!$F$6:$F$350,MATCH(A259,Aktiv!$A$6:$A$350,0)),0)/1000000)/Steuerungsdaten!$B$6),1-1),0))</f>
        <v>352</v>
      </c>
      <c r="I259" s="293">
        <f>IFERROR(INDEX(Aktiv!$H$6:$H$350,MATCH(A259,Aktiv!$A$6:$A$350,0)),"")</f>
        <v>405</v>
      </c>
      <c r="J259" s="294">
        <f t="shared" si="26"/>
        <v>53</v>
      </c>
      <c r="K259" s="296">
        <f t="shared" si="27"/>
        <v>0.15056818181818182</v>
      </c>
      <c r="L259" s="297">
        <f>IF(C259="","",ROUND(C259*Steuerungsdaten!$B$4*Steuerungsdaten!$B$9*IFERROR(VLOOKUP(IFERROR(INDEX(Aktiv!$C$6:$C$350,MATCH(A259,Aktiv!$A$6:$A$350,0)),""),Steuerungsdaten!$B$17:$G$37,6,FALSE),1)*POWER(IF(OR(IFERROR(INDEX(Aktiv!$E$6:$E$350,MATCH(A259,Aktiv!$A$6:$A$350,0)),0)=0,IFERROR(INDEX(Aktiv!$F$6:$F$350,MATCH(A259,Aktiv!$A$6:$A$350,0)),0)=0),1,(IFERROR(INDEX(Aktiv!$E$6:$E$350,MATCH(A259,Aktiv!$A$6:$A$350,0)),0)*IFERROR(INDEX(Aktiv!$F$6:$F$350,MATCH(A259,Aktiv!$A$6:$A$350,0)),0)/1000000)/Steuerungsdaten!$B$6),1-1),0))</f>
        <v>352</v>
      </c>
      <c r="M259" s="297">
        <f>IFERROR(INDEX(Aktiv!$I$6:$I$350,MATCH(A259,Aktiv!$A$6:$A$350,0)),"")</f>
        <v>441</v>
      </c>
      <c r="N259" s="298">
        <f t="shared" si="28"/>
        <v>89</v>
      </c>
      <c r="O259" s="296">
        <f t="shared" si="29"/>
        <v>0.25284090909090912</v>
      </c>
      <c r="P259" s="297">
        <f>IF(C259="","",ROUND(C259*Steuerungsdaten!$B$4*Steuerungsdaten!$B$10*IFERROR(VLOOKUP(IFERROR(INDEX(Aktiv!$C$6:$C$350,MATCH(A259,Aktiv!$A$6:$A$350,0)),""),Steuerungsdaten!$B$17:$I$37,8,FALSE),1)*POWER(IF(OR(IFERROR(INDEX(Aktiv!$E$6:$E$350,MATCH(A259,Aktiv!$A$6:$A$350,0)),0)=0,IFERROR(INDEX(Aktiv!$F$6:$F$350,MATCH(A259,Aktiv!$A$6:$A$350,0)),0)=0),1,(IFERROR(INDEX(Aktiv!$E$6:$E$350,MATCH(A259,Aktiv!$A$6:$A$350,0)),0)*IFERROR(INDEX(Aktiv!$F$6:$F$350,MATCH(A259,Aktiv!$A$6:$A$350,0)),0)/1000000)/Steuerungsdaten!$B$6),1-1),0))</f>
        <v>384</v>
      </c>
      <c r="Q259" s="297" t="str">
        <f>IFERROR(INDEX(Aktiv!$J$6:$J$350,MATCH(A259,Aktiv!$A$6:$A$350,0)),"")</f>
        <v>-</v>
      </c>
      <c r="R259" s="298" t="e">
        <f t="shared" si="30"/>
        <v>#VALUE!</v>
      </c>
      <c r="S259" s="296" t="e">
        <f t="shared" si="31"/>
        <v>#VALUE!</v>
      </c>
    </row>
    <row r="260" spans="1:19" x14ac:dyDescent="0.25">
      <c r="A260" s="292">
        <v>5506</v>
      </c>
      <c r="B260" s="292" t="s">
        <v>294</v>
      </c>
      <c r="C260" s="293">
        <f>IFERROR(INDEX(Aktiv!$O$6:$O$350,MATCH(A260,Aktiv!$A$6:$A$350,0)),"")</f>
        <v>348</v>
      </c>
      <c r="D260" s="293">
        <f>IF(C260="","",ROUND(C260*Steuerungsdaten!$B$4*Steuerungsdaten!$B$7*IFERROR(VLOOKUP(IFERROR(INDEX(Aktiv!$C$6:$C$350,MATCH(A260,Aktiv!$A$6:$A$350,0)),""),Steuerungsdaten!$B$17:$C$37,2,FALSE),1)*POWER(IF(OR(IFERROR(INDEX(Aktiv!$E$6:$E$350,MATCH(A260,Aktiv!$A$6:$A$350,0)),0)=0,IFERROR(INDEX(Aktiv!$F$6:$F$350,MATCH(A260,Aktiv!$A$6:$A$350,0)),0)=0),1,(IFERROR(INDEX(Aktiv!$E$6:$E$350,MATCH(A260,Aktiv!$A$6:$A$350,0)),0)*IFERROR(INDEX(Aktiv!$F$6:$F$350,MATCH(A260,Aktiv!$A$6:$A$350,0)),0)/1000000)/Steuerungsdaten!$B$6),IF(ISNUMBER(MATCH(IFERROR(INDEX(Aktiv!$C$6:$C$350,MATCH(A260,Aktiv!$A$6:$A$350,0)),""),{"Boden","Seite außen","Seite außen SY32","Rücken","Seite innen","Seite innen SY32","Seite innen SY32 DB","Fachboden klein","Fachboden groß","Klappenboden"},0)),1.2,1)-1),0))</f>
        <v>345</v>
      </c>
      <c r="E260" s="293">
        <f>IFERROR(INDEX(Aktiv!$G$6:$G$350,MATCH(A260,Aktiv!$A$6:$A$350,0)),"")</f>
        <v>325</v>
      </c>
      <c r="F260" s="294">
        <f t="shared" si="24"/>
        <v>-20</v>
      </c>
      <c r="G260" s="295">
        <f t="shared" si="25"/>
        <v>-5.7971014492753624E-2</v>
      </c>
      <c r="H260" s="293">
        <f>IF(C260="","",ROUND(C260*Steuerungsdaten!$B$4*Steuerungsdaten!$B$8*IFERROR(VLOOKUP(IFERROR(INDEX(Aktiv!$C$6:$C$350,MATCH(A260,Aktiv!$A$6:$A$350,0)),""),Steuerungsdaten!$B$17:$E$37,4,FALSE),1)*POWER(IF(OR(IFERROR(INDEX(Aktiv!$E$6:$E$350,MATCH(A260,Aktiv!$A$6:$A$350,0)),0)=0,IFERROR(INDEX(Aktiv!$F$6:$F$350,MATCH(A260,Aktiv!$A$6:$A$350,0)),0)=0),1,(IFERROR(INDEX(Aktiv!$E$6:$E$350,MATCH(A260,Aktiv!$A$6:$A$350,0)),0)*IFERROR(INDEX(Aktiv!$F$6:$F$350,MATCH(A260,Aktiv!$A$6:$A$350,0)),0)/1000000)/Steuerungsdaten!$B$6),1-1),0))</f>
        <v>345</v>
      </c>
      <c r="I260" s="293">
        <f>IFERROR(INDEX(Aktiv!$H$6:$H$350,MATCH(A260,Aktiv!$A$6:$A$350,0)),"")</f>
        <v>386</v>
      </c>
      <c r="J260" s="294">
        <f t="shared" si="26"/>
        <v>41</v>
      </c>
      <c r="K260" s="296">
        <f t="shared" si="27"/>
        <v>0.11884057971014493</v>
      </c>
      <c r="L260" s="297">
        <f>IF(C260="","",ROUND(C260*Steuerungsdaten!$B$4*Steuerungsdaten!$B$9*IFERROR(VLOOKUP(IFERROR(INDEX(Aktiv!$C$6:$C$350,MATCH(A260,Aktiv!$A$6:$A$350,0)),""),Steuerungsdaten!$B$17:$G$37,6,FALSE),1)*POWER(IF(OR(IFERROR(INDEX(Aktiv!$E$6:$E$350,MATCH(A260,Aktiv!$A$6:$A$350,0)),0)=0,IFERROR(INDEX(Aktiv!$F$6:$F$350,MATCH(A260,Aktiv!$A$6:$A$350,0)),0)=0),1,(IFERROR(INDEX(Aktiv!$E$6:$E$350,MATCH(A260,Aktiv!$A$6:$A$350,0)),0)*IFERROR(INDEX(Aktiv!$F$6:$F$350,MATCH(A260,Aktiv!$A$6:$A$350,0)),0)/1000000)/Steuerungsdaten!$B$6),1-1),0))</f>
        <v>345</v>
      </c>
      <c r="M260" s="297">
        <f>IFERROR(INDEX(Aktiv!$I$6:$I$350,MATCH(A260,Aktiv!$A$6:$A$350,0)),"")</f>
        <v>421</v>
      </c>
      <c r="N260" s="298">
        <f t="shared" si="28"/>
        <v>76</v>
      </c>
      <c r="O260" s="296">
        <f t="shared" si="29"/>
        <v>0.22028985507246376</v>
      </c>
      <c r="P260" s="297">
        <f>IF(C260="","",ROUND(C260*Steuerungsdaten!$B$4*Steuerungsdaten!$B$10*IFERROR(VLOOKUP(IFERROR(INDEX(Aktiv!$C$6:$C$350,MATCH(A260,Aktiv!$A$6:$A$350,0)),""),Steuerungsdaten!$B$17:$I$37,8,FALSE),1)*POWER(IF(OR(IFERROR(INDEX(Aktiv!$E$6:$E$350,MATCH(A260,Aktiv!$A$6:$A$350,0)),0)=0,IFERROR(INDEX(Aktiv!$F$6:$F$350,MATCH(A260,Aktiv!$A$6:$A$350,0)),0)=0),1,(IFERROR(INDEX(Aktiv!$E$6:$E$350,MATCH(A260,Aktiv!$A$6:$A$350,0)),0)*IFERROR(INDEX(Aktiv!$F$6:$F$350,MATCH(A260,Aktiv!$A$6:$A$350,0)),0)/1000000)/Steuerungsdaten!$B$6),1-1),0))</f>
        <v>376</v>
      </c>
      <c r="Q260" s="297" t="str">
        <f>IFERROR(INDEX(Aktiv!$J$6:$J$350,MATCH(A260,Aktiv!$A$6:$A$350,0)),"")</f>
        <v>-</v>
      </c>
      <c r="R260" s="298" t="e">
        <f t="shared" si="30"/>
        <v>#VALUE!</v>
      </c>
      <c r="S260" s="296" t="e">
        <f t="shared" si="31"/>
        <v>#VALUE!</v>
      </c>
    </row>
    <row r="261" spans="1:19" x14ac:dyDescent="0.25">
      <c r="A261" s="292">
        <v>5507</v>
      </c>
      <c r="B261" s="292" t="s">
        <v>295</v>
      </c>
      <c r="C261" s="293">
        <f>IFERROR(INDEX(Aktiv!$O$6:$O$350,MATCH(A261,Aktiv!$A$6:$A$350,0)),"")</f>
        <v>429</v>
      </c>
      <c r="D261" s="293">
        <f>IF(C261="","",ROUND(C261*Steuerungsdaten!$B$4*Steuerungsdaten!$B$7*IFERROR(VLOOKUP(IFERROR(INDEX(Aktiv!$C$6:$C$350,MATCH(A261,Aktiv!$A$6:$A$350,0)),""),Steuerungsdaten!$B$17:$C$37,2,FALSE),1)*POWER(IF(OR(IFERROR(INDEX(Aktiv!$E$6:$E$350,MATCH(A261,Aktiv!$A$6:$A$350,0)),0)=0,IFERROR(INDEX(Aktiv!$F$6:$F$350,MATCH(A261,Aktiv!$A$6:$A$350,0)),0)=0),1,(IFERROR(INDEX(Aktiv!$E$6:$E$350,MATCH(A261,Aktiv!$A$6:$A$350,0)),0)*IFERROR(INDEX(Aktiv!$F$6:$F$350,MATCH(A261,Aktiv!$A$6:$A$350,0)),0)/1000000)/Steuerungsdaten!$B$6),IF(ISNUMBER(MATCH(IFERROR(INDEX(Aktiv!$C$6:$C$350,MATCH(A261,Aktiv!$A$6:$A$350,0)),""),{"Boden","Seite außen","Seite außen SY32","Rücken","Seite innen","Seite innen SY32","Seite innen SY32 DB","Fachboden klein","Fachboden groß","Klappenboden"},0)),1.2,1)-1),0))</f>
        <v>425</v>
      </c>
      <c r="E261" s="293">
        <f>IFERROR(INDEX(Aktiv!$G$6:$G$350,MATCH(A261,Aktiv!$A$6:$A$350,0)),"")</f>
        <v>349</v>
      </c>
      <c r="F261" s="294">
        <f t="shared" ref="F261:F324" si="32">IF(OR(D261="",E261=""),"",E261-D261)</f>
        <v>-76</v>
      </c>
      <c r="G261" s="295">
        <f t="shared" ref="G261:G324" si="33">IF(OR(D261="",E261="",D261=0),"",(E261-D261)/D261)</f>
        <v>-0.17882352941176471</v>
      </c>
      <c r="H261" s="293">
        <f>IF(C261="","",ROUND(C261*Steuerungsdaten!$B$4*Steuerungsdaten!$B$8*IFERROR(VLOOKUP(IFERROR(INDEX(Aktiv!$C$6:$C$350,MATCH(A261,Aktiv!$A$6:$A$350,0)),""),Steuerungsdaten!$B$17:$E$37,4,FALSE),1)*POWER(IF(OR(IFERROR(INDEX(Aktiv!$E$6:$E$350,MATCH(A261,Aktiv!$A$6:$A$350,0)),0)=0,IFERROR(INDEX(Aktiv!$F$6:$F$350,MATCH(A261,Aktiv!$A$6:$A$350,0)),0)=0),1,(IFERROR(INDEX(Aktiv!$E$6:$E$350,MATCH(A261,Aktiv!$A$6:$A$350,0)),0)*IFERROR(INDEX(Aktiv!$F$6:$F$350,MATCH(A261,Aktiv!$A$6:$A$350,0)),0)/1000000)/Steuerungsdaten!$B$6),1-1),0))</f>
        <v>425</v>
      </c>
      <c r="I261" s="293">
        <f>IFERROR(INDEX(Aktiv!$H$6:$H$350,MATCH(A261,Aktiv!$A$6:$A$350,0)),"")</f>
        <v>414</v>
      </c>
      <c r="J261" s="294">
        <f t="shared" ref="J261:J324" si="34">IF(OR(H261="",I261=""),"",I261-H261)</f>
        <v>-11</v>
      </c>
      <c r="K261" s="296">
        <f t="shared" ref="K261:K324" si="35">IF(OR(H261="",I261="",H261=0),"",(I261-H261)/H261)</f>
        <v>-2.5882352941176471E-2</v>
      </c>
      <c r="L261" s="297">
        <f>IF(C261="","",ROUND(C261*Steuerungsdaten!$B$4*Steuerungsdaten!$B$9*IFERROR(VLOOKUP(IFERROR(INDEX(Aktiv!$C$6:$C$350,MATCH(A261,Aktiv!$A$6:$A$350,0)),""),Steuerungsdaten!$B$17:$G$37,6,FALSE),1)*POWER(IF(OR(IFERROR(INDEX(Aktiv!$E$6:$E$350,MATCH(A261,Aktiv!$A$6:$A$350,0)),0)=0,IFERROR(INDEX(Aktiv!$F$6:$F$350,MATCH(A261,Aktiv!$A$6:$A$350,0)),0)=0),1,(IFERROR(INDEX(Aktiv!$E$6:$E$350,MATCH(A261,Aktiv!$A$6:$A$350,0)),0)*IFERROR(INDEX(Aktiv!$F$6:$F$350,MATCH(A261,Aktiv!$A$6:$A$350,0)),0)/1000000)/Steuerungsdaten!$B$6),1-1),0))</f>
        <v>425</v>
      </c>
      <c r="M261" s="297">
        <f>IFERROR(INDEX(Aktiv!$I$6:$I$350,MATCH(A261,Aktiv!$A$6:$A$350,0)),"")</f>
        <v>451</v>
      </c>
      <c r="N261" s="298">
        <f t="shared" ref="N261:N324" si="36">IF(OR(L261="",M261=""),"",M261-L261)</f>
        <v>26</v>
      </c>
      <c r="O261" s="296">
        <f t="shared" ref="O261:O324" si="37">IF(OR(L261="",M261="",L261=0),"",(M261-L261)/L261)</f>
        <v>6.1176470588235297E-2</v>
      </c>
      <c r="P261" s="297">
        <f>IF(C261="","",ROUND(C261*Steuerungsdaten!$B$4*Steuerungsdaten!$B$10*IFERROR(VLOOKUP(IFERROR(INDEX(Aktiv!$C$6:$C$350,MATCH(A261,Aktiv!$A$6:$A$350,0)),""),Steuerungsdaten!$B$17:$I$37,8,FALSE),1)*POWER(IF(OR(IFERROR(INDEX(Aktiv!$E$6:$E$350,MATCH(A261,Aktiv!$A$6:$A$350,0)),0)=0,IFERROR(INDEX(Aktiv!$F$6:$F$350,MATCH(A261,Aktiv!$A$6:$A$350,0)),0)=0),1,(IFERROR(INDEX(Aktiv!$E$6:$E$350,MATCH(A261,Aktiv!$A$6:$A$350,0)),0)*IFERROR(INDEX(Aktiv!$F$6:$F$350,MATCH(A261,Aktiv!$A$6:$A$350,0)),0)/1000000)/Steuerungsdaten!$B$6),1-1),0))</f>
        <v>463</v>
      </c>
      <c r="Q261" s="297" t="str">
        <f>IFERROR(INDEX(Aktiv!$J$6:$J$350,MATCH(A261,Aktiv!$A$6:$A$350,0)),"")</f>
        <v>-</v>
      </c>
      <c r="R261" s="298" t="e">
        <f t="shared" ref="R261:R324" si="38">IF(OR(P261="",Q261=""),"",Q261-P261)</f>
        <v>#VALUE!</v>
      </c>
      <c r="S261" s="296" t="e">
        <f t="shared" ref="S261:S324" si="39">IF(OR(P261="",Q261="",P261=0),"",(Q261-P261)/P261)</f>
        <v>#VALUE!</v>
      </c>
    </row>
    <row r="262" spans="1:19" x14ac:dyDescent="0.25">
      <c r="A262" s="292">
        <v>1000</v>
      </c>
      <c r="B262" s="292" t="s">
        <v>297</v>
      </c>
      <c r="C262" s="293">
        <f>IFERROR(INDEX(Aktiv!$O$6:$O$350,MATCH(A262,Aktiv!$A$6:$A$350,0)),"")</f>
        <v>6</v>
      </c>
      <c r="D262" s="293">
        <f>IF(C262="","",ROUND(C262*Steuerungsdaten!$B$4*Steuerungsdaten!$B$7*IFERROR(VLOOKUP(IFERROR(INDEX(Aktiv!$C$6:$C$350,MATCH(A262,Aktiv!$A$6:$A$350,0)),""),Steuerungsdaten!$B$17:$C$37,2,FALSE),1)*POWER(IF(OR(IFERROR(INDEX(Aktiv!$E$6:$E$350,MATCH(A262,Aktiv!$A$6:$A$350,0)),0)=0,IFERROR(INDEX(Aktiv!$F$6:$F$350,MATCH(A262,Aktiv!$A$6:$A$350,0)),0)=0),1,(IFERROR(INDEX(Aktiv!$E$6:$E$350,MATCH(A262,Aktiv!$A$6:$A$350,0)),0)*IFERROR(INDEX(Aktiv!$F$6:$F$350,MATCH(A262,Aktiv!$A$6:$A$350,0)),0)/1000000)/Steuerungsdaten!$B$6),IF(ISNUMBER(MATCH(IFERROR(INDEX(Aktiv!$C$6:$C$350,MATCH(A262,Aktiv!$A$6:$A$350,0)),""),{"Boden","Seite außen","Seite außen SY32","Rücken","Seite innen","Seite innen SY32","Seite innen SY32 DB","Fachboden klein","Fachboden groß","Klappenboden"},0)),1.2,1)-1),0))</f>
        <v>7</v>
      </c>
      <c r="E262" s="293">
        <f>IFERROR(INDEX(Aktiv!$G$6:$G$350,MATCH(A262,Aktiv!$A$6:$A$350,0)),"")</f>
        <v>6</v>
      </c>
      <c r="F262" s="294">
        <f t="shared" si="32"/>
        <v>-1</v>
      </c>
      <c r="G262" s="295">
        <f t="shared" si="33"/>
        <v>-0.14285714285714285</v>
      </c>
      <c r="H262" s="293">
        <f>IF(C262="","",ROUND(C262*Steuerungsdaten!$B$4*Steuerungsdaten!$B$8*IFERROR(VLOOKUP(IFERROR(INDEX(Aktiv!$C$6:$C$350,MATCH(A262,Aktiv!$A$6:$A$350,0)),""),Steuerungsdaten!$B$17:$E$37,4,FALSE),1)*POWER(IF(OR(IFERROR(INDEX(Aktiv!$E$6:$E$350,MATCH(A262,Aktiv!$A$6:$A$350,0)),0)=0,IFERROR(INDEX(Aktiv!$F$6:$F$350,MATCH(A262,Aktiv!$A$6:$A$350,0)),0)=0),1,(IFERROR(INDEX(Aktiv!$E$6:$E$350,MATCH(A262,Aktiv!$A$6:$A$350,0)),0)*IFERROR(INDEX(Aktiv!$F$6:$F$350,MATCH(A262,Aktiv!$A$6:$A$350,0)),0)/1000000)/Steuerungsdaten!$B$6),1-1),0))</f>
        <v>7</v>
      </c>
      <c r="I262" s="293">
        <f>IFERROR(INDEX(Aktiv!$H$6:$H$350,MATCH(A262,Aktiv!$A$6:$A$350,0)),"")</f>
        <v>6</v>
      </c>
      <c r="J262" s="294">
        <f t="shared" si="34"/>
        <v>-1</v>
      </c>
      <c r="K262" s="296">
        <f t="shared" si="35"/>
        <v>-0.14285714285714285</v>
      </c>
      <c r="L262" s="297">
        <f>IF(C262="","",ROUND(C262*Steuerungsdaten!$B$4*Steuerungsdaten!$B$9*IFERROR(VLOOKUP(IFERROR(INDEX(Aktiv!$C$6:$C$350,MATCH(A262,Aktiv!$A$6:$A$350,0)),""),Steuerungsdaten!$B$17:$G$37,6,FALSE),1)*POWER(IF(OR(IFERROR(INDEX(Aktiv!$E$6:$E$350,MATCH(A262,Aktiv!$A$6:$A$350,0)),0)=0,IFERROR(INDEX(Aktiv!$F$6:$F$350,MATCH(A262,Aktiv!$A$6:$A$350,0)),0)=0),1,(IFERROR(INDEX(Aktiv!$E$6:$E$350,MATCH(A262,Aktiv!$A$6:$A$350,0)),0)*IFERROR(INDEX(Aktiv!$F$6:$F$350,MATCH(A262,Aktiv!$A$6:$A$350,0)),0)/1000000)/Steuerungsdaten!$B$6),1-1),0))</f>
        <v>7</v>
      </c>
      <c r="M262" s="297">
        <f>IFERROR(INDEX(Aktiv!$I$6:$I$350,MATCH(A262,Aktiv!$A$6:$A$350,0)),"")</f>
        <v>6</v>
      </c>
      <c r="N262" s="298">
        <f t="shared" si="36"/>
        <v>-1</v>
      </c>
      <c r="O262" s="296">
        <f t="shared" si="37"/>
        <v>-0.14285714285714285</v>
      </c>
      <c r="P262" s="297">
        <f>IF(C262="","",ROUND(C262*Steuerungsdaten!$B$4*Steuerungsdaten!$B$10*IFERROR(VLOOKUP(IFERROR(INDEX(Aktiv!$C$6:$C$350,MATCH(A262,Aktiv!$A$6:$A$350,0)),""),Steuerungsdaten!$B$17:$I$37,8,FALSE),1)*POWER(IF(OR(IFERROR(INDEX(Aktiv!$E$6:$E$350,MATCH(A262,Aktiv!$A$6:$A$350,0)),0)=0,IFERROR(INDEX(Aktiv!$F$6:$F$350,MATCH(A262,Aktiv!$A$6:$A$350,0)),0)=0),1,(IFERROR(INDEX(Aktiv!$E$6:$E$350,MATCH(A262,Aktiv!$A$6:$A$350,0)),0)*IFERROR(INDEX(Aktiv!$F$6:$F$350,MATCH(A262,Aktiv!$A$6:$A$350,0)),0)/1000000)/Steuerungsdaten!$B$6),1-1),0))</f>
        <v>7</v>
      </c>
      <c r="Q262" s="297">
        <f>IFERROR(INDEX(Aktiv!$J$6:$J$350,MATCH(A262,Aktiv!$A$6:$A$350,0)),"")</f>
        <v>6</v>
      </c>
      <c r="R262" s="298">
        <f t="shared" si="38"/>
        <v>-1</v>
      </c>
      <c r="S262" s="296">
        <f t="shared" si="39"/>
        <v>-0.14285714285714285</v>
      </c>
    </row>
    <row r="263" spans="1:19" x14ac:dyDescent="0.25">
      <c r="A263" s="292">
        <v>1001</v>
      </c>
      <c r="B263" s="292" t="s">
        <v>297</v>
      </c>
      <c r="C263" s="293">
        <f>IFERROR(INDEX(Aktiv!$O$6:$O$350,MATCH(A263,Aktiv!$A$6:$A$350,0)),"")</f>
        <v>6</v>
      </c>
      <c r="D263" s="293">
        <f>IF(C263="","",ROUND(C263*Steuerungsdaten!$B$4*Steuerungsdaten!$B$7*IFERROR(VLOOKUP(IFERROR(INDEX(Aktiv!$C$6:$C$350,MATCH(A263,Aktiv!$A$6:$A$350,0)),""),Steuerungsdaten!$B$17:$C$37,2,FALSE),1)*POWER(IF(OR(IFERROR(INDEX(Aktiv!$E$6:$E$350,MATCH(A263,Aktiv!$A$6:$A$350,0)),0)=0,IFERROR(INDEX(Aktiv!$F$6:$F$350,MATCH(A263,Aktiv!$A$6:$A$350,0)),0)=0),1,(IFERROR(INDEX(Aktiv!$E$6:$E$350,MATCH(A263,Aktiv!$A$6:$A$350,0)),0)*IFERROR(INDEX(Aktiv!$F$6:$F$350,MATCH(A263,Aktiv!$A$6:$A$350,0)),0)/1000000)/Steuerungsdaten!$B$6),IF(ISNUMBER(MATCH(IFERROR(INDEX(Aktiv!$C$6:$C$350,MATCH(A263,Aktiv!$A$6:$A$350,0)),""),{"Boden","Seite außen","Seite außen SY32","Rücken","Seite innen","Seite innen SY32","Seite innen SY32 DB","Fachboden klein","Fachboden groß","Klappenboden"},0)),1.2,1)-1),0))</f>
        <v>7</v>
      </c>
      <c r="E263" s="293">
        <f>IFERROR(INDEX(Aktiv!$G$6:$G$350,MATCH(A263,Aktiv!$A$6:$A$350,0)),"")</f>
        <v>6</v>
      </c>
      <c r="F263" s="294">
        <f t="shared" si="32"/>
        <v>-1</v>
      </c>
      <c r="G263" s="295">
        <f t="shared" si="33"/>
        <v>-0.14285714285714285</v>
      </c>
      <c r="H263" s="293">
        <f>IF(C263="","",ROUND(C263*Steuerungsdaten!$B$4*Steuerungsdaten!$B$8*IFERROR(VLOOKUP(IFERROR(INDEX(Aktiv!$C$6:$C$350,MATCH(A263,Aktiv!$A$6:$A$350,0)),""),Steuerungsdaten!$B$17:$E$37,4,FALSE),1)*POWER(IF(OR(IFERROR(INDEX(Aktiv!$E$6:$E$350,MATCH(A263,Aktiv!$A$6:$A$350,0)),0)=0,IFERROR(INDEX(Aktiv!$F$6:$F$350,MATCH(A263,Aktiv!$A$6:$A$350,0)),0)=0),1,(IFERROR(INDEX(Aktiv!$E$6:$E$350,MATCH(A263,Aktiv!$A$6:$A$350,0)),0)*IFERROR(INDEX(Aktiv!$F$6:$F$350,MATCH(A263,Aktiv!$A$6:$A$350,0)),0)/1000000)/Steuerungsdaten!$B$6),1-1),0))</f>
        <v>7</v>
      </c>
      <c r="I263" s="293">
        <f>IFERROR(INDEX(Aktiv!$H$6:$H$350,MATCH(A263,Aktiv!$A$6:$A$350,0)),"")</f>
        <v>6</v>
      </c>
      <c r="J263" s="294">
        <f t="shared" si="34"/>
        <v>-1</v>
      </c>
      <c r="K263" s="296">
        <f t="shared" si="35"/>
        <v>-0.14285714285714285</v>
      </c>
      <c r="L263" s="297">
        <f>IF(C263="","",ROUND(C263*Steuerungsdaten!$B$4*Steuerungsdaten!$B$9*IFERROR(VLOOKUP(IFERROR(INDEX(Aktiv!$C$6:$C$350,MATCH(A263,Aktiv!$A$6:$A$350,0)),""),Steuerungsdaten!$B$17:$G$37,6,FALSE),1)*POWER(IF(OR(IFERROR(INDEX(Aktiv!$E$6:$E$350,MATCH(A263,Aktiv!$A$6:$A$350,0)),0)=0,IFERROR(INDEX(Aktiv!$F$6:$F$350,MATCH(A263,Aktiv!$A$6:$A$350,0)),0)=0),1,(IFERROR(INDEX(Aktiv!$E$6:$E$350,MATCH(A263,Aktiv!$A$6:$A$350,0)),0)*IFERROR(INDEX(Aktiv!$F$6:$F$350,MATCH(A263,Aktiv!$A$6:$A$350,0)),0)/1000000)/Steuerungsdaten!$B$6),1-1),0))</f>
        <v>7</v>
      </c>
      <c r="M263" s="297">
        <f>IFERROR(INDEX(Aktiv!$I$6:$I$350,MATCH(A263,Aktiv!$A$6:$A$350,0)),"")</f>
        <v>6</v>
      </c>
      <c r="N263" s="298">
        <f t="shared" si="36"/>
        <v>-1</v>
      </c>
      <c r="O263" s="296">
        <f t="shared" si="37"/>
        <v>-0.14285714285714285</v>
      </c>
      <c r="P263" s="297">
        <f>IF(C263="","",ROUND(C263*Steuerungsdaten!$B$4*Steuerungsdaten!$B$10*IFERROR(VLOOKUP(IFERROR(INDEX(Aktiv!$C$6:$C$350,MATCH(A263,Aktiv!$A$6:$A$350,0)),""),Steuerungsdaten!$B$17:$I$37,8,FALSE),1)*POWER(IF(OR(IFERROR(INDEX(Aktiv!$E$6:$E$350,MATCH(A263,Aktiv!$A$6:$A$350,0)),0)=0,IFERROR(INDEX(Aktiv!$F$6:$F$350,MATCH(A263,Aktiv!$A$6:$A$350,0)),0)=0),1,(IFERROR(INDEX(Aktiv!$E$6:$E$350,MATCH(A263,Aktiv!$A$6:$A$350,0)),0)*IFERROR(INDEX(Aktiv!$F$6:$F$350,MATCH(A263,Aktiv!$A$6:$A$350,0)),0)/1000000)/Steuerungsdaten!$B$6),1-1),0))</f>
        <v>7</v>
      </c>
      <c r="Q263" s="297">
        <f>IFERROR(INDEX(Aktiv!$J$6:$J$350,MATCH(A263,Aktiv!$A$6:$A$350,0)),"")</f>
        <v>6</v>
      </c>
      <c r="R263" s="298">
        <f t="shared" si="38"/>
        <v>-1</v>
      </c>
      <c r="S263" s="296">
        <f t="shared" si="39"/>
        <v>-0.14285714285714285</v>
      </c>
    </row>
    <row r="264" spans="1:19" x14ac:dyDescent="0.25">
      <c r="A264" s="292">
        <v>1002</v>
      </c>
      <c r="B264" s="292" t="s">
        <v>297</v>
      </c>
      <c r="C264" s="293">
        <f>IFERROR(INDEX(Aktiv!$O$6:$O$350,MATCH(A264,Aktiv!$A$6:$A$350,0)),"")</f>
        <v>6</v>
      </c>
      <c r="D264" s="293">
        <f>IF(C264="","",ROUND(C264*Steuerungsdaten!$B$4*Steuerungsdaten!$B$7*IFERROR(VLOOKUP(IFERROR(INDEX(Aktiv!$C$6:$C$350,MATCH(A264,Aktiv!$A$6:$A$350,0)),""),Steuerungsdaten!$B$17:$C$37,2,FALSE),1)*POWER(IF(OR(IFERROR(INDEX(Aktiv!$E$6:$E$350,MATCH(A264,Aktiv!$A$6:$A$350,0)),0)=0,IFERROR(INDEX(Aktiv!$F$6:$F$350,MATCH(A264,Aktiv!$A$6:$A$350,0)),0)=0),1,(IFERROR(INDEX(Aktiv!$E$6:$E$350,MATCH(A264,Aktiv!$A$6:$A$350,0)),0)*IFERROR(INDEX(Aktiv!$F$6:$F$350,MATCH(A264,Aktiv!$A$6:$A$350,0)),0)/1000000)/Steuerungsdaten!$B$6),IF(ISNUMBER(MATCH(IFERROR(INDEX(Aktiv!$C$6:$C$350,MATCH(A264,Aktiv!$A$6:$A$350,0)),""),{"Boden","Seite außen","Seite außen SY32","Rücken","Seite innen","Seite innen SY32","Seite innen SY32 DB","Fachboden klein","Fachboden groß","Klappenboden"},0)),1.2,1)-1),0))</f>
        <v>7</v>
      </c>
      <c r="E264" s="293">
        <f>IFERROR(INDEX(Aktiv!$G$6:$G$350,MATCH(A264,Aktiv!$A$6:$A$350,0)),"")</f>
        <v>6</v>
      </c>
      <c r="F264" s="294">
        <f t="shared" si="32"/>
        <v>-1</v>
      </c>
      <c r="G264" s="295">
        <f t="shared" si="33"/>
        <v>-0.14285714285714285</v>
      </c>
      <c r="H264" s="293">
        <f>IF(C264="","",ROUND(C264*Steuerungsdaten!$B$4*Steuerungsdaten!$B$8*IFERROR(VLOOKUP(IFERROR(INDEX(Aktiv!$C$6:$C$350,MATCH(A264,Aktiv!$A$6:$A$350,0)),""),Steuerungsdaten!$B$17:$E$37,4,FALSE),1)*POWER(IF(OR(IFERROR(INDEX(Aktiv!$E$6:$E$350,MATCH(A264,Aktiv!$A$6:$A$350,0)),0)=0,IFERROR(INDEX(Aktiv!$F$6:$F$350,MATCH(A264,Aktiv!$A$6:$A$350,0)),0)=0),1,(IFERROR(INDEX(Aktiv!$E$6:$E$350,MATCH(A264,Aktiv!$A$6:$A$350,0)),0)*IFERROR(INDEX(Aktiv!$F$6:$F$350,MATCH(A264,Aktiv!$A$6:$A$350,0)),0)/1000000)/Steuerungsdaten!$B$6),1-1),0))</f>
        <v>7</v>
      </c>
      <c r="I264" s="293">
        <f>IFERROR(INDEX(Aktiv!$H$6:$H$350,MATCH(A264,Aktiv!$A$6:$A$350,0)),"")</f>
        <v>6</v>
      </c>
      <c r="J264" s="294">
        <f t="shared" si="34"/>
        <v>-1</v>
      </c>
      <c r="K264" s="296">
        <f t="shared" si="35"/>
        <v>-0.14285714285714285</v>
      </c>
      <c r="L264" s="297">
        <f>IF(C264="","",ROUND(C264*Steuerungsdaten!$B$4*Steuerungsdaten!$B$9*IFERROR(VLOOKUP(IFERROR(INDEX(Aktiv!$C$6:$C$350,MATCH(A264,Aktiv!$A$6:$A$350,0)),""),Steuerungsdaten!$B$17:$G$37,6,FALSE),1)*POWER(IF(OR(IFERROR(INDEX(Aktiv!$E$6:$E$350,MATCH(A264,Aktiv!$A$6:$A$350,0)),0)=0,IFERROR(INDEX(Aktiv!$F$6:$F$350,MATCH(A264,Aktiv!$A$6:$A$350,0)),0)=0),1,(IFERROR(INDEX(Aktiv!$E$6:$E$350,MATCH(A264,Aktiv!$A$6:$A$350,0)),0)*IFERROR(INDEX(Aktiv!$F$6:$F$350,MATCH(A264,Aktiv!$A$6:$A$350,0)),0)/1000000)/Steuerungsdaten!$B$6),1-1),0))</f>
        <v>7</v>
      </c>
      <c r="M264" s="297">
        <f>IFERROR(INDEX(Aktiv!$I$6:$I$350,MATCH(A264,Aktiv!$A$6:$A$350,0)),"")</f>
        <v>6</v>
      </c>
      <c r="N264" s="298">
        <f t="shared" si="36"/>
        <v>-1</v>
      </c>
      <c r="O264" s="296">
        <f t="shared" si="37"/>
        <v>-0.14285714285714285</v>
      </c>
      <c r="P264" s="297">
        <f>IF(C264="","",ROUND(C264*Steuerungsdaten!$B$4*Steuerungsdaten!$B$10*IFERROR(VLOOKUP(IFERROR(INDEX(Aktiv!$C$6:$C$350,MATCH(A264,Aktiv!$A$6:$A$350,0)),""),Steuerungsdaten!$B$17:$I$37,8,FALSE),1)*POWER(IF(OR(IFERROR(INDEX(Aktiv!$E$6:$E$350,MATCH(A264,Aktiv!$A$6:$A$350,0)),0)=0,IFERROR(INDEX(Aktiv!$F$6:$F$350,MATCH(A264,Aktiv!$A$6:$A$350,0)),0)=0),1,(IFERROR(INDEX(Aktiv!$E$6:$E$350,MATCH(A264,Aktiv!$A$6:$A$350,0)),0)*IFERROR(INDEX(Aktiv!$F$6:$F$350,MATCH(A264,Aktiv!$A$6:$A$350,0)),0)/1000000)/Steuerungsdaten!$B$6),1-1),0))</f>
        <v>7</v>
      </c>
      <c r="Q264" s="297">
        <f>IFERROR(INDEX(Aktiv!$J$6:$J$350,MATCH(A264,Aktiv!$A$6:$A$350,0)),"")</f>
        <v>6</v>
      </c>
      <c r="R264" s="298">
        <f t="shared" si="38"/>
        <v>-1</v>
      </c>
      <c r="S264" s="296">
        <f t="shared" si="39"/>
        <v>-0.14285714285714285</v>
      </c>
    </row>
    <row r="265" spans="1:19" x14ac:dyDescent="0.25">
      <c r="A265" s="292">
        <v>1100</v>
      </c>
      <c r="B265" s="292" t="s">
        <v>298</v>
      </c>
      <c r="C265" s="293">
        <f>IFERROR(INDEX(Aktiv!$O$6:$O$350,MATCH(A265,Aktiv!$A$6:$A$350,0)),"")</f>
        <v>6</v>
      </c>
      <c r="D265" s="293">
        <f>IF(C265="","",ROUND(C265*Steuerungsdaten!$B$4*Steuerungsdaten!$B$7*IFERROR(VLOOKUP(IFERROR(INDEX(Aktiv!$C$6:$C$350,MATCH(A265,Aktiv!$A$6:$A$350,0)),""),Steuerungsdaten!$B$17:$C$37,2,FALSE),1)*POWER(IF(OR(IFERROR(INDEX(Aktiv!$E$6:$E$350,MATCH(A265,Aktiv!$A$6:$A$350,0)),0)=0,IFERROR(INDEX(Aktiv!$F$6:$F$350,MATCH(A265,Aktiv!$A$6:$A$350,0)),0)=0),1,(IFERROR(INDEX(Aktiv!$E$6:$E$350,MATCH(A265,Aktiv!$A$6:$A$350,0)),0)*IFERROR(INDEX(Aktiv!$F$6:$F$350,MATCH(A265,Aktiv!$A$6:$A$350,0)),0)/1000000)/Steuerungsdaten!$B$6),IF(ISNUMBER(MATCH(IFERROR(INDEX(Aktiv!$C$6:$C$350,MATCH(A265,Aktiv!$A$6:$A$350,0)),""),{"Boden","Seite außen","Seite außen SY32","Rücken","Seite innen","Seite innen SY32","Seite innen SY32 DB","Fachboden klein","Fachboden groß","Klappenboden"},0)),1.2,1)-1),0))</f>
        <v>7</v>
      </c>
      <c r="E265" s="293">
        <f>IFERROR(INDEX(Aktiv!$G$6:$G$350,MATCH(A265,Aktiv!$A$6:$A$350,0)),"")</f>
        <v>6</v>
      </c>
      <c r="F265" s="294">
        <f t="shared" si="32"/>
        <v>-1</v>
      </c>
      <c r="G265" s="295">
        <f t="shared" si="33"/>
        <v>-0.14285714285714285</v>
      </c>
      <c r="H265" s="293">
        <f>IF(C265="","",ROUND(C265*Steuerungsdaten!$B$4*Steuerungsdaten!$B$8*IFERROR(VLOOKUP(IFERROR(INDEX(Aktiv!$C$6:$C$350,MATCH(A265,Aktiv!$A$6:$A$350,0)),""),Steuerungsdaten!$B$17:$E$37,4,FALSE),1)*POWER(IF(OR(IFERROR(INDEX(Aktiv!$E$6:$E$350,MATCH(A265,Aktiv!$A$6:$A$350,0)),0)=0,IFERROR(INDEX(Aktiv!$F$6:$F$350,MATCH(A265,Aktiv!$A$6:$A$350,0)),0)=0),1,(IFERROR(INDEX(Aktiv!$E$6:$E$350,MATCH(A265,Aktiv!$A$6:$A$350,0)),0)*IFERROR(INDEX(Aktiv!$F$6:$F$350,MATCH(A265,Aktiv!$A$6:$A$350,0)),0)/1000000)/Steuerungsdaten!$B$6),1-1),0))</f>
        <v>7</v>
      </c>
      <c r="I265" s="293">
        <f>IFERROR(INDEX(Aktiv!$H$6:$H$350,MATCH(A265,Aktiv!$A$6:$A$350,0)),"")</f>
        <v>6</v>
      </c>
      <c r="J265" s="294">
        <f t="shared" si="34"/>
        <v>-1</v>
      </c>
      <c r="K265" s="296">
        <f t="shared" si="35"/>
        <v>-0.14285714285714285</v>
      </c>
      <c r="L265" s="297">
        <f>IF(C265="","",ROUND(C265*Steuerungsdaten!$B$4*Steuerungsdaten!$B$9*IFERROR(VLOOKUP(IFERROR(INDEX(Aktiv!$C$6:$C$350,MATCH(A265,Aktiv!$A$6:$A$350,0)),""),Steuerungsdaten!$B$17:$G$37,6,FALSE),1)*POWER(IF(OR(IFERROR(INDEX(Aktiv!$E$6:$E$350,MATCH(A265,Aktiv!$A$6:$A$350,0)),0)=0,IFERROR(INDEX(Aktiv!$F$6:$F$350,MATCH(A265,Aktiv!$A$6:$A$350,0)),0)=0),1,(IFERROR(INDEX(Aktiv!$E$6:$E$350,MATCH(A265,Aktiv!$A$6:$A$350,0)),0)*IFERROR(INDEX(Aktiv!$F$6:$F$350,MATCH(A265,Aktiv!$A$6:$A$350,0)),0)/1000000)/Steuerungsdaten!$B$6),1-1),0))</f>
        <v>7</v>
      </c>
      <c r="M265" s="297">
        <f>IFERROR(INDEX(Aktiv!$I$6:$I$350,MATCH(A265,Aktiv!$A$6:$A$350,0)),"")</f>
        <v>6</v>
      </c>
      <c r="N265" s="298">
        <f t="shared" si="36"/>
        <v>-1</v>
      </c>
      <c r="O265" s="296">
        <f t="shared" si="37"/>
        <v>-0.14285714285714285</v>
      </c>
      <c r="P265" s="297">
        <f>IF(C265="","",ROUND(C265*Steuerungsdaten!$B$4*Steuerungsdaten!$B$10*IFERROR(VLOOKUP(IFERROR(INDEX(Aktiv!$C$6:$C$350,MATCH(A265,Aktiv!$A$6:$A$350,0)),""),Steuerungsdaten!$B$17:$I$37,8,FALSE),1)*POWER(IF(OR(IFERROR(INDEX(Aktiv!$E$6:$E$350,MATCH(A265,Aktiv!$A$6:$A$350,0)),0)=0,IFERROR(INDEX(Aktiv!$F$6:$F$350,MATCH(A265,Aktiv!$A$6:$A$350,0)),0)=0),1,(IFERROR(INDEX(Aktiv!$E$6:$E$350,MATCH(A265,Aktiv!$A$6:$A$350,0)),0)*IFERROR(INDEX(Aktiv!$F$6:$F$350,MATCH(A265,Aktiv!$A$6:$A$350,0)),0)/1000000)/Steuerungsdaten!$B$6),1-1),0))</f>
        <v>7</v>
      </c>
      <c r="Q265" s="297">
        <f>IFERROR(INDEX(Aktiv!$J$6:$J$350,MATCH(A265,Aktiv!$A$6:$A$350,0)),"")</f>
        <v>6</v>
      </c>
      <c r="R265" s="298">
        <f t="shared" si="38"/>
        <v>-1</v>
      </c>
      <c r="S265" s="296">
        <f t="shared" si="39"/>
        <v>-0.14285714285714285</v>
      </c>
    </row>
    <row r="266" spans="1:19" x14ac:dyDescent="0.25">
      <c r="A266" s="292">
        <v>1101</v>
      </c>
      <c r="B266" s="292" t="s">
        <v>298</v>
      </c>
      <c r="C266" s="293">
        <f>IFERROR(INDEX(Aktiv!$O$6:$O$350,MATCH(A266,Aktiv!$A$6:$A$350,0)),"")</f>
        <v>6</v>
      </c>
      <c r="D266" s="293">
        <f>IF(C266="","",ROUND(C266*Steuerungsdaten!$B$4*Steuerungsdaten!$B$7*IFERROR(VLOOKUP(IFERROR(INDEX(Aktiv!$C$6:$C$350,MATCH(A266,Aktiv!$A$6:$A$350,0)),""),Steuerungsdaten!$B$17:$C$37,2,FALSE),1)*POWER(IF(OR(IFERROR(INDEX(Aktiv!$E$6:$E$350,MATCH(A266,Aktiv!$A$6:$A$350,0)),0)=0,IFERROR(INDEX(Aktiv!$F$6:$F$350,MATCH(A266,Aktiv!$A$6:$A$350,0)),0)=0),1,(IFERROR(INDEX(Aktiv!$E$6:$E$350,MATCH(A266,Aktiv!$A$6:$A$350,0)),0)*IFERROR(INDEX(Aktiv!$F$6:$F$350,MATCH(A266,Aktiv!$A$6:$A$350,0)),0)/1000000)/Steuerungsdaten!$B$6),IF(ISNUMBER(MATCH(IFERROR(INDEX(Aktiv!$C$6:$C$350,MATCH(A266,Aktiv!$A$6:$A$350,0)),""),{"Boden","Seite außen","Seite außen SY32","Rücken","Seite innen","Seite innen SY32","Seite innen SY32 DB","Fachboden klein","Fachboden groß","Klappenboden"},0)),1.2,1)-1),0))</f>
        <v>7</v>
      </c>
      <c r="E266" s="293">
        <f>IFERROR(INDEX(Aktiv!$G$6:$G$350,MATCH(A266,Aktiv!$A$6:$A$350,0)),"")</f>
        <v>6</v>
      </c>
      <c r="F266" s="294">
        <f t="shared" si="32"/>
        <v>-1</v>
      </c>
      <c r="G266" s="295">
        <f t="shared" si="33"/>
        <v>-0.14285714285714285</v>
      </c>
      <c r="H266" s="293">
        <f>IF(C266="","",ROUND(C266*Steuerungsdaten!$B$4*Steuerungsdaten!$B$8*IFERROR(VLOOKUP(IFERROR(INDEX(Aktiv!$C$6:$C$350,MATCH(A266,Aktiv!$A$6:$A$350,0)),""),Steuerungsdaten!$B$17:$E$37,4,FALSE),1)*POWER(IF(OR(IFERROR(INDEX(Aktiv!$E$6:$E$350,MATCH(A266,Aktiv!$A$6:$A$350,0)),0)=0,IFERROR(INDEX(Aktiv!$F$6:$F$350,MATCH(A266,Aktiv!$A$6:$A$350,0)),0)=0),1,(IFERROR(INDEX(Aktiv!$E$6:$E$350,MATCH(A266,Aktiv!$A$6:$A$350,0)),0)*IFERROR(INDEX(Aktiv!$F$6:$F$350,MATCH(A266,Aktiv!$A$6:$A$350,0)),0)/1000000)/Steuerungsdaten!$B$6),1-1),0))</f>
        <v>7</v>
      </c>
      <c r="I266" s="293">
        <f>IFERROR(INDEX(Aktiv!$H$6:$H$350,MATCH(A266,Aktiv!$A$6:$A$350,0)),"")</f>
        <v>6</v>
      </c>
      <c r="J266" s="294">
        <f t="shared" si="34"/>
        <v>-1</v>
      </c>
      <c r="K266" s="296">
        <f t="shared" si="35"/>
        <v>-0.14285714285714285</v>
      </c>
      <c r="L266" s="297">
        <f>IF(C266="","",ROUND(C266*Steuerungsdaten!$B$4*Steuerungsdaten!$B$9*IFERROR(VLOOKUP(IFERROR(INDEX(Aktiv!$C$6:$C$350,MATCH(A266,Aktiv!$A$6:$A$350,0)),""),Steuerungsdaten!$B$17:$G$37,6,FALSE),1)*POWER(IF(OR(IFERROR(INDEX(Aktiv!$E$6:$E$350,MATCH(A266,Aktiv!$A$6:$A$350,0)),0)=0,IFERROR(INDEX(Aktiv!$F$6:$F$350,MATCH(A266,Aktiv!$A$6:$A$350,0)),0)=0),1,(IFERROR(INDEX(Aktiv!$E$6:$E$350,MATCH(A266,Aktiv!$A$6:$A$350,0)),0)*IFERROR(INDEX(Aktiv!$F$6:$F$350,MATCH(A266,Aktiv!$A$6:$A$350,0)),0)/1000000)/Steuerungsdaten!$B$6),1-1),0))</f>
        <v>7</v>
      </c>
      <c r="M266" s="297">
        <f>IFERROR(INDEX(Aktiv!$I$6:$I$350,MATCH(A266,Aktiv!$A$6:$A$350,0)),"")</f>
        <v>6</v>
      </c>
      <c r="N266" s="298">
        <f t="shared" si="36"/>
        <v>-1</v>
      </c>
      <c r="O266" s="296">
        <f t="shared" si="37"/>
        <v>-0.14285714285714285</v>
      </c>
      <c r="P266" s="297">
        <f>IF(C266="","",ROUND(C266*Steuerungsdaten!$B$4*Steuerungsdaten!$B$10*IFERROR(VLOOKUP(IFERROR(INDEX(Aktiv!$C$6:$C$350,MATCH(A266,Aktiv!$A$6:$A$350,0)),""),Steuerungsdaten!$B$17:$I$37,8,FALSE),1)*POWER(IF(OR(IFERROR(INDEX(Aktiv!$E$6:$E$350,MATCH(A266,Aktiv!$A$6:$A$350,0)),0)=0,IFERROR(INDEX(Aktiv!$F$6:$F$350,MATCH(A266,Aktiv!$A$6:$A$350,0)),0)=0),1,(IFERROR(INDEX(Aktiv!$E$6:$E$350,MATCH(A266,Aktiv!$A$6:$A$350,0)),0)*IFERROR(INDEX(Aktiv!$F$6:$F$350,MATCH(A266,Aktiv!$A$6:$A$350,0)),0)/1000000)/Steuerungsdaten!$B$6),1-1),0))</f>
        <v>7</v>
      </c>
      <c r="Q266" s="297">
        <f>IFERROR(INDEX(Aktiv!$J$6:$J$350,MATCH(A266,Aktiv!$A$6:$A$350,0)),"")</f>
        <v>6</v>
      </c>
      <c r="R266" s="298">
        <f t="shared" si="38"/>
        <v>-1</v>
      </c>
      <c r="S266" s="296">
        <f t="shared" si="39"/>
        <v>-0.14285714285714285</v>
      </c>
    </row>
    <row r="267" spans="1:19" x14ac:dyDescent="0.25">
      <c r="A267" s="292">
        <v>1102</v>
      </c>
      <c r="B267" s="292" t="s">
        <v>298</v>
      </c>
      <c r="C267" s="293">
        <f>IFERROR(INDEX(Aktiv!$O$6:$O$350,MATCH(A267,Aktiv!$A$6:$A$350,0)),"")</f>
        <v>6</v>
      </c>
      <c r="D267" s="293">
        <f>IF(C267="","",ROUND(C267*Steuerungsdaten!$B$4*Steuerungsdaten!$B$7*IFERROR(VLOOKUP(IFERROR(INDEX(Aktiv!$C$6:$C$350,MATCH(A267,Aktiv!$A$6:$A$350,0)),""),Steuerungsdaten!$B$17:$C$37,2,FALSE),1)*POWER(IF(OR(IFERROR(INDEX(Aktiv!$E$6:$E$350,MATCH(A267,Aktiv!$A$6:$A$350,0)),0)=0,IFERROR(INDEX(Aktiv!$F$6:$F$350,MATCH(A267,Aktiv!$A$6:$A$350,0)),0)=0),1,(IFERROR(INDEX(Aktiv!$E$6:$E$350,MATCH(A267,Aktiv!$A$6:$A$350,0)),0)*IFERROR(INDEX(Aktiv!$F$6:$F$350,MATCH(A267,Aktiv!$A$6:$A$350,0)),0)/1000000)/Steuerungsdaten!$B$6),IF(ISNUMBER(MATCH(IFERROR(INDEX(Aktiv!$C$6:$C$350,MATCH(A267,Aktiv!$A$6:$A$350,0)),""),{"Boden","Seite außen","Seite außen SY32","Rücken","Seite innen","Seite innen SY32","Seite innen SY32 DB","Fachboden klein","Fachboden groß","Klappenboden"},0)),1.2,1)-1),0))</f>
        <v>7</v>
      </c>
      <c r="E267" s="293">
        <f>IFERROR(INDEX(Aktiv!$G$6:$G$350,MATCH(A267,Aktiv!$A$6:$A$350,0)),"")</f>
        <v>6</v>
      </c>
      <c r="F267" s="294">
        <f t="shared" si="32"/>
        <v>-1</v>
      </c>
      <c r="G267" s="295">
        <f t="shared" si="33"/>
        <v>-0.14285714285714285</v>
      </c>
      <c r="H267" s="293">
        <f>IF(C267="","",ROUND(C267*Steuerungsdaten!$B$4*Steuerungsdaten!$B$8*IFERROR(VLOOKUP(IFERROR(INDEX(Aktiv!$C$6:$C$350,MATCH(A267,Aktiv!$A$6:$A$350,0)),""),Steuerungsdaten!$B$17:$E$37,4,FALSE),1)*POWER(IF(OR(IFERROR(INDEX(Aktiv!$E$6:$E$350,MATCH(A267,Aktiv!$A$6:$A$350,0)),0)=0,IFERROR(INDEX(Aktiv!$F$6:$F$350,MATCH(A267,Aktiv!$A$6:$A$350,0)),0)=0),1,(IFERROR(INDEX(Aktiv!$E$6:$E$350,MATCH(A267,Aktiv!$A$6:$A$350,0)),0)*IFERROR(INDEX(Aktiv!$F$6:$F$350,MATCH(A267,Aktiv!$A$6:$A$350,0)),0)/1000000)/Steuerungsdaten!$B$6),1-1),0))</f>
        <v>7</v>
      </c>
      <c r="I267" s="293">
        <f>IFERROR(INDEX(Aktiv!$H$6:$H$350,MATCH(A267,Aktiv!$A$6:$A$350,0)),"")</f>
        <v>6</v>
      </c>
      <c r="J267" s="294">
        <f t="shared" si="34"/>
        <v>-1</v>
      </c>
      <c r="K267" s="296">
        <f t="shared" si="35"/>
        <v>-0.14285714285714285</v>
      </c>
      <c r="L267" s="297">
        <f>IF(C267="","",ROUND(C267*Steuerungsdaten!$B$4*Steuerungsdaten!$B$9*IFERROR(VLOOKUP(IFERROR(INDEX(Aktiv!$C$6:$C$350,MATCH(A267,Aktiv!$A$6:$A$350,0)),""),Steuerungsdaten!$B$17:$G$37,6,FALSE),1)*POWER(IF(OR(IFERROR(INDEX(Aktiv!$E$6:$E$350,MATCH(A267,Aktiv!$A$6:$A$350,0)),0)=0,IFERROR(INDEX(Aktiv!$F$6:$F$350,MATCH(A267,Aktiv!$A$6:$A$350,0)),0)=0),1,(IFERROR(INDEX(Aktiv!$E$6:$E$350,MATCH(A267,Aktiv!$A$6:$A$350,0)),0)*IFERROR(INDEX(Aktiv!$F$6:$F$350,MATCH(A267,Aktiv!$A$6:$A$350,0)),0)/1000000)/Steuerungsdaten!$B$6),1-1),0))</f>
        <v>7</v>
      </c>
      <c r="M267" s="297">
        <f>IFERROR(INDEX(Aktiv!$I$6:$I$350,MATCH(A267,Aktiv!$A$6:$A$350,0)),"")</f>
        <v>6</v>
      </c>
      <c r="N267" s="298">
        <f t="shared" si="36"/>
        <v>-1</v>
      </c>
      <c r="O267" s="296">
        <f t="shared" si="37"/>
        <v>-0.14285714285714285</v>
      </c>
      <c r="P267" s="297">
        <f>IF(C267="","",ROUND(C267*Steuerungsdaten!$B$4*Steuerungsdaten!$B$10*IFERROR(VLOOKUP(IFERROR(INDEX(Aktiv!$C$6:$C$350,MATCH(A267,Aktiv!$A$6:$A$350,0)),""),Steuerungsdaten!$B$17:$I$37,8,FALSE),1)*POWER(IF(OR(IFERROR(INDEX(Aktiv!$E$6:$E$350,MATCH(A267,Aktiv!$A$6:$A$350,0)),0)=0,IFERROR(INDEX(Aktiv!$F$6:$F$350,MATCH(A267,Aktiv!$A$6:$A$350,0)),0)=0),1,(IFERROR(INDEX(Aktiv!$E$6:$E$350,MATCH(A267,Aktiv!$A$6:$A$350,0)),0)*IFERROR(INDEX(Aktiv!$F$6:$F$350,MATCH(A267,Aktiv!$A$6:$A$350,0)),0)/1000000)/Steuerungsdaten!$B$6),1-1),0))</f>
        <v>7</v>
      </c>
      <c r="Q267" s="297">
        <f>IFERROR(INDEX(Aktiv!$J$6:$J$350,MATCH(A267,Aktiv!$A$6:$A$350,0)),"")</f>
        <v>6</v>
      </c>
      <c r="R267" s="298">
        <f t="shared" si="38"/>
        <v>-1</v>
      </c>
      <c r="S267" s="296">
        <f t="shared" si="39"/>
        <v>-0.14285714285714285</v>
      </c>
    </row>
    <row r="268" spans="1:19" x14ac:dyDescent="0.25">
      <c r="A268" s="292">
        <v>2000</v>
      </c>
      <c r="B268" s="292" t="s">
        <v>300</v>
      </c>
      <c r="C268" s="293">
        <f>IFERROR(INDEX(Aktiv!$O$6:$O$350,MATCH(A268,Aktiv!$A$6:$A$350,0)),"")</f>
        <v>80</v>
      </c>
      <c r="D268" s="293">
        <f>IF(C268="","",ROUND(C268*Steuerungsdaten!$B$4*Steuerungsdaten!$B$7*IFERROR(VLOOKUP(IFERROR(INDEX(Aktiv!$C$6:$C$350,MATCH(A268,Aktiv!$A$6:$A$350,0)),""),Steuerungsdaten!$B$17:$C$37,2,FALSE),1)*POWER(IF(OR(IFERROR(INDEX(Aktiv!$E$6:$E$350,MATCH(A268,Aktiv!$A$6:$A$350,0)),0)=0,IFERROR(INDEX(Aktiv!$F$6:$F$350,MATCH(A268,Aktiv!$A$6:$A$350,0)),0)=0),1,(IFERROR(INDEX(Aktiv!$E$6:$E$350,MATCH(A268,Aktiv!$A$6:$A$350,0)),0)*IFERROR(INDEX(Aktiv!$F$6:$F$350,MATCH(A268,Aktiv!$A$6:$A$350,0)),0)/1000000)/Steuerungsdaten!$B$6),IF(ISNUMBER(MATCH(IFERROR(INDEX(Aktiv!$C$6:$C$350,MATCH(A268,Aktiv!$A$6:$A$350,0)),""),{"Boden","Seite außen","Seite außen SY32","Rücken","Seite innen","Seite innen SY32","Seite innen SY32 DB","Fachboden klein","Fachboden groß","Klappenboden"},0)),1.2,1)-1),0))</f>
        <v>66</v>
      </c>
      <c r="E268" s="293">
        <f>IFERROR(INDEX(Aktiv!$G$6:$G$350,MATCH(A268,Aktiv!$A$6:$A$350,0)),"")</f>
        <v>80</v>
      </c>
      <c r="F268" s="294">
        <f t="shared" si="32"/>
        <v>14</v>
      </c>
      <c r="G268" s="295">
        <f t="shared" si="33"/>
        <v>0.21212121212121213</v>
      </c>
      <c r="H268" s="293">
        <f>IF(C268="","",ROUND(C268*Steuerungsdaten!$B$4*Steuerungsdaten!$B$8*IFERROR(VLOOKUP(IFERROR(INDEX(Aktiv!$C$6:$C$350,MATCH(A268,Aktiv!$A$6:$A$350,0)),""),Steuerungsdaten!$B$17:$E$37,4,FALSE),1)*POWER(IF(OR(IFERROR(INDEX(Aktiv!$E$6:$E$350,MATCH(A268,Aktiv!$A$6:$A$350,0)),0)=0,IFERROR(INDEX(Aktiv!$F$6:$F$350,MATCH(A268,Aktiv!$A$6:$A$350,0)),0)=0),1,(IFERROR(INDEX(Aktiv!$E$6:$E$350,MATCH(A268,Aktiv!$A$6:$A$350,0)),0)*IFERROR(INDEX(Aktiv!$F$6:$F$350,MATCH(A268,Aktiv!$A$6:$A$350,0)),0)/1000000)/Steuerungsdaten!$B$6),1-1),0))</f>
        <v>66</v>
      </c>
      <c r="I268" s="293">
        <f>IFERROR(INDEX(Aktiv!$H$6:$H$350,MATCH(A268,Aktiv!$A$6:$A$350,0)),"")</f>
        <v>80</v>
      </c>
      <c r="J268" s="294">
        <f t="shared" si="34"/>
        <v>14</v>
      </c>
      <c r="K268" s="296">
        <f t="shared" si="35"/>
        <v>0.21212121212121213</v>
      </c>
      <c r="L268" s="297">
        <f>IF(C268="","",ROUND(C268*Steuerungsdaten!$B$4*Steuerungsdaten!$B$9*IFERROR(VLOOKUP(IFERROR(INDEX(Aktiv!$C$6:$C$350,MATCH(A268,Aktiv!$A$6:$A$350,0)),""),Steuerungsdaten!$B$17:$G$37,6,FALSE),1)*POWER(IF(OR(IFERROR(INDEX(Aktiv!$E$6:$E$350,MATCH(A268,Aktiv!$A$6:$A$350,0)),0)=0,IFERROR(INDEX(Aktiv!$F$6:$F$350,MATCH(A268,Aktiv!$A$6:$A$350,0)),0)=0),1,(IFERROR(INDEX(Aktiv!$E$6:$E$350,MATCH(A268,Aktiv!$A$6:$A$350,0)),0)*IFERROR(INDEX(Aktiv!$F$6:$F$350,MATCH(A268,Aktiv!$A$6:$A$350,0)),0)/1000000)/Steuerungsdaten!$B$6),1-1),0))</f>
        <v>66</v>
      </c>
      <c r="M268" s="297">
        <f>IFERROR(INDEX(Aktiv!$I$6:$I$350,MATCH(A268,Aktiv!$A$6:$A$350,0)),"")</f>
        <v>80</v>
      </c>
      <c r="N268" s="298">
        <f t="shared" si="36"/>
        <v>14</v>
      </c>
      <c r="O268" s="296">
        <f t="shared" si="37"/>
        <v>0.21212121212121213</v>
      </c>
      <c r="P268" s="297">
        <f>IF(C268="","",ROUND(C268*Steuerungsdaten!$B$4*Steuerungsdaten!$B$10*IFERROR(VLOOKUP(IFERROR(INDEX(Aktiv!$C$6:$C$350,MATCH(A268,Aktiv!$A$6:$A$350,0)),""),Steuerungsdaten!$B$17:$I$37,8,FALSE),1)*POWER(IF(OR(IFERROR(INDEX(Aktiv!$E$6:$E$350,MATCH(A268,Aktiv!$A$6:$A$350,0)),0)=0,IFERROR(INDEX(Aktiv!$F$6:$F$350,MATCH(A268,Aktiv!$A$6:$A$350,0)),0)=0),1,(IFERROR(INDEX(Aktiv!$E$6:$E$350,MATCH(A268,Aktiv!$A$6:$A$350,0)),0)*IFERROR(INDEX(Aktiv!$F$6:$F$350,MATCH(A268,Aktiv!$A$6:$A$350,0)),0)/1000000)/Steuerungsdaten!$B$6),1-1),0))</f>
        <v>72</v>
      </c>
      <c r="Q268" s="297">
        <f>IFERROR(INDEX(Aktiv!$J$6:$J$350,MATCH(A268,Aktiv!$A$6:$A$350,0)),"")</f>
        <v>80</v>
      </c>
      <c r="R268" s="298">
        <f t="shared" si="38"/>
        <v>8</v>
      </c>
      <c r="S268" s="296">
        <f t="shared" si="39"/>
        <v>0.1111111111111111</v>
      </c>
    </row>
    <row r="269" spans="1:19" x14ac:dyDescent="0.25">
      <c r="A269" s="292">
        <v>2001</v>
      </c>
      <c r="B269" s="292" t="s">
        <v>300</v>
      </c>
      <c r="C269" s="293">
        <f>IFERROR(INDEX(Aktiv!$O$6:$O$350,MATCH(A269,Aktiv!$A$6:$A$350,0)),"")</f>
        <v>40</v>
      </c>
      <c r="D269" s="293">
        <f>IF(C269="","",ROUND(C269*Steuerungsdaten!$B$4*Steuerungsdaten!$B$7*IFERROR(VLOOKUP(IFERROR(INDEX(Aktiv!$C$6:$C$350,MATCH(A269,Aktiv!$A$6:$A$350,0)),""),Steuerungsdaten!$B$17:$C$37,2,FALSE),1)*POWER(IF(OR(IFERROR(INDEX(Aktiv!$E$6:$E$350,MATCH(A269,Aktiv!$A$6:$A$350,0)),0)=0,IFERROR(INDEX(Aktiv!$F$6:$F$350,MATCH(A269,Aktiv!$A$6:$A$350,0)),0)=0),1,(IFERROR(INDEX(Aktiv!$E$6:$E$350,MATCH(A269,Aktiv!$A$6:$A$350,0)),0)*IFERROR(INDEX(Aktiv!$F$6:$F$350,MATCH(A269,Aktiv!$A$6:$A$350,0)),0)/1000000)/Steuerungsdaten!$B$6),IF(ISNUMBER(MATCH(IFERROR(INDEX(Aktiv!$C$6:$C$350,MATCH(A269,Aktiv!$A$6:$A$350,0)),""),{"Boden","Seite außen","Seite außen SY32","Rücken","Seite innen","Seite innen SY32","Seite innen SY32 DB","Fachboden klein","Fachboden groß","Klappenboden"},0)),1.2,1)-1),0))</f>
        <v>33</v>
      </c>
      <c r="E269" s="293">
        <f>IFERROR(INDEX(Aktiv!$G$6:$G$350,MATCH(A269,Aktiv!$A$6:$A$350,0)),"")</f>
        <v>40</v>
      </c>
      <c r="F269" s="294">
        <f t="shared" si="32"/>
        <v>7</v>
      </c>
      <c r="G269" s="295">
        <f t="shared" si="33"/>
        <v>0.21212121212121213</v>
      </c>
      <c r="H269" s="293">
        <f>IF(C269="","",ROUND(C269*Steuerungsdaten!$B$4*Steuerungsdaten!$B$8*IFERROR(VLOOKUP(IFERROR(INDEX(Aktiv!$C$6:$C$350,MATCH(A269,Aktiv!$A$6:$A$350,0)),""),Steuerungsdaten!$B$17:$E$37,4,FALSE),1)*POWER(IF(OR(IFERROR(INDEX(Aktiv!$E$6:$E$350,MATCH(A269,Aktiv!$A$6:$A$350,0)),0)=0,IFERROR(INDEX(Aktiv!$F$6:$F$350,MATCH(A269,Aktiv!$A$6:$A$350,0)),0)=0),1,(IFERROR(INDEX(Aktiv!$E$6:$E$350,MATCH(A269,Aktiv!$A$6:$A$350,0)),0)*IFERROR(INDEX(Aktiv!$F$6:$F$350,MATCH(A269,Aktiv!$A$6:$A$350,0)),0)/1000000)/Steuerungsdaten!$B$6),1-1),0))</f>
        <v>33</v>
      </c>
      <c r="I269" s="293">
        <f>IFERROR(INDEX(Aktiv!$H$6:$H$350,MATCH(A269,Aktiv!$A$6:$A$350,0)),"")</f>
        <v>40</v>
      </c>
      <c r="J269" s="294">
        <f t="shared" si="34"/>
        <v>7</v>
      </c>
      <c r="K269" s="296">
        <f t="shared" si="35"/>
        <v>0.21212121212121213</v>
      </c>
      <c r="L269" s="297">
        <f>IF(C269="","",ROUND(C269*Steuerungsdaten!$B$4*Steuerungsdaten!$B$9*IFERROR(VLOOKUP(IFERROR(INDEX(Aktiv!$C$6:$C$350,MATCH(A269,Aktiv!$A$6:$A$350,0)),""),Steuerungsdaten!$B$17:$G$37,6,FALSE),1)*POWER(IF(OR(IFERROR(INDEX(Aktiv!$E$6:$E$350,MATCH(A269,Aktiv!$A$6:$A$350,0)),0)=0,IFERROR(INDEX(Aktiv!$F$6:$F$350,MATCH(A269,Aktiv!$A$6:$A$350,0)),0)=0),1,(IFERROR(INDEX(Aktiv!$E$6:$E$350,MATCH(A269,Aktiv!$A$6:$A$350,0)),0)*IFERROR(INDEX(Aktiv!$F$6:$F$350,MATCH(A269,Aktiv!$A$6:$A$350,0)),0)/1000000)/Steuerungsdaten!$B$6),1-1),0))</f>
        <v>33</v>
      </c>
      <c r="M269" s="297">
        <f>IFERROR(INDEX(Aktiv!$I$6:$I$350,MATCH(A269,Aktiv!$A$6:$A$350,0)),"")</f>
        <v>40</v>
      </c>
      <c r="N269" s="298">
        <f t="shared" si="36"/>
        <v>7</v>
      </c>
      <c r="O269" s="296">
        <f t="shared" si="37"/>
        <v>0.21212121212121213</v>
      </c>
      <c r="P269" s="297">
        <f>IF(C269="","",ROUND(C269*Steuerungsdaten!$B$4*Steuerungsdaten!$B$10*IFERROR(VLOOKUP(IFERROR(INDEX(Aktiv!$C$6:$C$350,MATCH(A269,Aktiv!$A$6:$A$350,0)),""),Steuerungsdaten!$B$17:$I$37,8,FALSE),1)*POWER(IF(OR(IFERROR(INDEX(Aktiv!$E$6:$E$350,MATCH(A269,Aktiv!$A$6:$A$350,0)),0)=0,IFERROR(INDEX(Aktiv!$F$6:$F$350,MATCH(A269,Aktiv!$A$6:$A$350,0)),0)=0),1,(IFERROR(INDEX(Aktiv!$E$6:$E$350,MATCH(A269,Aktiv!$A$6:$A$350,0)),0)*IFERROR(INDEX(Aktiv!$F$6:$F$350,MATCH(A269,Aktiv!$A$6:$A$350,0)),0)/1000000)/Steuerungsdaten!$B$6),1-1),0))</f>
        <v>36</v>
      </c>
      <c r="Q269" s="297">
        <f>IFERROR(INDEX(Aktiv!$J$6:$J$350,MATCH(A269,Aktiv!$A$6:$A$350,0)),"")</f>
        <v>40</v>
      </c>
      <c r="R269" s="298">
        <f t="shared" si="38"/>
        <v>4</v>
      </c>
      <c r="S269" s="296">
        <f t="shared" si="39"/>
        <v>0.1111111111111111</v>
      </c>
    </row>
    <row r="270" spans="1:19" x14ac:dyDescent="0.25">
      <c r="A270" s="292">
        <v>2005</v>
      </c>
      <c r="B270" s="292" t="s">
        <v>301</v>
      </c>
      <c r="C270" s="293">
        <f>IFERROR(INDEX(Aktiv!$O$6:$O$350,MATCH(A270,Aktiv!$A$6:$A$350,0)),"")</f>
        <v>20</v>
      </c>
      <c r="D270" s="293">
        <f>IF(C270="","",ROUND(C270*Steuerungsdaten!$B$4*Steuerungsdaten!$B$7*IFERROR(VLOOKUP(IFERROR(INDEX(Aktiv!$C$6:$C$350,MATCH(A270,Aktiv!$A$6:$A$350,0)),""),Steuerungsdaten!$B$17:$C$37,2,FALSE),1)*POWER(IF(OR(IFERROR(INDEX(Aktiv!$E$6:$E$350,MATCH(A270,Aktiv!$A$6:$A$350,0)),0)=0,IFERROR(INDEX(Aktiv!$F$6:$F$350,MATCH(A270,Aktiv!$A$6:$A$350,0)),0)=0),1,(IFERROR(INDEX(Aktiv!$E$6:$E$350,MATCH(A270,Aktiv!$A$6:$A$350,0)),0)*IFERROR(INDEX(Aktiv!$F$6:$F$350,MATCH(A270,Aktiv!$A$6:$A$350,0)),0)/1000000)/Steuerungsdaten!$B$6),IF(ISNUMBER(MATCH(IFERROR(INDEX(Aktiv!$C$6:$C$350,MATCH(A270,Aktiv!$A$6:$A$350,0)),""),{"Boden","Seite außen","Seite außen SY32","Rücken","Seite innen","Seite innen SY32","Seite innen SY32 DB","Fachboden klein","Fachboden groß","Klappenboden"},0)),1.2,1)-1),0))</f>
        <v>17</v>
      </c>
      <c r="E270" s="293">
        <f>IFERROR(INDEX(Aktiv!$G$6:$G$350,MATCH(A270,Aktiv!$A$6:$A$350,0)),"")</f>
        <v>20</v>
      </c>
      <c r="F270" s="294">
        <f t="shared" si="32"/>
        <v>3</v>
      </c>
      <c r="G270" s="295">
        <f t="shared" si="33"/>
        <v>0.17647058823529413</v>
      </c>
      <c r="H270" s="293">
        <f>IF(C270="","",ROUND(C270*Steuerungsdaten!$B$4*Steuerungsdaten!$B$8*IFERROR(VLOOKUP(IFERROR(INDEX(Aktiv!$C$6:$C$350,MATCH(A270,Aktiv!$A$6:$A$350,0)),""),Steuerungsdaten!$B$17:$E$37,4,FALSE),1)*POWER(IF(OR(IFERROR(INDEX(Aktiv!$E$6:$E$350,MATCH(A270,Aktiv!$A$6:$A$350,0)),0)=0,IFERROR(INDEX(Aktiv!$F$6:$F$350,MATCH(A270,Aktiv!$A$6:$A$350,0)),0)=0),1,(IFERROR(INDEX(Aktiv!$E$6:$E$350,MATCH(A270,Aktiv!$A$6:$A$350,0)),0)*IFERROR(INDEX(Aktiv!$F$6:$F$350,MATCH(A270,Aktiv!$A$6:$A$350,0)),0)/1000000)/Steuerungsdaten!$B$6),1-1),0))</f>
        <v>17</v>
      </c>
      <c r="I270" s="293">
        <f>IFERROR(INDEX(Aktiv!$H$6:$H$350,MATCH(A270,Aktiv!$A$6:$A$350,0)),"")</f>
        <v>20</v>
      </c>
      <c r="J270" s="294">
        <f t="shared" si="34"/>
        <v>3</v>
      </c>
      <c r="K270" s="296">
        <f t="shared" si="35"/>
        <v>0.17647058823529413</v>
      </c>
      <c r="L270" s="297">
        <f>IF(C270="","",ROUND(C270*Steuerungsdaten!$B$4*Steuerungsdaten!$B$9*IFERROR(VLOOKUP(IFERROR(INDEX(Aktiv!$C$6:$C$350,MATCH(A270,Aktiv!$A$6:$A$350,0)),""),Steuerungsdaten!$B$17:$G$37,6,FALSE),1)*POWER(IF(OR(IFERROR(INDEX(Aktiv!$E$6:$E$350,MATCH(A270,Aktiv!$A$6:$A$350,0)),0)=0,IFERROR(INDEX(Aktiv!$F$6:$F$350,MATCH(A270,Aktiv!$A$6:$A$350,0)),0)=0),1,(IFERROR(INDEX(Aktiv!$E$6:$E$350,MATCH(A270,Aktiv!$A$6:$A$350,0)),0)*IFERROR(INDEX(Aktiv!$F$6:$F$350,MATCH(A270,Aktiv!$A$6:$A$350,0)),0)/1000000)/Steuerungsdaten!$B$6),1-1),0))</f>
        <v>17</v>
      </c>
      <c r="M270" s="297">
        <f>IFERROR(INDEX(Aktiv!$I$6:$I$350,MATCH(A270,Aktiv!$A$6:$A$350,0)),"")</f>
        <v>20</v>
      </c>
      <c r="N270" s="298">
        <f t="shared" si="36"/>
        <v>3</v>
      </c>
      <c r="O270" s="296">
        <f t="shared" si="37"/>
        <v>0.17647058823529413</v>
      </c>
      <c r="P270" s="297">
        <f>IF(C270="","",ROUND(C270*Steuerungsdaten!$B$4*Steuerungsdaten!$B$10*IFERROR(VLOOKUP(IFERROR(INDEX(Aktiv!$C$6:$C$350,MATCH(A270,Aktiv!$A$6:$A$350,0)),""),Steuerungsdaten!$B$17:$I$37,8,FALSE),1)*POWER(IF(OR(IFERROR(INDEX(Aktiv!$E$6:$E$350,MATCH(A270,Aktiv!$A$6:$A$350,0)),0)=0,IFERROR(INDEX(Aktiv!$F$6:$F$350,MATCH(A270,Aktiv!$A$6:$A$350,0)),0)=0),1,(IFERROR(INDEX(Aktiv!$E$6:$E$350,MATCH(A270,Aktiv!$A$6:$A$350,0)),0)*IFERROR(INDEX(Aktiv!$F$6:$F$350,MATCH(A270,Aktiv!$A$6:$A$350,0)),0)/1000000)/Steuerungsdaten!$B$6),1-1),0))</f>
        <v>18</v>
      </c>
      <c r="Q270" s="297">
        <f>IFERROR(INDEX(Aktiv!$J$6:$J$350,MATCH(A270,Aktiv!$A$6:$A$350,0)),"")</f>
        <v>20</v>
      </c>
      <c r="R270" s="298">
        <f t="shared" si="38"/>
        <v>2</v>
      </c>
      <c r="S270" s="296">
        <f t="shared" si="39"/>
        <v>0.1111111111111111</v>
      </c>
    </row>
    <row r="271" spans="1:19" x14ac:dyDescent="0.25">
      <c r="A271" s="292">
        <v>2010</v>
      </c>
      <c r="B271" s="292" t="s">
        <v>302</v>
      </c>
      <c r="C271" s="293">
        <f>IFERROR(INDEX(Aktiv!$O$6:$O$350,MATCH(A271,Aktiv!$A$6:$A$350,0)),"")</f>
        <v>20</v>
      </c>
      <c r="D271" s="293">
        <f>IF(C271="","",ROUND(C271*Steuerungsdaten!$B$4*Steuerungsdaten!$B$7*IFERROR(VLOOKUP(IFERROR(INDEX(Aktiv!$C$6:$C$350,MATCH(A271,Aktiv!$A$6:$A$350,0)),""),Steuerungsdaten!$B$17:$C$37,2,FALSE),1)*POWER(IF(OR(IFERROR(INDEX(Aktiv!$E$6:$E$350,MATCH(A271,Aktiv!$A$6:$A$350,0)),0)=0,IFERROR(INDEX(Aktiv!$F$6:$F$350,MATCH(A271,Aktiv!$A$6:$A$350,0)),0)=0),1,(IFERROR(INDEX(Aktiv!$E$6:$E$350,MATCH(A271,Aktiv!$A$6:$A$350,0)),0)*IFERROR(INDEX(Aktiv!$F$6:$F$350,MATCH(A271,Aktiv!$A$6:$A$350,0)),0)/1000000)/Steuerungsdaten!$B$6),IF(ISNUMBER(MATCH(IFERROR(INDEX(Aktiv!$C$6:$C$350,MATCH(A271,Aktiv!$A$6:$A$350,0)),""),{"Boden","Seite außen","Seite außen SY32","Rücken","Seite innen","Seite innen SY32","Seite innen SY32 DB","Fachboden klein","Fachboden groß","Klappenboden"},0)),1.2,1)-1),0))</f>
        <v>17</v>
      </c>
      <c r="E271" s="293">
        <f>IFERROR(INDEX(Aktiv!$G$6:$G$350,MATCH(A271,Aktiv!$A$6:$A$350,0)),"")</f>
        <v>20</v>
      </c>
      <c r="F271" s="294">
        <f t="shared" si="32"/>
        <v>3</v>
      </c>
      <c r="G271" s="295">
        <f t="shared" si="33"/>
        <v>0.17647058823529413</v>
      </c>
      <c r="H271" s="293">
        <f>IF(C271="","",ROUND(C271*Steuerungsdaten!$B$4*Steuerungsdaten!$B$8*IFERROR(VLOOKUP(IFERROR(INDEX(Aktiv!$C$6:$C$350,MATCH(A271,Aktiv!$A$6:$A$350,0)),""),Steuerungsdaten!$B$17:$E$37,4,FALSE),1)*POWER(IF(OR(IFERROR(INDEX(Aktiv!$E$6:$E$350,MATCH(A271,Aktiv!$A$6:$A$350,0)),0)=0,IFERROR(INDEX(Aktiv!$F$6:$F$350,MATCH(A271,Aktiv!$A$6:$A$350,0)),0)=0),1,(IFERROR(INDEX(Aktiv!$E$6:$E$350,MATCH(A271,Aktiv!$A$6:$A$350,0)),0)*IFERROR(INDEX(Aktiv!$F$6:$F$350,MATCH(A271,Aktiv!$A$6:$A$350,0)),0)/1000000)/Steuerungsdaten!$B$6),1-1),0))</f>
        <v>17</v>
      </c>
      <c r="I271" s="293">
        <f>IFERROR(INDEX(Aktiv!$H$6:$H$350,MATCH(A271,Aktiv!$A$6:$A$350,0)),"")</f>
        <v>20</v>
      </c>
      <c r="J271" s="294">
        <f t="shared" si="34"/>
        <v>3</v>
      </c>
      <c r="K271" s="296">
        <f t="shared" si="35"/>
        <v>0.17647058823529413</v>
      </c>
      <c r="L271" s="297">
        <f>IF(C271="","",ROUND(C271*Steuerungsdaten!$B$4*Steuerungsdaten!$B$9*IFERROR(VLOOKUP(IFERROR(INDEX(Aktiv!$C$6:$C$350,MATCH(A271,Aktiv!$A$6:$A$350,0)),""),Steuerungsdaten!$B$17:$G$37,6,FALSE),1)*POWER(IF(OR(IFERROR(INDEX(Aktiv!$E$6:$E$350,MATCH(A271,Aktiv!$A$6:$A$350,0)),0)=0,IFERROR(INDEX(Aktiv!$F$6:$F$350,MATCH(A271,Aktiv!$A$6:$A$350,0)),0)=0),1,(IFERROR(INDEX(Aktiv!$E$6:$E$350,MATCH(A271,Aktiv!$A$6:$A$350,0)),0)*IFERROR(INDEX(Aktiv!$F$6:$F$350,MATCH(A271,Aktiv!$A$6:$A$350,0)),0)/1000000)/Steuerungsdaten!$B$6),1-1),0))</f>
        <v>17</v>
      </c>
      <c r="M271" s="297">
        <f>IFERROR(INDEX(Aktiv!$I$6:$I$350,MATCH(A271,Aktiv!$A$6:$A$350,0)),"")</f>
        <v>20</v>
      </c>
      <c r="N271" s="298">
        <f t="shared" si="36"/>
        <v>3</v>
      </c>
      <c r="O271" s="296">
        <f t="shared" si="37"/>
        <v>0.17647058823529413</v>
      </c>
      <c r="P271" s="297">
        <f>IF(C271="","",ROUND(C271*Steuerungsdaten!$B$4*Steuerungsdaten!$B$10*IFERROR(VLOOKUP(IFERROR(INDEX(Aktiv!$C$6:$C$350,MATCH(A271,Aktiv!$A$6:$A$350,0)),""),Steuerungsdaten!$B$17:$I$37,8,FALSE),1)*POWER(IF(OR(IFERROR(INDEX(Aktiv!$E$6:$E$350,MATCH(A271,Aktiv!$A$6:$A$350,0)),0)=0,IFERROR(INDEX(Aktiv!$F$6:$F$350,MATCH(A271,Aktiv!$A$6:$A$350,0)),0)=0),1,(IFERROR(INDEX(Aktiv!$E$6:$E$350,MATCH(A271,Aktiv!$A$6:$A$350,0)),0)*IFERROR(INDEX(Aktiv!$F$6:$F$350,MATCH(A271,Aktiv!$A$6:$A$350,0)),0)/1000000)/Steuerungsdaten!$B$6),1-1),0))</f>
        <v>18</v>
      </c>
      <c r="Q271" s="297">
        <f>IFERROR(INDEX(Aktiv!$J$6:$J$350,MATCH(A271,Aktiv!$A$6:$A$350,0)),"")</f>
        <v>20</v>
      </c>
      <c r="R271" s="298">
        <f t="shared" si="38"/>
        <v>2</v>
      </c>
      <c r="S271" s="296">
        <f t="shared" si="39"/>
        <v>0.1111111111111111</v>
      </c>
    </row>
    <row r="272" spans="1:19" x14ac:dyDescent="0.25">
      <c r="A272" s="292">
        <v>2015</v>
      </c>
      <c r="B272" s="292" t="s">
        <v>303</v>
      </c>
      <c r="C272" s="293">
        <f>IFERROR(INDEX(Aktiv!$O$6:$O$350,MATCH(A272,Aktiv!$A$6:$A$350,0)),"")</f>
        <v>20</v>
      </c>
      <c r="D272" s="293">
        <f>IF(C272="","",ROUND(C272*Steuerungsdaten!$B$4*Steuerungsdaten!$B$7*IFERROR(VLOOKUP(IFERROR(INDEX(Aktiv!$C$6:$C$350,MATCH(A272,Aktiv!$A$6:$A$350,0)),""),Steuerungsdaten!$B$17:$C$37,2,FALSE),1)*POWER(IF(OR(IFERROR(INDEX(Aktiv!$E$6:$E$350,MATCH(A272,Aktiv!$A$6:$A$350,0)),0)=0,IFERROR(INDEX(Aktiv!$F$6:$F$350,MATCH(A272,Aktiv!$A$6:$A$350,0)),0)=0),1,(IFERROR(INDEX(Aktiv!$E$6:$E$350,MATCH(A272,Aktiv!$A$6:$A$350,0)),0)*IFERROR(INDEX(Aktiv!$F$6:$F$350,MATCH(A272,Aktiv!$A$6:$A$350,0)),0)/1000000)/Steuerungsdaten!$B$6),IF(ISNUMBER(MATCH(IFERROR(INDEX(Aktiv!$C$6:$C$350,MATCH(A272,Aktiv!$A$6:$A$350,0)),""),{"Boden","Seite außen","Seite außen SY32","Rücken","Seite innen","Seite innen SY32","Seite innen SY32 DB","Fachboden klein","Fachboden groß","Klappenboden"},0)),1.2,1)-1),0))</f>
        <v>17</v>
      </c>
      <c r="E272" s="293">
        <f>IFERROR(INDEX(Aktiv!$G$6:$G$350,MATCH(A272,Aktiv!$A$6:$A$350,0)),"")</f>
        <v>20</v>
      </c>
      <c r="F272" s="294">
        <f t="shared" si="32"/>
        <v>3</v>
      </c>
      <c r="G272" s="295">
        <f t="shared" si="33"/>
        <v>0.17647058823529413</v>
      </c>
      <c r="H272" s="293">
        <f>IF(C272="","",ROUND(C272*Steuerungsdaten!$B$4*Steuerungsdaten!$B$8*IFERROR(VLOOKUP(IFERROR(INDEX(Aktiv!$C$6:$C$350,MATCH(A272,Aktiv!$A$6:$A$350,0)),""),Steuerungsdaten!$B$17:$E$37,4,FALSE),1)*POWER(IF(OR(IFERROR(INDEX(Aktiv!$E$6:$E$350,MATCH(A272,Aktiv!$A$6:$A$350,0)),0)=0,IFERROR(INDEX(Aktiv!$F$6:$F$350,MATCH(A272,Aktiv!$A$6:$A$350,0)),0)=0),1,(IFERROR(INDEX(Aktiv!$E$6:$E$350,MATCH(A272,Aktiv!$A$6:$A$350,0)),0)*IFERROR(INDEX(Aktiv!$F$6:$F$350,MATCH(A272,Aktiv!$A$6:$A$350,0)),0)/1000000)/Steuerungsdaten!$B$6),1-1),0))</f>
        <v>17</v>
      </c>
      <c r="I272" s="293">
        <f>IFERROR(INDEX(Aktiv!$H$6:$H$350,MATCH(A272,Aktiv!$A$6:$A$350,0)),"")</f>
        <v>20</v>
      </c>
      <c r="J272" s="294">
        <f t="shared" si="34"/>
        <v>3</v>
      </c>
      <c r="K272" s="296">
        <f t="shared" si="35"/>
        <v>0.17647058823529413</v>
      </c>
      <c r="L272" s="297">
        <f>IF(C272="","",ROUND(C272*Steuerungsdaten!$B$4*Steuerungsdaten!$B$9*IFERROR(VLOOKUP(IFERROR(INDEX(Aktiv!$C$6:$C$350,MATCH(A272,Aktiv!$A$6:$A$350,0)),""),Steuerungsdaten!$B$17:$G$37,6,FALSE),1)*POWER(IF(OR(IFERROR(INDEX(Aktiv!$E$6:$E$350,MATCH(A272,Aktiv!$A$6:$A$350,0)),0)=0,IFERROR(INDEX(Aktiv!$F$6:$F$350,MATCH(A272,Aktiv!$A$6:$A$350,0)),0)=0),1,(IFERROR(INDEX(Aktiv!$E$6:$E$350,MATCH(A272,Aktiv!$A$6:$A$350,0)),0)*IFERROR(INDEX(Aktiv!$F$6:$F$350,MATCH(A272,Aktiv!$A$6:$A$350,0)),0)/1000000)/Steuerungsdaten!$B$6),1-1),0))</f>
        <v>17</v>
      </c>
      <c r="M272" s="297">
        <f>IFERROR(INDEX(Aktiv!$I$6:$I$350,MATCH(A272,Aktiv!$A$6:$A$350,0)),"")</f>
        <v>20</v>
      </c>
      <c r="N272" s="298">
        <f t="shared" si="36"/>
        <v>3</v>
      </c>
      <c r="O272" s="296">
        <f t="shared" si="37"/>
        <v>0.17647058823529413</v>
      </c>
      <c r="P272" s="297">
        <f>IF(C272="","",ROUND(C272*Steuerungsdaten!$B$4*Steuerungsdaten!$B$10*IFERROR(VLOOKUP(IFERROR(INDEX(Aktiv!$C$6:$C$350,MATCH(A272,Aktiv!$A$6:$A$350,0)),""),Steuerungsdaten!$B$17:$I$37,8,FALSE),1)*POWER(IF(OR(IFERROR(INDEX(Aktiv!$E$6:$E$350,MATCH(A272,Aktiv!$A$6:$A$350,0)),0)=0,IFERROR(INDEX(Aktiv!$F$6:$F$350,MATCH(A272,Aktiv!$A$6:$A$350,0)),0)=0),1,(IFERROR(INDEX(Aktiv!$E$6:$E$350,MATCH(A272,Aktiv!$A$6:$A$350,0)),0)*IFERROR(INDEX(Aktiv!$F$6:$F$350,MATCH(A272,Aktiv!$A$6:$A$350,0)),0)/1000000)/Steuerungsdaten!$B$6),1-1),0))</f>
        <v>18</v>
      </c>
      <c r="Q272" s="297">
        <f>IFERROR(INDEX(Aktiv!$J$6:$J$350,MATCH(A272,Aktiv!$A$6:$A$350,0)),"")</f>
        <v>20</v>
      </c>
      <c r="R272" s="298">
        <f t="shared" si="38"/>
        <v>2</v>
      </c>
      <c r="S272" s="296">
        <f t="shared" si="39"/>
        <v>0.1111111111111111</v>
      </c>
    </row>
    <row r="273" spans="1:19" x14ac:dyDescent="0.25">
      <c r="A273" s="292">
        <v>2020</v>
      </c>
      <c r="B273" s="292" t="s">
        <v>304</v>
      </c>
      <c r="C273" s="293">
        <f>IFERROR(INDEX(Aktiv!$O$6:$O$350,MATCH(A273,Aktiv!$A$6:$A$350,0)),"")</f>
        <v>22</v>
      </c>
      <c r="D273" s="293">
        <f>IF(C273="","",ROUND(C273*Steuerungsdaten!$B$4*Steuerungsdaten!$B$7*IFERROR(VLOOKUP(IFERROR(INDEX(Aktiv!$C$6:$C$350,MATCH(A273,Aktiv!$A$6:$A$350,0)),""),Steuerungsdaten!$B$17:$C$37,2,FALSE),1)*POWER(IF(OR(IFERROR(INDEX(Aktiv!$E$6:$E$350,MATCH(A273,Aktiv!$A$6:$A$350,0)),0)=0,IFERROR(INDEX(Aktiv!$F$6:$F$350,MATCH(A273,Aktiv!$A$6:$A$350,0)),0)=0),1,(IFERROR(INDEX(Aktiv!$E$6:$E$350,MATCH(A273,Aktiv!$A$6:$A$350,0)),0)*IFERROR(INDEX(Aktiv!$F$6:$F$350,MATCH(A273,Aktiv!$A$6:$A$350,0)),0)/1000000)/Steuerungsdaten!$B$6),IF(ISNUMBER(MATCH(IFERROR(INDEX(Aktiv!$C$6:$C$350,MATCH(A273,Aktiv!$A$6:$A$350,0)),""),{"Boden","Seite außen","Seite außen SY32","Rücken","Seite innen","Seite innen SY32","Seite innen SY32 DB","Fachboden klein","Fachboden groß","Klappenboden"},0)),1.2,1)-1),0))</f>
        <v>18</v>
      </c>
      <c r="E273" s="293">
        <f>IFERROR(INDEX(Aktiv!$G$6:$G$350,MATCH(A273,Aktiv!$A$6:$A$350,0)),"")</f>
        <v>22</v>
      </c>
      <c r="F273" s="294">
        <f t="shared" si="32"/>
        <v>4</v>
      </c>
      <c r="G273" s="295">
        <f t="shared" si="33"/>
        <v>0.22222222222222221</v>
      </c>
      <c r="H273" s="293">
        <f>IF(C273="","",ROUND(C273*Steuerungsdaten!$B$4*Steuerungsdaten!$B$8*IFERROR(VLOOKUP(IFERROR(INDEX(Aktiv!$C$6:$C$350,MATCH(A273,Aktiv!$A$6:$A$350,0)),""),Steuerungsdaten!$B$17:$E$37,4,FALSE),1)*POWER(IF(OR(IFERROR(INDEX(Aktiv!$E$6:$E$350,MATCH(A273,Aktiv!$A$6:$A$350,0)),0)=0,IFERROR(INDEX(Aktiv!$F$6:$F$350,MATCH(A273,Aktiv!$A$6:$A$350,0)),0)=0),1,(IFERROR(INDEX(Aktiv!$E$6:$E$350,MATCH(A273,Aktiv!$A$6:$A$350,0)),0)*IFERROR(INDEX(Aktiv!$F$6:$F$350,MATCH(A273,Aktiv!$A$6:$A$350,0)),0)/1000000)/Steuerungsdaten!$B$6),1-1),0))</f>
        <v>18</v>
      </c>
      <c r="I273" s="293">
        <f>IFERROR(INDEX(Aktiv!$H$6:$H$350,MATCH(A273,Aktiv!$A$6:$A$350,0)),"")</f>
        <v>22</v>
      </c>
      <c r="J273" s="294">
        <f t="shared" si="34"/>
        <v>4</v>
      </c>
      <c r="K273" s="296">
        <f t="shared" si="35"/>
        <v>0.22222222222222221</v>
      </c>
      <c r="L273" s="297">
        <f>IF(C273="","",ROUND(C273*Steuerungsdaten!$B$4*Steuerungsdaten!$B$9*IFERROR(VLOOKUP(IFERROR(INDEX(Aktiv!$C$6:$C$350,MATCH(A273,Aktiv!$A$6:$A$350,0)),""),Steuerungsdaten!$B$17:$G$37,6,FALSE),1)*POWER(IF(OR(IFERROR(INDEX(Aktiv!$E$6:$E$350,MATCH(A273,Aktiv!$A$6:$A$350,0)),0)=0,IFERROR(INDEX(Aktiv!$F$6:$F$350,MATCH(A273,Aktiv!$A$6:$A$350,0)),0)=0),1,(IFERROR(INDEX(Aktiv!$E$6:$E$350,MATCH(A273,Aktiv!$A$6:$A$350,0)),0)*IFERROR(INDEX(Aktiv!$F$6:$F$350,MATCH(A273,Aktiv!$A$6:$A$350,0)),0)/1000000)/Steuerungsdaten!$B$6),1-1),0))</f>
        <v>18</v>
      </c>
      <c r="M273" s="297">
        <f>IFERROR(INDEX(Aktiv!$I$6:$I$350,MATCH(A273,Aktiv!$A$6:$A$350,0)),"")</f>
        <v>22</v>
      </c>
      <c r="N273" s="298">
        <f t="shared" si="36"/>
        <v>4</v>
      </c>
      <c r="O273" s="296">
        <f t="shared" si="37"/>
        <v>0.22222222222222221</v>
      </c>
      <c r="P273" s="297">
        <f>IF(C273="","",ROUND(C273*Steuerungsdaten!$B$4*Steuerungsdaten!$B$10*IFERROR(VLOOKUP(IFERROR(INDEX(Aktiv!$C$6:$C$350,MATCH(A273,Aktiv!$A$6:$A$350,0)),""),Steuerungsdaten!$B$17:$I$37,8,FALSE),1)*POWER(IF(OR(IFERROR(INDEX(Aktiv!$E$6:$E$350,MATCH(A273,Aktiv!$A$6:$A$350,0)),0)=0,IFERROR(INDEX(Aktiv!$F$6:$F$350,MATCH(A273,Aktiv!$A$6:$A$350,0)),0)=0),1,(IFERROR(INDEX(Aktiv!$E$6:$E$350,MATCH(A273,Aktiv!$A$6:$A$350,0)),0)*IFERROR(INDEX(Aktiv!$F$6:$F$350,MATCH(A273,Aktiv!$A$6:$A$350,0)),0)/1000000)/Steuerungsdaten!$B$6),1-1),0))</f>
        <v>20</v>
      </c>
      <c r="Q273" s="297">
        <f>IFERROR(INDEX(Aktiv!$J$6:$J$350,MATCH(A273,Aktiv!$A$6:$A$350,0)),"")</f>
        <v>22</v>
      </c>
      <c r="R273" s="298">
        <f t="shared" si="38"/>
        <v>2</v>
      </c>
      <c r="S273" s="296">
        <f t="shared" si="39"/>
        <v>0.1</v>
      </c>
    </row>
    <row r="274" spans="1:19" x14ac:dyDescent="0.25">
      <c r="A274" s="292">
        <v>2021</v>
      </c>
      <c r="B274" s="292" t="s">
        <v>305</v>
      </c>
      <c r="C274" s="293">
        <f>IFERROR(INDEX(Aktiv!$O$6:$O$350,MATCH(A274,Aktiv!$A$6:$A$350,0)),"")</f>
        <v>22</v>
      </c>
      <c r="D274" s="293">
        <f>IF(C274="","",ROUND(C274*Steuerungsdaten!$B$4*Steuerungsdaten!$B$7*IFERROR(VLOOKUP(IFERROR(INDEX(Aktiv!$C$6:$C$350,MATCH(A274,Aktiv!$A$6:$A$350,0)),""),Steuerungsdaten!$B$17:$C$37,2,FALSE),1)*POWER(IF(OR(IFERROR(INDEX(Aktiv!$E$6:$E$350,MATCH(A274,Aktiv!$A$6:$A$350,0)),0)=0,IFERROR(INDEX(Aktiv!$F$6:$F$350,MATCH(A274,Aktiv!$A$6:$A$350,0)),0)=0),1,(IFERROR(INDEX(Aktiv!$E$6:$E$350,MATCH(A274,Aktiv!$A$6:$A$350,0)),0)*IFERROR(INDEX(Aktiv!$F$6:$F$350,MATCH(A274,Aktiv!$A$6:$A$350,0)),0)/1000000)/Steuerungsdaten!$B$6),IF(ISNUMBER(MATCH(IFERROR(INDEX(Aktiv!$C$6:$C$350,MATCH(A274,Aktiv!$A$6:$A$350,0)),""),{"Boden","Seite außen","Seite außen SY32","Rücken","Seite innen","Seite innen SY32","Seite innen SY32 DB","Fachboden klein","Fachboden groß","Klappenboden"},0)),1.2,1)-1),0))</f>
        <v>18</v>
      </c>
      <c r="E274" s="293">
        <f>IFERROR(INDEX(Aktiv!$G$6:$G$350,MATCH(A274,Aktiv!$A$6:$A$350,0)),"")</f>
        <v>22</v>
      </c>
      <c r="F274" s="294">
        <f t="shared" si="32"/>
        <v>4</v>
      </c>
      <c r="G274" s="295">
        <f t="shared" si="33"/>
        <v>0.22222222222222221</v>
      </c>
      <c r="H274" s="293">
        <f>IF(C274="","",ROUND(C274*Steuerungsdaten!$B$4*Steuerungsdaten!$B$8*IFERROR(VLOOKUP(IFERROR(INDEX(Aktiv!$C$6:$C$350,MATCH(A274,Aktiv!$A$6:$A$350,0)),""),Steuerungsdaten!$B$17:$E$37,4,FALSE),1)*POWER(IF(OR(IFERROR(INDEX(Aktiv!$E$6:$E$350,MATCH(A274,Aktiv!$A$6:$A$350,0)),0)=0,IFERROR(INDEX(Aktiv!$F$6:$F$350,MATCH(A274,Aktiv!$A$6:$A$350,0)),0)=0),1,(IFERROR(INDEX(Aktiv!$E$6:$E$350,MATCH(A274,Aktiv!$A$6:$A$350,0)),0)*IFERROR(INDEX(Aktiv!$F$6:$F$350,MATCH(A274,Aktiv!$A$6:$A$350,0)),0)/1000000)/Steuerungsdaten!$B$6),1-1),0))</f>
        <v>18</v>
      </c>
      <c r="I274" s="293">
        <f>IFERROR(INDEX(Aktiv!$H$6:$H$350,MATCH(A274,Aktiv!$A$6:$A$350,0)),"")</f>
        <v>22</v>
      </c>
      <c r="J274" s="294">
        <f t="shared" si="34"/>
        <v>4</v>
      </c>
      <c r="K274" s="296">
        <f t="shared" si="35"/>
        <v>0.22222222222222221</v>
      </c>
      <c r="L274" s="297">
        <f>IF(C274="","",ROUND(C274*Steuerungsdaten!$B$4*Steuerungsdaten!$B$9*IFERROR(VLOOKUP(IFERROR(INDEX(Aktiv!$C$6:$C$350,MATCH(A274,Aktiv!$A$6:$A$350,0)),""),Steuerungsdaten!$B$17:$G$37,6,FALSE),1)*POWER(IF(OR(IFERROR(INDEX(Aktiv!$E$6:$E$350,MATCH(A274,Aktiv!$A$6:$A$350,0)),0)=0,IFERROR(INDEX(Aktiv!$F$6:$F$350,MATCH(A274,Aktiv!$A$6:$A$350,0)),0)=0),1,(IFERROR(INDEX(Aktiv!$E$6:$E$350,MATCH(A274,Aktiv!$A$6:$A$350,0)),0)*IFERROR(INDEX(Aktiv!$F$6:$F$350,MATCH(A274,Aktiv!$A$6:$A$350,0)),0)/1000000)/Steuerungsdaten!$B$6),1-1),0))</f>
        <v>18</v>
      </c>
      <c r="M274" s="297">
        <f>IFERROR(INDEX(Aktiv!$I$6:$I$350,MATCH(A274,Aktiv!$A$6:$A$350,0)),"")</f>
        <v>22</v>
      </c>
      <c r="N274" s="298">
        <f t="shared" si="36"/>
        <v>4</v>
      </c>
      <c r="O274" s="296">
        <f t="shared" si="37"/>
        <v>0.22222222222222221</v>
      </c>
      <c r="P274" s="297">
        <f>IF(C274="","",ROUND(C274*Steuerungsdaten!$B$4*Steuerungsdaten!$B$10*IFERROR(VLOOKUP(IFERROR(INDEX(Aktiv!$C$6:$C$350,MATCH(A274,Aktiv!$A$6:$A$350,0)),""),Steuerungsdaten!$B$17:$I$37,8,FALSE),1)*POWER(IF(OR(IFERROR(INDEX(Aktiv!$E$6:$E$350,MATCH(A274,Aktiv!$A$6:$A$350,0)),0)=0,IFERROR(INDEX(Aktiv!$F$6:$F$350,MATCH(A274,Aktiv!$A$6:$A$350,0)),0)=0),1,(IFERROR(INDEX(Aktiv!$E$6:$E$350,MATCH(A274,Aktiv!$A$6:$A$350,0)),0)*IFERROR(INDEX(Aktiv!$F$6:$F$350,MATCH(A274,Aktiv!$A$6:$A$350,0)),0)/1000000)/Steuerungsdaten!$B$6),1-1),0))</f>
        <v>20</v>
      </c>
      <c r="Q274" s="297">
        <f>IFERROR(INDEX(Aktiv!$J$6:$J$350,MATCH(A274,Aktiv!$A$6:$A$350,0)),"")</f>
        <v>22</v>
      </c>
      <c r="R274" s="298">
        <f t="shared" si="38"/>
        <v>2</v>
      </c>
      <c r="S274" s="296">
        <f t="shared" si="39"/>
        <v>0.1</v>
      </c>
    </row>
    <row r="275" spans="1:19" x14ac:dyDescent="0.25">
      <c r="A275" s="292">
        <v>2025</v>
      </c>
      <c r="B275" s="292" t="s">
        <v>306</v>
      </c>
      <c r="C275" s="293">
        <f>IFERROR(INDEX(Aktiv!$O$6:$O$350,MATCH(A275,Aktiv!$A$6:$A$350,0)),"")</f>
        <v>25</v>
      </c>
      <c r="D275" s="293">
        <f>IF(C275="","",ROUND(C275*Steuerungsdaten!$B$4*Steuerungsdaten!$B$7*IFERROR(VLOOKUP(IFERROR(INDEX(Aktiv!$C$6:$C$350,MATCH(A275,Aktiv!$A$6:$A$350,0)),""),Steuerungsdaten!$B$17:$C$37,2,FALSE),1)*POWER(IF(OR(IFERROR(INDEX(Aktiv!$E$6:$E$350,MATCH(A275,Aktiv!$A$6:$A$350,0)),0)=0,IFERROR(INDEX(Aktiv!$F$6:$F$350,MATCH(A275,Aktiv!$A$6:$A$350,0)),0)=0),1,(IFERROR(INDEX(Aktiv!$E$6:$E$350,MATCH(A275,Aktiv!$A$6:$A$350,0)),0)*IFERROR(INDEX(Aktiv!$F$6:$F$350,MATCH(A275,Aktiv!$A$6:$A$350,0)),0)/1000000)/Steuerungsdaten!$B$6),IF(ISNUMBER(MATCH(IFERROR(INDEX(Aktiv!$C$6:$C$350,MATCH(A275,Aktiv!$A$6:$A$350,0)),""),{"Boden","Seite außen","Seite außen SY32","Rücken","Seite innen","Seite innen SY32","Seite innen SY32 DB","Fachboden klein","Fachboden groß","Klappenboden"},0)),1.2,1)-1),0))</f>
        <v>21</v>
      </c>
      <c r="E275" s="293">
        <f>IFERROR(INDEX(Aktiv!$G$6:$G$350,MATCH(A275,Aktiv!$A$6:$A$350,0)),"")</f>
        <v>25</v>
      </c>
      <c r="F275" s="294">
        <f t="shared" si="32"/>
        <v>4</v>
      </c>
      <c r="G275" s="295">
        <f t="shared" si="33"/>
        <v>0.19047619047619047</v>
      </c>
      <c r="H275" s="293">
        <f>IF(C275="","",ROUND(C275*Steuerungsdaten!$B$4*Steuerungsdaten!$B$8*IFERROR(VLOOKUP(IFERROR(INDEX(Aktiv!$C$6:$C$350,MATCH(A275,Aktiv!$A$6:$A$350,0)),""),Steuerungsdaten!$B$17:$E$37,4,FALSE),1)*POWER(IF(OR(IFERROR(INDEX(Aktiv!$E$6:$E$350,MATCH(A275,Aktiv!$A$6:$A$350,0)),0)=0,IFERROR(INDEX(Aktiv!$F$6:$F$350,MATCH(A275,Aktiv!$A$6:$A$350,0)),0)=0),1,(IFERROR(INDEX(Aktiv!$E$6:$E$350,MATCH(A275,Aktiv!$A$6:$A$350,0)),0)*IFERROR(INDEX(Aktiv!$F$6:$F$350,MATCH(A275,Aktiv!$A$6:$A$350,0)),0)/1000000)/Steuerungsdaten!$B$6),1-1),0))</f>
        <v>21</v>
      </c>
      <c r="I275" s="293">
        <f>IFERROR(INDEX(Aktiv!$H$6:$H$350,MATCH(A275,Aktiv!$A$6:$A$350,0)),"")</f>
        <v>25</v>
      </c>
      <c r="J275" s="294">
        <f t="shared" si="34"/>
        <v>4</v>
      </c>
      <c r="K275" s="296">
        <f t="shared" si="35"/>
        <v>0.19047619047619047</v>
      </c>
      <c r="L275" s="297">
        <f>IF(C275="","",ROUND(C275*Steuerungsdaten!$B$4*Steuerungsdaten!$B$9*IFERROR(VLOOKUP(IFERROR(INDEX(Aktiv!$C$6:$C$350,MATCH(A275,Aktiv!$A$6:$A$350,0)),""),Steuerungsdaten!$B$17:$G$37,6,FALSE),1)*POWER(IF(OR(IFERROR(INDEX(Aktiv!$E$6:$E$350,MATCH(A275,Aktiv!$A$6:$A$350,0)),0)=0,IFERROR(INDEX(Aktiv!$F$6:$F$350,MATCH(A275,Aktiv!$A$6:$A$350,0)),0)=0),1,(IFERROR(INDEX(Aktiv!$E$6:$E$350,MATCH(A275,Aktiv!$A$6:$A$350,0)),0)*IFERROR(INDEX(Aktiv!$F$6:$F$350,MATCH(A275,Aktiv!$A$6:$A$350,0)),0)/1000000)/Steuerungsdaten!$B$6),1-1),0))</f>
        <v>21</v>
      </c>
      <c r="M275" s="297">
        <f>IFERROR(INDEX(Aktiv!$I$6:$I$350,MATCH(A275,Aktiv!$A$6:$A$350,0)),"")</f>
        <v>25</v>
      </c>
      <c r="N275" s="298">
        <f t="shared" si="36"/>
        <v>4</v>
      </c>
      <c r="O275" s="296">
        <f t="shared" si="37"/>
        <v>0.19047619047619047</v>
      </c>
      <c r="P275" s="297">
        <f>IF(C275="","",ROUND(C275*Steuerungsdaten!$B$4*Steuerungsdaten!$B$10*IFERROR(VLOOKUP(IFERROR(INDEX(Aktiv!$C$6:$C$350,MATCH(A275,Aktiv!$A$6:$A$350,0)),""),Steuerungsdaten!$B$17:$I$37,8,FALSE),1)*POWER(IF(OR(IFERROR(INDEX(Aktiv!$E$6:$E$350,MATCH(A275,Aktiv!$A$6:$A$350,0)),0)=0,IFERROR(INDEX(Aktiv!$F$6:$F$350,MATCH(A275,Aktiv!$A$6:$A$350,0)),0)=0),1,(IFERROR(INDEX(Aktiv!$E$6:$E$350,MATCH(A275,Aktiv!$A$6:$A$350,0)),0)*IFERROR(INDEX(Aktiv!$F$6:$F$350,MATCH(A275,Aktiv!$A$6:$A$350,0)),0)/1000000)/Steuerungsdaten!$B$6),1-1),0))</f>
        <v>23</v>
      </c>
      <c r="Q275" s="297">
        <f>IFERROR(INDEX(Aktiv!$J$6:$J$350,MATCH(A275,Aktiv!$A$6:$A$350,0)),"")</f>
        <v>25</v>
      </c>
      <c r="R275" s="298">
        <f t="shared" si="38"/>
        <v>2</v>
      </c>
      <c r="S275" s="296">
        <f t="shared" si="39"/>
        <v>8.6956521739130432E-2</v>
      </c>
    </row>
    <row r="276" spans="1:19" x14ac:dyDescent="0.25">
      <c r="A276" s="292">
        <v>2030</v>
      </c>
      <c r="B276" s="292" t="s">
        <v>307</v>
      </c>
      <c r="C276" s="293">
        <f>IFERROR(INDEX(Aktiv!$O$6:$O$350,MATCH(A276,Aktiv!$A$6:$A$350,0)),"")</f>
        <v>25</v>
      </c>
      <c r="D276" s="293">
        <f>IF(C276="","",ROUND(C276*Steuerungsdaten!$B$4*Steuerungsdaten!$B$7*IFERROR(VLOOKUP(IFERROR(INDEX(Aktiv!$C$6:$C$350,MATCH(A276,Aktiv!$A$6:$A$350,0)),""),Steuerungsdaten!$B$17:$C$37,2,FALSE),1)*POWER(IF(OR(IFERROR(INDEX(Aktiv!$E$6:$E$350,MATCH(A276,Aktiv!$A$6:$A$350,0)),0)=0,IFERROR(INDEX(Aktiv!$F$6:$F$350,MATCH(A276,Aktiv!$A$6:$A$350,0)),0)=0),1,(IFERROR(INDEX(Aktiv!$E$6:$E$350,MATCH(A276,Aktiv!$A$6:$A$350,0)),0)*IFERROR(INDEX(Aktiv!$F$6:$F$350,MATCH(A276,Aktiv!$A$6:$A$350,0)),0)/1000000)/Steuerungsdaten!$B$6),IF(ISNUMBER(MATCH(IFERROR(INDEX(Aktiv!$C$6:$C$350,MATCH(A276,Aktiv!$A$6:$A$350,0)),""),{"Boden","Seite außen","Seite außen SY32","Rücken","Seite innen","Seite innen SY32","Seite innen SY32 DB","Fachboden klein","Fachboden groß","Klappenboden"},0)),1.2,1)-1),0))</f>
        <v>21</v>
      </c>
      <c r="E276" s="293">
        <f>IFERROR(INDEX(Aktiv!$G$6:$G$350,MATCH(A276,Aktiv!$A$6:$A$350,0)),"")</f>
        <v>25</v>
      </c>
      <c r="F276" s="294">
        <f t="shared" si="32"/>
        <v>4</v>
      </c>
      <c r="G276" s="295">
        <f t="shared" si="33"/>
        <v>0.19047619047619047</v>
      </c>
      <c r="H276" s="293">
        <f>IF(C276="","",ROUND(C276*Steuerungsdaten!$B$4*Steuerungsdaten!$B$8*IFERROR(VLOOKUP(IFERROR(INDEX(Aktiv!$C$6:$C$350,MATCH(A276,Aktiv!$A$6:$A$350,0)),""),Steuerungsdaten!$B$17:$E$37,4,FALSE),1)*POWER(IF(OR(IFERROR(INDEX(Aktiv!$E$6:$E$350,MATCH(A276,Aktiv!$A$6:$A$350,0)),0)=0,IFERROR(INDEX(Aktiv!$F$6:$F$350,MATCH(A276,Aktiv!$A$6:$A$350,0)),0)=0),1,(IFERROR(INDEX(Aktiv!$E$6:$E$350,MATCH(A276,Aktiv!$A$6:$A$350,0)),0)*IFERROR(INDEX(Aktiv!$F$6:$F$350,MATCH(A276,Aktiv!$A$6:$A$350,0)),0)/1000000)/Steuerungsdaten!$B$6),1-1),0))</f>
        <v>21</v>
      </c>
      <c r="I276" s="293">
        <f>IFERROR(INDEX(Aktiv!$H$6:$H$350,MATCH(A276,Aktiv!$A$6:$A$350,0)),"")</f>
        <v>25</v>
      </c>
      <c r="J276" s="294">
        <f t="shared" si="34"/>
        <v>4</v>
      </c>
      <c r="K276" s="296">
        <f t="shared" si="35"/>
        <v>0.19047619047619047</v>
      </c>
      <c r="L276" s="297">
        <f>IF(C276="","",ROUND(C276*Steuerungsdaten!$B$4*Steuerungsdaten!$B$9*IFERROR(VLOOKUP(IFERROR(INDEX(Aktiv!$C$6:$C$350,MATCH(A276,Aktiv!$A$6:$A$350,0)),""),Steuerungsdaten!$B$17:$G$37,6,FALSE),1)*POWER(IF(OR(IFERROR(INDEX(Aktiv!$E$6:$E$350,MATCH(A276,Aktiv!$A$6:$A$350,0)),0)=0,IFERROR(INDEX(Aktiv!$F$6:$F$350,MATCH(A276,Aktiv!$A$6:$A$350,0)),0)=0),1,(IFERROR(INDEX(Aktiv!$E$6:$E$350,MATCH(A276,Aktiv!$A$6:$A$350,0)),0)*IFERROR(INDEX(Aktiv!$F$6:$F$350,MATCH(A276,Aktiv!$A$6:$A$350,0)),0)/1000000)/Steuerungsdaten!$B$6),1-1),0))</f>
        <v>21</v>
      </c>
      <c r="M276" s="297">
        <f>IFERROR(INDEX(Aktiv!$I$6:$I$350,MATCH(A276,Aktiv!$A$6:$A$350,0)),"")</f>
        <v>25</v>
      </c>
      <c r="N276" s="298">
        <f t="shared" si="36"/>
        <v>4</v>
      </c>
      <c r="O276" s="296">
        <f t="shared" si="37"/>
        <v>0.19047619047619047</v>
      </c>
      <c r="P276" s="297">
        <f>IF(C276="","",ROUND(C276*Steuerungsdaten!$B$4*Steuerungsdaten!$B$10*IFERROR(VLOOKUP(IFERROR(INDEX(Aktiv!$C$6:$C$350,MATCH(A276,Aktiv!$A$6:$A$350,0)),""),Steuerungsdaten!$B$17:$I$37,8,FALSE),1)*POWER(IF(OR(IFERROR(INDEX(Aktiv!$E$6:$E$350,MATCH(A276,Aktiv!$A$6:$A$350,0)),0)=0,IFERROR(INDEX(Aktiv!$F$6:$F$350,MATCH(A276,Aktiv!$A$6:$A$350,0)),0)=0),1,(IFERROR(INDEX(Aktiv!$E$6:$E$350,MATCH(A276,Aktiv!$A$6:$A$350,0)),0)*IFERROR(INDEX(Aktiv!$F$6:$F$350,MATCH(A276,Aktiv!$A$6:$A$350,0)),0)/1000000)/Steuerungsdaten!$B$6),1-1),0))</f>
        <v>23</v>
      </c>
      <c r="Q276" s="297">
        <f>IFERROR(INDEX(Aktiv!$J$6:$J$350,MATCH(A276,Aktiv!$A$6:$A$350,0)),"")</f>
        <v>25</v>
      </c>
      <c r="R276" s="298">
        <f t="shared" si="38"/>
        <v>2</v>
      </c>
      <c r="S276" s="296">
        <f t="shared" si="39"/>
        <v>8.6956521739130432E-2</v>
      </c>
    </row>
    <row r="277" spans="1:19" x14ac:dyDescent="0.25">
      <c r="A277" s="292">
        <v>2035</v>
      </c>
      <c r="B277" s="292" t="s">
        <v>308</v>
      </c>
      <c r="C277" s="293">
        <f>IFERROR(INDEX(Aktiv!$O$6:$O$350,MATCH(A277,Aktiv!$A$6:$A$350,0)),"")</f>
        <v>27</v>
      </c>
      <c r="D277" s="293">
        <f>IF(C277="","",ROUND(C277*Steuerungsdaten!$B$4*Steuerungsdaten!$B$7*IFERROR(VLOOKUP(IFERROR(INDEX(Aktiv!$C$6:$C$350,MATCH(A277,Aktiv!$A$6:$A$350,0)),""),Steuerungsdaten!$B$17:$C$37,2,FALSE),1)*POWER(IF(OR(IFERROR(INDEX(Aktiv!$E$6:$E$350,MATCH(A277,Aktiv!$A$6:$A$350,0)),0)=0,IFERROR(INDEX(Aktiv!$F$6:$F$350,MATCH(A277,Aktiv!$A$6:$A$350,0)),0)=0),1,(IFERROR(INDEX(Aktiv!$E$6:$E$350,MATCH(A277,Aktiv!$A$6:$A$350,0)),0)*IFERROR(INDEX(Aktiv!$F$6:$F$350,MATCH(A277,Aktiv!$A$6:$A$350,0)),0)/1000000)/Steuerungsdaten!$B$6),IF(ISNUMBER(MATCH(IFERROR(INDEX(Aktiv!$C$6:$C$350,MATCH(A277,Aktiv!$A$6:$A$350,0)),""),{"Boden","Seite außen","Seite außen SY32","Rücken","Seite innen","Seite innen SY32","Seite innen SY32 DB","Fachboden klein","Fachboden groß","Klappenboden"},0)),1.2,1)-1),0))</f>
        <v>22</v>
      </c>
      <c r="E277" s="293">
        <f>IFERROR(INDEX(Aktiv!$G$6:$G$350,MATCH(A277,Aktiv!$A$6:$A$350,0)),"")</f>
        <v>27</v>
      </c>
      <c r="F277" s="294">
        <f t="shared" si="32"/>
        <v>5</v>
      </c>
      <c r="G277" s="295">
        <f t="shared" si="33"/>
        <v>0.22727272727272727</v>
      </c>
      <c r="H277" s="293">
        <f>IF(C277="","",ROUND(C277*Steuerungsdaten!$B$4*Steuerungsdaten!$B$8*IFERROR(VLOOKUP(IFERROR(INDEX(Aktiv!$C$6:$C$350,MATCH(A277,Aktiv!$A$6:$A$350,0)),""),Steuerungsdaten!$B$17:$E$37,4,FALSE),1)*POWER(IF(OR(IFERROR(INDEX(Aktiv!$E$6:$E$350,MATCH(A277,Aktiv!$A$6:$A$350,0)),0)=0,IFERROR(INDEX(Aktiv!$F$6:$F$350,MATCH(A277,Aktiv!$A$6:$A$350,0)),0)=0),1,(IFERROR(INDEX(Aktiv!$E$6:$E$350,MATCH(A277,Aktiv!$A$6:$A$350,0)),0)*IFERROR(INDEX(Aktiv!$F$6:$F$350,MATCH(A277,Aktiv!$A$6:$A$350,0)),0)/1000000)/Steuerungsdaten!$B$6),1-1),0))</f>
        <v>22</v>
      </c>
      <c r="I277" s="293">
        <f>IFERROR(INDEX(Aktiv!$H$6:$H$350,MATCH(A277,Aktiv!$A$6:$A$350,0)),"")</f>
        <v>27</v>
      </c>
      <c r="J277" s="294">
        <f t="shared" si="34"/>
        <v>5</v>
      </c>
      <c r="K277" s="296">
        <f t="shared" si="35"/>
        <v>0.22727272727272727</v>
      </c>
      <c r="L277" s="297">
        <f>IF(C277="","",ROUND(C277*Steuerungsdaten!$B$4*Steuerungsdaten!$B$9*IFERROR(VLOOKUP(IFERROR(INDEX(Aktiv!$C$6:$C$350,MATCH(A277,Aktiv!$A$6:$A$350,0)),""),Steuerungsdaten!$B$17:$G$37,6,FALSE),1)*POWER(IF(OR(IFERROR(INDEX(Aktiv!$E$6:$E$350,MATCH(A277,Aktiv!$A$6:$A$350,0)),0)=0,IFERROR(INDEX(Aktiv!$F$6:$F$350,MATCH(A277,Aktiv!$A$6:$A$350,0)),0)=0),1,(IFERROR(INDEX(Aktiv!$E$6:$E$350,MATCH(A277,Aktiv!$A$6:$A$350,0)),0)*IFERROR(INDEX(Aktiv!$F$6:$F$350,MATCH(A277,Aktiv!$A$6:$A$350,0)),0)/1000000)/Steuerungsdaten!$B$6),1-1),0))</f>
        <v>22</v>
      </c>
      <c r="M277" s="297">
        <f>IFERROR(INDEX(Aktiv!$I$6:$I$350,MATCH(A277,Aktiv!$A$6:$A$350,0)),"")</f>
        <v>27</v>
      </c>
      <c r="N277" s="298">
        <f t="shared" si="36"/>
        <v>5</v>
      </c>
      <c r="O277" s="296">
        <f t="shared" si="37"/>
        <v>0.22727272727272727</v>
      </c>
      <c r="P277" s="297">
        <f>IF(C277="","",ROUND(C277*Steuerungsdaten!$B$4*Steuerungsdaten!$B$10*IFERROR(VLOOKUP(IFERROR(INDEX(Aktiv!$C$6:$C$350,MATCH(A277,Aktiv!$A$6:$A$350,0)),""),Steuerungsdaten!$B$17:$I$37,8,FALSE),1)*POWER(IF(OR(IFERROR(INDEX(Aktiv!$E$6:$E$350,MATCH(A277,Aktiv!$A$6:$A$350,0)),0)=0,IFERROR(INDEX(Aktiv!$F$6:$F$350,MATCH(A277,Aktiv!$A$6:$A$350,0)),0)=0),1,(IFERROR(INDEX(Aktiv!$E$6:$E$350,MATCH(A277,Aktiv!$A$6:$A$350,0)),0)*IFERROR(INDEX(Aktiv!$F$6:$F$350,MATCH(A277,Aktiv!$A$6:$A$350,0)),0)/1000000)/Steuerungsdaten!$B$6),1-1),0))</f>
        <v>24</v>
      </c>
      <c r="Q277" s="297">
        <f>IFERROR(INDEX(Aktiv!$J$6:$J$350,MATCH(A277,Aktiv!$A$6:$A$350,0)),"")</f>
        <v>27</v>
      </c>
      <c r="R277" s="298">
        <f t="shared" si="38"/>
        <v>3</v>
      </c>
      <c r="S277" s="296">
        <f t="shared" si="39"/>
        <v>0.125</v>
      </c>
    </row>
    <row r="278" spans="1:19" x14ac:dyDescent="0.25">
      <c r="A278" s="292">
        <v>2040</v>
      </c>
      <c r="B278" s="292" t="s">
        <v>309</v>
      </c>
      <c r="C278" s="293">
        <f>IFERROR(INDEX(Aktiv!$O$6:$O$350,MATCH(A278,Aktiv!$A$6:$A$350,0)),"")</f>
        <v>29</v>
      </c>
      <c r="D278" s="293">
        <f>IF(C278="","",ROUND(C278*Steuerungsdaten!$B$4*Steuerungsdaten!$B$7*IFERROR(VLOOKUP(IFERROR(INDEX(Aktiv!$C$6:$C$350,MATCH(A278,Aktiv!$A$6:$A$350,0)),""),Steuerungsdaten!$B$17:$C$37,2,FALSE),1)*POWER(IF(OR(IFERROR(INDEX(Aktiv!$E$6:$E$350,MATCH(A278,Aktiv!$A$6:$A$350,0)),0)=0,IFERROR(INDEX(Aktiv!$F$6:$F$350,MATCH(A278,Aktiv!$A$6:$A$350,0)),0)=0),1,(IFERROR(INDEX(Aktiv!$E$6:$E$350,MATCH(A278,Aktiv!$A$6:$A$350,0)),0)*IFERROR(INDEX(Aktiv!$F$6:$F$350,MATCH(A278,Aktiv!$A$6:$A$350,0)),0)/1000000)/Steuerungsdaten!$B$6),IF(ISNUMBER(MATCH(IFERROR(INDEX(Aktiv!$C$6:$C$350,MATCH(A278,Aktiv!$A$6:$A$350,0)),""),{"Boden","Seite außen","Seite außen SY32","Rücken","Seite innen","Seite innen SY32","Seite innen SY32 DB","Fachboden klein","Fachboden groß","Klappenboden"},0)),1.2,1)-1),0))</f>
        <v>24</v>
      </c>
      <c r="E278" s="293">
        <f>IFERROR(INDEX(Aktiv!$G$6:$G$350,MATCH(A278,Aktiv!$A$6:$A$350,0)),"")</f>
        <v>29</v>
      </c>
      <c r="F278" s="294">
        <f t="shared" si="32"/>
        <v>5</v>
      </c>
      <c r="G278" s="295">
        <f t="shared" si="33"/>
        <v>0.20833333333333334</v>
      </c>
      <c r="H278" s="293">
        <f>IF(C278="","",ROUND(C278*Steuerungsdaten!$B$4*Steuerungsdaten!$B$8*IFERROR(VLOOKUP(IFERROR(INDEX(Aktiv!$C$6:$C$350,MATCH(A278,Aktiv!$A$6:$A$350,0)),""),Steuerungsdaten!$B$17:$E$37,4,FALSE),1)*POWER(IF(OR(IFERROR(INDEX(Aktiv!$E$6:$E$350,MATCH(A278,Aktiv!$A$6:$A$350,0)),0)=0,IFERROR(INDEX(Aktiv!$F$6:$F$350,MATCH(A278,Aktiv!$A$6:$A$350,0)),0)=0),1,(IFERROR(INDEX(Aktiv!$E$6:$E$350,MATCH(A278,Aktiv!$A$6:$A$350,0)),0)*IFERROR(INDEX(Aktiv!$F$6:$F$350,MATCH(A278,Aktiv!$A$6:$A$350,0)),0)/1000000)/Steuerungsdaten!$B$6),1-1),0))</f>
        <v>24</v>
      </c>
      <c r="I278" s="293">
        <f>IFERROR(INDEX(Aktiv!$H$6:$H$350,MATCH(A278,Aktiv!$A$6:$A$350,0)),"")</f>
        <v>29</v>
      </c>
      <c r="J278" s="294">
        <f t="shared" si="34"/>
        <v>5</v>
      </c>
      <c r="K278" s="296">
        <f t="shared" si="35"/>
        <v>0.20833333333333334</v>
      </c>
      <c r="L278" s="297">
        <f>IF(C278="","",ROUND(C278*Steuerungsdaten!$B$4*Steuerungsdaten!$B$9*IFERROR(VLOOKUP(IFERROR(INDEX(Aktiv!$C$6:$C$350,MATCH(A278,Aktiv!$A$6:$A$350,0)),""),Steuerungsdaten!$B$17:$G$37,6,FALSE),1)*POWER(IF(OR(IFERROR(INDEX(Aktiv!$E$6:$E$350,MATCH(A278,Aktiv!$A$6:$A$350,0)),0)=0,IFERROR(INDEX(Aktiv!$F$6:$F$350,MATCH(A278,Aktiv!$A$6:$A$350,0)),0)=0),1,(IFERROR(INDEX(Aktiv!$E$6:$E$350,MATCH(A278,Aktiv!$A$6:$A$350,0)),0)*IFERROR(INDEX(Aktiv!$F$6:$F$350,MATCH(A278,Aktiv!$A$6:$A$350,0)),0)/1000000)/Steuerungsdaten!$B$6),1-1),0))</f>
        <v>24</v>
      </c>
      <c r="M278" s="297">
        <f>IFERROR(INDEX(Aktiv!$I$6:$I$350,MATCH(A278,Aktiv!$A$6:$A$350,0)),"")</f>
        <v>29</v>
      </c>
      <c r="N278" s="298">
        <f t="shared" si="36"/>
        <v>5</v>
      </c>
      <c r="O278" s="296">
        <f t="shared" si="37"/>
        <v>0.20833333333333334</v>
      </c>
      <c r="P278" s="297">
        <f>IF(C278="","",ROUND(C278*Steuerungsdaten!$B$4*Steuerungsdaten!$B$10*IFERROR(VLOOKUP(IFERROR(INDEX(Aktiv!$C$6:$C$350,MATCH(A278,Aktiv!$A$6:$A$350,0)),""),Steuerungsdaten!$B$17:$I$37,8,FALSE),1)*POWER(IF(OR(IFERROR(INDEX(Aktiv!$E$6:$E$350,MATCH(A278,Aktiv!$A$6:$A$350,0)),0)=0,IFERROR(INDEX(Aktiv!$F$6:$F$350,MATCH(A278,Aktiv!$A$6:$A$350,0)),0)=0),1,(IFERROR(INDEX(Aktiv!$E$6:$E$350,MATCH(A278,Aktiv!$A$6:$A$350,0)),0)*IFERROR(INDEX(Aktiv!$F$6:$F$350,MATCH(A278,Aktiv!$A$6:$A$350,0)),0)/1000000)/Steuerungsdaten!$B$6),1-1),0))</f>
        <v>26</v>
      </c>
      <c r="Q278" s="297">
        <f>IFERROR(INDEX(Aktiv!$J$6:$J$350,MATCH(A278,Aktiv!$A$6:$A$350,0)),"")</f>
        <v>29</v>
      </c>
      <c r="R278" s="298">
        <f t="shared" si="38"/>
        <v>3</v>
      </c>
      <c r="S278" s="296">
        <f t="shared" si="39"/>
        <v>0.11538461538461539</v>
      </c>
    </row>
    <row r="279" spans="1:19" x14ac:dyDescent="0.25">
      <c r="A279" s="292">
        <v>2045</v>
      </c>
      <c r="B279" s="292" t="s">
        <v>310</v>
      </c>
      <c r="C279" s="293">
        <f>IFERROR(INDEX(Aktiv!$O$6:$O$350,MATCH(A279,Aktiv!$A$6:$A$350,0)),"")</f>
        <v>35</v>
      </c>
      <c r="D279" s="293">
        <f>IF(C279="","",ROUND(C279*Steuerungsdaten!$B$4*Steuerungsdaten!$B$7*IFERROR(VLOOKUP(IFERROR(INDEX(Aktiv!$C$6:$C$350,MATCH(A279,Aktiv!$A$6:$A$350,0)),""),Steuerungsdaten!$B$17:$C$37,2,FALSE),1)*POWER(IF(OR(IFERROR(INDEX(Aktiv!$E$6:$E$350,MATCH(A279,Aktiv!$A$6:$A$350,0)),0)=0,IFERROR(INDEX(Aktiv!$F$6:$F$350,MATCH(A279,Aktiv!$A$6:$A$350,0)),0)=0),1,(IFERROR(INDEX(Aktiv!$E$6:$E$350,MATCH(A279,Aktiv!$A$6:$A$350,0)),0)*IFERROR(INDEX(Aktiv!$F$6:$F$350,MATCH(A279,Aktiv!$A$6:$A$350,0)),0)/1000000)/Steuerungsdaten!$B$6),IF(ISNUMBER(MATCH(IFERROR(INDEX(Aktiv!$C$6:$C$350,MATCH(A279,Aktiv!$A$6:$A$350,0)),""),{"Boden","Seite außen","Seite außen SY32","Rücken","Seite innen","Seite innen SY32","Seite innen SY32 DB","Fachboden klein","Fachboden groß","Klappenboden"},0)),1.2,1)-1),0))</f>
        <v>29</v>
      </c>
      <c r="E279" s="293">
        <f>IFERROR(INDEX(Aktiv!$G$6:$G$350,MATCH(A279,Aktiv!$A$6:$A$350,0)),"")</f>
        <v>35</v>
      </c>
      <c r="F279" s="294">
        <f t="shared" si="32"/>
        <v>6</v>
      </c>
      <c r="G279" s="295">
        <f t="shared" si="33"/>
        <v>0.20689655172413793</v>
      </c>
      <c r="H279" s="293">
        <f>IF(C279="","",ROUND(C279*Steuerungsdaten!$B$4*Steuerungsdaten!$B$8*IFERROR(VLOOKUP(IFERROR(INDEX(Aktiv!$C$6:$C$350,MATCH(A279,Aktiv!$A$6:$A$350,0)),""),Steuerungsdaten!$B$17:$E$37,4,FALSE),1)*POWER(IF(OR(IFERROR(INDEX(Aktiv!$E$6:$E$350,MATCH(A279,Aktiv!$A$6:$A$350,0)),0)=0,IFERROR(INDEX(Aktiv!$F$6:$F$350,MATCH(A279,Aktiv!$A$6:$A$350,0)),0)=0),1,(IFERROR(INDEX(Aktiv!$E$6:$E$350,MATCH(A279,Aktiv!$A$6:$A$350,0)),0)*IFERROR(INDEX(Aktiv!$F$6:$F$350,MATCH(A279,Aktiv!$A$6:$A$350,0)),0)/1000000)/Steuerungsdaten!$B$6),1-1),0))</f>
        <v>29</v>
      </c>
      <c r="I279" s="293">
        <f>IFERROR(INDEX(Aktiv!$H$6:$H$350,MATCH(A279,Aktiv!$A$6:$A$350,0)),"")</f>
        <v>35</v>
      </c>
      <c r="J279" s="294">
        <f t="shared" si="34"/>
        <v>6</v>
      </c>
      <c r="K279" s="296">
        <f t="shared" si="35"/>
        <v>0.20689655172413793</v>
      </c>
      <c r="L279" s="297">
        <f>IF(C279="","",ROUND(C279*Steuerungsdaten!$B$4*Steuerungsdaten!$B$9*IFERROR(VLOOKUP(IFERROR(INDEX(Aktiv!$C$6:$C$350,MATCH(A279,Aktiv!$A$6:$A$350,0)),""),Steuerungsdaten!$B$17:$G$37,6,FALSE),1)*POWER(IF(OR(IFERROR(INDEX(Aktiv!$E$6:$E$350,MATCH(A279,Aktiv!$A$6:$A$350,0)),0)=0,IFERROR(INDEX(Aktiv!$F$6:$F$350,MATCH(A279,Aktiv!$A$6:$A$350,0)),0)=0),1,(IFERROR(INDEX(Aktiv!$E$6:$E$350,MATCH(A279,Aktiv!$A$6:$A$350,0)),0)*IFERROR(INDEX(Aktiv!$F$6:$F$350,MATCH(A279,Aktiv!$A$6:$A$350,0)),0)/1000000)/Steuerungsdaten!$B$6),1-1),0))</f>
        <v>29</v>
      </c>
      <c r="M279" s="297">
        <f>IFERROR(INDEX(Aktiv!$I$6:$I$350,MATCH(A279,Aktiv!$A$6:$A$350,0)),"")</f>
        <v>35</v>
      </c>
      <c r="N279" s="298">
        <f t="shared" si="36"/>
        <v>6</v>
      </c>
      <c r="O279" s="296">
        <f t="shared" si="37"/>
        <v>0.20689655172413793</v>
      </c>
      <c r="P279" s="297">
        <f>IF(C279="","",ROUND(C279*Steuerungsdaten!$B$4*Steuerungsdaten!$B$10*IFERROR(VLOOKUP(IFERROR(INDEX(Aktiv!$C$6:$C$350,MATCH(A279,Aktiv!$A$6:$A$350,0)),""),Steuerungsdaten!$B$17:$I$37,8,FALSE),1)*POWER(IF(OR(IFERROR(INDEX(Aktiv!$E$6:$E$350,MATCH(A279,Aktiv!$A$6:$A$350,0)),0)=0,IFERROR(INDEX(Aktiv!$F$6:$F$350,MATCH(A279,Aktiv!$A$6:$A$350,0)),0)=0),1,(IFERROR(INDEX(Aktiv!$E$6:$E$350,MATCH(A279,Aktiv!$A$6:$A$350,0)),0)*IFERROR(INDEX(Aktiv!$F$6:$F$350,MATCH(A279,Aktiv!$A$6:$A$350,0)),0)/1000000)/Steuerungsdaten!$B$6),1-1),0))</f>
        <v>32</v>
      </c>
      <c r="Q279" s="297">
        <f>IFERROR(INDEX(Aktiv!$J$6:$J$350,MATCH(A279,Aktiv!$A$6:$A$350,0)),"")</f>
        <v>35</v>
      </c>
      <c r="R279" s="298">
        <f t="shared" si="38"/>
        <v>3</v>
      </c>
      <c r="S279" s="296">
        <f t="shared" si="39"/>
        <v>9.375E-2</v>
      </c>
    </row>
    <row r="280" spans="1:19" x14ac:dyDescent="0.25">
      <c r="A280" s="292">
        <v>2050</v>
      </c>
      <c r="B280" s="292" t="s">
        <v>311</v>
      </c>
      <c r="C280" s="293">
        <f>IFERROR(INDEX(Aktiv!$O$6:$O$350,MATCH(A280,Aktiv!$A$6:$A$350,0)),"")</f>
        <v>39</v>
      </c>
      <c r="D280" s="293">
        <f>IF(C280="","",ROUND(C280*Steuerungsdaten!$B$4*Steuerungsdaten!$B$7*IFERROR(VLOOKUP(IFERROR(INDEX(Aktiv!$C$6:$C$350,MATCH(A280,Aktiv!$A$6:$A$350,0)),""),Steuerungsdaten!$B$17:$C$37,2,FALSE),1)*POWER(IF(OR(IFERROR(INDEX(Aktiv!$E$6:$E$350,MATCH(A280,Aktiv!$A$6:$A$350,0)),0)=0,IFERROR(INDEX(Aktiv!$F$6:$F$350,MATCH(A280,Aktiv!$A$6:$A$350,0)),0)=0),1,(IFERROR(INDEX(Aktiv!$E$6:$E$350,MATCH(A280,Aktiv!$A$6:$A$350,0)),0)*IFERROR(INDEX(Aktiv!$F$6:$F$350,MATCH(A280,Aktiv!$A$6:$A$350,0)),0)/1000000)/Steuerungsdaten!$B$6),IF(ISNUMBER(MATCH(IFERROR(INDEX(Aktiv!$C$6:$C$350,MATCH(A280,Aktiv!$A$6:$A$350,0)),""),{"Boden","Seite außen","Seite außen SY32","Rücken","Seite innen","Seite innen SY32","Seite innen SY32 DB","Fachboden klein","Fachboden groß","Klappenboden"},0)),1.2,1)-1),0))</f>
        <v>32</v>
      </c>
      <c r="E280" s="293">
        <f>IFERROR(INDEX(Aktiv!$G$6:$G$350,MATCH(A280,Aktiv!$A$6:$A$350,0)),"")</f>
        <v>39</v>
      </c>
      <c r="F280" s="294">
        <f t="shared" si="32"/>
        <v>7</v>
      </c>
      <c r="G280" s="295">
        <f t="shared" si="33"/>
        <v>0.21875</v>
      </c>
      <c r="H280" s="293">
        <f>IF(C280="","",ROUND(C280*Steuerungsdaten!$B$4*Steuerungsdaten!$B$8*IFERROR(VLOOKUP(IFERROR(INDEX(Aktiv!$C$6:$C$350,MATCH(A280,Aktiv!$A$6:$A$350,0)),""),Steuerungsdaten!$B$17:$E$37,4,FALSE),1)*POWER(IF(OR(IFERROR(INDEX(Aktiv!$E$6:$E$350,MATCH(A280,Aktiv!$A$6:$A$350,0)),0)=0,IFERROR(INDEX(Aktiv!$F$6:$F$350,MATCH(A280,Aktiv!$A$6:$A$350,0)),0)=0),1,(IFERROR(INDEX(Aktiv!$E$6:$E$350,MATCH(A280,Aktiv!$A$6:$A$350,0)),0)*IFERROR(INDEX(Aktiv!$F$6:$F$350,MATCH(A280,Aktiv!$A$6:$A$350,0)),0)/1000000)/Steuerungsdaten!$B$6),1-1),0))</f>
        <v>32</v>
      </c>
      <c r="I280" s="293">
        <f>IFERROR(INDEX(Aktiv!$H$6:$H$350,MATCH(A280,Aktiv!$A$6:$A$350,0)),"")</f>
        <v>39</v>
      </c>
      <c r="J280" s="294">
        <f t="shared" si="34"/>
        <v>7</v>
      </c>
      <c r="K280" s="296">
        <f t="shared" si="35"/>
        <v>0.21875</v>
      </c>
      <c r="L280" s="297">
        <f>IF(C280="","",ROUND(C280*Steuerungsdaten!$B$4*Steuerungsdaten!$B$9*IFERROR(VLOOKUP(IFERROR(INDEX(Aktiv!$C$6:$C$350,MATCH(A280,Aktiv!$A$6:$A$350,0)),""),Steuerungsdaten!$B$17:$G$37,6,FALSE),1)*POWER(IF(OR(IFERROR(INDEX(Aktiv!$E$6:$E$350,MATCH(A280,Aktiv!$A$6:$A$350,0)),0)=0,IFERROR(INDEX(Aktiv!$F$6:$F$350,MATCH(A280,Aktiv!$A$6:$A$350,0)),0)=0),1,(IFERROR(INDEX(Aktiv!$E$6:$E$350,MATCH(A280,Aktiv!$A$6:$A$350,0)),0)*IFERROR(INDEX(Aktiv!$F$6:$F$350,MATCH(A280,Aktiv!$A$6:$A$350,0)),0)/1000000)/Steuerungsdaten!$B$6),1-1),0))</f>
        <v>32</v>
      </c>
      <c r="M280" s="297">
        <f>IFERROR(INDEX(Aktiv!$I$6:$I$350,MATCH(A280,Aktiv!$A$6:$A$350,0)),"")</f>
        <v>39</v>
      </c>
      <c r="N280" s="298">
        <f t="shared" si="36"/>
        <v>7</v>
      </c>
      <c r="O280" s="296">
        <f t="shared" si="37"/>
        <v>0.21875</v>
      </c>
      <c r="P280" s="297">
        <f>IF(C280="","",ROUND(C280*Steuerungsdaten!$B$4*Steuerungsdaten!$B$10*IFERROR(VLOOKUP(IFERROR(INDEX(Aktiv!$C$6:$C$350,MATCH(A280,Aktiv!$A$6:$A$350,0)),""),Steuerungsdaten!$B$17:$I$37,8,FALSE),1)*POWER(IF(OR(IFERROR(INDEX(Aktiv!$E$6:$E$350,MATCH(A280,Aktiv!$A$6:$A$350,0)),0)=0,IFERROR(INDEX(Aktiv!$F$6:$F$350,MATCH(A280,Aktiv!$A$6:$A$350,0)),0)=0),1,(IFERROR(INDEX(Aktiv!$E$6:$E$350,MATCH(A280,Aktiv!$A$6:$A$350,0)),0)*IFERROR(INDEX(Aktiv!$F$6:$F$350,MATCH(A280,Aktiv!$A$6:$A$350,0)),0)/1000000)/Steuerungsdaten!$B$6),1-1),0))</f>
        <v>35</v>
      </c>
      <c r="Q280" s="297">
        <f>IFERROR(INDEX(Aktiv!$J$6:$J$350,MATCH(A280,Aktiv!$A$6:$A$350,0)),"")</f>
        <v>39</v>
      </c>
      <c r="R280" s="298">
        <f t="shared" si="38"/>
        <v>4</v>
      </c>
      <c r="S280" s="296">
        <f t="shared" si="39"/>
        <v>0.11428571428571428</v>
      </c>
    </row>
    <row r="281" spans="1:19" x14ac:dyDescent="0.25">
      <c r="A281" s="292">
        <v>2300</v>
      </c>
      <c r="B281" s="292" t="s">
        <v>312</v>
      </c>
      <c r="C281" s="293">
        <f>IFERROR(INDEX(Aktiv!$O$6:$O$350,MATCH(A281,Aktiv!$A$6:$A$350,0)),"")</f>
        <v>100</v>
      </c>
      <c r="D281" s="293">
        <f>IF(C281="","",ROUND(C281*Steuerungsdaten!$B$4*Steuerungsdaten!$B$7*IFERROR(VLOOKUP(IFERROR(INDEX(Aktiv!$C$6:$C$350,MATCH(A281,Aktiv!$A$6:$A$350,0)),""),Steuerungsdaten!$B$17:$C$37,2,FALSE),1)*POWER(IF(OR(IFERROR(INDEX(Aktiv!$E$6:$E$350,MATCH(A281,Aktiv!$A$6:$A$350,0)),0)=0,IFERROR(INDEX(Aktiv!$F$6:$F$350,MATCH(A281,Aktiv!$A$6:$A$350,0)),0)=0),1,(IFERROR(INDEX(Aktiv!$E$6:$E$350,MATCH(A281,Aktiv!$A$6:$A$350,0)),0)*IFERROR(INDEX(Aktiv!$F$6:$F$350,MATCH(A281,Aktiv!$A$6:$A$350,0)),0)/1000000)/Steuerungsdaten!$B$6),IF(ISNUMBER(MATCH(IFERROR(INDEX(Aktiv!$C$6:$C$350,MATCH(A281,Aktiv!$A$6:$A$350,0)),""),{"Boden","Seite außen","Seite außen SY32","Rücken","Seite innen","Seite innen SY32","Seite innen SY32 DB","Fachboden klein","Fachboden groß","Klappenboden"},0)),1.2,1)-1),0))</f>
        <v>83</v>
      </c>
      <c r="E281" s="293">
        <f>IFERROR(INDEX(Aktiv!$G$6:$G$350,MATCH(A281,Aktiv!$A$6:$A$350,0)),"")</f>
        <v>100</v>
      </c>
      <c r="F281" s="294">
        <f t="shared" si="32"/>
        <v>17</v>
      </c>
      <c r="G281" s="295">
        <f t="shared" si="33"/>
        <v>0.20481927710843373</v>
      </c>
      <c r="H281" s="293">
        <f>IF(C281="","",ROUND(C281*Steuerungsdaten!$B$4*Steuerungsdaten!$B$8*IFERROR(VLOOKUP(IFERROR(INDEX(Aktiv!$C$6:$C$350,MATCH(A281,Aktiv!$A$6:$A$350,0)),""),Steuerungsdaten!$B$17:$E$37,4,FALSE),1)*POWER(IF(OR(IFERROR(INDEX(Aktiv!$E$6:$E$350,MATCH(A281,Aktiv!$A$6:$A$350,0)),0)=0,IFERROR(INDEX(Aktiv!$F$6:$F$350,MATCH(A281,Aktiv!$A$6:$A$350,0)),0)=0),1,(IFERROR(INDEX(Aktiv!$E$6:$E$350,MATCH(A281,Aktiv!$A$6:$A$350,0)),0)*IFERROR(INDEX(Aktiv!$F$6:$F$350,MATCH(A281,Aktiv!$A$6:$A$350,0)),0)/1000000)/Steuerungsdaten!$B$6),1-1),0))</f>
        <v>83</v>
      </c>
      <c r="I281" s="293">
        <f>IFERROR(INDEX(Aktiv!$H$6:$H$350,MATCH(A281,Aktiv!$A$6:$A$350,0)),"")</f>
        <v>100</v>
      </c>
      <c r="J281" s="294">
        <f t="shared" si="34"/>
        <v>17</v>
      </c>
      <c r="K281" s="296">
        <f t="shared" si="35"/>
        <v>0.20481927710843373</v>
      </c>
      <c r="L281" s="297">
        <f>IF(C281="","",ROUND(C281*Steuerungsdaten!$B$4*Steuerungsdaten!$B$9*IFERROR(VLOOKUP(IFERROR(INDEX(Aktiv!$C$6:$C$350,MATCH(A281,Aktiv!$A$6:$A$350,0)),""),Steuerungsdaten!$B$17:$G$37,6,FALSE),1)*POWER(IF(OR(IFERROR(INDEX(Aktiv!$E$6:$E$350,MATCH(A281,Aktiv!$A$6:$A$350,0)),0)=0,IFERROR(INDEX(Aktiv!$F$6:$F$350,MATCH(A281,Aktiv!$A$6:$A$350,0)),0)=0),1,(IFERROR(INDEX(Aktiv!$E$6:$E$350,MATCH(A281,Aktiv!$A$6:$A$350,0)),0)*IFERROR(INDEX(Aktiv!$F$6:$F$350,MATCH(A281,Aktiv!$A$6:$A$350,0)),0)/1000000)/Steuerungsdaten!$B$6),1-1),0))</f>
        <v>83</v>
      </c>
      <c r="M281" s="297">
        <f>IFERROR(INDEX(Aktiv!$I$6:$I$350,MATCH(A281,Aktiv!$A$6:$A$350,0)),"")</f>
        <v>100</v>
      </c>
      <c r="N281" s="298">
        <f t="shared" si="36"/>
        <v>17</v>
      </c>
      <c r="O281" s="296">
        <f t="shared" si="37"/>
        <v>0.20481927710843373</v>
      </c>
      <c r="P281" s="297">
        <f>IF(C281="","",ROUND(C281*Steuerungsdaten!$B$4*Steuerungsdaten!$B$10*IFERROR(VLOOKUP(IFERROR(INDEX(Aktiv!$C$6:$C$350,MATCH(A281,Aktiv!$A$6:$A$350,0)),""),Steuerungsdaten!$B$17:$I$37,8,FALSE),1)*POWER(IF(OR(IFERROR(INDEX(Aktiv!$E$6:$E$350,MATCH(A281,Aktiv!$A$6:$A$350,0)),0)=0,IFERROR(INDEX(Aktiv!$F$6:$F$350,MATCH(A281,Aktiv!$A$6:$A$350,0)),0)=0),1,(IFERROR(INDEX(Aktiv!$E$6:$E$350,MATCH(A281,Aktiv!$A$6:$A$350,0)),0)*IFERROR(INDEX(Aktiv!$F$6:$F$350,MATCH(A281,Aktiv!$A$6:$A$350,0)),0)/1000000)/Steuerungsdaten!$B$6),1-1),0))</f>
        <v>90</v>
      </c>
      <c r="Q281" s="297">
        <f>IFERROR(INDEX(Aktiv!$J$6:$J$350,MATCH(A281,Aktiv!$A$6:$A$350,0)),"")</f>
        <v>100</v>
      </c>
      <c r="R281" s="298">
        <f t="shared" si="38"/>
        <v>10</v>
      </c>
      <c r="S281" s="296">
        <f t="shared" si="39"/>
        <v>0.1111111111111111</v>
      </c>
    </row>
    <row r="282" spans="1:19" x14ac:dyDescent="0.25">
      <c r="A282" s="292">
        <v>8140</v>
      </c>
      <c r="B282" s="292" t="s">
        <v>314</v>
      </c>
      <c r="C282" s="293">
        <f>IFERROR(INDEX(Aktiv!$O$6:$O$350,MATCH(A282,Aktiv!$A$6:$A$350,0)),"")</f>
        <v>180</v>
      </c>
      <c r="D282" s="293">
        <f>IF(C282="","",ROUND(C282*Steuerungsdaten!$B$4*Steuerungsdaten!$B$7*IFERROR(VLOOKUP(IFERROR(INDEX(Aktiv!$C$6:$C$350,MATCH(A282,Aktiv!$A$6:$A$350,0)),""),Steuerungsdaten!$B$17:$C$37,2,FALSE),1)*POWER(IF(OR(IFERROR(INDEX(Aktiv!$E$6:$E$350,MATCH(A282,Aktiv!$A$6:$A$350,0)),0)=0,IFERROR(INDEX(Aktiv!$F$6:$F$350,MATCH(A282,Aktiv!$A$6:$A$350,0)),0)=0),1,(IFERROR(INDEX(Aktiv!$E$6:$E$350,MATCH(A282,Aktiv!$A$6:$A$350,0)),0)*IFERROR(INDEX(Aktiv!$F$6:$F$350,MATCH(A282,Aktiv!$A$6:$A$350,0)),0)/1000000)/Steuerungsdaten!$B$6),IF(ISNUMBER(MATCH(IFERROR(INDEX(Aktiv!$C$6:$C$350,MATCH(A282,Aktiv!$A$6:$A$350,0)),""),{"Boden","Seite außen","Seite außen SY32","Rücken","Seite innen","Seite innen SY32","Seite innen SY32 DB","Fachboden klein","Fachboden groß","Klappenboden"},0)),1.2,1)-1),0))</f>
        <v>158</v>
      </c>
      <c r="E282" s="293">
        <f>IFERROR(INDEX(Aktiv!$G$6:$G$350,MATCH(A282,Aktiv!$A$6:$A$350,0)),"")</f>
        <v>180</v>
      </c>
      <c r="F282" s="294">
        <f t="shared" si="32"/>
        <v>22</v>
      </c>
      <c r="G282" s="295">
        <f t="shared" si="33"/>
        <v>0.13924050632911392</v>
      </c>
      <c r="H282" s="293">
        <f>IF(C282="","",ROUND(C282*Steuerungsdaten!$B$4*Steuerungsdaten!$B$8*IFERROR(VLOOKUP(IFERROR(INDEX(Aktiv!$C$6:$C$350,MATCH(A282,Aktiv!$A$6:$A$350,0)),""),Steuerungsdaten!$B$17:$E$37,4,FALSE),1)*POWER(IF(OR(IFERROR(INDEX(Aktiv!$E$6:$E$350,MATCH(A282,Aktiv!$A$6:$A$350,0)),0)=0,IFERROR(INDEX(Aktiv!$F$6:$F$350,MATCH(A282,Aktiv!$A$6:$A$350,0)),0)=0),1,(IFERROR(INDEX(Aktiv!$E$6:$E$350,MATCH(A282,Aktiv!$A$6:$A$350,0)),0)*IFERROR(INDEX(Aktiv!$F$6:$F$350,MATCH(A282,Aktiv!$A$6:$A$350,0)),0)/1000000)/Steuerungsdaten!$B$6),1-1),0))</f>
        <v>158</v>
      </c>
      <c r="I282" s="293">
        <f>IFERROR(INDEX(Aktiv!$H$6:$H$350,MATCH(A282,Aktiv!$A$6:$A$350,0)),"")</f>
        <v>180</v>
      </c>
      <c r="J282" s="294">
        <f t="shared" si="34"/>
        <v>22</v>
      </c>
      <c r="K282" s="296">
        <f t="shared" si="35"/>
        <v>0.13924050632911392</v>
      </c>
      <c r="L282" s="297">
        <f>IF(C282="","",ROUND(C282*Steuerungsdaten!$B$4*Steuerungsdaten!$B$9*IFERROR(VLOOKUP(IFERROR(INDEX(Aktiv!$C$6:$C$350,MATCH(A282,Aktiv!$A$6:$A$350,0)),""),Steuerungsdaten!$B$17:$G$37,6,FALSE),1)*POWER(IF(OR(IFERROR(INDEX(Aktiv!$E$6:$E$350,MATCH(A282,Aktiv!$A$6:$A$350,0)),0)=0,IFERROR(INDEX(Aktiv!$F$6:$F$350,MATCH(A282,Aktiv!$A$6:$A$350,0)),0)=0),1,(IFERROR(INDEX(Aktiv!$E$6:$E$350,MATCH(A282,Aktiv!$A$6:$A$350,0)),0)*IFERROR(INDEX(Aktiv!$F$6:$F$350,MATCH(A282,Aktiv!$A$6:$A$350,0)),0)/1000000)/Steuerungsdaten!$B$6),1-1),0))</f>
        <v>158</v>
      </c>
      <c r="M282" s="297">
        <f>IFERROR(INDEX(Aktiv!$I$6:$I$350,MATCH(A282,Aktiv!$A$6:$A$350,0)),"")</f>
        <v>180</v>
      </c>
      <c r="N282" s="298">
        <f t="shared" si="36"/>
        <v>22</v>
      </c>
      <c r="O282" s="296">
        <f t="shared" si="37"/>
        <v>0.13924050632911392</v>
      </c>
      <c r="P282" s="297">
        <f>IF(C282="","",ROUND(C282*Steuerungsdaten!$B$4*Steuerungsdaten!$B$10*IFERROR(VLOOKUP(IFERROR(INDEX(Aktiv!$C$6:$C$350,MATCH(A282,Aktiv!$A$6:$A$350,0)),""),Steuerungsdaten!$B$17:$I$37,8,FALSE),1)*POWER(IF(OR(IFERROR(INDEX(Aktiv!$E$6:$E$350,MATCH(A282,Aktiv!$A$6:$A$350,0)),0)=0,IFERROR(INDEX(Aktiv!$F$6:$F$350,MATCH(A282,Aktiv!$A$6:$A$350,0)),0)=0),1,(IFERROR(INDEX(Aktiv!$E$6:$E$350,MATCH(A282,Aktiv!$A$6:$A$350,0)),0)*IFERROR(INDEX(Aktiv!$F$6:$F$350,MATCH(A282,Aktiv!$A$6:$A$350,0)),0)/1000000)/Steuerungsdaten!$B$6),1-1),0))</f>
        <v>173</v>
      </c>
      <c r="Q282" s="297">
        <f>IFERROR(INDEX(Aktiv!$J$6:$J$350,MATCH(A282,Aktiv!$A$6:$A$350,0)),"")</f>
        <v>180</v>
      </c>
      <c r="R282" s="298">
        <f t="shared" si="38"/>
        <v>7</v>
      </c>
      <c r="S282" s="296">
        <f t="shared" si="39"/>
        <v>4.046242774566474E-2</v>
      </c>
    </row>
    <row r="283" spans="1:19" x14ac:dyDescent="0.25">
      <c r="A283" s="292">
        <v>8300</v>
      </c>
      <c r="B283" s="292" t="s">
        <v>316</v>
      </c>
      <c r="C283" s="293">
        <f>IFERROR(INDEX(Aktiv!$O$6:$O$350,MATCH(A283,Aktiv!$A$6:$A$350,0)),"")</f>
        <v>25</v>
      </c>
      <c r="D283" s="293">
        <f>IF(C283="","",ROUND(C283*Steuerungsdaten!$B$4*Steuerungsdaten!$B$7*IFERROR(VLOOKUP(IFERROR(INDEX(Aktiv!$C$6:$C$350,MATCH(A283,Aktiv!$A$6:$A$350,0)),""),Steuerungsdaten!$B$17:$C$37,2,FALSE),1)*POWER(IF(OR(IFERROR(INDEX(Aktiv!$E$6:$E$350,MATCH(A283,Aktiv!$A$6:$A$350,0)),0)=0,IFERROR(INDEX(Aktiv!$F$6:$F$350,MATCH(A283,Aktiv!$A$6:$A$350,0)),0)=0),1,(IFERROR(INDEX(Aktiv!$E$6:$E$350,MATCH(A283,Aktiv!$A$6:$A$350,0)),0)*IFERROR(INDEX(Aktiv!$F$6:$F$350,MATCH(A283,Aktiv!$A$6:$A$350,0)),0)/1000000)/Steuerungsdaten!$B$6),IF(ISNUMBER(MATCH(IFERROR(INDEX(Aktiv!$C$6:$C$350,MATCH(A283,Aktiv!$A$6:$A$350,0)),""),{"Boden","Seite außen","Seite außen SY32","Rücken","Seite innen","Seite innen SY32","Seite innen SY32 DB","Fachboden klein","Fachboden groß","Klappenboden"},0)),1.2,1)-1),0))</f>
        <v>22</v>
      </c>
      <c r="E283" s="293">
        <f>IFERROR(INDEX(Aktiv!$G$6:$G$350,MATCH(A283,Aktiv!$A$6:$A$350,0)),"")</f>
        <v>25</v>
      </c>
      <c r="F283" s="294">
        <f t="shared" si="32"/>
        <v>3</v>
      </c>
      <c r="G283" s="295">
        <f t="shared" si="33"/>
        <v>0.13636363636363635</v>
      </c>
      <c r="H283" s="293">
        <f>IF(C283="","",ROUND(C283*Steuerungsdaten!$B$4*Steuerungsdaten!$B$8*IFERROR(VLOOKUP(IFERROR(INDEX(Aktiv!$C$6:$C$350,MATCH(A283,Aktiv!$A$6:$A$350,0)),""),Steuerungsdaten!$B$17:$E$37,4,FALSE),1)*POWER(IF(OR(IFERROR(INDEX(Aktiv!$E$6:$E$350,MATCH(A283,Aktiv!$A$6:$A$350,0)),0)=0,IFERROR(INDEX(Aktiv!$F$6:$F$350,MATCH(A283,Aktiv!$A$6:$A$350,0)),0)=0),1,(IFERROR(INDEX(Aktiv!$E$6:$E$350,MATCH(A283,Aktiv!$A$6:$A$350,0)),0)*IFERROR(INDEX(Aktiv!$F$6:$F$350,MATCH(A283,Aktiv!$A$6:$A$350,0)),0)/1000000)/Steuerungsdaten!$B$6),1-1),0))</f>
        <v>22</v>
      </c>
      <c r="I283" s="293">
        <f>IFERROR(INDEX(Aktiv!$H$6:$H$350,MATCH(A283,Aktiv!$A$6:$A$350,0)),"")</f>
        <v>25</v>
      </c>
      <c r="J283" s="294">
        <f t="shared" si="34"/>
        <v>3</v>
      </c>
      <c r="K283" s="296">
        <f t="shared" si="35"/>
        <v>0.13636363636363635</v>
      </c>
      <c r="L283" s="297">
        <f>IF(C283="","",ROUND(C283*Steuerungsdaten!$B$4*Steuerungsdaten!$B$9*IFERROR(VLOOKUP(IFERROR(INDEX(Aktiv!$C$6:$C$350,MATCH(A283,Aktiv!$A$6:$A$350,0)),""),Steuerungsdaten!$B$17:$G$37,6,FALSE),1)*POWER(IF(OR(IFERROR(INDEX(Aktiv!$E$6:$E$350,MATCH(A283,Aktiv!$A$6:$A$350,0)),0)=0,IFERROR(INDEX(Aktiv!$F$6:$F$350,MATCH(A283,Aktiv!$A$6:$A$350,0)),0)=0),1,(IFERROR(INDEX(Aktiv!$E$6:$E$350,MATCH(A283,Aktiv!$A$6:$A$350,0)),0)*IFERROR(INDEX(Aktiv!$F$6:$F$350,MATCH(A283,Aktiv!$A$6:$A$350,0)),0)/1000000)/Steuerungsdaten!$B$6),1-1),0))</f>
        <v>22</v>
      </c>
      <c r="M283" s="297">
        <f>IFERROR(INDEX(Aktiv!$I$6:$I$350,MATCH(A283,Aktiv!$A$6:$A$350,0)),"")</f>
        <v>25</v>
      </c>
      <c r="N283" s="298">
        <f t="shared" si="36"/>
        <v>3</v>
      </c>
      <c r="O283" s="296">
        <f t="shared" si="37"/>
        <v>0.13636363636363635</v>
      </c>
      <c r="P283" s="297">
        <f>IF(C283="","",ROUND(C283*Steuerungsdaten!$B$4*Steuerungsdaten!$B$10*IFERROR(VLOOKUP(IFERROR(INDEX(Aktiv!$C$6:$C$350,MATCH(A283,Aktiv!$A$6:$A$350,0)),""),Steuerungsdaten!$B$17:$I$37,8,FALSE),1)*POWER(IF(OR(IFERROR(INDEX(Aktiv!$E$6:$E$350,MATCH(A283,Aktiv!$A$6:$A$350,0)),0)=0,IFERROR(INDEX(Aktiv!$F$6:$F$350,MATCH(A283,Aktiv!$A$6:$A$350,0)),0)=0),1,(IFERROR(INDEX(Aktiv!$E$6:$E$350,MATCH(A283,Aktiv!$A$6:$A$350,0)),0)*IFERROR(INDEX(Aktiv!$F$6:$F$350,MATCH(A283,Aktiv!$A$6:$A$350,0)),0)/1000000)/Steuerungsdaten!$B$6),1-1),0))</f>
        <v>24</v>
      </c>
      <c r="Q283" s="297">
        <f>IFERROR(INDEX(Aktiv!$J$6:$J$350,MATCH(A283,Aktiv!$A$6:$A$350,0)),"")</f>
        <v>25</v>
      </c>
      <c r="R283" s="298">
        <f t="shared" si="38"/>
        <v>1</v>
      </c>
      <c r="S283" s="296">
        <f t="shared" si="39"/>
        <v>4.1666666666666664E-2</v>
      </c>
    </row>
    <row r="284" spans="1:19" x14ac:dyDescent="0.25">
      <c r="A284" s="292">
        <v>8301</v>
      </c>
      <c r="B284" s="292" t="s">
        <v>317</v>
      </c>
      <c r="C284" s="293">
        <f>IFERROR(INDEX(Aktiv!$O$6:$O$350,MATCH(A284,Aktiv!$A$6:$A$350,0)),"")</f>
        <v>29</v>
      </c>
      <c r="D284" s="293">
        <f>IF(C284="","",ROUND(C284*Steuerungsdaten!$B$4*Steuerungsdaten!$B$7*IFERROR(VLOOKUP(IFERROR(INDEX(Aktiv!$C$6:$C$350,MATCH(A284,Aktiv!$A$6:$A$350,0)),""),Steuerungsdaten!$B$17:$C$37,2,FALSE),1)*POWER(IF(OR(IFERROR(INDEX(Aktiv!$E$6:$E$350,MATCH(A284,Aktiv!$A$6:$A$350,0)),0)=0,IFERROR(INDEX(Aktiv!$F$6:$F$350,MATCH(A284,Aktiv!$A$6:$A$350,0)),0)=0),1,(IFERROR(INDEX(Aktiv!$E$6:$E$350,MATCH(A284,Aktiv!$A$6:$A$350,0)),0)*IFERROR(INDEX(Aktiv!$F$6:$F$350,MATCH(A284,Aktiv!$A$6:$A$350,0)),0)/1000000)/Steuerungsdaten!$B$6),IF(ISNUMBER(MATCH(IFERROR(INDEX(Aktiv!$C$6:$C$350,MATCH(A284,Aktiv!$A$6:$A$350,0)),""),{"Boden","Seite außen","Seite außen SY32","Rücken","Seite innen","Seite innen SY32","Seite innen SY32 DB","Fachboden klein","Fachboden groß","Klappenboden"},0)),1.2,1)-1),0))</f>
        <v>26</v>
      </c>
      <c r="E284" s="293">
        <f>IFERROR(INDEX(Aktiv!$G$6:$G$350,MATCH(A284,Aktiv!$A$6:$A$350,0)),"")</f>
        <v>29</v>
      </c>
      <c r="F284" s="294">
        <f t="shared" si="32"/>
        <v>3</v>
      </c>
      <c r="G284" s="295">
        <f t="shared" si="33"/>
        <v>0.11538461538461539</v>
      </c>
      <c r="H284" s="293">
        <f>IF(C284="","",ROUND(C284*Steuerungsdaten!$B$4*Steuerungsdaten!$B$8*IFERROR(VLOOKUP(IFERROR(INDEX(Aktiv!$C$6:$C$350,MATCH(A284,Aktiv!$A$6:$A$350,0)),""),Steuerungsdaten!$B$17:$E$37,4,FALSE),1)*POWER(IF(OR(IFERROR(INDEX(Aktiv!$E$6:$E$350,MATCH(A284,Aktiv!$A$6:$A$350,0)),0)=0,IFERROR(INDEX(Aktiv!$F$6:$F$350,MATCH(A284,Aktiv!$A$6:$A$350,0)),0)=0),1,(IFERROR(INDEX(Aktiv!$E$6:$E$350,MATCH(A284,Aktiv!$A$6:$A$350,0)),0)*IFERROR(INDEX(Aktiv!$F$6:$F$350,MATCH(A284,Aktiv!$A$6:$A$350,0)),0)/1000000)/Steuerungsdaten!$B$6),1-1),0))</f>
        <v>26</v>
      </c>
      <c r="I284" s="293">
        <f>IFERROR(INDEX(Aktiv!$H$6:$H$350,MATCH(A284,Aktiv!$A$6:$A$350,0)),"")</f>
        <v>29</v>
      </c>
      <c r="J284" s="294">
        <f t="shared" si="34"/>
        <v>3</v>
      </c>
      <c r="K284" s="296">
        <f t="shared" si="35"/>
        <v>0.11538461538461539</v>
      </c>
      <c r="L284" s="297">
        <f>IF(C284="","",ROUND(C284*Steuerungsdaten!$B$4*Steuerungsdaten!$B$9*IFERROR(VLOOKUP(IFERROR(INDEX(Aktiv!$C$6:$C$350,MATCH(A284,Aktiv!$A$6:$A$350,0)),""),Steuerungsdaten!$B$17:$G$37,6,FALSE),1)*POWER(IF(OR(IFERROR(INDEX(Aktiv!$E$6:$E$350,MATCH(A284,Aktiv!$A$6:$A$350,0)),0)=0,IFERROR(INDEX(Aktiv!$F$6:$F$350,MATCH(A284,Aktiv!$A$6:$A$350,0)),0)=0),1,(IFERROR(INDEX(Aktiv!$E$6:$E$350,MATCH(A284,Aktiv!$A$6:$A$350,0)),0)*IFERROR(INDEX(Aktiv!$F$6:$F$350,MATCH(A284,Aktiv!$A$6:$A$350,0)),0)/1000000)/Steuerungsdaten!$B$6),1-1),0))</f>
        <v>26</v>
      </c>
      <c r="M284" s="297">
        <f>IFERROR(INDEX(Aktiv!$I$6:$I$350,MATCH(A284,Aktiv!$A$6:$A$350,0)),"")</f>
        <v>29</v>
      </c>
      <c r="N284" s="298">
        <f t="shared" si="36"/>
        <v>3</v>
      </c>
      <c r="O284" s="296">
        <f t="shared" si="37"/>
        <v>0.11538461538461539</v>
      </c>
      <c r="P284" s="297">
        <f>IF(C284="","",ROUND(C284*Steuerungsdaten!$B$4*Steuerungsdaten!$B$10*IFERROR(VLOOKUP(IFERROR(INDEX(Aktiv!$C$6:$C$350,MATCH(A284,Aktiv!$A$6:$A$350,0)),""),Steuerungsdaten!$B$17:$I$37,8,FALSE),1)*POWER(IF(OR(IFERROR(INDEX(Aktiv!$E$6:$E$350,MATCH(A284,Aktiv!$A$6:$A$350,0)),0)=0,IFERROR(INDEX(Aktiv!$F$6:$F$350,MATCH(A284,Aktiv!$A$6:$A$350,0)),0)=0),1,(IFERROR(INDEX(Aktiv!$E$6:$E$350,MATCH(A284,Aktiv!$A$6:$A$350,0)),0)*IFERROR(INDEX(Aktiv!$F$6:$F$350,MATCH(A284,Aktiv!$A$6:$A$350,0)),0)/1000000)/Steuerungsdaten!$B$6),1-1),0))</f>
        <v>28</v>
      </c>
      <c r="Q284" s="297">
        <f>IFERROR(INDEX(Aktiv!$J$6:$J$350,MATCH(A284,Aktiv!$A$6:$A$350,0)),"")</f>
        <v>29</v>
      </c>
      <c r="R284" s="298">
        <f t="shared" si="38"/>
        <v>1</v>
      </c>
      <c r="S284" s="296">
        <f t="shared" si="39"/>
        <v>3.5714285714285712E-2</v>
      </c>
    </row>
    <row r="285" spans="1:19" x14ac:dyDescent="0.25">
      <c r="A285" s="292">
        <v>8302</v>
      </c>
      <c r="B285" s="292" t="s">
        <v>318</v>
      </c>
      <c r="C285" s="293">
        <f>IFERROR(INDEX(Aktiv!$O$6:$O$350,MATCH(A285,Aktiv!$A$6:$A$350,0)),"")</f>
        <v>17</v>
      </c>
      <c r="D285" s="293">
        <f>IF(C285="","",ROUND(C285*Steuerungsdaten!$B$4*Steuerungsdaten!$B$7*IFERROR(VLOOKUP(IFERROR(INDEX(Aktiv!$C$6:$C$350,MATCH(A285,Aktiv!$A$6:$A$350,0)),""),Steuerungsdaten!$B$17:$C$37,2,FALSE),1)*POWER(IF(OR(IFERROR(INDEX(Aktiv!$E$6:$E$350,MATCH(A285,Aktiv!$A$6:$A$350,0)),0)=0,IFERROR(INDEX(Aktiv!$F$6:$F$350,MATCH(A285,Aktiv!$A$6:$A$350,0)),0)=0),1,(IFERROR(INDEX(Aktiv!$E$6:$E$350,MATCH(A285,Aktiv!$A$6:$A$350,0)),0)*IFERROR(INDEX(Aktiv!$F$6:$F$350,MATCH(A285,Aktiv!$A$6:$A$350,0)),0)/1000000)/Steuerungsdaten!$B$6),IF(ISNUMBER(MATCH(IFERROR(INDEX(Aktiv!$C$6:$C$350,MATCH(A285,Aktiv!$A$6:$A$350,0)),""),{"Boden","Seite außen","Seite außen SY32","Rücken","Seite innen","Seite innen SY32","Seite innen SY32 DB","Fachboden klein","Fachboden groß","Klappenboden"},0)),1.2,1)-1),0))</f>
        <v>15</v>
      </c>
      <c r="E285" s="293">
        <f>IFERROR(INDEX(Aktiv!$G$6:$G$350,MATCH(A285,Aktiv!$A$6:$A$350,0)),"")</f>
        <v>17</v>
      </c>
      <c r="F285" s="294">
        <f t="shared" si="32"/>
        <v>2</v>
      </c>
      <c r="G285" s="295">
        <f t="shared" si="33"/>
        <v>0.13333333333333333</v>
      </c>
      <c r="H285" s="293">
        <f>IF(C285="","",ROUND(C285*Steuerungsdaten!$B$4*Steuerungsdaten!$B$8*IFERROR(VLOOKUP(IFERROR(INDEX(Aktiv!$C$6:$C$350,MATCH(A285,Aktiv!$A$6:$A$350,0)),""),Steuerungsdaten!$B$17:$E$37,4,FALSE),1)*POWER(IF(OR(IFERROR(INDEX(Aktiv!$E$6:$E$350,MATCH(A285,Aktiv!$A$6:$A$350,0)),0)=0,IFERROR(INDEX(Aktiv!$F$6:$F$350,MATCH(A285,Aktiv!$A$6:$A$350,0)),0)=0),1,(IFERROR(INDEX(Aktiv!$E$6:$E$350,MATCH(A285,Aktiv!$A$6:$A$350,0)),0)*IFERROR(INDEX(Aktiv!$F$6:$F$350,MATCH(A285,Aktiv!$A$6:$A$350,0)),0)/1000000)/Steuerungsdaten!$B$6),1-1),0))</f>
        <v>15</v>
      </c>
      <c r="I285" s="293">
        <f>IFERROR(INDEX(Aktiv!$H$6:$H$350,MATCH(A285,Aktiv!$A$6:$A$350,0)),"")</f>
        <v>17</v>
      </c>
      <c r="J285" s="294">
        <f t="shared" si="34"/>
        <v>2</v>
      </c>
      <c r="K285" s="296">
        <f t="shared" si="35"/>
        <v>0.13333333333333333</v>
      </c>
      <c r="L285" s="297">
        <f>IF(C285="","",ROUND(C285*Steuerungsdaten!$B$4*Steuerungsdaten!$B$9*IFERROR(VLOOKUP(IFERROR(INDEX(Aktiv!$C$6:$C$350,MATCH(A285,Aktiv!$A$6:$A$350,0)),""),Steuerungsdaten!$B$17:$G$37,6,FALSE),1)*POWER(IF(OR(IFERROR(INDEX(Aktiv!$E$6:$E$350,MATCH(A285,Aktiv!$A$6:$A$350,0)),0)=0,IFERROR(INDEX(Aktiv!$F$6:$F$350,MATCH(A285,Aktiv!$A$6:$A$350,0)),0)=0),1,(IFERROR(INDEX(Aktiv!$E$6:$E$350,MATCH(A285,Aktiv!$A$6:$A$350,0)),0)*IFERROR(INDEX(Aktiv!$F$6:$F$350,MATCH(A285,Aktiv!$A$6:$A$350,0)),0)/1000000)/Steuerungsdaten!$B$6),1-1),0))</f>
        <v>15</v>
      </c>
      <c r="M285" s="297">
        <f>IFERROR(INDEX(Aktiv!$I$6:$I$350,MATCH(A285,Aktiv!$A$6:$A$350,0)),"")</f>
        <v>17</v>
      </c>
      <c r="N285" s="298">
        <f t="shared" si="36"/>
        <v>2</v>
      </c>
      <c r="O285" s="296">
        <f t="shared" si="37"/>
        <v>0.13333333333333333</v>
      </c>
      <c r="P285" s="297">
        <f>IF(C285="","",ROUND(C285*Steuerungsdaten!$B$4*Steuerungsdaten!$B$10*IFERROR(VLOOKUP(IFERROR(INDEX(Aktiv!$C$6:$C$350,MATCH(A285,Aktiv!$A$6:$A$350,0)),""),Steuerungsdaten!$B$17:$I$37,8,FALSE),1)*POWER(IF(OR(IFERROR(INDEX(Aktiv!$E$6:$E$350,MATCH(A285,Aktiv!$A$6:$A$350,0)),0)=0,IFERROR(INDEX(Aktiv!$F$6:$F$350,MATCH(A285,Aktiv!$A$6:$A$350,0)),0)=0),1,(IFERROR(INDEX(Aktiv!$E$6:$E$350,MATCH(A285,Aktiv!$A$6:$A$350,0)),0)*IFERROR(INDEX(Aktiv!$F$6:$F$350,MATCH(A285,Aktiv!$A$6:$A$350,0)),0)/1000000)/Steuerungsdaten!$B$6),1-1),0))</f>
        <v>16</v>
      </c>
      <c r="Q285" s="297">
        <f>IFERROR(INDEX(Aktiv!$J$6:$J$350,MATCH(A285,Aktiv!$A$6:$A$350,0)),"")</f>
        <v>17</v>
      </c>
      <c r="R285" s="298">
        <f t="shared" si="38"/>
        <v>1</v>
      </c>
      <c r="S285" s="296">
        <f t="shared" si="39"/>
        <v>6.25E-2</v>
      </c>
    </row>
    <row r="286" spans="1:19" x14ac:dyDescent="0.25">
      <c r="A286" s="292">
        <v>8303</v>
      </c>
      <c r="B286" s="292" t="s">
        <v>319</v>
      </c>
      <c r="C286" s="293">
        <f>IFERROR(INDEX(Aktiv!$O$6:$O$350,MATCH(A286,Aktiv!$A$6:$A$350,0)),"")</f>
        <v>10</v>
      </c>
      <c r="D286" s="293">
        <f>IF(C286="","",ROUND(C286*Steuerungsdaten!$B$4*Steuerungsdaten!$B$7*IFERROR(VLOOKUP(IFERROR(INDEX(Aktiv!$C$6:$C$350,MATCH(A286,Aktiv!$A$6:$A$350,0)),""),Steuerungsdaten!$B$17:$C$37,2,FALSE),1)*POWER(IF(OR(IFERROR(INDEX(Aktiv!$E$6:$E$350,MATCH(A286,Aktiv!$A$6:$A$350,0)),0)=0,IFERROR(INDEX(Aktiv!$F$6:$F$350,MATCH(A286,Aktiv!$A$6:$A$350,0)),0)=0),1,(IFERROR(INDEX(Aktiv!$E$6:$E$350,MATCH(A286,Aktiv!$A$6:$A$350,0)),0)*IFERROR(INDEX(Aktiv!$F$6:$F$350,MATCH(A286,Aktiv!$A$6:$A$350,0)),0)/1000000)/Steuerungsdaten!$B$6),IF(ISNUMBER(MATCH(IFERROR(INDEX(Aktiv!$C$6:$C$350,MATCH(A286,Aktiv!$A$6:$A$350,0)),""),{"Boden","Seite außen","Seite außen SY32","Rücken","Seite innen","Seite innen SY32","Seite innen SY32 DB","Fachboden klein","Fachboden groß","Klappenboden"},0)),1.2,1)-1),0))</f>
        <v>9</v>
      </c>
      <c r="E286" s="293">
        <f>IFERROR(INDEX(Aktiv!$G$6:$G$350,MATCH(A286,Aktiv!$A$6:$A$350,0)),"")</f>
        <v>10</v>
      </c>
      <c r="F286" s="294">
        <f t="shared" si="32"/>
        <v>1</v>
      </c>
      <c r="G286" s="295">
        <f t="shared" si="33"/>
        <v>0.1111111111111111</v>
      </c>
      <c r="H286" s="293">
        <f>IF(C286="","",ROUND(C286*Steuerungsdaten!$B$4*Steuerungsdaten!$B$8*IFERROR(VLOOKUP(IFERROR(INDEX(Aktiv!$C$6:$C$350,MATCH(A286,Aktiv!$A$6:$A$350,0)),""),Steuerungsdaten!$B$17:$E$37,4,FALSE),1)*POWER(IF(OR(IFERROR(INDEX(Aktiv!$E$6:$E$350,MATCH(A286,Aktiv!$A$6:$A$350,0)),0)=0,IFERROR(INDEX(Aktiv!$F$6:$F$350,MATCH(A286,Aktiv!$A$6:$A$350,0)),0)=0),1,(IFERROR(INDEX(Aktiv!$E$6:$E$350,MATCH(A286,Aktiv!$A$6:$A$350,0)),0)*IFERROR(INDEX(Aktiv!$F$6:$F$350,MATCH(A286,Aktiv!$A$6:$A$350,0)),0)/1000000)/Steuerungsdaten!$B$6),1-1),0))</f>
        <v>9</v>
      </c>
      <c r="I286" s="293">
        <f>IFERROR(INDEX(Aktiv!$H$6:$H$350,MATCH(A286,Aktiv!$A$6:$A$350,0)),"")</f>
        <v>10</v>
      </c>
      <c r="J286" s="294">
        <f t="shared" si="34"/>
        <v>1</v>
      </c>
      <c r="K286" s="296">
        <f t="shared" si="35"/>
        <v>0.1111111111111111</v>
      </c>
      <c r="L286" s="297">
        <f>IF(C286="","",ROUND(C286*Steuerungsdaten!$B$4*Steuerungsdaten!$B$9*IFERROR(VLOOKUP(IFERROR(INDEX(Aktiv!$C$6:$C$350,MATCH(A286,Aktiv!$A$6:$A$350,0)),""),Steuerungsdaten!$B$17:$G$37,6,FALSE),1)*POWER(IF(OR(IFERROR(INDEX(Aktiv!$E$6:$E$350,MATCH(A286,Aktiv!$A$6:$A$350,0)),0)=0,IFERROR(INDEX(Aktiv!$F$6:$F$350,MATCH(A286,Aktiv!$A$6:$A$350,0)),0)=0),1,(IFERROR(INDEX(Aktiv!$E$6:$E$350,MATCH(A286,Aktiv!$A$6:$A$350,0)),0)*IFERROR(INDEX(Aktiv!$F$6:$F$350,MATCH(A286,Aktiv!$A$6:$A$350,0)),0)/1000000)/Steuerungsdaten!$B$6),1-1),0))</f>
        <v>9</v>
      </c>
      <c r="M286" s="297">
        <f>IFERROR(INDEX(Aktiv!$I$6:$I$350,MATCH(A286,Aktiv!$A$6:$A$350,0)),"")</f>
        <v>10</v>
      </c>
      <c r="N286" s="298">
        <f t="shared" si="36"/>
        <v>1</v>
      </c>
      <c r="O286" s="296">
        <f t="shared" si="37"/>
        <v>0.1111111111111111</v>
      </c>
      <c r="P286" s="297">
        <f>IF(C286="","",ROUND(C286*Steuerungsdaten!$B$4*Steuerungsdaten!$B$10*IFERROR(VLOOKUP(IFERROR(INDEX(Aktiv!$C$6:$C$350,MATCH(A286,Aktiv!$A$6:$A$350,0)),""),Steuerungsdaten!$B$17:$I$37,8,FALSE),1)*POWER(IF(OR(IFERROR(INDEX(Aktiv!$E$6:$E$350,MATCH(A286,Aktiv!$A$6:$A$350,0)),0)=0,IFERROR(INDEX(Aktiv!$F$6:$F$350,MATCH(A286,Aktiv!$A$6:$A$350,0)),0)=0),1,(IFERROR(INDEX(Aktiv!$E$6:$E$350,MATCH(A286,Aktiv!$A$6:$A$350,0)),0)*IFERROR(INDEX(Aktiv!$F$6:$F$350,MATCH(A286,Aktiv!$A$6:$A$350,0)),0)/1000000)/Steuerungsdaten!$B$6),1-1),0))</f>
        <v>10</v>
      </c>
      <c r="Q286" s="297">
        <f>IFERROR(INDEX(Aktiv!$J$6:$J$350,MATCH(A286,Aktiv!$A$6:$A$350,0)),"")</f>
        <v>10</v>
      </c>
      <c r="R286" s="298">
        <f t="shared" si="38"/>
        <v>0</v>
      </c>
      <c r="S286" s="296">
        <f t="shared" si="39"/>
        <v>0</v>
      </c>
    </row>
    <row r="287" spans="1:19" x14ac:dyDescent="0.25">
      <c r="A287" s="292">
        <v>8304</v>
      </c>
      <c r="B287" s="292" t="s">
        <v>320</v>
      </c>
      <c r="C287" s="293">
        <f>IFERROR(INDEX(Aktiv!$O$6:$O$350,MATCH(A287,Aktiv!$A$6:$A$350,0)),"")</f>
        <v>29</v>
      </c>
      <c r="D287" s="293">
        <f>IF(C287="","",ROUND(C287*Steuerungsdaten!$B$4*Steuerungsdaten!$B$7*IFERROR(VLOOKUP(IFERROR(INDEX(Aktiv!$C$6:$C$350,MATCH(A287,Aktiv!$A$6:$A$350,0)),""),Steuerungsdaten!$B$17:$C$37,2,FALSE),1)*POWER(IF(OR(IFERROR(INDEX(Aktiv!$E$6:$E$350,MATCH(A287,Aktiv!$A$6:$A$350,0)),0)=0,IFERROR(INDEX(Aktiv!$F$6:$F$350,MATCH(A287,Aktiv!$A$6:$A$350,0)),0)=0),1,(IFERROR(INDEX(Aktiv!$E$6:$E$350,MATCH(A287,Aktiv!$A$6:$A$350,0)),0)*IFERROR(INDEX(Aktiv!$F$6:$F$350,MATCH(A287,Aktiv!$A$6:$A$350,0)),0)/1000000)/Steuerungsdaten!$B$6),IF(ISNUMBER(MATCH(IFERROR(INDEX(Aktiv!$C$6:$C$350,MATCH(A287,Aktiv!$A$6:$A$350,0)),""),{"Boden","Seite außen","Seite außen SY32","Rücken","Seite innen","Seite innen SY32","Seite innen SY32 DB","Fachboden klein","Fachboden groß","Klappenboden"},0)),1.2,1)-1),0))</f>
        <v>26</v>
      </c>
      <c r="E287" s="293">
        <f>IFERROR(INDEX(Aktiv!$G$6:$G$350,MATCH(A287,Aktiv!$A$6:$A$350,0)),"")</f>
        <v>29</v>
      </c>
      <c r="F287" s="294">
        <f t="shared" si="32"/>
        <v>3</v>
      </c>
      <c r="G287" s="295">
        <f t="shared" si="33"/>
        <v>0.11538461538461539</v>
      </c>
      <c r="H287" s="293">
        <f>IF(C287="","",ROUND(C287*Steuerungsdaten!$B$4*Steuerungsdaten!$B$8*IFERROR(VLOOKUP(IFERROR(INDEX(Aktiv!$C$6:$C$350,MATCH(A287,Aktiv!$A$6:$A$350,0)),""),Steuerungsdaten!$B$17:$E$37,4,FALSE),1)*POWER(IF(OR(IFERROR(INDEX(Aktiv!$E$6:$E$350,MATCH(A287,Aktiv!$A$6:$A$350,0)),0)=0,IFERROR(INDEX(Aktiv!$F$6:$F$350,MATCH(A287,Aktiv!$A$6:$A$350,0)),0)=0),1,(IFERROR(INDEX(Aktiv!$E$6:$E$350,MATCH(A287,Aktiv!$A$6:$A$350,0)),0)*IFERROR(INDEX(Aktiv!$F$6:$F$350,MATCH(A287,Aktiv!$A$6:$A$350,0)),0)/1000000)/Steuerungsdaten!$B$6),1-1),0))</f>
        <v>26</v>
      </c>
      <c r="I287" s="293">
        <f>IFERROR(INDEX(Aktiv!$H$6:$H$350,MATCH(A287,Aktiv!$A$6:$A$350,0)),"")</f>
        <v>29</v>
      </c>
      <c r="J287" s="294">
        <f t="shared" si="34"/>
        <v>3</v>
      </c>
      <c r="K287" s="296">
        <f t="shared" si="35"/>
        <v>0.11538461538461539</v>
      </c>
      <c r="L287" s="297">
        <f>IF(C287="","",ROUND(C287*Steuerungsdaten!$B$4*Steuerungsdaten!$B$9*IFERROR(VLOOKUP(IFERROR(INDEX(Aktiv!$C$6:$C$350,MATCH(A287,Aktiv!$A$6:$A$350,0)),""),Steuerungsdaten!$B$17:$G$37,6,FALSE),1)*POWER(IF(OR(IFERROR(INDEX(Aktiv!$E$6:$E$350,MATCH(A287,Aktiv!$A$6:$A$350,0)),0)=0,IFERROR(INDEX(Aktiv!$F$6:$F$350,MATCH(A287,Aktiv!$A$6:$A$350,0)),0)=0),1,(IFERROR(INDEX(Aktiv!$E$6:$E$350,MATCH(A287,Aktiv!$A$6:$A$350,0)),0)*IFERROR(INDEX(Aktiv!$F$6:$F$350,MATCH(A287,Aktiv!$A$6:$A$350,0)),0)/1000000)/Steuerungsdaten!$B$6),1-1),0))</f>
        <v>26</v>
      </c>
      <c r="M287" s="297">
        <f>IFERROR(INDEX(Aktiv!$I$6:$I$350,MATCH(A287,Aktiv!$A$6:$A$350,0)),"")</f>
        <v>29</v>
      </c>
      <c r="N287" s="298">
        <f t="shared" si="36"/>
        <v>3</v>
      </c>
      <c r="O287" s="296">
        <f t="shared" si="37"/>
        <v>0.11538461538461539</v>
      </c>
      <c r="P287" s="297">
        <f>IF(C287="","",ROUND(C287*Steuerungsdaten!$B$4*Steuerungsdaten!$B$10*IFERROR(VLOOKUP(IFERROR(INDEX(Aktiv!$C$6:$C$350,MATCH(A287,Aktiv!$A$6:$A$350,0)),""),Steuerungsdaten!$B$17:$I$37,8,FALSE),1)*POWER(IF(OR(IFERROR(INDEX(Aktiv!$E$6:$E$350,MATCH(A287,Aktiv!$A$6:$A$350,0)),0)=0,IFERROR(INDEX(Aktiv!$F$6:$F$350,MATCH(A287,Aktiv!$A$6:$A$350,0)),0)=0),1,(IFERROR(INDEX(Aktiv!$E$6:$E$350,MATCH(A287,Aktiv!$A$6:$A$350,0)),0)*IFERROR(INDEX(Aktiv!$F$6:$F$350,MATCH(A287,Aktiv!$A$6:$A$350,0)),0)/1000000)/Steuerungsdaten!$B$6),1-1),0))</f>
        <v>28</v>
      </c>
      <c r="Q287" s="297">
        <f>IFERROR(INDEX(Aktiv!$J$6:$J$350,MATCH(A287,Aktiv!$A$6:$A$350,0)),"")</f>
        <v>29</v>
      </c>
      <c r="R287" s="298">
        <f t="shared" si="38"/>
        <v>1</v>
      </c>
      <c r="S287" s="296">
        <f t="shared" si="39"/>
        <v>3.5714285714285712E-2</v>
      </c>
    </row>
    <row r="288" spans="1:19" x14ac:dyDescent="0.25">
      <c r="A288" s="292">
        <v>8305</v>
      </c>
      <c r="B288" s="292" t="s">
        <v>321</v>
      </c>
      <c r="C288" s="293">
        <f>IFERROR(INDEX(Aktiv!$O$6:$O$350,MATCH(A288,Aktiv!$A$6:$A$350,0)),"")</f>
        <v>41</v>
      </c>
      <c r="D288" s="293">
        <f>IF(C288="","",ROUND(C288*Steuerungsdaten!$B$4*Steuerungsdaten!$B$7*IFERROR(VLOOKUP(IFERROR(INDEX(Aktiv!$C$6:$C$350,MATCH(A288,Aktiv!$A$6:$A$350,0)),""),Steuerungsdaten!$B$17:$C$37,2,FALSE),1)*POWER(IF(OR(IFERROR(INDEX(Aktiv!$E$6:$E$350,MATCH(A288,Aktiv!$A$6:$A$350,0)),0)=0,IFERROR(INDEX(Aktiv!$F$6:$F$350,MATCH(A288,Aktiv!$A$6:$A$350,0)),0)=0),1,(IFERROR(INDEX(Aktiv!$E$6:$E$350,MATCH(A288,Aktiv!$A$6:$A$350,0)),0)*IFERROR(INDEX(Aktiv!$F$6:$F$350,MATCH(A288,Aktiv!$A$6:$A$350,0)),0)/1000000)/Steuerungsdaten!$B$6),IF(ISNUMBER(MATCH(IFERROR(INDEX(Aktiv!$C$6:$C$350,MATCH(A288,Aktiv!$A$6:$A$350,0)),""),{"Boden","Seite außen","Seite außen SY32","Rücken","Seite innen","Seite innen SY32","Seite innen SY32 DB","Fachboden klein","Fachboden groß","Klappenboden"},0)),1.2,1)-1),0))</f>
        <v>36</v>
      </c>
      <c r="E288" s="293">
        <f>IFERROR(INDEX(Aktiv!$G$6:$G$350,MATCH(A288,Aktiv!$A$6:$A$350,0)),"")</f>
        <v>41</v>
      </c>
      <c r="F288" s="294">
        <f t="shared" si="32"/>
        <v>5</v>
      </c>
      <c r="G288" s="295">
        <f t="shared" si="33"/>
        <v>0.1388888888888889</v>
      </c>
      <c r="H288" s="293">
        <f>IF(C288="","",ROUND(C288*Steuerungsdaten!$B$4*Steuerungsdaten!$B$8*IFERROR(VLOOKUP(IFERROR(INDEX(Aktiv!$C$6:$C$350,MATCH(A288,Aktiv!$A$6:$A$350,0)),""),Steuerungsdaten!$B$17:$E$37,4,FALSE),1)*POWER(IF(OR(IFERROR(INDEX(Aktiv!$E$6:$E$350,MATCH(A288,Aktiv!$A$6:$A$350,0)),0)=0,IFERROR(INDEX(Aktiv!$F$6:$F$350,MATCH(A288,Aktiv!$A$6:$A$350,0)),0)=0),1,(IFERROR(INDEX(Aktiv!$E$6:$E$350,MATCH(A288,Aktiv!$A$6:$A$350,0)),0)*IFERROR(INDEX(Aktiv!$F$6:$F$350,MATCH(A288,Aktiv!$A$6:$A$350,0)),0)/1000000)/Steuerungsdaten!$B$6),1-1),0))</f>
        <v>36</v>
      </c>
      <c r="I288" s="293">
        <f>IFERROR(INDEX(Aktiv!$H$6:$H$350,MATCH(A288,Aktiv!$A$6:$A$350,0)),"")</f>
        <v>41</v>
      </c>
      <c r="J288" s="294">
        <f t="shared" si="34"/>
        <v>5</v>
      </c>
      <c r="K288" s="296">
        <f t="shared" si="35"/>
        <v>0.1388888888888889</v>
      </c>
      <c r="L288" s="297">
        <f>IF(C288="","",ROUND(C288*Steuerungsdaten!$B$4*Steuerungsdaten!$B$9*IFERROR(VLOOKUP(IFERROR(INDEX(Aktiv!$C$6:$C$350,MATCH(A288,Aktiv!$A$6:$A$350,0)),""),Steuerungsdaten!$B$17:$G$37,6,FALSE),1)*POWER(IF(OR(IFERROR(INDEX(Aktiv!$E$6:$E$350,MATCH(A288,Aktiv!$A$6:$A$350,0)),0)=0,IFERROR(INDEX(Aktiv!$F$6:$F$350,MATCH(A288,Aktiv!$A$6:$A$350,0)),0)=0),1,(IFERROR(INDEX(Aktiv!$E$6:$E$350,MATCH(A288,Aktiv!$A$6:$A$350,0)),0)*IFERROR(INDEX(Aktiv!$F$6:$F$350,MATCH(A288,Aktiv!$A$6:$A$350,0)),0)/1000000)/Steuerungsdaten!$B$6),1-1),0))</f>
        <v>36</v>
      </c>
      <c r="M288" s="297">
        <f>IFERROR(INDEX(Aktiv!$I$6:$I$350,MATCH(A288,Aktiv!$A$6:$A$350,0)),"")</f>
        <v>41</v>
      </c>
      <c r="N288" s="298">
        <f t="shared" si="36"/>
        <v>5</v>
      </c>
      <c r="O288" s="296">
        <f t="shared" si="37"/>
        <v>0.1388888888888889</v>
      </c>
      <c r="P288" s="297">
        <f>IF(C288="","",ROUND(C288*Steuerungsdaten!$B$4*Steuerungsdaten!$B$10*IFERROR(VLOOKUP(IFERROR(INDEX(Aktiv!$C$6:$C$350,MATCH(A288,Aktiv!$A$6:$A$350,0)),""),Steuerungsdaten!$B$17:$I$37,8,FALSE),1)*POWER(IF(OR(IFERROR(INDEX(Aktiv!$E$6:$E$350,MATCH(A288,Aktiv!$A$6:$A$350,0)),0)=0,IFERROR(INDEX(Aktiv!$F$6:$F$350,MATCH(A288,Aktiv!$A$6:$A$350,0)),0)=0),1,(IFERROR(INDEX(Aktiv!$E$6:$E$350,MATCH(A288,Aktiv!$A$6:$A$350,0)),0)*IFERROR(INDEX(Aktiv!$F$6:$F$350,MATCH(A288,Aktiv!$A$6:$A$350,0)),0)/1000000)/Steuerungsdaten!$B$6),1-1),0))</f>
        <v>39</v>
      </c>
      <c r="Q288" s="297">
        <f>IFERROR(INDEX(Aktiv!$J$6:$J$350,MATCH(A288,Aktiv!$A$6:$A$350,0)),"")</f>
        <v>41</v>
      </c>
      <c r="R288" s="298">
        <f t="shared" si="38"/>
        <v>2</v>
      </c>
      <c r="S288" s="296">
        <f t="shared" si="39"/>
        <v>5.128205128205128E-2</v>
      </c>
    </row>
    <row r="289" spans="1:19" x14ac:dyDescent="0.25">
      <c r="A289" s="292">
        <v>8306</v>
      </c>
      <c r="B289" s="292" t="s">
        <v>322</v>
      </c>
      <c r="C289" s="293">
        <f>IFERROR(INDEX(Aktiv!$O$6:$O$350,MATCH(A289,Aktiv!$A$6:$A$350,0)),"")</f>
        <v>19</v>
      </c>
      <c r="D289" s="293">
        <f>IF(C289="","",ROUND(C289*Steuerungsdaten!$B$4*Steuerungsdaten!$B$7*IFERROR(VLOOKUP(IFERROR(INDEX(Aktiv!$C$6:$C$350,MATCH(A289,Aktiv!$A$6:$A$350,0)),""),Steuerungsdaten!$B$17:$C$37,2,FALSE),1)*POWER(IF(OR(IFERROR(INDEX(Aktiv!$E$6:$E$350,MATCH(A289,Aktiv!$A$6:$A$350,0)),0)=0,IFERROR(INDEX(Aktiv!$F$6:$F$350,MATCH(A289,Aktiv!$A$6:$A$350,0)),0)=0),1,(IFERROR(INDEX(Aktiv!$E$6:$E$350,MATCH(A289,Aktiv!$A$6:$A$350,0)),0)*IFERROR(INDEX(Aktiv!$F$6:$F$350,MATCH(A289,Aktiv!$A$6:$A$350,0)),0)/1000000)/Steuerungsdaten!$B$6),IF(ISNUMBER(MATCH(IFERROR(INDEX(Aktiv!$C$6:$C$350,MATCH(A289,Aktiv!$A$6:$A$350,0)),""),{"Boden","Seite außen","Seite außen SY32","Rücken","Seite innen","Seite innen SY32","Seite innen SY32 DB","Fachboden klein","Fachboden groß","Klappenboden"},0)),1.2,1)-1),0))</f>
        <v>17</v>
      </c>
      <c r="E289" s="293">
        <f>IFERROR(INDEX(Aktiv!$G$6:$G$350,MATCH(A289,Aktiv!$A$6:$A$350,0)),"")</f>
        <v>19</v>
      </c>
      <c r="F289" s="294">
        <f t="shared" si="32"/>
        <v>2</v>
      </c>
      <c r="G289" s="295">
        <f t="shared" si="33"/>
        <v>0.11764705882352941</v>
      </c>
      <c r="H289" s="293">
        <f>IF(C289="","",ROUND(C289*Steuerungsdaten!$B$4*Steuerungsdaten!$B$8*IFERROR(VLOOKUP(IFERROR(INDEX(Aktiv!$C$6:$C$350,MATCH(A289,Aktiv!$A$6:$A$350,0)),""),Steuerungsdaten!$B$17:$E$37,4,FALSE),1)*POWER(IF(OR(IFERROR(INDEX(Aktiv!$E$6:$E$350,MATCH(A289,Aktiv!$A$6:$A$350,0)),0)=0,IFERROR(INDEX(Aktiv!$F$6:$F$350,MATCH(A289,Aktiv!$A$6:$A$350,0)),0)=0),1,(IFERROR(INDEX(Aktiv!$E$6:$E$350,MATCH(A289,Aktiv!$A$6:$A$350,0)),0)*IFERROR(INDEX(Aktiv!$F$6:$F$350,MATCH(A289,Aktiv!$A$6:$A$350,0)),0)/1000000)/Steuerungsdaten!$B$6),1-1),0))</f>
        <v>17</v>
      </c>
      <c r="I289" s="293">
        <f>IFERROR(INDEX(Aktiv!$H$6:$H$350,MATCH(A289,Aktiv!$A$6:$A$350,0)),"")</f>
        <v>19</v>
      </c>
      <c r="J289" s="294">
        <f t="shared" si="34"/>
        <v>2</v>
      </c>
      <c r="K289" s="296">
        <f t="shared" si="35"/>
        <v>0.11764705882352941</v>
      </c>
      <c r="L289" s="297">
        <f>IF(C289="","",ROUND(C289*Steuerungsdaten!$B$4*Steuerungsdaten!$B$9*IFERROR(VLOOKUP(IFERROR(INDEX(Aktiv!$C$6:$C$350,MATCH(A289,Aktiv!$A$6:$A$350,0)),""),Steuerungsdaten!$B$17:$G$37,6,FALSE),1)*POWER(IF(OR(IFERROR(INDEX(Aktiv!$E$6:$E$350,MATCH(A289,Aktiv!$A$6:$A$350,0)),0)=0,IFERROR(INDEX(Aktiv!$F$6:$F$350,MATCH(A289,Aktiv!$A$6:$A$350,0)),0)=0),1,(IFERROR(INDEX(Aktiv!$E$6:$E$350,MATCH(A289,Aktiv!$A$6:$A$350,0)),0)*IFERROR(INDEX(Aktiv!$F$6:$F$350,MATCH(A289,Aktiv!$A$6:$A$350,0)),0)/1000000)/Steuerungsdaten!$B$6),1-1),0))</f>
        <v>17</v>
      </c>
      <c r="M289" s="297">
        <f>IFERROR(INDEX(Aktiv!$I$6:$I$350,MATCH(A289,Aktiv!$A$6:$A$350,0)),"")</f>
        <v>19</v>
      </c>
      <c r="N289" s="298">
        <f t="shared" si="36"/>
        <v>2</v>
      </c>
      <c r="O289" s="296">
        <f t="shared" si="37"/>
        <v>0.11764705882352941</v>
      </c>
      <c r="P289" s="297">
        <f>IF(C289="","",ROUND(C289*Steuerungsdaten!$B$4*Steuerungsdaten!$B$10*IFERROR(VLOOKUP(IFERROR(INDEX(Aktiv!$C$6:$C$350,MATCH(A289,Aktiv!$A$6:$A$350,0)),""),Steuerungsdaten!$B$17:$I$37,8,FALSE),1)*POWER(IF(OR(IFERROR(INDEX(Aktiv!$E$6:$E$350,MATCH(A289,Aktiv!$A$6:$A$350,0)),0)=0,IFERROR(INDEX(Aktiv!$F$6:$F$350,MATCH(A289,Aktiv!$A$6:$A$350,0)),0)=0),1,(IFERROR(INDEX(Aktiv!$E$6:$E$350,MATCH(A289,Aktiv!$A$6:$A$350,0)),0)*IFERROR(INDEX(Aktiv!$F$6:$F$350,MATCH(A289,Aktiv!$A$6:$A$350,0)),0)/1000000)/Steuerungsdaten!$B$6),1-1),0))</f>
        <v>18</v>
      </c>
      <c r="Q289" s="297">
        <f>IFERROR(INDEX(Aktiv!$J$6:$J$350,MATCH(A289,Aktiv!$A$6:$A$350,0)),"")</f>
        <v>19</v>
      </c>
      <c r="R289" s="298">
        <f t="shared" si="38"/>
        <v>1</v>
      </c>
      <c r="S289" s="296">
        <f t="shared" si="39"/>
        <v>5.5555555555555552E-2</v>
      </c>
    </row>
    <row r="290" spans="1:19" x14ac:dyDescent="0.25">
      <c r="A290" s="292">
        <v>8307</v>
      </c>
      <c r="B290" s="292" t="s">
        <v>323</v>
      </c>
      <c r="C290" s="293">
        <f>IFERROR(INDEX(Aktiv!$O$6:$O$350,MATCH(A290,Aktiv!$A$6:$A$350,0)),"")</f>
        <v>12</v>
      </c>
      <c r="D290" s="293">
        <f>IF(C290="","",ROUND(C290*Steuerungsdaten!$B$4*Steuerungsdaten!$B$7*IFERROR(VLOOKUP(IFERROR(INDEX(Aktiv!$C$6:$C$350,MATCH(A290,Aktiv!$A$6:$A$350,0)),""),Steuerungsdaten!$B$17:$C$37,2,FALSE),1)*POWER(IF(OR(IFERROR(INDEX(Aktiv!$E$6:$E$350,MATCH(A290,Aktiv!$A$6:$A$350,0)),0)=0,IFERROR(INDEX(Aktiv!$F$6:$F$350,MATCH(A290,Aktiv!$A$6:$A$350,0)),0)=0),1,(IFERROR(INDEX(Aktiv!$E$6:$E$350,MATCH(A290,Aktiv!$A$6:$A$350,0)),0)*IFERROR(INDEX(Aktiv!$F$6:$F$350,MATCH(A290,Aktiv!$A$6:$A$350,0)),0)/1000000)/Steuerungsdaten!$B$6),IF(ISNUMBER(MATCH(IFERROR(INDEX(Aktiv!$C$6:$C$350,MATCH(A290,Aktiv!$A$6:$A$350,0)),""),{"Boden","Seite außen","Seite außen SY32","Rücken","Seite innen","Seite innen SY32","Seite innen SY32 DB","Fachboden klein","Fachboden groß","Klappenboden"},0)),1.2,1)-1),0))</f>
        <v>11</v>
      </c>
      <c r="E290" s="293">
        <f>IFERROR(INDEX(Aktiv!$G$6:$G$350,MATCH(A290,Aktiv!$A$6:$A$350,0)),"")</f>
        <v>12</v>
      </c>
      <c r="F290" s="294">
        <f t="shared" si="32"/>
        <v>1</v>
      </c>
      <c r="G290" s="295">
        <f t="shared" si="33"/>
        <v>9.0909090909090912E-2</v>
      </c>
      <c r="H290" s="293">
        <f>IF(C290="","",ROUND(C290*Steuerungsdaten!$B$4*Steuerungsdaten!$B$8*IFERROR(VLOOKUP(IFERROR(INDEX(Aktiv!$C$6:$C$350,MATCH(A290,Aktiv!$A$6:$A$350,0)),""),Steuerungsdaten!$B$17:$E$37,4,FALSE),1)*POWER(IF(OR(IFERROR(INDEX(Aktiv!$E$6:$E$350,MATCH(A290,Aktiv!$A$6:$A$350,0)),0)=0,IFERROR(INDEX(Aktiv!$F$6:$F$350,MATCH(A290,Aktiv!$A$6:$A$350,0)),0)=0),1,(IFERROR(INDEX(Aktiv!$E$6:$E$350,MATCH(A290,Aktiv!$A$6:$A$350,0)),0)*IFERROR(INDEX(Aktiv!$F$6:$F$350,MATCH(A290,Aktiv!$A$6:$A$350,0)),0)/1000000)/Steuerungsdaten!$B$6),1-1),0))</f>
        <v>11</v>
      </c>
      <c r="I290" s="293">
        <f>IFERROR(INDEX(Aktiv!$H$6:$H$350,MATCH(A290,Aktiv!$A$6:$A$350,0)),"")</f>
        <v>12</v>
      </c>
      <c r="J290" s="294">
        <f t="shared" si="34"/>
        <v>1</v>
      </c>
      <c r="K290" s="296">
        <f t="shared" si="35"/>
        <v>9.0909090909090912E-2</v>
      </c>
      <c r="L290" s="297">
        <f>IF(C290="","",ROUND(C290*Steuerungsdaten!$B$4*Steuerungsdaten!$B$9*IFERROR(VLOOKUP(IFERROR(INDEX(Aktiv!$C$6:$C$350,MATCH(A290,Aktiv!$A$6:$A$350,0)),""),Steuerungsdaten!$B$17:$G$37,6,FALSE),1)*POWER(IF(OR(IFERROR(INDEX(Aktiv!$E$6:$E$350,MATCH(A290,Aktiv!$A$6:$A$350,0)),0)=0,IFERROR(INDEX(Aktiv!$F$6:$F$350,MATCH(A290,Aktiv!$A$6:$A$350,0)),0)=0),1,(IFERROR(INDEX(Aktiv!$E$6:$E$350,MATCH(A290,Aktiv!$A$6:$A$350,0)),0)*IFERROR(INDEX(Aktiv!$F$6:$F$350,MATCH(A290,Aktiv!$A$6:$A$350,0)),0)/1000000)/Steuerungsdaten!$B$6),1-1),0))</f>
        <v>11</v>
      </c>
      <c r="M290" s="297">
        <f>IFERROR(INDEX(Aktiv!$I$6:$I$350,MATCH(A290,Aktiv!$A$6:$A$350,0)),"")</f>
        <v>12</v>
      </c>
      <c r="N290" s="298">
        <f t="shared" si="36"/>
        <v>1</v>
      </c>
      <c r="O290" s="296">
        <f t="shared" si="37"/>
        <v>9.0909090909090912E-2</v>
      </c>
      <c r="P290" s="297">
        <f>IF(C290="","",ROUND(C290*Steuerungsdaten!$B$4*Steuerungsdaten!$B$10*IFERROR(VLOOKUP(IFERROR(INDEX(Aktiv!$C$6:$C$350,MATCH(A290,Aktiv!$A$6:$A$350,0)),""),Steuerungsdaten!$B$17:$I$37,8,FALSE),1)*POWER(IF(OR(IFERROR(INDEX(Aktiv!$E$6:$E$350,MATCH(A290,Aktiv!$A$6:$A$350,0)),0)=0,IFERROR(INDEX(Aktiv!$F$6:$F$350,MATCH(A290,Aktiv!$A$6:$A$350,0)),0)=0),1,(IFERROR(INDEX(Aktiv!$E$6:$E$350,MATCH(A290,Aktiv!$A$6:$A$350,0)),0)*IFERROR(INDEX(Aktiv!$F$6:$F$350,MATCH(A290,Aktiv!$A$6:$A$350,0)),0)/1000000)/Steuerungsdaten!$B$6),1-1),0))</f>
        <v>12</v>
      </c>
      <c r="Q290" s="297">
        <f>IFERROR(INDEX(Aktiv!$J$6:$J$350,MATCH(A290,Aktiv!$A$6:$A$350,0)),"")</f>
        <v>12</v>
      </c>
      <c r="R290" s="298">
        <f t="shared" si="38"/>
        <v>0</v>
      </c>
      <c r="S290" s="296">
        <f t="shared" si="39"/>
        <v>0</v>
      </c>
    </row>
    <row r="291" spans="1:19" x14ac:dyDescent="0.25">
      <c r="A291" s="292">
        <v>8308</v>
      </c>
      <c r="B291" s="292" t="s">
        <v>324</v>
      </c>
      <c r="C291" s="293">
        <f>IFERROR(INDEX(Aktiv!$O$6:$O$350,MATCH(A291,Aktiv!$A$6:$A$350,0)),"")</f>
        <v>15</v>
      </c>
      <c r="D291" s="293">
        <f>IF(C291="","",ROUND(C291*Steuerungsdaten!$B$4*Steuerungsdaten!$B$7*IFERROR(VLOOKUP(IFERROR(INDEX(Aktiv!$C$6:$C$350,MATCH(A291,Aktiv!$A$6:$A$350,0)),""),Steuerungsdaten!$B$17:$C$37,2,FALSE),1)*POWER(IF(OR(IFERROR(INDEX(Aktiv!$E$6:$E$350,MATCH(A291,Aktiv!$A$6:$A$350,0)),0)=0,IFERROR(INDEX(Aktiv!$F$6:$F$350,MATCH(A291,Aktiv!$A$6:$A$350,0)),0)=0),1,(IFERROR(INDEX(Aktiv!$E$6:$E$350,MATCH(A291,Aktiv!$A$6:$A$350,0)),0)*IFERROR(INDEX(Aktiv!$F$6:$F$350,MATCH(A291,Aktiv!$A$6:$A$350,0)),0)/1000000)/Steuerungsdaten!$B$6),IF(ISNUMBER(MATCH(IFERROR(INDEX(Aktiv!$C$6:$C$350,MATCH(A291,Aktiv!$A$6:$A$350,0)),""),{"Boden","Seite außen","Seite außen SY32","Rücken","Seite innen","Seite innen SY32","Seite innen SY32 DB","Fachboden klein","Fachboden groß","Klappenboden"},0)),1.2,1)-1),0))</f>
        <v>13</v>
      </c>
      <c r="E291" s="293">
        <f>IFERROR(INDEX(Aktiv!$G$6:$G$350,MATCH(A291,Aktiv!$A$6:$A$350,0)),"")</f>
        <v>15</v>
      </c>
      <c r="F291" s="294">
        <f t="shared" si="32"/>
        <v>2</v>
      </c>
      <c r="G291" s="295">
        <f t="shared" si="33"/>
        <v>0.15384615384615385</v>
      </c>
      <c r="H291" s="293">
        <f>IF(C291="","",ROUND(C291*Steuerungsdaten!$B$4*Steuerungsdaten!$B$8*IFERROR(VLOOKUP(IFERROR(INDEX(Aktiv!$C$6:$C$350,MATCH(A291,Aktiv!$A$6:$A$350,0)),""),Steuerungsdaten!$B$17:$E$37,4,FALSE),1)*POWER(IF(OR(IFERROR(INDEX(Aktiv!$E$6:$E$350,MATCH(A291,Aktiv!$A$6:$A$350,0)),0)=0,IFERROR(INDEX(Aktiv!$F$6:$F$350,MATCH(A291,Aktiv!$A$6:$A$350,0)),0)=0),1,(IFERROR(INDEX(Aktiv!$E$6:$E$350,MATCH(A291,Aktiv!$A$6:$A$350,0)),0)*IFERROR(INDEX(Aktiv!$F$6:$F$350,MATCH(A291,Aktiv!$A$6:$A$350,0)),0)/1000000)/Steuerungsdaten!$B$6),1-1),0))</f>
        <v>13</v>
      </c>
      <c r="I291" s="293">
        <f>IFERROR(INDEX(Aktiv!$H$6:$H$350,MATCH(A291,Aktiv!$A$6:$A$350,0)),"")</f>
        <v>15</v>
      </c>
      <c r="J291" s="294">
        <f t="shared" si="34"/>
        <v>2</v>
      </c>
      <c r="K291" s="296">
        <f t="shared" si="35"/>
        <v>0.15384615384615385</v>
      </c>
      <c r="L291" s="297">
        <f>IF(C291="","",ROUND(C291*Steuerungsdaten!$B$4*Steuerungsdaten!$B$9*IFERROR(VLOOKUP(IFERROR(INDEX(Aktiv!$C$6:$C$350,MATCH(A291,Aktiv!$A$6:$A$350,0)),""),Steuerungsdaten!$B$17:$G$37,6,FALSE),1)*POWER(IF(OR(IFERROR(INDEX(Aktiv!$E$6:$E$350,MATCH(A291,Aktiv!$A$6:$A$350,0)),0)=0,IFERROR(INDEX(Aktiv!$F$6:$F$350,MATCH(A291,Aktiv!$A$6:$A$350,0)),0)=0),1,(IFERROR(INDEX(Aktiv!$E$6:$E$350,MATCH(A291,Aktiv!$A$6:$A$350,0)),0)*IFERROR(INDEX(Aktiv!$F$6:$F$350,MATCH(A291,Aktiv!$A$6:$A$350,0)),0)/1000000)/Steuerungsdaten!$B$6),1-1),0))</f>
        <v>13</v>
      </c>
      <c r="M291" s="297">
        <f>IFERROR(INDEX(Aktiv!$I$6:$I$350,MATCH(A291,Aktiv!$A$6:$A$350,0)),"")</f>
        <v>15</v>
      </c>
      <c r="N291" s="298">
        <f t="shared" si="36"/>
        <v>2</v>
      </c>
      <c r="O291" s="296">
        <f t="shared" si="37"/>
        <v>0.15384615384615385</v>
      </c>
      <c r="P291" s="297">
        <f>IF(C291="","",ROUND(C291*Steuerungsdaten!$B$4*Steuerungsdaten!$B$10*IFERROR(VLOOKUP(IFERROR(INDEX(Aktiv!$C$6:$C$350,MATCH(A291,Aktiv!$A$6:$A$350,0)),""),Steuerungsdaten!$B$17:$I$37,8,FALSE),1)*POWER(IF(OR(IFERROR(INDEX(Aktiv!$E$6:$E$350,MATCH(A291,Aktiv!$A$6:$A$350,0)),0)=0,IFERROR(INDEX(Aktiv!$F$6:$F$350,MATCH(A291,Aktiv!$A$6:$A$350,0)),0)=0),1,(IFERROR(INDEX(Aktiv!$E$6:$E$350,MATCH(A291,Aktiv!$A$6:$A$350,0)),0)*IFERROR(INDEX(Aktiv!$F$6:$F$350,MATCH(A291,Aktiv!$A$6:$A$350,0)),0)/1000000)/Steuerungsdaten!$B$6),1-1),0))</f>
        <v>14</v>
      </c>
      <c r="Q291" s="297">
        <f>IFERROR(INDEX(Aktiv!$J$6:$J$350,MATCH(A291,Aktiv!$A$6:$A$350,0)),"")</f>
        <v>15</v>
      </c>
      <c r="R291" s="298">
        <f t="shared" si="38"/>
        <v>1</v>
      </c>
      <c r="S291" s="296">
        <f t="shared" si="39"/>
        <v>7.1428571428571425E-2</v>
      </c>
    </row>
    <row r="292" spans="1:19" x14ac:dyDescent="0.25">
      <c r="A292" s="292">
        <v>8309</v>
      </c>
      <c r="B292" s="292" t="s">
        <v>325</v>
      </c>
      <c r="C292" s="293">
        <f>IFERROR(INDEX(Aktiv!$O$6:$O$350,MATCH(A292,Aktiv!$A$6:$A$350,0)),"")</f>
        <v>18</v>
      </c>
      <c r="D292" s="293">
        <f>IF(C292="","",ROUND(C292*Steuerungsdaten!$B$4*Steuerungsdaten!$B$7*IFERROR(VLOOKUP(IFERROR(INDEX(Aktiv!$C$6:$C$350,MATCH(A292,Aktiv!$A$6:$A$350,0)),""),Steuerungsdaten!$B$17:$C$37,2,FALSE),1)*POWER(IF(OR(IFERROR(INDEX(Aktiv!$E$6:$E$350,MATCH(A292,Aktiv!$A$6:$A$350,0)),0)=0,IFERROR(INDEX(Aktiv!$F$6:$F$350,MATCH(A292,Aktiv!$A$6:$A$350,0)),0)=0),1,(IFERROR(INDEX(Aktiv!$E$6:$E$350,MATCH(A292,Aktiv!$A$6:$A$350,0)),0)*IFERROR(INDEX(Aktiv!$F$6:$F$350,MATCH(A292,Aktiv!$A$6:$A$350,0)),0)/1000000)/Steuerungsdaten!$B$6),IF(ISNUMBER(MATCH(IFERROR(INDEX(Aktiv!$C$6:$C$350,MATCH(A292,Aktiv!$A$6:$A$350,0)),""),{"Boden","Seite außen","Seite außen SY32","Rücken","Seite innen","Seite innen SY32","Seite innen SY32 DB","Fachboden klein","Fachboden groß","Klappenboden"},0)),1.2,1)-1),0))</f>
        <v>16</v>
      </c>
      <c r="E292" s="293">
        <f>IFERROR(INDEX(Aktiv!$G$6:$G$350,MATCH(A292,Aktiv!$A$6:$A$350,0)),"")</f>
        <v>18</v>
      </c>
      <c r="F292" s="294">
        <f t="shared" si="32"/>
        <v>2</v>
      </c>
      <c r="G292" s="295">
        <f t="shared" si="33"/>
        <v>0.125</v>
      </c>
      <c r="H292" s="293">
        <f>IF(C292="","",ROUND(C292*Steuerungsdaten!$B$4*Steuerungsdaten!$B$8*IFERROR(VLOOKUP(IFERROR(INDEX(Aktiv!$C$6:$C$350,MATCH(A292,Aktiv!$A$6:$A$350,0)),""),Steuerungsdaten!$B$17:$E$37,4,FALSE),1)*POWER(IF(OR(IFERROR(INDEX(Aktiv!$E$6:$E$350,MATCH(A292,Aktiv!$A$6:$A$350,0)),0)=0,IFERROR(INDEX(Aktiv!$F$6:$F$350,MATCH(A292,Aktiv!$A$6:$A$350,0)),0)=0),1,(IFERROR(INDEX(Aktiv!$E$6:$E$350,MATCH(A292,Aktiv!$A$6:$A$350,0)),0)*IFERROR(INDEX(Aktiv!$F$6:$F$350,MATCH(A292,Aktiv!$A$6:$A$350,0)),0)/1000000)/Steuerungsdaten!$B$6),1-1),0))</f>
        <v>16</v>
      </c>
      <c r="I292" s="293">
        <f>IFERROR(INDEX(Aktiv!$H$6:$H$350,MATCH(A292,Aktiv!$A$6:$A$350,0)),"")</f>
        <v>18</v>
      </c>
      <c r="J292" s="294">
        <f t="shared" si="34"/>
        <v>2</v>
      </c>
      <c r="K292" s="296">
        <f t="shared" si="35"/>
        <v>0.125</v>
      </c>
      <c r="L292" s="297">
        <f>IF(C292="","",ROUND(C292*Steuerungsdaten!$B$4*Steuerungsdaten!$B$9*IFERROR(VLOOKUP(IFERROR(INDEX(Aktiv!$C$6:$C$350,MATCH(A292,Aktiv!$A$6:$A$350,0)),""),Steuerungsdaten!$B$17:$G$37,6,FALSE),1)*POWER(IF(OR(IFERROR(INDEX(Aktiv!$E$6:$E$350,MATCH(A292,Aktiv!$A$6:$A$350,0)),0)=0,IFERROR(INDEX(Aktiv!$F$6:$F$350,MATCH(A292,Aktiv!$A$6:$A$350,0)),0)=0),1,(IFERROR(INDEX(Aktiv!$E$6:$E$350,MATCH(A292,Aktiv!$A$6:$A$350,0)),0)*IFERROR(INDEX(Aktiv!$F$6:$F$350,MATCH(A292,Aktiv!$A$6:$A$350,0)),0)/1000000)/Steuerungsdaten!$B$6),1-1),0))</f>
        <v>16</v>
      </c>
      <c r="M292" s="297">
        <f>IFERROR(INDEX(Aktiv!$I$6:$I$350,MATCH(A292,Aktiv!$A$6:$A$350,0)),"")</f>
        <v>18</v>
      </c>
      <c r="N292" s="298">
        <f t="shared" si="36"/>
        <v>2</v>
      </c>
      <c r="O292" s="296">
        <f t="shared" si="37"/>
        <v>0.125</v>
      </c>
      <c r="P292" s="297">
        <f>IF(C292="","",ROUND(C292*Steuerungsdaten!$B$4*Steuerungsdaten!$B$10*IFERROR(VLOOKUP(IFERROR(INDEX(Aktiv!$C$6:$C$350,MATCH(A292,Aktiv!$A$6:$A$350,0)),""),Steuerungsdaten!$B$17:$I$37,8,FALSE),1)*POWER(IF(OR(IFERROR(INDEX(Aktiv!$E$6:$E$350,MATCH(A292,Aktiv!$A$6:$A$350,0)),0)=0,IFERROR(INDEX(Aktiv!$F$6:$F$350,MATCH(A292,Aktiv!$A$6:$A$350,0)),0)=0),1,(IFERROR(INDEX(Aktiv!$E$6:$E$350,MATCH(A292,Aktiv!$A$6:$A$350,0)),0)*IFERROR(INDEX(Aktiv!$F$6:$F$350,MATCH(A292,Aktiv!$A$6:$A$350,0)),0)/1000000)/Steuerungsdaten!$B$6),1-1),0))</f>
        <v>17</v>
      </c>
      <c r="Q292" s="297">
        <f>IFERROR(INDEX(Aktiv!$J$6:$J$350,MATCH(A292,Aktiv!$A$6:$A$350,0)),"")</f>
        <v>18</v>
      </c>
      <c r="R292" s="298">
        <f t="shared" si="38"/>
        <v>1</v>
      </c>
      <c r="S292" s="296">
        <f t="shared" si="39"/>
        <v>5.8823529411764705E-2</v>
      </c>
    </row>
    <row r="293" spans="1:19" x14ac:dyDescent="0.25">
      <c r="A293" s="292">
        <v>8310</v>
      </c>
      <c r="B293" s="292" t="s">
        <v>326</v>
      </c>
      <c r="C293" s="293">
        <f>IFERROR(INDEX(Aktiv!$O$6:$O$350,MATCH(A293,Aktiv!$A$6:$A$350,0)),"")</f>
        <v>39</v>
      </c>
      <c r="D293" s="293">
        <f>IF(C293="","",ROUND(C293*Steuerungsdaten!$B$4*Steuerungsdaten!$B$7*IFERROR(VLOOKUP(IFERROR(INDEX(Aktiv!$C$6:$C$350,MATCH(A293,Aktiv!$A$6:$A$350,0)),""),Steuerungsdaten!$B$17:$C$37,2,FALSE),1)*POWER(IF(OR(IFERROR(INDEX(Aktiv!$E$6:$E$350,MATCH(A293,Aktiv!$A$6:$A$350,0)),0)=0,IFERROR(INDEX(Aktiv!$F$6:$F$350,MATCH(A293,Aktiv!$A$6:$A$350,0)),0)=0),1,(IFERROR(INDEX(Aktiv!$E$6:$E$350,MATCH(A293,Aktiv!$A$6:$A$350,0)),0)*IFERROR(INDEX(Aktiv!$F$6:$F$350,MATCH(A293,Aktiv!$A$6:$A$350,0)),0)/1000000)/Steuerungsdaten!$B$6),IF(ISNUMBER(MATCH(IFERROR(INDEX(Aktiv!$C$6:$C$350,MATCH(A293,Aktiv!$A$6:$A$350,0)),""),{"Boden","Seite außen","Seite außen SY32","Rücken","Seite innen","Seite innen SY32","Seite innen SY32 DB","Fachboden klein","Fachboden groß","Klappenboden"},0)),1.2,1)-1),0))</f>
        <v>34</v>
      </c>
      <c r="E293" s="293">
        <f>IFERROR(INDEX(Aktiv!$G$6:$G$350,MATCH(A293,Aktiv!$A$6:$A$350,0)),"")</f>
        <v>39</v>
      </c>
      <c r="F293" s="294">
        <f t="shared" si="32"/>
        <v>5</v>
      </c>
      <c r="G293" s="295">
        <f t="shared" si="33"/>
        <v>0.14705882352941177</v>
      </c>
      <c r="H293" s="293">
        <f>IF(C293="","",ROUND(C293*Steuerungsdaten!$B$4*Steuerungsdaten!$B$8*IFERROR(VLOOKUP(IFERROR(INDEX(Aktiv!$C$6:$C$350,MATCH(A293,Aktiv!$A$6:$A$350,0)),""),Steuerungsdaten!$B$17:$E$37,4,FALSE),1)*POWER(IF(OR(IFERROR(INDEX(Aktiv!$E$6:$E$350,MATCH(A293,Aktiv!$A$6:$A$350,0)),0)=0,IFERROR(INDEX(Aktiv!$F$6:$F$350,MATCH(A293,Aktiv!$A$6:$A$350,0)),0)=0),1,(IFERROR(INDEX(Aktiv!$E$6:$E$350,MATCH(A293,Aktiv!$A$6:$A$350,0)),0)*IFERROR(INDEX(Aktiv!$F$6:$F$350,MATCH(A293,Aktiv!$A$6:$A$350,0)),0)/1000000)/Steuerungsdaten!$B$6),1-1),0))</f>
        <v>34</v>
      </c>
      <c r="I293" s="293">
        <f>IFERROR(INDEX(Aktiv!$H$6:$H$350,MATCH(A293,Aktiv!$A$6:$A$350,0)),"")</f>
        <v>39</v>
      </c>
      <c r="J293" s="294">
        <f t="shared" si="34"/>
        <v>5</v>
      </c>
      <c r="K293" s="296">
        <f t="shared" si="35"/>
        <v>0.14705882352941177</v>
      </c>
      <c r="L293" s="297">
        <f>IF(C293="","",ROUND(C293*Steuerungsdaten!$B$4*Steuerungsdaten!$B$9*IFERROR(VLOOKUP(IFERROR(INDEX(Aktiv!$C$6:$C$350,MATCH(A293,Aktiv!$A$6:$A$350,0)),""),Steuerungsdaten!$B$17:$G$37,6,FALSE),1)*POWER(IF(OR(IFERROR(INDEX(Aktiv!$E$6:$E$350,MATCH(A293,Aktiv!$A$6:$A$350,0)),0)=0,IFERROR(INDEX(Aktiv!$F$6:$F$350,MATCH(A293,Aktiv!$A$6:$A$350,0)),0)=0),1,(IFERROR(INDEX(Aktiv!$E$6:$E$350,MATCH(A293,Aktiv!$A$6:$A$350,0)),0)*IFERROR(INDEX(Aktiv!$F$6:$F$350,MATCH(A293,Aktiv!$A$6:$A$350,0)),0)/1000000)/Steuerungsdaten!$B$6),1-1),0))</f>
        <v>34</v>
      </c>
      <c r="M293" s="297">
        <f>IFERROR(INDEX(Aktiv!$I$6:$I$350,MATCH(A293,Aktiv!$A$6:$A$350,0)),"")</f>
        <v>39</v>
      </c>
      <c r="N293" s="298">
        <f t="shared" si="36"/>
        <v>5</v>
      </c>
      <c r="O293" s="296">
        <f t="shared" si="37"/>
        <v>0.14705882352941177</v>
      </c>
      <c r="P293" s="297">
        <f>IF(C293="","",ROUND(C293*Steuerungsdaten!$B$4*Steuerungsdaten!$B$10*IFERROR(VLOOKUP(IFERROR(INDEX(Aktiv!$C$6:$C$350,MATCH(A293,Aktiv!$A$6:$A$350,0)),""),Steuerungsdaten!$B$17:$I$37,8,FALSE),1)*POWER(IF(OR(IFERROR(INDEX(Aktiv!$E$6:$E$350,MATCH(A293,Aktiv!$A$6:$A$350,0)),0)=0,IFERROR(INDEX(Aktiv!$F$6:$F$350,MATCH(A293,Aktiv!$A$6:$A$350,0)),0)=0),1,(IFERROR(INDEX(Aktiv!$E$6:$E$350,MATCH(A293,Aktiv!$A$6:$A$350,0)),0)*IFERROR(INDEX(Aktiv!$F$6:$F$350,MATCH(A293,Aktiv!$A$6:$A$350,0)),0)/1000000)/Steuerungsdaten!$B$6),1-1),0))</f>
        <v>37</v>
      </c>
      <c r="Q293" s="297">
        <f>IFERROR(INDEX(Aktiv!$J$6:$J$350,MATCH(A293,Aktiv!$A$6:$A$350,0)),"")</f>
        <v>39</v>
      </c>
      <c r="R293" s="298">
        <f t="shared" si="38"/>
        <v>2</v>
      </c>
      <c r="S293" s="296">
        <f t="shared" si="39"/>
        <v>5.4054054054054057E-2</v>
      </c>
    </row>
    <row r="294" spans="1:19" x14ac:dyDescent="0.25">
      <c r="A294" s="292">
        <v>8311</v>
      </c>
      <c r="B294" s="292" t="s">
        <v>327</v>
      </c>
      <c r="C294" s="293">
        <f>IFERROR(INDEX(Aktiv!$O$6:$O$350,MATCH(A294,Aktiv!$A$6:$A$350,0)),"")</f>
        <v>44</v>
      </c>
      <c r="D294" s="293">
        <f>IF(C294="","",ROUND(C294*Steuerungsdaten!$B$4*Steuerungsdaten!$B$7*IFERROR(VLOOKUP(IFERROR(INDEX(Aktiv!$C$6:$C$350,MATCH(A294,Aktiv!$A$6:$A$350,0)),""),Steuerungsdaten!$B$17:$C$37,2,FALSE),1)*POWER(IF(OR(IFERROR(INDEX(Aktiv!$E$6:$E$350,MATCH(A294,Aktiv!$A$6:$A$350,0)),0)=0,IFERROR(INDEX(Aktiv!$F$6:$F$350,MATCH(A294,Aktiv!$A$6:$A$350,0)),0)=0),1,(IFERROR(INDEX(Aktiv!$E$6:$E$350,MATCH(A294,Aktiv!$A$6:$A$350,0)),0)*IFERROR(INDEX(Aktiv!$F$6:$F$350,MATCH(A294,Aktiv!$A$6:$A$350,0)),0)/1000000)/Steuerungsdaten!$B$6),IF(ISNUMBER(MATCH(IFERROR(INDEX(Aktiv!$C$6:$C$350,MATCH(A294,Aktiv!$A$6:$A$350,0)),""),{"Boden","Seite außen","Seite außen SY32","Rücken","Seite innen","Seite innen SY32","Seite innen SY32 DB","Fachboden klein","Fachboden groß","Klappenboden"},0)),1.2,1)-1),0))</f>
        <v>39</v>
      </c>
      <c r="E294" s="293">
        <f>IFERROR(INDEX(Aktiv!$G$6:$G$350,MATCH(A294,Aktiv!$A$6:$A$350,0)),"")</f>
        <v>44</v>
      </c>
      <c r="F294" s="294">
        <f t="shared" si="32"/>
        <v>5</v>
      </c>
      <c r="G294" s="295">
        <f t="shared" si="33"/>
        <v>0.12820512820512819</v>
      </c>
      <c r="H294" s="293">
        <f>IF(C294="","",ROUND(C294*Steuerungsdaten!$B$4*Steuerungsdaten!$B$8*IFERROR(VLOOKUP(IFERROR(INDEX(Aktiv!$C$6:$C$350,MATCH(A294,Aktiv!$A$6:$A$350,0)),""),Steuerungsdaten!$B$17:$E$37,4,FALSE),1)*POWER(IF(OR(IFERROR(INDEX(Aktiv!$E$6:$E$350,MATCH(A294,Aktiv!$A$6:$A$350,0)),0)=0,IFERROR(INDEX(Aktiv!$F$6:$F$350,MATCH(A294,Aktiv!$A$6:$A$350,0)),0)=0),1,(IFERROR(INDEX(Aktiv!$E$6:$E$350,MATCH(A294,Aktiv!$A$6:$A$350,0)),0)*IFERROR(INDEX(Aktiv!$F$6:$F$350,MATCH(A294,Aktiv!$A$6:$A$350,0)),0)/1000000)/Steuerungsdaten!$B$6),1-1),0))</f>
        <v>39</v>
      </c>
      <c r="I294" s="293">
        <f>IFERROR(INDEX(Aktiv!$H$6:$H$350,MATCH(A294,Aktiv!$A$6:$A$350,0)),"")</f>
        <v>44</v>
      </c>
      <c r="J294" s="294">
        <f t="shared" si="34"/>
        <v>5</v>
      </c>
      <c r="K294" s="296">
        <f t="shared" si="35"/>
        <v>0.12820512820512819</v>
      </c>
      <c r="L294" s="297">
        <f>IF(C294="","",ROUND(C294*Steuerungsdaten!$B$4*Steuerungsdaten!$B$9*IFERROR(VLOOKUP(IFERROR(INDEX(Aktiv!$C$6:$C$350,MATCH(A294,Aktiv!$A$6:$A$350,0)),""),Steuerungsdaten!$B$17:$G$37,6,FALSE),1)*POWER(IF(OR(IFERROR(INDEX(Aktiv!$E$6:$E$350,MATCH(A294,Aktiv!$A$6:$A$350,0)),0)=0,IFERROR(INDEX(Aktiv!$F$6:$F$350,MATCH(A294,Aktiv!$A$6:$A$350,0)),0)=0),1,(IFERROR(INDEX(Aktiv!$E$6:$E$350,MATCH(A294,Aktiv!$A$6:$A$350,0)),0)*IFERROR(INDEX(Aktiv!$F$6:$F$350,MATCH(A294,Aktiv!$A$6:$A$350,0)),0)/1000000)/Steuerungsdaten!$B$6),1-1),0))</f>
        <v>39</v>
      </c>
      <c r="M294" s="297">
        <f>IFERROR(INDEX(Aktiv!$I$6:$I$350,MATCH(A294,Aktiv!$A$6:$A$350,0)),"")</f>
        <v>44</v>
      </c>
      <c r="N294" s="298">
        <f t="shared" si="36"/>
        <v>5</v>
      </c>
      <c r="O294" s="296">
        <f t="shared" si="37"/>
        <v>0.12820512820512819</v>
      </c>
      <c r="P294" s="297">
        <f>IF(C294="","",ROUND(C294*Steuerungsdaten!$B$4*Steuerungsdaten!$B$10*IFERROR(VLOOKUP(IFERROR(INDEX(Aktiv!$C$6:$C$350,MATCH(A294,Aktiv!$A$6:$A$350,0)),""),Steuerungsdaten!$B$17:$I$37,8,FALSE),1)*POWER(IF(OR(IFERROR(INDEX(Aktiv!$E$6:$E$350,MATCH(A294,Aktiv!$A$6:$A$350,0)),0)=0,IFERROR(INDEX(Aktiv!$F$6:$F$350,MATCH(A294,Aktiv!$A$6:$A$350,0)),0)=0),1,(IFERROR(INDEX(Aktiv!$E$6:$E$350,MATCH(A294,Aktiv!$A$6:$A$350,0)),0)*IFERROR(INDEX(Aktiv!$F$6:$F$350,MATCH(A294,Aktiv!$A$6:$A$350,0)),0)/1000000)/Steuerungsdaten!$B$6),1-1),0))</f>
        <v>42</v>
      </c>
      <c r="Q294" s="297">
        <f>IFERROR(INDEX(Aktiv!$J$6:$J$350,MATCH(A294,Aktiv!$A$6:$A$350,0)),"")</f>
        <v>44</v>
      </c>
      <c r="R294" s="298">
        <f t="shared" si="38"/>
        <v>2</v>
      </c>
      <c r="S294" s="296">
        <f t="shared" si="39"/>
        <v>4.7619047619047616E-2</v>
      </c>
    </row>
    <row r="295" spans="1:19" x14ac:dyDescent="0.25">
      <c r="A295" s="292">
        <v>8312</v>
      </c>
      <c r="B295" s="292" t="s">
        <v>328</v>
      </c>
      <c r="C295" s="293">
        <f>IFERROR(INDEX(Aktiv!$O$6:$O$350,MATCH(A295,Aktiv!$A$6:$A$350,0)),"")</f>
        <v>38</v>
      </c>
      <c r="D295" s="293">
        <f>IF(C295="","",ROUND(C295*Steuerungsdaten!$B$4*Steuerungsdaten!$B$7*IFERROR(VLOOKUP(IFERROR(INDEX(Aktiv!$C$6:$C$350,MATCH(A295,Aktiv!$A$6:$A$350,0)),""),Steuerungsdaten!$B$17:$C$37,2,FALSE),1)*POWER(IF(OR(IFERROR(INDEX(Aktiv!$E$6:$E$350,MATCH(A295,Aktiv!$A$6:$A$350,0)),0)=0,IFERROR(INDEX(Aktiv!$F$6:$F$350,MATCH(A295,Aktiv!$A$6:$A$350,0)),0)=0),1,(IFERROR(INDEX(Aktiv!$E$6:$E$350,MATCH(A295,Aktiv!$A$6:$A$350,0)),0)*IFERROR(INDEX(Aktiv!$F$6:$F$350,MATCH(A295,Aktiv!$A$6:$A$350,0)),0)/1000000)/Steuerungsdaten!$B$6),IF(ISNUMBER(MATCH(IFERROR(INDEX(Aktiv!$C$6:$C$350,MATCH(A295,Aktiv!$A$6:$A$350,0)),""),{"Boden","Seite außen","Seite außen SY32","Rücken","Seite innen","Seite innen SY32","Seite innen SY32 DB","Fachboden klein","Fachboden groß","Klappenboden"},0)),1.2,1)-1),0))</f>
        <v>33</v>
      </c>
      <c r="E295" s="293">
        <f>IFERROR(INDEX(Aktiv!$G$6:$G$350,MATCH(A295,Aktiv!$A$6:$A$350,0)),"")</f>
        <v>38</v>
      </c>
      <c r="F295" s="294">
        <f t="shared" si="32"/>
        <v>5</v>
      </c>
      <c r="G295" s="295">
        <f t="shared" si="33"/>
        <v>0.15151515151515152</v>
      </c>
      <c r="H295" s="293">
        <f>IF(C295="","",ROUND(C295*Steuerungsdaten!$B$4*Steuerungsdaten!$B$8*IFERROR(VLOOKUP(IFERROR(INDEX(Aktiv!$C$6:$C$350,MATCH(A295,Aktiv!$A$6:$A$350,0)),""),Steuerungsdaten!$B$17:$E$37,4,FALSE),1)*POWER(IF(OR(IFERROR(INDEX(Aktiv!$E$6:$E$350,MATCH(A295,Aktiv!$A$6:$A$350,0)),0)=0,IFERROR(INDEX(Aktiv!$F$6:$F$350,MATCH(A295,Aktiv!$A$6:$A$350,0)),0)=0),1,(IFERROR(INDEX(Aktiv!$E$6:$E$350,MATCH(A295,Aktiv!$A$6:$A$350,0)),0)*IFERROR(INDEX(Aktiv!$F$6:$F$350,MATCH(A295,Aktiv!$A$6:$A$350,0)),0)/1000000)/Steuerungsdaten!$B$6),1-1),0))</f>
        <v>33</v>
      </c>
      <c r="I295" s="293">
        <f>IFERROR(INDEX(Aktiv!$H$6:$H$350,MATCH(A295,Aktiv!$A$6:$A$350,0)),"")</f>
        <v>38</v>
      </c>
      <c r="J295" s="294">
        <f t="shared" si="34"/>
        <v>5</v>
      </c>
      <c r="K295" s="296">
        <f t="shared" si="35"/>
        <v>0.15151515151515152</v>
      </c>
      <c r="L295" s="297">
        <f>IF(C295="","",ROUND(C295*Steuerungsdaten!$B$4*Steuerungsdaten!$B$9*IFERROR(VLOOKUP(IFERROR(INDEX(Aktiv!$C$6:$C$350,MATCH(A295,Aktiv!$A$6:$A$350,0)),""),Steuerungsdaten!$B$17:$G$37,6,FALSE),1)*POWER(IF(OR(IFERROR(INDEX(Aktiv!$E$6:$E$350,MATCH(A295,Aktiv!$A$6:$A$350,0)),0)=0,IFERROR(INDEX(Aktiv!$F$6:$F$350,MATCH(A295,Aktiv!$A$6:$A$350,0)),0)=0),1,(IFERROR(INDEX(Aktiv!$E$6:$E$350,MATCH(A295,Aktiv!$A$6:$A$350,0)),0)*IFERROR(INDEX(Aktiv!$F$6:$F$350,MATCH(A295,Aktiv!$A$6:$A$350,0)),0)/1000000)/Steuerungsdaten!$B$6),1-1),0))</f>
        <v>33</v>
      </c>
      <c r="M295" s="297">
        <f>IFERROR(INDEX(Aktiv!$I$6:$I$350,MATCH(A295,Aktiv!$A$6:$A$350,0)),"")</f>
        <v>38</v>
      </c>
      <c r="N295" s="298">
        <f t="shared" si="36"/>
        <v>5</v>
      </c>
      <c r="O295" s="296">
        <f t="shared" si="37"/>
        <v>0.15151515151515152</v>
      </c>
      <c r="P295" s="297">
        <f>IF(C295="","",ROUND(C295*Steuerungsdaten!$B$4*Steuerungsdaten!$B$10*IFERROR(VLOOKUP(IFERROR(INDEX(Aktiv!$C$6:$C$350,MATCH(A295,Aktiv!$A$6:$A$350,0)),""),Steuerungsdaten!$B$17:$I$37,8,FALSE),1)*POWER(IF(OR(IFERROR(INDEX(Aktiv!$E$6:$E$350,MATCH(A295,Aktiv!$A$6:$A$350,0)),0)=0,IFERROR(INDEX(Aktiv!$F$6:$F$350,MATCH(A295,Aktiv!$A$6:$A$350,0)),0)=0),1,(IFERROR(INDEX(Aktiv!$E$6:$E$350,MATCH(A295,Aktiv!$A$6:$A$350,0)),0)*IFERROR(INDEX(Aktiv!$F$6:$F$350,MATCH(A295,Aktiv!$A$6:$A$350,0)),0)/1000000)/Steuerungsdaten!$B$6),1-1),0))</f>
        <v>36</v>
      </c>
      <c r="Q295" s="297">
        <f>IFERROR(INDEX(Aktiv!$J$6:$J$350,MATCH(A295,Aktiv!$A$6:$A$350,0)),"")</f>
        <v>38</v>
      </c>
      <c r="R295" s="298">
        <f t="shared" si="38"/>
        <v>2</v>
      </c>
      <c r="S295" s="296">
        <f t="shared" si="39"/>
        <v>5.5555555555555552E-2</v>
      </c>
    </row>
    <row r="296" spans="1:19" x14ac:dyDescent="0.25">
      <c r="A296" s="292">
        <v>8313</v>
      </c>
      <c r="B296" s="292" t="s">
        <v>329</v>
      </c>
      <c r="C296" s="293">
        <f>IFERROR(INDEX(Aktiv!$O$6:$O$350,MATCH(A296,Aktiv!$A$6:$A$350,0)),"")</f>
        <v>19</v>
      </c>
      <c r="D296" s="293">
        <f>IF(C296="","",ROUND(C296*Steuerungsdaten!$B$4*Steuerungsdaten!$B$7*IFERROR(VLOOKUP(IFERROR(INDEX(Aktiv!$C$6:$C$350,MATCH(A296,Aktiv!$A$6:$A$350,0)),""),Steuerungsdaten!$B$17:$C$37,2,FALSE),1)*POWER(IF(OR(IFERROR(INDEX(Aktiv!$E$6:$E$350,MATCH(A296,Aktiv!$A$6:$A$350,0)),0)=0,IFERROR(INDEX(Aktiv!$F$6:$F$350,MATCH(A296,Aktiv!$A$6:$A$350,0)),0)=0),1,(IFERROR(INDEX(Aktiv!$E$6:$E$350,MATCH(A296,Aktiv!$A$6:$A$350,0)),0)*IFERROR(INDEX(Aktiv!$F$6:$F$350,MATCH(A296,Aktiv!$A$6:$A$350,0)),0)/1000000)/Steuerungsdaten!$B$6),IF(ISNUMBER(MATCH(IFERROR(INDEX(Aktiv!$C$6:$C$350,MATCH(A296,Aktiv!$A$6:$A$350,0)),""),{"Boden","Seite außen","Seite außen SY32","Rücken","Seite innen","Seite innen SY32","Seite innen SY32 DB","Fachboden klein","Fachboden groß","Klappenboden"},0)),1.2,1)-1),0))</f>
        <v>17</v>
      </c>
      <c r="E296" s="293">
        <f>IFERROR(INDEX(Aktiv!$G$6:$G$350,MATCH(A296,Aktiv!$A$6:$A$350,0)),"")</f>
        <v>19</v>
      </c>
      <c r="F296" s="294">
        <f t="shared" si="32"/>
        <v>2</v>
      </c>
      <c r="G296" s="295">
        <f t="shared" si="33"/>
        <v>0.11764705882352941</v>
      </c>
      <c r="H296" s="293">
        <f>IF(C296="","",ROUND(C296*Steuerungsdaten!$B$4*Steuerungsdaten!$B$8*IFERROR(VLOOKUP(IFERROR(INDEX(Aktiv!$C$6:$C$350,MATCH(A296,Aktiv!$A$6:$A$350,0)),""),Steuerungsdaten!$B$17:$E$37,4,FALSE),1)*POWER(IF(OR(IFERROR(INDEX(Aktiv!$E$6:$E$350,MATCH(A296,Aktiv!$A$6:$A$350,0)),0)=0,IFERROR(INDEX(Aktiv!$F$6:$F$350,MATCH(A296,Aktiv!$A$6:$A$350,0)),0)=0),1,(IFERROR(INDEX(Aktiv!$E$6:$E$350,MATCH(A296,Aktiv!$A$6:$A$350,0)),0)*IFERROR(INDEX(Aktiv!$F$6:$F$350,MATCH(A296,Aktiv!$A$6:$A$350,0)),0)/1000000)/Steuerungsdaten!$B$6),1-1),0))</f>
        <v>17</v>
      </c>
      <c r="I296" s="293">
        <f>IFERROR(INDEX(Aktiv!$H$6:$H$350,MATCH(A296,Aktiv!$A$6:$A$350,0)),"")</f>
        <v>19</v>
      </c>
      <c r="J296" s="294">
        <f t="shared" si="34"/>
        <v>2</v>
      </c>
      <c r="K296" s="296">
        <f t="shared" si="35"/>
        <v>0.11764705882352941</v>
      </c>
      <c r="L296" s="297">
        <f>IF(C296="","",ROUND(C296*Steuerungsdaten!$B$4*Steuerungsdaten!$B$9*IFERROR(VLOOKUP(IFERROR(INDEX(Aktiv!$C$6:$C$350,MATCH(A296,Aktiv!$A$6:$A$350,0)),""),Steuerungsdaten!$B$17:$G$37,6,FALSE),1)*POWER(IF(OR(IFERROR(INDEX(Aktiv!$E$6:$E$350,MATCH(A296,Aktiv!$A$6:$A$350,0)),0)=0,IFERROR(INDEX(Aktiv!$F$6:$F$350,MATCH(A296,Aktiv!$A$6:$A$350,0)),0)=0),1,(IFERROR(INDEX(Aktiv!$E$6:$E$350,MATCH(A296,Aktiv!$A$6:$A$350,0)),0)*IFERROR(INDEX(Aktiv!$F$6:$F$350,MATCH(A296,Aktiv!$A$6:$A$350,0)),0)/1000000)/Steuerungsdaten!$B$6),1-1),0))</f>
        <v>17</v>
      </c>
      <c r="M296" s="297">
        <f>IFERROR(INDEX(Aktiv!$I$6:$I$350,MATCH(A296,Aktiv!$A$6:$A$350,0)),"")</f>
        <v>19</v>
      </c>
      <c r="N296" s="298">
        <f t="shared" si="36"/>
        <v>2</v>
      </c>
      <c r="O296" s="296">
        <f t="shared" si="37"/>
        <v>0.11764705882352941</v>
      </c>
      <c r="P296" s="297">
        <f>IF(C296="","",ROUND(C296*Steuerungsdaten!$B$4*Steuerungsdaten!$B$10*IFERROR(VLOOKUP(IFERROR(INDEX(Aktiv!$C$6:$C$350,MATCH(A296,Aktiv!$A$6:$A$350,0)),""),Steuerungsdaten!$B$17:$I$37,8,FALSE),1)*POWER(IF(OR(IFERROR(INDEX(Aktiv!$E$6:$E$350,MATCH(A296,Aktiv!$A$6:$A$350,0)),0)=0,IFERROR(INDEX(Aktiv!$F$6:$F$350,MATCH(A296,Aktiv!$A$6:$A$350,0)),0)=0),1,(IFERROR(INDEX(Aktiv!$E$6:$E$350,MATCH(A296,Aktiv!$A$6:$A$350,0)),0)*IFERROR(INDEX(Aktiv!$F$6:$F$350,MATCH(A296,Aktiv!$A$6:$A$350,0)),0)/1000000)/Steuerungsdaten!$B$6),1-1),0))</f>
        <v>18</v>
      </c>
      <c r="Q296" s="297">
        <f>IFERROR(INDEX(Aktiv!$J$6:$J$350,MATCH(A296,Aktiv!$A$6:$A$350,0)),"")</f>
        <v>19</v>
      </c>
      <c r="R296" s="298">
        <f t="shared" si="38"/>
        <v>1</v>
      </c>
      <c r="S296" s="296">
        <f t="shared" si="39"/>
        <v>5.5555555555555552E-2</v>
      </c>
    </row>
    <row r="297" spans="1:19" x14ac:dyDescent="0.25">
      <c r="A297" s="292">
        <v>8314</v>
      </c>
      <c r="B297" s="292" t="s">
        <v>330</v>
      </c>
      <c r="C297" s="293">
        <f>IFERROR(INDEX(Aktiv!$O$6:$O$350,MATCH(A297,Aktiv!$A$6:$A$350,0)),"")</f>
        <v>22</v>
      </c>
      <c r="D297" s="293">
        <f>IF(C297="","",ROUND(C297*Steuerungsdaten!$B$4*Steuerungsdaten!$B$7*IFERROR(VLOOKUP(IFERROR(INDEX(Aktiv!$C$6:$C$350,MATCH(A297,Aktiv!$A$6:$A$350,0)),""),Steuerungsdaten!$B$17:$C$37,2,FALSE),1)*POWER(IF(OR(IFERROR(INDEX(Aktiv!$E$6:$E$350,MATCH(A297,Aktiv!$A$6:$A$350,0)),0)=0,IFERROR(INDEX(Aktiv!$F$6:$F$350,MATCH(A297,Aktiv!$A$6:$A$350,0)),0)=0),1,(IFERROR(INDEX(Aktiv!$E$6:$E$350,MATCH(A297,Aktiv!$A$6:$A$350,0)),0)*IFERROR(INDEX(Aktiv!$F$6:$F$350,MATCH(A297,Aktiv!$A$6:$A$350,0)),0)/1000000)/Steuerungsdaten!$B$6),IF(ISNUMBER(MATCH(IFERROR(INDEX(Aktiv!$C$6:$C$350,MATCH(A297,Aktiv!$A$6:$A$350,0)),""),{"Boden","Seite außen","Seite außen SY32","Rücken","Seite innen","Seite innen SY32","Seite innen SY32 DB","Fachboden klein","Fachboden groß","Klappenboden"},0)),1.2,1)-1),0))</f>
        <v>19</v>
      </c>
      <c r="E297" s="293">
        <f>IFERROR(INDEX(Aktiv!$G$6:$G$350,MATCH(A297,Aktiv!$A$6:$A$350,0)),"")</f>
        <v>22</v>
      </c>
      <c r="F297" s="294">
        <f t="shared" si="32"/>
        <v>3</v>
      </c>
      <c r="G297" s="295">
        <f t="shared" si="33"/>
        <v>0.15789473684210525</v>
      </c>
      <c r="H297" s="293">
        <f>IF(C297="","",ROUND(C297*Steuerungsdaten!$B$4*Steuerungsdaten!$B$8*IFERROR(VLOOKUP(IFERROR(INDEX(Aktiv!$C$6:$C$350,MATCH(A297,Aktiv!$A$6:$A$350,0)),""),Steuerungsdaten!$B$17:$E$37,4,FALSE),1)*POWER(IF(OR(IFERROR(INDEX(Aktiv!$E$6:$E$350,MATCH(A297,Aktiv!$A$6:$A$350,0)),0)=0,IFERROR(INDEX(Aktiv!$F$6:$F$350,MATCH(A297,Aktiv!$A$6:$A$350,0)),0)=0),1,(IFERROR(INDEX(Aktiv!$E$6:$E$350,MATCH(A297,Aktiv!$A$6:$A$350,0)),0)*IFERROR(INDEX(Aktiv!$F$6:$F$350,MATCH(A297,Aktiv!$A$6:$A$350,0)),0)/1000000)/Steuerungsdaten!$B$6),1-1),0))</f>
        <v>19</v>
      </c>
      <c r="I297" s="293">
        <f>IFERROR(INDEX(Aktiv!$H$6:$H$350,MATCH(A297,Aktiv!$A$6:$A$350,0)),"")</f>
        <v>22</v>
      </c>
      <c r="J297" s="294">
        <f t="shared" si="34"/>
        <v>3</v>
      </c>
      <c r="K297" s="296">
        <f t="shared" si="35"/>
        <v>0.15789473684210525</v>
      </c>
      <c r="L297" s="297">
        <f>IF(C297="","",ROUND(C297*Steuerungsdaten!$B$4*Steuerungsdaten!$B$9*IFERROR(VLOOKUP(IFERROR(INDEX(Aktiv!$C$6:$C$350,MATCH(A297,Aktiv!$A$6:$A$350,0)),""),Steuerungsdaten!$B$17:$G$37,6,FALSE),1)*POWER(IF(OR(IFERROR(INDEX(Aktiv!$E$6:$E$350,MATCH(A297,Aktiv!$A$6:$A$350,0)),0)=0,IFERROR(INDEX(Aktiv!$F$6:$F$350,MATCH(A297,Aktiv!$A$6:$A$350,0)),0)=0),1,(IFERROR(INDEX(Aktiv!$E$6:$E$350,MATCH(A297,Aktiv!$A$6:$A$350,0)),0)*IFERROR(INDEX(Aktiv!$F$6:$F$350,MATCH(A297,Aktiv!$A$6:$A$350,0)),0)/1000000)/Steuerungsdaten!$B$6),1-1),0))</f>
        <v>19</v>
      </c>
      <c r="M297" s="297">
        <f>IFERROR(INDEX(Aktiv!$I$6:$I$350,MATCH(A297,Aktiv!$A$6:$A$350,0)),"")</f>
        <v>22</v>
      </c>
      <c r="N297" s="298">
        <f t="shared" si="36"/>
        <v>3</v>
      </c>
      <c r="O297" s="296">
        <f t="shared" si="37"/>
        <v>0.15789473684210525</v>
      </c>
      <c r="P297" s="297">
        <f>IF(C297="","",ROUND(C297*Steuerungsdaten!$B$4*Steuerungsdaten!$B$10*IFERROR(VLOOKUP(IFERROR(INDEX(Aktiv!$C$6:$C$350,MATCH(A297,Aktiv!$A$6:$A$350,0)),""),Steuerungsdaten!$B$17:$I$37,8,FALSE),1)*POWER(IF(OR(IFERROR(INDEX(Aktiv!$E$6:$E$350,MATCH(A297,Aktiv!$A$6:$A$350,0)),0)=0,IFERROR(INDEX(Aktiv!$F$6:$F$350,MATCH(A297,Aktiv!$A$6:$A$350,0)),0)=0),1,(IFERROR(INDEX(Aktiv!$E$6:$E$350,MATCH(A297,Aktiv!$A$6:$A$350,0)),0)*IFERROR(INDEX(Aktiv!$F$6:$F$350,MATCH(A297,Aktiv!$A$6:$A$350,0)),0)/1000000)/Steuerungsdaten!$B$6),1-1),0))</f>
        <v>21</v>
      </c>
      <c r="Q297" s="297">
        <f>IFERROR(INDEX(Aktiv!$J$6:$J$350,MATCH(A297,Aktiv!$A$6:$A$350,0)),"")</f>
        <v>22</v>
      </c>
      <c r="R297" s="298">
        <f t="shared" si="38"/>
        <v>1</v>
      </c>
      <c r="S297" s="296">
        <f t="shared" si="39"/>
        <v>4.7619047619047616E-2</v>
      </c>
    </row>
    <row r="298" spans="1:19" x14ac:dyDescent="0.25">
      <c r="A298" s="292">
        <v>8315</v>
      </c>
      <c r="B298" s="292" t="s">
        <v>331</v>
      </c>
      <c r="C298" s="293">
        <f>IFERROR(INDEX(Aktiv!$O$6:$O$350,MATCH(A298,Aktiv!$A$6:$A$350,0)),"")</f>
        <v>29</v>
      </c>
      <c r="D298" s="293">
        <f>IF(C298="","",ROUND(C298*Steuerungsdaten!$B$4*Steuerungsdaten!$B$7*IFERROR(VLOOKUP(IFERROR(INDEX(Aktiv!$C$6:$C$350,MATCH(A298,Aktiv!$A$6:$A$350,0)),""),Steuerungsdaten!$B$17:$C$37,2,FALSE),1)*POWER(IF(OR(IFERROR(INDEX(Aktiv!$E$6:$E$350,MATCH(A298,Aktiv!$A$6:$A$350,0)),0)=0,IFERROR(INDEX(Aktiv!$F$6:$F$350,MATCH(A298,Aktiv!$A$6:$A$350,0)),0)=0),1,(IFERROR(INDEX(Aktiv!$E$6:$E$350,MATCH(A298,Aktiv!$A$6:$A$350,0)),0)*IFERROR(INDEX(Aktiv!$F$6:$F$350,MATCH(A298,Aktiv!$A$6:$A$350,0)),0)/1000000)/Steuerungsdaten!$B$6),IF(ISNUMBER(MATCH(IFERROR(INDEX(Aktiv!$C$6:$C$350,MATCH(A298,Aktiv!$A$6:$A$350,0)),""),{"Boden","Seite außen","Seite außen SY32","Rücken","Seite innen","Seite innen SY32","Seite innen SY32 DB","Fachboden klein","Fachboden groß","Klappenboden"},0)),1.2,1)-1),0))</f>
        <v>26</v>
      </c>
      <c r="E298" s="293">
        <f>IFERROR(INDEX(Aktiv!$G$6:$G$350,MATCH(A298,Aktiv!$A$6:$A$350,0)),"")</f>
        <v>29</v>
      </c>
      <c r="F298" s="294">
        <f t="shared" si="32"/>
        <v>3</v>
      </c>
      <c r="G298" s="295">
        <f t="shared" si="33"/>
        <v>0.11538461538461539</v>
      </c>
      <c r="H298" s="293">
        <f>IF(C298="","",ROUND(C298*Steuerungsdaten!$B$4*Steuerungsdaten!$B$8*IFERROR(VLOOKUP(IFERROR(INDEX(Aktiv!$C$6:$C$350,MATCH(A298,Aktiv!$A$6:$A$350,0)),""),Steuerungsdaten!$B$17:$E$37,4,FALSE),1)*POWER(IF(OR(IFERROR(INDEX(Aktiv!$E$6:$E$350,MATCH(A298,Aktiv!$A$6:$A$350,0)),0)=0,IFERROR(INDEX(Aktiv!$F$6:$F$350,MATCH(A298,Aktiv!$A$6:$A$350,0)),0)=0),1,(IFERROR(INDEX(Aktiv!$E$6:$E$350,MATCH(A298,Aktiv!$A$6:$A$350,0)),0)*IFERROR(INDEX(Aktiv!$F$6:$F$350,MATCH(A298,Aktiv!$A$6:$A$350,0)),0)/1000000)/Steuerungsdaten!$B$6),1-1),0))</f>
        <v>26</v>
      </c>
      <c r="I298" s="293">
        <f>IFERROR(INDEX(Aktiv!$H$6:$H$350,MATCH(A298,Aktiv!$A$6:$A$350,0)),"")</f>
        <v>29</v>
      </c>
      <c r="J298" s="294">
        <f t="shared" si="34"/>
        <v>3</v>
      </c>
      <c r="K298" s="296">
        <f t="shared" si="35"/>
        <v>0.11538461538461539</v>
      </c>
      <c r="L298" s="297">
        <f>IF(C298="","",ROUND(C298*Steuerungsdaten!$B$4*Steuerungsdaten!$B$9*IFERROR(VLOOKUP(IFERROR(INDEX(Aktiv!$C$6:$C$350,MATCH(A298,Aktiv!$A$6:$A$350,0)),""),Steuerungsdaten!$B$17:$G$37,6,FALSE),1)*POWER(IF(OR(IFERROR(INDEX(Aktiv!$E$6:$E$350,MATCH(A298,Aktiv!$A$6:$A$350,0)),0)=0,IFERROR(INDEX(Aktiv!$F$6:$F$350,MATCH(A298,Aktiv!$A$6:$A$350,0)),0)=0),1,(IFERROR(INDEX(Aktiv!$E$6:$E$350,MATCH(A298,Aktiv!$A$6:$A$350,0)),0)*IFERROR(INDEX(Aktiv!$F$6:$F$350,MATCH(A298,Aktiv!$A$6:$A$350,0)),0)/1000000)/Steuerungsdaten!$B$6),1-1),0))</f>
        <v>26</v>
      </c>
      <c r="M298" s="297">
        <f>IFERROR(INDEX(Aktiv!$I$6:$I$350,MATCH(A298,Aktiv!$A$6:$A$350,0)),"")</f>
        <v>29</v>
      </c>
      <c r="N298" s="298">
        <f t="shared" si="36"/>
        <v>3</v>
      </c>
      <c r="O298" s="296">
        <f t="shared" si="37"/>
        <v>0.11538461538461539</v>
      </c>
      <c r="P298" s="297">
        <f>IF(C298="","",ROUND(C298*Steuerungsdaten!$B$4*Steuerungsdaten!$B$10*IFERROR(VLOOKUP(IFERROR(INDEX(Aktiv!$C$6:$C$350,MATCH(A298,Aktiv!$A$6:$A$350,0)),""),Steuerungsdaten!$B$17:$I$37,8,FALSE),1)*POWER(IF(OR(IFERROR(INDEX(Aktiv!$E$6:$E$350,MATCH(A298,Aktiv!$A$6:$A$350,0)),0)=0,IFERROR(INDEX(Aktiv!$F$6:$F$350,MATCH(A298,Aktiv!$A$6:$A$350,0)),0)=0),1,(IFERROR(INDEX(Aktiv!$E$6:$E$350,MATCH(A298,Aktiv!$A$6:$A$350,0)),0)*IFERROR(INDEX(Aktiv!$F$6:$F$350,MATCH(A298,Aktiv!$A$6:$A$350,0)),0)/1000000)/Steuerungsdaten!$B$6),1-1),0))</f>
        <v>28</v>
      </c>
      <c r="Q298" s="297">
        <f>IFERROR(INDEX(Aktiv!$J$6:$J$350,MATCH(A298,Aktiv!$A$6:$A$350,0)),"")</f>
        <v>29</v>
      </c>
      <c r="R298" s="298">
        <f t="shared" si="38"/>
        <v>1</v>
      </c>
      <c r="S298" s="296">
        <f t="shared" si="39"/>
        <v>3.5714285714285712E-2</v>
      </c>
    </row>
    <row r="299" spans="1:19" x14ac:dyDescent="0.25">
      <c r="A299" s="292">
        <v>8503</v>
      </c>
      <c r="B299" s="292" t="s">
        <v>332</v>
      </c>
      <c r="C299" s="293">
        <f>IFERROR(INDEX(Aktiv!$O$6:$O$350,MATCH(A299,Aktiv!$A$6:$A$350,0)),"")</f>
        <v>262</v>
      </c>
      <c r="D299" s="293">
        <f>IF(C299="","",ROUND(C299*Steuerungsdaten!$B$4*Steuerungsdaten!$B$7*IFERROR(VLOOKUP(IFERROR(INDEX(Aktiv!$C$6:$C$350,MATCH(A299,Aktiv!$A$6:$A$350,0)),""),Steuerungsdaten!$B$17:$C$37,2,FALSE),1)*POWER(IF(OR(IFERROR(INDEX(Aktiv!$E$6:$E$350,MATCH(A299,Aktiv!$A$6:$A$350,0)),0)=0,IFERROR(INDEX(Aktiv!$F$6:$F$350,MATCH(A299,Aktiv!$A$6:$A$350,0)),0)=0),1,(IFERROR(INDEX(Aktiv!$E$6:$E$350,MATCH(A299,Aktiv!$A$6:$A$350,0)),0)*IFERROR(INDEX(Aktiv!$F$6:$F$350,MATCH(A299,Aktiv!$A$6:$A$350,0)),0)/1000000)/Steuerungsdaten!$B$6),IF(ISNUMBER(MATCH(IFERROR(INDEX(Aktiv!$C$6:$C$350,MATCH(A299,Aktiv!$A$6:$A$350,0)),""),{"Boden","Seite außen","Seite außen SY32","Rücken","Seite innen","Seite innen SY32","Seite innen SY32 DB","Fachboden klein","Fachboden groß","Klappenboden"},0)),1.2,1)-1),0))</f>
        <v>288</v>
      </c>
      <c r="E299" s="293">
        <f>IFERROR(INDEX(Aktiv!$G$6:$G$350,MATCH(A299,Aktiv!$A$6:$A$350,0)),"")</f>
        <v>262</v>
      </c>
      <c r="F299" s="294">
        <f t="shared" si="32"/>
        <v>-26</v>
      </c>
      <c r="G299" s="295">
        <f t="shared" si="33"/>
        <v>-9.0277777777777776E-2</v>
      </c>
      <c r="H299" s="293">
        <f>IF(C299="","",ROUND(C299*Steuerungsdaten!$B$4*Steuerungsdaten!$B$8*IFERROR(VLOOKUP(IFERROR(INDEX(Aktiv!$C$6:$C$350,MATCH(A299,Aktiv!$A$6:$A$350,0)),""),Steuerungsdaten!$B$17:$E$37,4,FALSE),1)*POWER(IF(OR(IFERROR(INDEX(Aktiv!$E$6:$E$350,MATCH(A299,Aktiv!$A$6:$A$350,0)),0)=0,IFERROR(INDEX(Aktiv!$F$6:$F$350,MATCH(A299,Aktiv!$A$6:$A$350,0)),0)=0),1,(IFERROR(INDEX(Aktiv!$E$6:$E$350,MATCH(A299,Aktiv!$A$6:$A$350,0)),0)*IFERROR(INDEX(Aktiv!$F$6:$F$350,MATCH(A299,Aktiv!$A$6:$A$350,0)),0)/1000000)/Steuerungsdaten!$B$6),1-1),0))</f>
        <v>288</v>
      </c>
      <c r="I299" s="293">
        <f>IFERROR(INDEX(Aktiv!$H$6:$H$350,MATCH(A299,Aktiv!$A$6:$A$350,0)),"")</f>
        <v>262</v>
      </c>
      <c r="J299" s="294">
        <f t="shared" si="34"/>
        <v>-26</v>
      </c>
      <c r="K299" s="296">
        <f t="shared" si="35"/>
        <v>-9.0277777777777776E-2</v>
      </c>
      <c r="L299" s="297">
        <f>IF(C299="","",ROUND(C299*Steuerungsdaten!$B$4*Steuerungsdaten!$B$9*IFERROR(VLOOKUP(IFERROR(INDEX(Aktiv!$C$6:$C$350,MATCH(A299,Aktiv!$A$6:$A$350,0)),""),Steuerungsdaten!$B$17:$G$37,6,FALSE),1)*POWER(IF(OR(IFERROR(INDEX(Aktiv!$E$6:$E$350,MATCH(A299,Aktiv!$A$6:$A$350,0)),0)=0,IFERROR(INDEX(Aktiv!$F$6:$F$350,MATCH(A299,Aktiv!$A$6:$A$350,0)),0)=0),1,(IFERROR(INDEX(Aktiv!$E$6:$E$350,MATCH(A299,Aktiv!$A$6:$A$350,0)),0)*IFERROR(INDEX(Aktiv!$F$6:$F$350,MATCH(A299,Aktiv!$A$6:$A$350,0)),0)/1000000)/Steuerungsdaten!$B$6),1-1),0))</f>
        <v>288</v>
      </c>
      <c r="M299" s="297">
        <f>IFERROR(INDEX(Aktiv!$I$6:$I$350,MATCH(A299,Aktiv!$A$6:$A$350,0)),"")</f>
        <v>262</v>
      </c>
      <c r="N299" s="298">
        <f t="shared" si="36"/>
        <v>-26</v>
      </c>
      <c r="O299" s="296">
        <f t="shared" si="37"/>
        <v>-9.0277777777777776E-2</v>
      </c>
      <c r="P299" s="297">
        <f>IF(C299="","",ROUND(C299*Steuerungsdaten!$B$4*Steuerungsdaten!$B$10*IFERROR(VLOOKUP(IFERROR(INDEX(Aktiv!$C$6:$C$350,MATCH(A299,Aktiv!$A$6:$A$350,0)),""),Steuerungsdaten!$B$17:$I$37,8,FALSE),1)*POWER(IF(OR(IFERROR(INDEX(Aktiv!$E$6:$E$350,MATCH(A299,Aktiv!$A$6:$A$350,0)),0)=0,IFERROR(INDEX(Aktiv!$F$6:$F$350,MATCH(A299,Aktiv!$A$6:$A$350,0)),0)=0),1,(IFERROR(INDEX(Aktiv!$E$6:$E$350,MATCH(A299,Aktiv!$A$6:$A$350,0)),0)*IFERROR(INDEX(Aktiv!$F$6:$F$350,MATCH(A299,Aktiv!$A$6:$A$350,0)),0)/1000000)/Steuerungsdaten!$B$6),1-1),0))</f>
        <v>314</v>
      </c>
      <c r="Q299" s="297">
        <f>IFERROR(INDEX(Aktiv!$J$6:$J$350,MATCH(A299,Aktiv!$A$6:$A$350,0)),"")</f>
        <v>262</v>
      </c>
      <c r="R299" s="298">
        <f t="shared" si="38"/>
        <v>-52</v>
      </c>
      <c r="S299" s="296">
        <f t="shared" si="39"/>
        <v>-0.16560509554140126</v>
      </c>
    </row>
    <row r="300" spans="1:19" x14ac:dyDescent="0.25">
      <c r="A300" s="292">
        <v>8504</v>
      </c>
      <c r="B300" s="292" t="s">
        <v>332</v>
      </c>
      <c r="C300" s="293">
        <f>IFERROR(INDEX(Aktiv!$O$6:$O$350,MATCH(A300,Aktiv!$A$6:$A$350,0)),"")</f>
        <v>263</v>
      </c>
      <c r="D300" s="293">
        <f>IF(C300="","",ROUND(C300*Steuerungsdaten!$B$4*Steuerungsdaten!$B$7*IFERROR(VLOOKUP(IFERROR(INDEX(Aktiv!$C$6:$C$350,MATCH(A300,Aktiv!$A$6:$A$350,0)),""),Steuerungsdaten!$B$17:$C$37,2,FALSE),1)*POWER(IF(OR(IFERROR(INDEX(Aktiv!$E$6:$E$350,MATCH(A300,Aktiv!$A$6:$A$350,0)),0)=0,IFERROR(INDEX(Aktiv!$F$6:$F$350,MATCH(A300,Aktiv!$A$6:$A$350,0)),0)=0),1,(IFERROR(INDEX(Aktiv!$E$6:$E$350,MATCH(A300,Aktiv!$A$6:$A$350,0)),0)*IFERROR(INDEX(Aktiv!$F$6:$F$350,MATCH(A300,Aktiv!$A$6:$A$350,0)),0)/1000000)/Steuerungsdaten!$B$6),IF(ISNUMBER(MATCH(IFERROR(INDEX(Aktiv!$C$6:$C$350,MATCH(A300,Aktiv!$A$6:$A$350,0)),""),{"Boden","Seite außen","Seite außen SY32","Rücken","Seite innen","Seite innen SY32","Seite innen SY32 DB","Fachboden klein","Fachboden groß","Klappenboden"},0)),1.2,1)-1),0))</f>
        <v>289</v>
      </c>
      <c r="E300" s="293">
        <f>IFERROR(INDEX(Aktiv!$G$6:$G$350,MATCH(A300,Aktiv!$A$6:$A$350,0)),"")</f>
        <v>263</v>
      </c>
      <c r="F300" s="294">
        <f t="shared" si="32"/>
        <v>-26</v>
      </c>
      <c r="G300" s="295">
        <f t="shared" si="33"/>
        <v>-8.9965397923875437E-2</v>
      </c>
      <c r="H300" s="293">
        <f>IF(C300="","",ROUND(C300*Steuerungsdaten!$B$4*Steuerungsdaten!$B$8*IFERROR(VLOOKUP(IFERROR(INDEX(Aktiv!$C$6:$C$350,MATCH(A300,Aktiv!$A$6:$A$350,0)),""),Steuerungsdaten!$B$17:$E$37,4,FALSE),1)*POWER(IF(OR(IFERROR(INDEX(Aktiv!$E$6:$E$350,MATCH(A300,Aktiv!$A$6:$A$350,0)),0)=0,IFERROR(INDEX(Aktiv!$F$6:$F$350,MATCH(A300,Aktiv!$A$6:$A$350,0)),0)=0),1,(IFERROR(INDEX(Aktiv!$E$6:$E$350,MATCH(A300,Aktiv!$A$6:$A$350,0)),0)*IFERROR(INDEX(Aktiv!$F$6:$F$350,MATCH(A300,Aktiv!$A$6:$A$350,0)),0)/1000000)/Steuerungsdaten!$B$6),1-1),0))</f>
        <v>289</v>
      </c>
      <c r="I300" s="293">
        <f>IFERROR(INDEX(Aktiv!$H$6:$H$350,MATCH(A300,Aktiv!$A$6:$A$350,0)),"")</f>
        <v>263</v>
      </c>
      <c r="J300" s="294">
        <f t="shared" si="34"/>
        <v>-26</v>
      </c>
      <c r="K300" s="296">
        <f t="shared" si="35"/>
        <v>-8.9965397923875437E-2</v>
      </c>
      <c r="L300" s="297">
        <f>IF(C300="","",ROUND(C300*Steuerungsdaten!$B$4*Steuerungsdaten!$B$9*IFERROR(VLOOKUP(IFERROR(INDEX(Aktiv!$C$6:$C$350,MATCH(A300,Aktiv!$A$6:$A$350,0)),""),Steuerungsdaten!$B$17:$G$37,6,FALSE),1)*POWER(IF(OR(IFERROR(INDEX(Aktiv!$E$6:$E$350,MATCH(A300,Aktiv!$A$6:$A$350,0)),0)=0,IFERROR(INDEX(Aktiv!$F$6:$F$350,MATCH(A300,Aktiv!$A$6:$A$350,0)),0)=0),1,(IFERROR(INDEX(Aktiv!$E$6:$E$350,MATCH(A300,Aktiv!$A$6:$A$350,0)),0)*IFERROR(INDEX(Aktiv!$F$6:$F$350,MATCH(A300,Aktiv!$A$6:$A$350,0)),0)/1000000)/Steuerungsdaten!$B$6),1-1),0))</f>
        <v>289</v>
      </c>
      <c r="M300" s="297">
        <f>IFERROR(INDEX(Aktiv!$I$6:$I$350,MATCH(A300,Aktiv!$A$6:$A$350,0)),"")</f>
        <v>263</v>
      </c>
      <c r="N300" s="298">
        <f t="shared" si="36"/>
        <v>-26</v>
      </c>
      <c r="O300" s="296">
        <f t="shared" si="37"/>
        <v>-8.9965397923875437E-2</v>
      </c>
      <c r="P300" s="297">
        <f>IF(C300="","",ROUND(C300*Steuerungsdaten!$B$4*Steuerungsdaten!$B$10*IFERROR(VLOOKUP(IFERROR(INDEX(Aktiv!$C$6:$C$350,MATCH(A300,Aktiv!$A$6:$A$350,0)),""),Steuerungsdaten!$B$17:$I$37,8,FALSE),1)*POWER(IF(OR(IFERROR(INDEX(Aktiv!$E$6:$E$350,MATCH(A300,Aktiv!$A$6:$A$350,0)),0)=0,IFERROR(INDEX(Aktiv!$F$6:$F$350,MATCH(A300,Aktiv!$A$6:$A$350,0)),0)=0),1,(IFERROR(INDEX(Aktiv!$E$6:$E$350,MATCH(A300,Aktiv!$A$6:$A$350,0)),0)*IFERROR(INDEX(Aktiv!$F$6:$F$350,MATCH(A300,Aktiv!$A$6:$A$350,0)),0)/1000000)/Steuerungsdaten!$B$6),1-1),0))</f>
        <v>316</v>
      </c>
      <c r="Q300" s="297">
        <f>IFERROR(INDEX(Aktiv!$J$6:$J$350,MATCH(A300,Aktiv!$A$6:$A$350,0)),"")</f>
        <v>263</v>
      </c>
      <c r="R300" s="298">
        <f t="shared" si="38"/>
        <v>-53</v>
      </c>
      <c r="S300" s="296">
        <f t="shared" si="39"/>
        <v>-0.16772151898734178</v>
      </c>
    </row>
    <row r="301" spans="1:19" x14ac:dyDescent="0.25">
      <c r="A301" s="292">
        <v>8505</v>
      </c>
      <c r="B301" s="292" t="s">
        <v>332</v>
      </c>
      <c r="C301" s="293">
        <f>IFERROR(INDEX(Aktiv!$O$6:$O$350,MATCH(A301,Aktiv!$A$6:$A$350,0)),"")</f>
        <v>265</v>
      </c>
      <c r="D301" s="293">
        <f>IF(C301="","",ROUND(C301*Steuerungsdaten!$B$4*Steuerungsdaten!$B$7*IFERROR(VLOOKUP(IFERROR(INDEX(Aktiv!$C$6:$C$350,MATCH(A301,Aktiv!$A$6:$A$350,0)),""),Steuerungsdaten!$B$17:$C$37,2,FALSE),1)*POWER(IF(OR(IFERROR(INDEX(Aktiv!$E$6:$E$350,MATCH(A301,Aktiv!$A$6:$A$350,0)),0)=0,IFERROR(INDEX(Aktiv!$F$6:$F$350,MATCH(A301,Aktiv!$A$6:$A$350,0)),0)=0),1,(IFERROR(INDEX(Aktiv!$E$6:$E$350,MATCH(A301,Aktiv!$A$6:$A$350,0)),0)*IFERROR(INDEX(Aktiv!$F$6:$F$350,MATCH(A301,Aktiv!$A$6:$A$350,0)),0)/1000000)/Steuerungsdaten!$B$6),IF(ISNUMBER(MATCH(IFERROR(INDEX(Aktiv!$C$6:$C$350,MATCH(A301,Aktiv!$A$6:$A$350,0)),""),{"Boden","Seite außen","Seite außen SY32","Rücken","Seite innen","Seite innen SY32","Seite innen SY32 DB","Fachboden klein","Fachboden groß","Klappenboden"},0)),1.2,1)-1),0))</f>
        <v>292</v>
      </c>
      <c r="E301" s="293">
        <f>IFERROR(INDEX(Aktiv!$G$6:$G$350,MATCH(A301,Aktiv!$A$6:$A$350,0)),"")</f>
        <v>265</v>
      </c>
      <c r="F301" s="294">
        <f t="shared" si="32"/>
        <v>-27</v>
      </c>
      <c r="G301" s="295">
        <f t="shared" si="33"/>
        <v>-9.2465753424657529E-2</v>
      </c>
      <c r="H301" s="293">
        <f>IF(C301="","",ROUND(C301*Steuerungsdaten!$B$4*Steuerungsdaten!$B$8*IFERROR(VLOOKUP(IFERROR(INDEX(Aktiv!$C$6:$C$350,MATCH(A301,Aktiv!$A$6:$A$350,0)),""),Steuerungsdaten!$B$17:$E$37,4,FALSE),1)*POWER(IF(OR(IFERROR(INDEX(Aktiv!$E$6:$E$350,MATCH(A301,Aktiv!$A$6:$A$350,0)),0)=0,IFERROR(INDEX(Aktiv!$F$6:$F$350,MATCH(A301,Aktiv!$A$6:$A$350,0)),0)=0),1,(IFERROR(INDEX(Aktiv!$E$6:$E$350,MATCH(A301,Aktiv!$A$6:$A$350,0)),0)*IFERROR(INDEX(Aktiv!$F$6:$F$350,MATCH(A301,Aktiv!$A$6:$A$350,0)),0)/1000000)/Steuerungsdaten!$B$6),1-1),0))</f>
        <v>292</v>
      </c>
      <c r="I301" s="293">
        <f>IFERROR(INDEX(Aktiv!$H$6:$H$350,MATCH(A301,Aktiv!$A$6:$A$350,0)),"")</f>
        <v>265</v>
      </c>
      <c r="J301" s="294">
        <f t="shared" si="34"/>
        <v>-27</v>
      </c>
      <c r="K301" s="296">
        <f t="shared" si="35"/>
        <v>-9.2465753424657529E-2</v>
      </c>
      <c r="L301" s="297">
        <f>IF(C301="","",ROUND(C301*Steuerungsdaten!$B$4*Steuerungsdaten!$B$9*IFERROR(VLOOKUP(IFERROR(INDEX(Aktiv!$C$6:$C$350,MATCH(A301,Aktiv!$A$6:$A$350,0)),""),Steuerungsdaten!$B$17:$G$37,6,FALSE),1)*POWER(IF(OR(IFERROR(INDEX(Aktiv!$E$6:$E$350,MATCH(A301,Aktiv!$A$6:$A$350,0)),0)=0,IFERROR(INDEX(Aktiv!$F$6:$F$350,MATCH(A301,Aktiv!$A$6:$A$350,0)),0)=0),1,(IFERROR(INDEX(Aktiv!$E$6:$E$350,MATCH(A301,Aktiv!$A$6:$A$350,0)),0)*IFERROR(INDEX(Aktiv!$F$6:$F$350,MATCH(A301,Aktiv!$A$6:$A$350,0)),0)/1000000)/Steuerungsdaten!$B$6),1-1),0))</f>
        <v>292</v>
      </c>
      <c r="M301" s="297">
        <f>IFERROR(INDEX(Aktiv!$I$6:$I$350,MATCH(A301,Aktiv!$A$6:$A$350,0)),"")</f>
        <v>265</v>
      </c>
      <c r="N301" s="298">
        <f t="shared" si="36"/>
        <v>-27</v>
      </c>
      <c r="O301" s="296">
        <f t="shared" si="37"/>
        <v>-9.2465753424657529E-2</v>
      </c>
      <c r="P301" s="297">
        <f>IF(C301="","",ROUND(C301*Steuerungsdaten!$B$4*Steuerungsdaten!$B$10*IFERROR(VLOOKUP(IFERROR(INDEX(Aktiv!$C$6:$C$350,MATCH(A301,Aktiv!$A$6:$A$350,0)),""),Steuerungsdaten!$B$17:$I$37,8,FALSE),1)*POWER(IF(OR(IFERROR(INDEX(Aktiv!$E$6:$E$350,MATCH(A301,Aktiv!$A$6:$A$350,0)),0)=0,IFERROR(INDEX(Aktiv!$F$6:$F$350,MATCH(A301,Aktiv!$A$6:$A$350,0)),0)=0),1,(IFERROR(INDEX(Aktiv!$E$6:$E$350,MATCH(A301,Aktiv!$A$6:$A$350,0)),0)*IFERROR(INDEX(Aktiv!$F$6:$F$350,MATCH(A301,Aktiv!$A$6:$A$350,0)),0)/1000000)/Steuerungsdaten!$B$6),1-1),0))</f>
        <v>318</v>
      </c>
      <c r="Q301" s="297">
        <f>IFERROR(INDEX(Aktiv!$J$6:$J$350,MATCH(A301,Aktiv!$A$6:$A$350,0)),"")</f>
        <v>265</v>
      </c>
      <c r="R301" s="298">
        <f t="shared" si="38"/>
        <v>-53</v>
      </c>
      <c r="S301" s="296">
        <f t="shared" si="39"/>
        <v>-0.16666666666666666</v>
      </c>
    </row>
    <row r="302" spans="1:19" x14ac:dyDescent="0.25">
      <c r="A302" s="292">
        <v>8506</v>
      </c>
      <c r="B302" s="292" t="s">
        <v>332</v>
      </c>
      <c r="C302" s="293">
        <f>IFERROR(INDEX(Aktiv!$O$6:$O$350,MATCH(A302,Aktiv!$A$6:$A$350,0)),"")</f>
        <v>319</v>
      </c>
      <c r="D302" s="293">
        <f>IF(C302="","",ROUND(C302*Steuerungsdaten!$B$4*Steuerungsdaten!$B$7*IFERROR(VLOOKUP(IFERROR(INDEX(Aktiv!$C$6:$C$350,MATCH(A302,Aktiv!$A$6:$A$350,0)),""),Steuerungsdaten!$B$17:$C$37,2,FALSE),1)*POWER(IF(OR(IFERROR(INDEX(Aktiv!$E$6:$E$350,MATCH(A302,Aktiv!$A$6:$A$350,0)),0)=0,IFERROR(INDEX(Aktiv!$F$6:$F$350,MATCH(A302,Aktiv!$A$6:$A$350,0)),0)=0),1,(IFERROR(INDEX(Aktiv!$E$6:$E$350,MATCH(A302,Aktiv!$A$6:$A$350,0)),0)*IFERROR(INDEX(Aktiv!$F$6:$F$350,MATCH(A302,Aktiv!$A$6:$A$350,0)),0)/1000000)/Steuerungsdaten!$B$6),IF(ISNUMBER(MATCH(IFERROR(INDEX(Aktiv!$C$6:$C$350,MATCH(A302,Aktiv!$A$6:$A$350,0)),""),{"Boden","Seite außen","Seite außen SY32","Rücken","Seite innen","Seite innen SY32","Seite innen SY32 DB","Fachboden klein","Fachboden groß","Klappenboden"},0)),1.2,1)-1),0))</f>
        <v>351</v>
      </c>
      <c r="E302" s="293">
        <f>IFERROR(INDEX(Aktiv!$G$6:$G$350,MATCH(A302,Aktiv!$A$6:$A$350,0)),"")</f>
        <v>319</v>
      </c>
      <c r="F302" s="294">
        <f t="shared" si="32"/>
        <v>-32</v>
      </c>
      <c r="G302" s="295">
        <f t="shared" si="33"/>
        <v>-9.1168091168091173E-2</v>
      </c>
      <c r="H302" s="293">
        <f>IF(C302="","",ROUND(C302*Steuerungsdaten!$B$4*Steuerungsdaten!$B$8*IFERROR(VLOOKUP(IFERROR(INDEX(Aktiv!$C$6:$C$350,MATCH(A302,Aktiv!$A$6:$A$350,0)),""),Steuerungsdaten!$B$17:$E$37,4,FALSE),1)*POWER(IF(OR(IFERROR(INDEX(Aktiv!$E$6:$E$350,MATCH(A302,Aktiv!$A$6:$A$350,0)),0)=0,IFERROR(INDEX(Aktiv!$F$6:$F$350,MATCH(A302,Aktiv!$A$6:$A$350,0)),0)=0),1,(IFERROR(INDEX(Aktiv!$E$6:$E$350,MATCH(A302,Aktiv!$A$6:$A$350,0)),0)*IFERROR(INDEX(Aktiv!$F$6:$F$350,MATCH(A302,Aktiv!$A$6:$A$350,0)),0)/1000000)/Steuerungsdaten!$B$6),1-1),0))</f>
        <v>351</v>
      </c>
      <c r="I302" s="293">
        <f>IFERROR(INDEX(Aktiv!$H$6:$H$350,MATCH(A302,Aktiv!$A$6:$A$350,0)),"")</f>
        <v>319</v>
      </c>
      <c r="J302" s="294">
        <f t="shared" si="34"/>
        <v>-32</v>
      </c>
      <c r="K302" s="296">
        <f t="shared" si="35"/>
        <v>-9.1168091168091173E-2</v>
      </c>
      <c r="L302" s="297">
        <f>IF(C302="","",ROUND(C302*Steuerungsdaten!$B$4*Steuerungsdaten!$B$9*IFERROR(VLOOKUP(IFERROR(INDEX(Aktiv!$C$6:$C$350,MATCH(A302,Aktiv!$A$6:$A$350,0)),""),Steuerungsdaten!$B$17:$G$37,6,FALSE),1)*POWER(IF(OR(IFERROR(INDEX(Aktiv!$E$6:$E$350,MATCH(A302,Aktiv!$A$6:$A$350,0)),0)=0,IFERROR(INDEX(Aktiv!$F$6:$F$350,MATCH(A302,Aktiv!$A$6:$A$350,0)),0)=0),1,(IFERROR(INDEX(Aktiv!$E$6:$E$350,MATCH(A302,Aktiv!$A$6:$A$350,0)),0)*IFERROR(INDEX(Aktiv!$F$6:$F$350,MATCH(A302,Aktiv!$A$6:$A$350,0)),0)/1000000)/Steuerungsdaten!$B$6),1-1),0))</f>
        <v>351</v>
      </c>
      <c r="M302" s="297">
        <f>IFERROR(INDEX(Aktiv!$I$6:$I$350,MATCH(A302,Aktiv!$A$6:$A$350,0)),"")</f>
        <v>319</v>
      </c>
      <c r="N302" s="298">
        <f t="shared" si="36"/>
        <v>-32</v>
      </c>
      <c r="O302" s="296">
        <f t="shared" si="37"/>
        <v>-9.1168091168091173E-2</v>
      </c>
      <c r="P302" s="297">
        <f>IF(C302="","",ROUND(C302*Steuerungsdaten!$B$4*Steuerungsdaten!$B$10*IFERROR(VLOOKUP(IFERROR(INDEX(Aktiv!$C$6:$C$350,MATCH(A302,Aktiv!$A$6:$A$350,0)),""),Steuerungsdaten!$B$17:$I$37,8,FALSE),1)*POWER(IF(OR(IFERROR(INDEX(Aktiv!$E$6:$E$350,MATCH(A302,Aktiv!$A$6:$A$350,0)),0)=0,IFERROR(INDEX(Aktiv!$F$6:$F$350,MATCH(A302,Aktiv!$A$6:$A$350,0)),0)=0),1,(IFERROR(INDEX(Aktiv!$E$6:$E$350,MATCH(A302,Aktiv!$A$6:$A$350,0)),0)*IFERROR(INDEX(Aktiv!$F$6:$F$350,MATCH(A302,Aktiv!$A$6:$A$350,0)),0)/1000000)/Steuerungsdaten!$B$6),1-1),0))</f>
        <v>383</v>
      </c>
      <c r="Q302" s="297">
        <f>IFERROR(INDEX(Aktiv!$J$6:$J$350,MATCH(A302,Aktiv!$A$6:$A$350,0)),"")</f>
        <v>319</v>
      </c>
      <c r="R302" s="298">
        <f t="shared" si="38"/>
        <v>-64</v>
      </c>
      <c r="S302" s="296">
        <f t="shared" si="39"/>
        <v>-0.16710182767624021</v>
      </c>
    </row>
    <row r="303" spans="1:19" x14ac:dyDescent="0.25">
      <c r="A303" s="292">
        <v>8050</v>
      </c>
      <c r="B303" s="292" t="s">
        <v>334</v>
      </c>
      <c r="C303" s="293">
        <f>IFERROR(INDEX(Aktiv!$O$6:$O$350,MATCH(A303,Aktiv!$A$6:$A$350,0)),"")</f>
        <v>5</v>
      </c>
      <c r="D303" s="293">
        <f>IF(C303="","",ROUND(C303*Steuerungsdaten!$B$4*Steuerungsdaten!$B$7*IFERROR(VLOOKUP(IFERROR(INDEX(Aktiv!$C$6:$C$350,MATCH(A303,Aktiv!$A$6:$A$350,0)),""),Steuerungsdaten!$B$17:$C$37,2,FALSE),1)*POWER(IF(OR(IFERROR(INDEX(Aktiv!$E$6:$E$350,MATCH(A303,Aktiv!$A$6:$A$350,0)),0)=0,IFERROR(INDEX(Aktiv!$F$6:$F$350,MATCH(A303,Aktiv!$A$6:$A$350,0)),0)=0),1,(IFERROR(INDEX(Aktiv!$E$6:$E$350,MATCH(A303,Aktiv!$A$6:$A$350,0)),0)*IFERROR(INDEX(Aktiv!$F$6:$F$350,MATCH(A303,Aktiv!$A$6:$A$350,0)),0)/1000000)/Steuerungsdaten!$B$6),IF(ISNUMBER(MATCH(IFERROR(INDEX(Aktiv!$C$6:$C$350,MATCH(A303,Aktiv!$A$6:$A$350,0)),""),{"Boden","Seite außen","Seite außen SY32","Rücken","Seite innen","Seite innen SY32","Seite innen SY32 DB","Fachboden klein","Fachboden groß","Klappenboden"},0)),1.2,1)-1),0))</f>
        <v>4</v>
      </c>
      <c r="E303" s="293">
        <f>IFERROR(INDEX(Aktiv!$G$6:$G$350,MATCH(A303,Aktiv!$A$6:$A$350,0)),"")</f>
        <v>5</v>
      </c>
      <c r="F303" s="294">
        <f t="shared" si="32"/>
        <v>1</v>
      </c>
      <c r="G303" s="295">
        <f t="shared" si="33"/>
        <v>0.25</v>
      </c>
      <c r="H303" s="293">
        <f>IF(C303="","",ROUND(C303*Steuerungsdaten!$B$4*Steuerungsdaten!$B$8*IFERROR(VLOOKUP(IFERROR(INDEX(Aktiv!$C$6:$C$350,MATCH(A303,Aktiv!$A$6:$A$350,0)),""),Steuerungsdaten!$B$17:$E$37,4,FALSE),1)*POWER(IF(OR(IFERROR(INDEX(Aktiv!$E$6:$E$350,MATCH(A303,Aktiv!$A$6:$A$350,0)),0)=0,IFERROR(INDEX(Aktiv!$F$6:$F$350,MATCH(A303,Aktiv!$A$6:$A$350,0)),0)=0),1,(IFERROR(INDEX(Aktiv!$E$6:$E$350,MATCH(A303,Aktiv!$A$6:$A$350,0)),0)*IFERROR(INDEX(Aktiv!$F$6:$F$350,MATCH(A303,Aktiv!$A$6:$A$350,0)),0)/1000000)/Steuerungsdaten!$B$6),1-1),0))</f>
        <v>4</v>
      </c>
      <c r="I303" s="293">
        <f>IFERROR(INDEX(Aktiv!$H$6:$H$350,MATCH(A303,Aktiv!$A$6:$A$350,0)),"")</f>
        <v>5</v>
      </c>
      <c r="J303" s="294">
        <f t="shared" si="34"/>
        <v>1</v>
      </c>
      <c r="K303" s="296">
        <f t="shared" si="35"/>
        <v>0.25</v>
      </c>
      <c r="L303" s="297">
        <f>IF(C303="","",ROUND(C303*Steuerungsdaten!$B$4*Steuerungsdaten!$B$9*IFERROR(VLOOKUP(IFERROR(INDEX(Aktiv!$C$6:$C$350,MATCH(A303,Aktiv!$A$6:$A$350,0)),""),Steuerungsdaten!$B$17:$G$37,6,FALSE),1)*POWER(IF(OR(IFERROR(INDEX(Aktiv!$E$6:$E$350,MATCH(A303,Aktiv!$A$6:$A$350,0)),0)=0,IFERROR(INDEX(Aktiv!$F$6:$F$350,MATCH(A303,Aktiv!$A$6:$A$350,0)),0)=0),1,(IFERROR(INDEX(Aktiv!$E$6:$E$350,MATCH(A303,Aktiv!$A$6:$A$350,0)),0)*IFERROR(INDEX(Aktiv!$F$6:$F$350,MATCH(A303,Aktiv!$A$6:$A$350,0)),0)/1000000)/Steuerungsdaten!$B$6),1-1),0))</f>
        <v>4</v>
      </c>
      <c r="M303" s="297">
        <f>IFERROR(INDEX(Aktiv!$I$6:$I$350,MATCH(A303,Aktiv!$A$6:$A$350,0)),"")</f>
        <v>5</v>
      </c>
      <c r="N303" s="298">
        <f t="shared" si="36"/>
        <v>1</v>
      </c>
      <c r="O303" s="296">
        <f t="shared" si="37"/>
        <v>0.25</v>
      </c>
      <c r="P303" s="297">
        <f>IF(C303="","",ROUND(C303*Steuerungsdaten!$B$4*Steuerungsdaten!$B$10*IFERROR(VLOOKUP(IFERROR(INDEX(Aktiv!$C$6:$C$350,MATCH(A303,Aktiv!$A$6:$A$350,0)),""),Steuerungsdaten!$B$17:$I$37,8,FALSE),1)*POWER(IF(OR(IFERROR(INDEX(Aktiv!$E$6:$E$350,MATCH(A303,Aktiv!$A$6:$A$350,0)),0)=0,IFERROR(INDEX(Aktiv!$F$6:$F$350,MATCH(A303,Aktiv!$A$6:$A$350,0)),0)=0),1,(IFERROR(INDEX(Aktiv!$E$6:$E$350,MATCH(A303,Aktiv!$A$6:$A$350,0)),0)*IFERROR(INDEX(Aktiv!$F$6:$F$350,MATCH(A303,Aktiv!$A$6:$A$350,0)),0)/1000000)/Steuerungsdaten!$B$6),1-1),0))</f>
        <v>5</v>
      </c>
      <c r="Q303" s="297">
        <f>IFERROR(INDEX(Aktiv!$J$6:$J$350,MATCH(A303,Aktiv!$A$6:$A$350,0)),"")</f>
        <v>5</v>
      </c>
      <c r="R303" s="298">
        <f t="shared" si="38"/>
        <v>0</v>
      </c>
      <c r="S303" s="296">
        <f t="shared" si="39"/>
        <v>0</v>
      </c>
    </row>
    <row r="304" spans="1:19" x14ac:dyDescent="0.25">
      <c r="A304" s="292">
        <v>8051</v>
      </c>
      <c r="B304" s="292" t="s">
        <v>335</v>
      </c>
      <c r="C304" s="293">
        <f>IFERROR(INDEX(Aktiv!$O$6:$O$350,MATCH(A304,Aktiv!$A$6:$A$350,0)),"")</f>
        <v>5</v>
      </c>
      <c r="D304" s="293">
        <f>IF(C304="","",ROUND(C304*Steuerungsdaten!$B$4*Steuerungsdaten!$B$7*IFERROR(VLOOKUP(IFERROR(INDEX(Aktiv!$C$6:$C$350,MATCH(A304,Aktiv!$A$6:$A$350,0)),""),Steuerungsdaten!$B$17:$C$37,2,FALSE),1)*POWER(IF(OR(IFERROR(INDEX(Aktiv!$E$6:$E$350,MATCH(A304,Aktiv!$A$6:$A$350,0)),0)=0,IFERROR(INDEX(Aktiv!$F$6:$F$350,MATCH(A304,Aktiv!$A$6:$A$350,0)),0)=0),1,(IFERROR(INDEX(Aktiv!$E$6:$E$350,MATCH(A304,Aktiv!$A$6:$A$350,0)),0)*IFERROR(INDEX(Aktiv!$F$6:$F$350,MATCH(A304,Aktiv!$A$6:$A$350,0)),0)/1000000)/Steuerungsdaten!$B$6),IF(ISNUMBER(MATCH(IFERROR(INDEX(Aktiv!$C$6:$C$350,MATCH(A304,Aktiv!$A$6:$A$350,0)),""),{"Boden","Seite außen","Seite außen SY32","Rücken","Seite innen","Seite innen SY32","Seite innen SY32 DB","Fachboden klein","Fachboden groß","Klappenboden"},0)),1.2,1)-1),0))</f>
        <v>4</v>
      </c>
      <c r="E304" s="293">
        <f>IFERROR(INDEX(Aktiv!$G$6:$G$350,MATCH(A304,Aktiv!$A$6:$A$350,0)),"")</f>
        <v>5</v>
      </c>
      <c r="F304" s="294">
        <f t="shared" si="32"/>
        <v>1</v>
      </c>
      <c r="G304" s="295">
        <f t="shared" si="33"/>
        <v>0.25</v>
      </c>
      <c r="H304" s="293">
        <f>IF(C304="","",ROUND(C304*Steuerungsdaten!$B$4*Steuerungsdaten!$B$8*IFERROR(VLOOKUP(IFERROR(INDEX(Aktiv!$C$6:$C$350,MATCH(A304,Aktiv!$A$6:$A$350,0)),""),Steuerungsdaten!$B$17:$E$37,4,FALSE),1)*POWER(IF(OR(IFERROR(INDEX(Aktiv!$E$6:$E$350,MATCH(A304,Aktiv!$A$6:$A$350,0)),0)=0,IFERROR(INDEX(Aktiv!$F$6:$F$350,MATCH(A304,Aktiv!$A$6:$A$350,0)),0)=0),1,(IFERROR(INDEX(Aktiv!$E$6:$E$350,MATCH(A304,Aktiv!$A$6:$A$350,0)),0)*IFERROR(INDEX(Aktiv!$F$6:$F$350,MATCH(A304,Aktiv!$A$6:$A$350,0)),0)/1000000)/Steuerungsdaten!$B$6),1-1),0))</f>
        <v>4</v>
      </c>
      <c r="I304" s="293">
        <f>IFERROR(INDEX(Aktiv!$H$6:$H$350,MATCH(A304,Aktiv!$A$6:$A$350,0)),"")</f>
        <v>5</v>
      </c>
      <c r="J304" s="294">
        <f t="shared" si="34"/>
        <v>1</v>
      </c>
      <c r="K304" s="296">
        <f t="shared" si="35"/>
        <v>0.25</v>
      </c>
      <c r="L304" s="297">
        <f>IF(C304="","",ROUND(C304*Steuerungsdaten!$B$4*Steuerungsdaten!$B$9*IFERROR(VLOOKUP(IFERROR(INDEX(Aktiv!$C$6:$C$350,MATCH(A304,Aktiv!$A$6:$A$350,0)),""),Steuerungsdaten!$B$17:$G$37,6,FALSE),1)*POWER(IF(OR(IFERROR(INDEX(Aktiv!$E$6:$E$350,MATCH(A304,Aktiv!$A$6:$A$350,0)),0)=0,IFERROR(INDEX(Aktiv!$F$6:$F$350,MATCH(A304,Aktiv!$A$6:$A$350,0)),0)=0),1,(IFERROR(INDEX(Aktiv!$E$6:$E$350,MATCH(A304,Aktiv!$A$6:$A$350,0)),0)*IFERROR(INDEX(Aktiv!$F$6:$F$350,MATCH(A304,Aktiv!$A$6:$A$350,0)),0)/1000000)/Steuerungsdaten!$B$6),1-1),0))</f>
        <v>4</v>
      </c>
      <c r="M304" s="297">
        <f>IFERROR(INDEX(Aktiv!$I$6:$I$350,MATCH(A304,Aktiv!$A$6:$A$350,0)),"")</f>
        <v>5</v>
      </c>
      <c r="N304" s="298">
        <f t="shared" si="36"/>
        <v>1</v>
      </c>
      <c r="O304" s="296">
        <f t="shared" si="37"/>
        <v>0.25</v>
      </c>
      <c r="P304" s="297">
        <f>IF(C304="","",ROUND(C304*Steuerungsdaten!$B$4*Steuerungsdaten!$B$10*IFERROR(VLOOKUP(IFERROR(INDEX(Aktiv!$C$6:$C$350,MATCH(A304,Aktiv!$A$6:$A$350,0)),""),Steuerungsdaten!$B$17:$I$37,8,FALSE),1)*POWER(IF(OR(IFERROR(INDEX(Aktiv!$E$6:$E$350,MATCH(A304,Aktiv!$A$6:$A$350,0)),0)=0,IFERROR(INDEX(Aktiv!$F$6:$F$350,MATCH(A304,Aktiv!$A$6:$A$350,0)),0)=0),1,(IFERROR(INDEX(Aktiv!$E$6:$E$350,MATCH(A304,Aktiv!$A$6:$A$350,0)),0)*IFERROR(INDEX(Aktiv!$F$6:$F$350,MATCH(A304,Aktiv!$A$6:$A$350,0)),0)/1000000)/Steuerungsdaten!$B$6),1-1),0))</f>
        <v>5</v>
      </c>
      <c r="Q304" s="297">
        <f>IFERROR(INDEX(Aktiv!$J$6:$J$350,MATCH(A304,Aktiv!$A$6:$A$350,0)),"")</f>
        <v>5</v>
      </c>
      <c r="R304" s="298">
        <f t="shared" si="38"/>
        <v>0</v>
      </c>
      <c r="S304" s="296">
        <f t="shared" si="39"/>
        <v>0</v>
      </c>
    </row>
    <row r="305" spans="1:19" x14ac:dyDescent="0.25">
      <c r="A305" s="292">
        <v>8080</v>
      </c>
      <c r="B305" s="292" t="s">
        <v>336</v>
      </c>
      <c r="C305" s="293">
        <f>IFERROR(INDEX(Aktiv!$O$6:$O$350,MATCH(A305,Aktiv!$A$6:$A$350,0)),"")</f>
        <v>8</v>
      </c>
      <c r="D305" s="293">
        <f>IF(C305="","",ROUND(C305*Steuerungsdaten!$B$4*Steuerungsdaten!$B$7*IFERROR(VLOOKUP(IFERROR(INDEX(Aktiv!$C$6:$C$350,MATCH(A305,Aktiv!$A$6:$A$350,0)),""),Steuerungsdaten!$B$17:$C$37,2,FALSE),1)*POWER(IF(OR(IFERROR(INDEX(Aktiv!$E$6:$E$350,MATCH(A305,Aktiv!$A$6:$A$350,0)),0)=0,IFERROR(INDEX(Aktiv!$F$6:$F$350,MATCH(A305,Aktiv!$A$6:$A$350,0)),0)=0),1,(IFERROR(INDEX(Aktiv!$E$6:$E$350,MATCH(A305,Aktiv!$A$6:$A$350,0)),0)*IFERROR(INDEX(Aktiv!$F$6:$F$350,MATCH(A305,Aktiv!$A$6:$A$350,0)),0)/1000000)/Steuerungsdaten!$B$6),IF(ISNUMBER(MATCH(IFERROR(INDEX(Aktiv!$C$6:$C$350,MATCH(A305,Aktiv!$A$6:$A$350,0)),""),{"Boden","Seite außen","Seite außen SY32","Rücken","Seite innen","Seite innen SY32","Seite innen SY32 DB","Fachboden klein","Fachboden groß","Klappenboden"},0)),1.2,1)-1),0))</f>
        <v>7</v>
      </c>
      <c r="E305" s="293">
        <f>IFERROR(INDEX(Aktiv!$G$6:$G$350,MATCH(A305,Aktiv!$A$6:$A$350,0)),"")</f>
        <v>8</v>
      </c>
      <c r="F305" s="294">
        <f t="shared" si="32"/>
        <v>1</v>
      </c>
      <c r="G305" s="295">
        <f t="shared" si="33"/>
        <v>0.14285714285714285</v>
      </c>
      <c r="H305" s="293">
        <f>IF(C305="","",ROUND(C305*Steuerungsdaten!$B$4*Steuerungsdaten!$B$8*IFERROR(VLOOKUP(IFERROR(INDEX(Aktiv!$C$6:$C$350,MATCH(A305,Aktiv!$A$6:$A$350,0)),""),Steuerungsdaten!$B$17:$E$37,4,FALSE),1)*POWER(IF(OR(IFERROR(INDEX(Aktiv!$E$6:$E$350,MATCH(A305,Aktiv!$A$6:$A$350,0)),0)=0,IFERROR(INDEX(Aktiv!$F$6:$F$350,MATCH(A305,Aktiv!$A$6:$A$350,0)),0)=0),1,(IFERROR(INDEX(Aktiv!$E$6:$E$350,MATCH(A305,Aktiv!$A$6:$A$350,0)),0)*IFERROR(INDEX(Aktiv!$F$6:$F$350,MATCH(A305,Aktiv!$A$6:$A$350,0)),0)/1000000)/Steuerungsdaten!$B$6),1-1),0))</f>
        <v>7</v>
      </c>
      <c r="I305" s="293">
        <f>IFERROR(INDEX(Aktiv!$H$6:$H$350,MATCH(A305,Aktiv!$A$6:$A$350,0)),"")</f>
        <v>8</v>
      </c>
      <c r="J305" s="294">
        <f t="shared" si="34"/>
        <v>1</v>
      </c>
      <c r="K305" s="296">
        <f t="shared" si="35"/>
        <v>0.14285714285714285</v>
      </c>
      <c r="L305" s="297">
        <f>IF(C305="","",ROUND(C305*Steuerungsdaten!$B$4*Steuerungsdaten!$B$9*IFERROR(VLOOKUP(IFERROR(INDEX(Aktiv!$C$6:$C$350,MATCH(A305,Aktiv!$A$6:$A$350,0)),""),Steuerungsdaten!$B$17:$G$37,6,FALSE),1)*POWER(IF(OR(IFERROR(INDEX(Aktiv!$E$6:$E$350,MATCH(A305,Aktiv!$A$6:$A$350,0)),0)=0,IFERROR(INDEX(Aktiv!$F$6:$F$350,MATCH(A305,Aktiv!$A$6:$A$350,0)),0)=0),1,(IFERROR(INDEX(Aktiv!$E$6:$E$350,MATCH(A305,Aktiv!$A$6:$A$350,0)),0)*IFERROR(INDEX(Aktiv!$F$6:$F$350,MATCH(A305,Aktiv!$A$6:$A$350,0)),0)/1000000)/Steuerungsdaten!$B$6),1-1),0))</f>
        <v>7</v>
      </c>
      <c r="M305" s="297">
        <f>IFERROR(INDEX(Aktiv!$I$6:$I$350,MATCH(A305,Aktiv!$A$6:$A$350,0)),"")</f>
        <v>8</v>
      </c>
      <c r="N305" s="298">
        <f t="shared" si="36"/>
        <v>1</v>
      </c>
      <c r="O305" s="296">
        <f t="shared" si="37"/>
        <v>0.14285714285714285</v>
      </c>
      <c r="P305" s="297">
        <f>IF(C305="","",ROUND(C305*Steuerungsdaten!$B$4*Steuerungsdaten!$B$10*IFERROR(VLOOKUP(IFERROR(INDEX(Aktiv!$C$6:$C$350,MATCH(A305,Aktiv!$A$6:$A$350,0)),""),Steuerungsdaten!$B$17:$I$37,8,FALSE),1)*POWER(IF(OR(IFERROR(INDEX(Aktiv!$E$6:$E$350,MATCH(A305,Aktiv!$A$6:$A$350,0)),0)=0,IFERROR(INDEX(Aktiv!$F$6:$F$350,MATCH(A305,Aktiv!$A$6:$A$350,0)),0)=0),1,(IFERROR(INDEX(Aktiv!$E$6:$E$350,MATCH(A305,Aktiv!$A$6:$A$350,0)),0)*IFERROR(INDEX(Aktiv!$F$6:$F$350,MATCH(A305,Aktiv!$A$6:$A$350,0)),0)/1000000)/Steuerungsdaten!$B$6),1-1),0))</f>
        <v>8</v>
      </c>
      <c r="Q305" s="297">
        <f>IFERROR(INDEX(Aktiv!$J$6:$J$350,MATCH(A305,Aktiv!$A$6:$A$350,0)),"")</f>
        <v>8</v>
      </c>
      <c r="R305" s="298">
        <f t="shared" si="38"/>
        <v>0</v>
      </c>
      <c r="S305" s="296">
        <f t="shared" si="39"/>
        <v>0</v>
      </c>
    </row>
    <row r="306" spans="1:19" x14ac:dyDescent="0.25">
      <c r="A306" s="292">
        <v>8081</v>
      </c>
      <c r="B306" s="292" t="s">
        <v>337</v>
      </c>
      <c r="C306" s="293">
        <f>IFERROR(INDEX(Aktiv!$O$6:$O$350,MATCH(A306,Aktiv!$A$6:$A$350,0)),"")</f>
        <v>6</v>
      </c>
      <c r="D306" s="293">
        <f>IF(C306="","",ROUND(C306*Steuerungsdaten!$B$4*Steuerungsdaten!$B$7*IFERROR(VLOOKUP(IFERROR(INDEX(Aktiv!$C$6:$C$350,MATCH(A306,Aktiv!$A$6:$A$350,0)),""),Steuerungsdaten!$B$17:$C$37,2,FALSE),1)*POWER(IF(OR(IFERROR(INDEX(Aktiv!$E$6:$E$350,MATCH(A306,Aktiv!$A$6:$A$350,0)),0)=0,IFERROR(INDEX(Aktiv!$F$6:$F$350,MATCH(A306,Aktiv!$A$6:$A$350,0)),0)=0),1,(IFERROR(INDEX(Aktiv!$E$6:$E$350,MATCH(A306,Aktiv!$A$6:$A$350,0)),0)*IFERROR(INDEX(Aktiv!$F$6:$F$350,MATCH(A306,Aktiv!$A$6:$A$350,0)),0)/1000000)/Steuerungsdaten!$B$6),IF(ISNUMBER(MATCH(IFERROR(INDEX(Aktiv!$C$6:$C$350,MATCH(A306,Aktiv!$A$6:$A$350,0)),""),{"Boden","Seite außen","Seite außen SY32","Rücken","Seite innen","Seite innen SY32","Seite innen SY32 DB","Fachboden klein","Fachboden groß","Klappenboden"},0)),1.2,1)-1),0))</f>
        <v>5</v>
      </c>
      <c r="E306" s="293">
        <f>IFERROR(INDEX(Aktiv!$G$6:$G$350,MATCH(A306,Aktiv!$A$6:$A$350,0)),"")</f>
        <v>6</v>
      </c>
      <c r="F306" s="294">
        <f t="shared" si="32"/>
        <v>1</v>
      </c>
      <c r="G306" s="295">
        <f t="shared" si="33"/>
        <v>0.2</v>
      </c>
      <c r="H306" s="293">
        <f>IF(C306="","",ROUND(C306*Steuerungsdaten!$B$4*Steuerungsdaten!$B$8*IFERROR(VLOOKUP(IFERROR(INDEX(Aktiv!$C$6:$C$350,MATCH(A306,Aktiv!$A$6:$A$350,0)),""),Steuerungsdaten!$B$17:$E$37,4,FALSE),1)*POWER(IF(OR(IFERROR(INDEX(Aktiv!$E$6:$E$350,MATCH(A306,Aktiv!$A$6:$A$350,0)),0)=0,IFERROR(INDEX(Aktiv!$F$6:$F$350,MATCH(A306,Aktiv!$A$6:$A$350,0)),0)=0),1,(IFERROR(INDEX(Aktiv!$E$6:$E$350,MATCH(A306,Aktiv!$A$6:$A$350,0)),0)*IFERROR(INDEX(Aktiv!$F$6:$F$350,MATCH(A306,Aktiv!$A$6:$A$350,0)),0)/1000000)/Steuerungsdaten!$B$6),1-1),0))</f>
        <v>5</v>
      </c>
      <c r="I306" s="293">
        <f>IFERROR(INDEX(Aktiv!$H$6:$H$350,MATCH(A306,Aktiv!$A$6:$A$350,0)),"")</f>
        <v>6</v>
      </c>
      <c r="J306" s="294">
        <f t="shared" si="34"/>
        <v>1</v>
      </c>
      <c r="K306" s="296">
        <f t="shared" si="35"/>
        <v>0.2</v>
      </c>
      <c r="L306" s="297">
        <f>IF(C306="","",ROUND(C306*Steuerungsdaten!$B$4*Steuerungsdaten!$B$9*IFERROR(VLOOKUP(IFERROR(INDEX(Aktiv!$C$6:$C$350,MATCH(A306,Aktiv!$A$6:$A$350,0)),""),Steuerungsdaten!$B$17:$G$37,6,FALSE),1)*POWER(IF(OR(IFERROR(INDEX(Aktiv!$E$6:$E$350,MATCH(A306,Aktiv!$A$6:$A$350,0)),0)=0,IFERROR(INDEX(Aktiv!$F$6:$F$350,MATCH(A306,Aktiv!$A$6:$A$350,0)),0)=0),1,(IFERROR(INDEX(Aktiv!$E$6:$E$350,MATCH(A306,Aktiv!$A$6:$A$350,0)),0)*IFERROR(INDEX(Aktiv!$F$6:$F$350,MATCH(A306,Aktiv!$A$6:$A$350,0)),0)/1000000)/Steuerungsdaten!$B$6),1-1),0))</f>
        <v>5</v>
      </c>
      <c r="M306" s="297">
        <f>IFERROR(INDEX(Aktiv!$I$6:$I$350,MATCH(A306,Aktiv!$A$6:$A$350,0)),"")</f>
        <v>6</v>
      </c>
      <c r="N306" s="298">
        <f t="shared" si="36"/>
        <v>1</v>
      </c>
      <c r="O306" s="296">
        <f t="shared" si="37"/>
        <v>0.2</v>
      </c>
      <c r="P306" s="297">
        <f>IF(C306="","",ROUND(C306*Steuerungsdaten!$B$4*Steuerungsdaten!$B$10*IFERROR(VLOOKUP(IFERROR(INDEX(Aktiv!$C$6:$C$350,MATCH(A306,Aktiv!$A$6:$A$350,0)),""),Steuerungsdaten!$B$17:$I$37,8,FALSE),1)*POWER(IF(OR(IFERROR(INDEX(Aktiv!$E$6:$E$350,MATCH(A306,Aktiv!$A$6:$A$350,0)),0)=0,IFERROR(INDEX(Aktiv!$F$6:$F$350,MATCH(A306,Aktiv!$A$6:$A$350,0)),0)=0),1,(IFERROR(INDEX(Aktiv!$E$6:$E$350,MATCH(A306,Aktiv!$A$6:$A$350,0)),0)*IFERROR(INDEX(Aktiv!$F$6:$F$350,MATCH(A306,Aktiv!$A$6:$A$350,0)),0)/1000000)/Steuerungsdaten!$B$6),1-1),0))</f>
        <v>6</v>
      </c>
      <c r="Q306" s="297">
        <f>IFERROR(INDEX(Aktiv!$J$6:$J$350,MATCH(A306,Aktiv!$A$6:$A$350,0)),"")</f>
        <v>6</v>
      </c>
      <c r="R306" s="298">
        <f t="shared" si="38"/>
        <v>0</v>
      </c>
      <c r="S306" s="296">
        <f t="shared" si="39"/>
        <v>0</v>
      </c>
    </row>
    <row r="307" spans="1:19" x14ac:dyDescent="0.25">
      <c r="A307" s="292">
        <v>8152</v>
      </c>
      <c r="B307" s="292" t="s">
        <v>338</v>
      </c>
      <c r="C307" s="293">
        <f>IFERROR(INDEX(Aktiv!$O$6:$O$350,MATCH(A307,Aktiv!$A$6:$A$350,0)),"")</f>
        <v>70</v>
      </c>
      <c r="D307" s="293">
        <f>IF(C307="","",ROUND(C307*Steuerungsdaten!$B$4*Steuerungsdaten!$B$7*IFERROR(VLOOKUP(IFERROR(INDEX(Aktiv!$C$6:$C$350,MATCH(A307,Aktiv!$A$6:$A$350,0)),""),Steuerungsdaten!$B$17:$C$37,2,FALSE),1)*POWER(IF(OR(IFERROR(INDEX(Aktiv!$E$6:$E$350,MATCH(A307,Aktiv!$A$6:$A$350,0)),0)=0,IFERROR(INDEX(Aktiv!$F$6:$F$350,MATCH(A307,Aktiv!$A$6:$A$350,0)),0)=0),1,(IFERROR(INDEX(Aktiv!$E$6:$E$350,MATCH(A307,Aktiv!$A$6:$A$350,0)),0)*IFERROR(INDEX(Aktiv!$F$6:$F$350,MATCH(A307,Aktiv!$A$6:$A$350,0)),0)/1000000)/Steuerungsdaten!$B$6),IF(ISNUMBER(MATCH(IFERROR(INDEX(Aktiv!$C$6:$C$350,MATCH(A307,Aktiv!$A$6:$A$350,0)),""),{"Boden","Seite außen","Seite außen SY32","Rücken","Seite innen","Seite innen SY32","Seite innen SY32 DB","Fachboden klein","Fachboden groß","Klappenboden"},0)),1.2,1)-1),0))</f>
        <v>62</v>
      </c>
      <c r="E307" s="293">
        <f>IFERROR(INDEX(Aktiv!$G$6:$G$350,MATCH(A307,Aktiv!$A$6:$A$350,0)),"")</f>
        <v>70</v>
      </c>
      <c r="F307" s="294">
        <f t="shared" si="32"/>
        <v>8</v>
      </c>
      <c r="G307" s="295">
        <f t="shared" si="33"/>
        <v>0.12903225806451613</v>
      </c>
      <c r="H307" s="293">
        <f>IF(C307="","",ROUND(C307*Steuerungsdaten!$B$4*Steuerungsdaten!$B$8*IFERROR(VLOOKUP(IFERROR(INDEX(Aktiv!$C$6:$C$350,MATCH(A307,Aktiv!$A$6:$A$350,0)),""),Steuerungsdaten!$B$17:$E$37,4,FALSE),1)*POWER(IF(OR(IFERROR(INDEX(Aktiv!$E$6:$E$350,MATCH(A307,Aktiv!$A$6:$A$350,0)),0)=0,IFERROR(INDEX(Aktiv!$F$6:$F$350,MATCH(A307,Aktiv!$A$6:$A$350,0)),0)=0),1,(IFERROR(INDEX(Aktiv!$E$6:$E$350,MATCH(A307,Aktiv!$A$6:$A$350,0)),0)*IFERROR(INDEX(Aktiv!$F$6:$F$350,MATCH(A307,Aktiv!$A$6:$A$350,0)),0)/1000000)/Steuerungsdaten!$B$6),1-1),0))</f>
        <v>62</v>
      </c>
      <c r="I307" s="293">
        <f>IFERROR(INDEX(Aktiv!$H$6:$H$350,MATCH(A307,Aktiv!$A$6:$A$350,0)),"")</f>
        <v>70</v>
      </c>
      <c r="J307" s="294">
        <f t="shared" si="34"/>
        <v>8</v>
      </c>
      <c r="K307" s="296">
        <f t="shared" si="35"/>
        <v>0.12903225806451613</v>
      </c>
      <c r="L307" s="297">
        <f>IF(C307="","",ROUND(C307*Steuerungsdaten!$B$4*Steuerungsdaten!$B$9*IFERROR(VLOOKUP(IFERROR(INDEX(Aktiv!$C$6:$C$350,MATCH(A307,Aktiv!$A$6:$A$350,0)),""),Steuerungsdaten!$B$17:$G$37,6,FALSE),1)*POWER(IF(OR(IFERROR(INDEX(Aktiv!$E$6:$E$350,MATCH(A307,Aktiv!$A$6:$A$350,0)),0)=0,IFERROR(INDEX(Aktiv!$F$6:$F$350,MATCH(A307,Aktiv!$A$6:$A$350,0)),0)=0),1,(IFERROR(INDEX(Aktiv!$E$6:$E$350,MATCH(A307,Aktiv!$A$6:$A$350,0)),0)*IFERROR(INDEX(Aktiv!$F$6:$F$350,MATCH(A307,Aktiv!$A$6:$A$350,0)),0)/1000000)/Steuerungsdaten!$B$6),1-1),0))</f>
        <v>62</v>
      </c>
      <c r="M307" s="297">
        <f>IFERROR(INDEX(Aktiv!$I$6:$I$350,MATCH(A307,Aktiv!$A$6:$A$350,0)),"")</f>
        <v>70</v>
      </c>
      <c r="N307" s="298">
        <f t="shared" si="36"/>
        <v>8</v>
      </c>
      <c r="O307" s="296">
        <f t="shared" si="37"/>
        <v>0.12903225806451613</v>
      </c>
      <c r="P307" s="297">
        <f>IF(C307="","",ROUND(C307*Steuerungsdaten!$B$4*Steuerungsdaten!$B$10*IFERROR(VLOOKUP(IFERROR(INDEX(Aktiv!$C$6:$C$350,MATCH(A307,Aktiv!$A$6:$A$350,0)),""),Steuerungsdaten!$B$17:$I$37,8,FALSE),1)*POWER(IF(OR(IFERROR(INDEX(Aktiv!$E$6:$E$350,MATCH(A307,Aktiv!$A$6:$A$350,0)),0)=0,IFERROR(INDEX(Aktiv!$F$6:$F$350,MATCH(A307,Aktiv!$A$6:$A$350,0)),0)=0),1,(IFERROR(INDEX(Aktiv!$E$6:$E$350,MATCH(A307,Aktiv!$A$6:$A$350,0)),0)*IFERROR(INDEX(Aktiv!$F$6:$F$350,MATCH(A307,Aktiv!$A$6:$A$350,0)),0)/1000000)/Steuerungsdaten!$B$6),1-1),0))</f>
        <v>67</v>
      </c>
      <c r="Q307" s="297">
        <f>IFERROR(INDEX(Aktiv!$J$6:$J$350,MATCH(A307,Aktiv!$A$6:$A$350,0)),"")</f>
        <v>70</v>
      </c>
      <c r="R307" s="298">
        <f t="shared" si="38"/>
        <v>3</v>
      </c>
      <c r="S307" s="296">
        <f t="shared" si="39"/>
        <v>4.4776119402985072E-2</v>
      </c>
    </row>
    <row r="308" spans="1:19" x14ac:dyDescent="0.25">
      <c r="A308" s="292">
        <v>8411</v>
      </c>
      <c r="B308" s="292" t="s">
        <v>340</v>
      </c>
      <c r="C308" s="293">
        <f>IFERROR(INDEX(Aktiv!$O$6:$O$350,MATCH(A308,Aktiv!$A$6:$A$350,0)),"")</f>
        <v>500</v>
      </c>
      <c r="D308" s="293">
        <f>IF(C308="","",ROUND(C308*Steuerungsdaten!$B$4*Steuerungsdaten!$B$7*IFERROR(VLOOKUP(IFERROR(INDEX(Aktiv!$C$6:$C$350,MATCH(A308,Aktiv!$A$6:$A$350,0)),""),Steuerungsdaten!$B$17:$C$37,2,FALSE),1)*POWER(IF(OR(IFERROR(INDEX(Aktiv!$E$6:$E$350,MATCH(A308,Aktiv!$A$6:$A$350,0)),0)=0,IFERROR(INDEX(Aktiv!$F$6:$F$350,MATCH(A308,Aktiv!$A$6:$A$350,0)),0)=0),1,(IFERROR(INDEX(Aktiv!$E$6:$E$350,MATCH(A308,Aktiv!$A$6:$A$350,0)),0)*IFERROR(INDEX(Aktiv!$F$6:$F$350,MATCH(A308,Aktiv!$A$6:$A$350,0)),0)/1000000)/Steuerungsdaten!$B$6),IF(ISNUMBER(MATCH(IFERROR(INDEX(Aktiv!$C$6:$C$350,MATCH(A308,Aktiv!$A$6:$A$350,0)),""),{"Boden","Seite außen","Seite außen SY32","Rücken","Seite innen","Seite innen SY32","Seite innen SY32 DB","Fachboden klein","Fachboden groß","Klappenboden"},0)),1.2,1)-1),0))</f>
        <v>440</v>
      </c>
      <c r="E308" s="293">
        <f>IFERROR(INDEX(Aktiv!$G$6:$G$350,MATCH(A308,Aktiv!$A$6:$A$350,0)),"")</f>
        <v>500</v>
      </c>
      <c r="F308" s="294">
        <f t="shared" si="32"/>
        <v>60</v>
      </c>
      <c r="G308" s="295">
        <f t="shared" si="33"/>
        <v>0.13636363636363635</v>
      </c>
      <c r="H308" s="293">
        <f>IF(C308="","",ROUND(C308*Steuerungsdaten!$B$4*Steuerungsdaten!$B$8*IFERROR(VLOOKUP(IFERROR(INDEX(Aktiv!$C$6:$C$350,MATCH(A308,Aktiv!$A$6:$A$350,0)),""),Steuerungsdaten!$B$17:$E$37,4,FALSE),1)*POWER(IF(OR(IFERROR(INDEX(Aktiv!$E$6:$E$350,MATCH(A308,Aktiv!$A$6:$A$350,0)),0)=0,IFERROR(INDEX(Aktiv!$F$6:$F$350,MATCH(A308,Aktiv!$A$6:$A$350,0)),0)=0),1,(IFERROR(INDEX(Aktiv!$E$6:$E$350,MATCH(A308,Aktiv!$A$6:$A$350,0)),0)*IFERROR(INDEX(Aktiv!$F$6:$F$350,MATCH(A308,Aktiv!$A$6:$A$350,0)),0)/1000000)/Steuerungsdaten!$B$6),1-1),0))</f>
        <v>440</v>
      </c>
      <c r="I308" s="293">
        <f>IFERROR(INDEX(Aktiv!$H$6:$H$350,MATCH(A308,Aktiv!$A$6:$A$350,0)),"")</f>
        <v>500</v>
      </c>
      <c r="J308" s="294">
        <f t="shared" si="34"/>
        <v>60</v>
      </c>
      <c r="K308" s="296">
        <f t="shared" si="35"/>
        <v>0.13636363636363635</v>
      </c>
      <c r="L308" s="297">
        <f>IF(C308="","",ROUND(C308*Steuerungsdaten!$B$4*Steuerungsdaten!$B$9*IFERROR(VLOOKUP(IFERROR(INDEX(Aktiv!$C$6:$C$350,MATCH(A308,Aktiv!$A$6:$A$350,0)),""),Steuerungsdaten!$B$17:$G$37,6,FALSE),1)*POWER(IF(OR(IFERROR(INDEX(Aktiv!$E$6:$E$350,MATCH(A308,Aktiv!$A$6:$A$350,0)),0)=0,IFERROR(INDEX(Aktiv!$F$6:$F$350,MATCH(A308,Aktiv!$A$6:$A$350,0)),0)=0),1,(IFERROR(INDEX(Aktiv!$E$6:$E$350,MATCH(A308,Aktiv!$A$6:$A$350,0)),0)*IFERROR(INDEX(Aktiv!$F$6:$F$350,MATCH(A308,Aktiv!$A$6:$A$350,0)),0)/1000000)/Steuerungsdaten!$B$6),1-1),0))</f>
        <v>440</v>
      </c>
      <c r="M308" s="297">
        <f>IFERROR(INDEX(Aktiv!$I$6:$I$350,MATCH(A308,Aktiv!$A$6:$A$350,0)),"")</f>
        <v>500</v>
      </c>
      <c r="N308" s="298">
        <f t="shared" si="36"/>
        <v>60</v>
      </c>
      <c r="O308" s="296">
        <f t="shared" si="37"/>
        <v>0.13636363636363635</v>
      </c>
      <c r="P308" s="297">
        <f>IF(C308="","",ROUND(C308*Steuerungsdaten!$B$4*Steuerungsdaten!$B$10*IFERROR(VLOOKUP(IFERROR(INDEX(Aktiv!$C$6:$C$350,MATCH(A308,Aktiv!$A$6:$A$350,0)),""),Steuerungsdaten!$B$17:$I$37,8,FALSE),1)*POWER(IF(OR(IFERROR(INDEX(Aktiv!$E$6:$E$350,MATCH(A308,Aktiv!$A$6:$A$350,0)),0)=0,IFERROR(INDEX(Aktiv!$F$6:$F$350,MATCH(A308,Aktiv!$A$6:$A$350,0)),0)=0),1,(IFERROR(INDEX(Aktiv!$E$6:$E$350,MATCH(A308,Aktiv!$A$6:$A$350,0)),0)*IFERROR(INDEX(Aktiv!$F$6:$F$350,MATCH(A308,Aktiv!$A$6:$A$350,0)),0)/1000000)/Steuerungsdaten!$B$6),1-1),0))</f>
        <v>480</v>
      </c>
      <c r="Q308" s="297">
        <f>IFERROR(INDEX(Aktiv!$J$6:$J$350,MATCH(A308,Aktiv!$A$6:$A$350,0)),"")</f>
        <v>500</v>
      </c>
      <c r="R308" s="298">
        <f t="shared" si="38"/>
        <v>20</v>
      </c>
      <c r="S308" s="296">
        <f t="shared" si="39"/>
        <v>4.1666666666666664E-2</v>
      </c>
    </row>
    <row r="309" spans="1:19" x14ac:dyDescent="0.25">
      <c r="A309" s="292" t="s">
        <v>704</v>
      </c>
      <c r="B309" s="292" t="s">
        <v>705</v>
      </c>
      <c r="C309" s="293">
        <f>IFERROR(INDEX(Aktiv!$O$6:$O$350,MATCH(A309,Aktiv!$A$6:$A$350,0)),"")</f>
        <v>84</v>
      </c>
      <c r="D309" s="293">
        <f>IF(C309="","",ROUND(C309*Steuerungsdaten!$B$4*Steuerungsdaten!$B$7*IFERROR(VLOOKUP(IFERROR(INDEX(Aktiv!$C$6:$C$350,MATCH(A309,Aktiv!$A$6:$A$350,0)),""),Steuerungsdaten!$B$17:$C$37,2,FALSE),1)*POWER(IF(OR(IFERROR(INDEX(Aktiv!$E$6:$E$350,MATCH(A309,Aktiv!$A$6:$A$350,0)),0)=0,IFERROR(INDEX(Aktiv!$F$6:$F$350,MATCH(A309,Aktiv!$A$6:$A$350,0)),0)=0),1,(IFERROR(INDEX(Aktiv!$E$6:$E$350,MATCH(A309,Aktiv!$A$6:$A$350,0)),0)*IFERROR(INDEX(Aktiv!$F$6:$F$350,MATCH(A309,Aktiv!$A$6:$A$350,0)),0)/1000000)/Steuerungsdaten!$B$6),IF(ISNUMBER(MATCH(IFERROR(INDEX(Aktiv!$C$6:$C$350,MATCH(A309,Aktiv!$A$6:$A$350,0)),""),{"Boden","Seite außen","Seite außen SY32","Rücken","Seite innen","Seite innen SY32","Seite innen SY32 DB","Fachboden klein","Fachboden groß","Klappenboden"},0)),1.2,1)-1),0))</f>
        <v>92</v>
      </c>
      <c r="E309" s="293">
        <f>IFERROR(INDEX(Aktiv!$G$6:$G$350,MATCH(A309,Aktiv!$A$6:$A$350,0)),"")</f>
        <v>84</v>
      </c>
      <c r="F309" s="294">
        <f t="shared" si="32"/>
        <v>-8</v>
      </c>
      <c r="G309" s="295">
        <f t="shared" si="33"/>
        <v>-8.6956521739130432E-2</v>
      </c>
      <c r="H309" s="293">
        <f>IF(C309="","",ROUND(C309*Steuerungsdaten!$B$4*Steuerungsdaten!$B$8*IFERROR(VLOOKUP(IFERROR(INDEX(Aktiv!$C$6:$C$350,MATCH(A309,Aktiv!$A$6:$A$350,0)),""),Steuerungsdaten!$B$17:$E$37,4,FALSE),1)*POWER(IF(OR(IFERROR(INDEX(Aktiv!$E$6:$E$350,MATCH(A309,Aktiv!$A$6:$A$350,0)),0)=0,IFERROR(INDEX(Aktiv!$F$6:$F$350,MATCH(A309,Aktiv!$A$6:$A$350,0)),0)=0),1,(IFERROR(INDEX(Aktiv!$E$6:$E$350,MATCH(A309,Aktiv!$A$6:$A$350,0)),0)*IFERROR(INDEX(Aktiv!$F$6:$F$350,MATCH(A309,Aktiv!$A$6:$A$350,0)),0)/1000000)/Steuerungsdaten!$B$6),1-1),0))</f>
        <v>92</v>
      </c>
      <c r="I309" s="293">
        <f>IFERROR(INDEX(Aktiv!$H$6:$H$350,MATCH(A309,Aktiv!$A$6:$A$350,0)),"")</f>
        <v>84</v>
      </c>
      <c r="J309" s="294">
        <f t="shared" si="34"/>
        <v>-8</v>
      </c>
      <c r="K309" s="296">
        <f t="shared" si="35"/>
        <v>-8.6956521739130432E-2</v>
      </c>
      <c r="L309" s="297">
        <f>IF(C309="","",ROUND(C309*Steuerungsdaten!$B$4*Steuerungsdaten!$B$9*IFERROR(VLOOKUP(IFERROR(INDEX(Aktiv!$C$6:$C$350,MATCH(A309,Aktiv!$A$6:$A$350,0)),""),Steuerungsdaten!$B$17:$G$37,6,FALSE),1)*POWER(IF(OR(IFERROR(INDEX(Aktiv!$E$6:$E$350,MATCH(A309,Aktiv!$A$6:$A$350,0)),0)=0,IFERROR(INDEX(Aktiv!$F$6:$F$350,MATCH(A309,Aktiv!$A$6:$A$350,0)),0)=0),1,(IFERROR(INDEX(Aktiv!$E$6:$E$350,MATCH(A309,Aktiv!$A$6:$A$350,0)),0)*IFERROR(INDEX(Aktiv!$F$6:$F$350,MATCH(A309,Aktiv!$A$6:$A$350,0)),0)/1000000)/Steuerungsdaten!$B$6),1-1),0))</f>
        <v>92</v>
      </c>
      <c r="M309" s="297">
        <f>IFERROR(INDEX(Aktiv!$I$6:$I$350,MATCH(A309,Aktiv!$A$6:$A$350,0)),"")</f>
        <v>84</v>
      </c>
      <c r="N309" s="298">
        <f t="shared" si="36"/>
        <v>-8</v>
      </c>
      <c r="O309" s="296">
        <f t="shared" si="37"/>
        <v>-8.6956521739130432E-2</v>
      </c>
      <c r="P309" s="297">
        <f>IF(C309="","",ROUND(C309*Steuerungsdaten!$B$4*Steuerungsdaten!$B$10*IFERROR(VLOOKUP(IFERROR(INDEX(Aktiv!$C$6:$C$350,MATCH(A309,Aktiv!$A$6:$A$350,0)),""),Steuerungsdaten!$B$17:$I$37,8,FALSE),1)*POWER(IF(OR(IFERROR(INDEX(Aktiv!$E$6:$E$350,MATCH(A309,Aktiv!$A$6:$A$350,0)),0)=0,IFERROR(INDEX(Aktiv!$F$6:$F$350,MATCH(A309,Aktiv!$A$6:$A$350,0)),0)=0),1,(IFERROR(INDEX(Aktiv!$E$6:$E$350,MATCH(A309,Aktiv!$A$6:$A$350,0)),0)*IFERROR(INDEX(Aktiv!$F$6:$F$350,MATCH(A309,Aktiv!$A$6:$A$350,0)),0)/1000000)/Steuerungsdaten!$B$6),1-1),0))</f>
        <v>101</v>
      </c>
      <c r="Q309" s="297">
        <f>IFERROR(INDEX(Aktiv!$J$6:$J$350,MATCH(A309,Aktiv!$A$6:$A$350,0)),"")</f>
        <v>84</v>
      </c>
      <c r="R309" s="298">
        <f t="shared" si="38"/>
        <v>-17</v>
      </c>
      <c r="S309" s="296">
        <f t="shared" si="39"/>
        <v>-0.16831683168316833</v>
      </c>
    </row>
    <row r="310" spans="1:19" x14ac:dyDescent="0.25">
      <c r="A310" s="292" t="s">
        <v>706</v>
      </c>
      <c r="B310" s="292" t="s">
        <v>707</v>
      </c>
      <c r="C310" s="293">
        <f>IFERROR(INDEX(Aktiv!$O$6:$O$350,MATCH(A310,Aktiv!$A$6:$A$350,0)),"")</f>
        <v>105</v>
      </c>
      <c r="D310" s="293">
        <f>IF(C310="","",ROUND(C310*Steuerungsdaten!$B$4*Steuerungsdaten!$B$7*IFERROR(VLOOKUP(IFERROR(INDEX(Aktiv!$C$6:$C$350,MATCH(A310,Aktiv!$A$6:$A$350,0)),""),Steuerungsdaten!$B$17:$C$37,2,FALSE),1)*POWER(IF(OR(IFERROR(INDEX(Aktiv!$E$6:$E$350,MATCH(A310,Aktiv!$A$6:$A$350,0)),0)=0,IFERROR(INDEX(Aktiv!$F$6:$F$350,MATCH(A310,Aktiv!$A$6:$A$350,0)),0)=0),1,(IFERROR(INDEX(Aktiv!$E$6:$E$350,MATCH(A310,Aktiv!$A$6:$A$350,0)),0)*IFERROR(INDEX(Aktiv!$F$6:$F$350,MATCH(A310,Aktiv!$A$6:$A$350,0)),0)/1000000)/Steuerungsdaten!$B$6),IF(ISNUMBER(MATCH(IFERROR(INDEX(Aktiv!$C$6:$C$350,MATCH(A310,Aktiv!$A$6:$A$350,0)),""),{"Boden","Seite außen","Seite außen SY32","Rücken","Seite innen","Seite innen SY32","Seite innen SY32 DB","Fachboden klein","Fachboden groß","Klappenboden"},0)),1.2,1)-1),0))</f>
        <v>116</v>
      </c>
      <c r="E310" s="293">
        <f>IFERROR(INDEX(Aktiv!$G$6:$G$350,MATCH(A310,Aktiv!$A$6:$A$350,0)),"")</f>
        <v>105</v>
      </c>
      <c r="F310" s="294">
        <f t="shared" si="32"/>
        <v>-11</v>
      </c>
      <c r="G310" s="295">
        <f t="shared" si="33"/>
        <v>-9.4827586206896547E-2</v>
      </c>
      <c r="H310" s="293">
        <f>IF(C310="","",ROUND(C310*Steuerungsdaten!$B$4*Steuerungsdaten!$B$8*IFERROR(VLOOKUP(IFERROR(INDEX(Aktiv!$C$6:$C$350,MATCH(A310,Aktiv!$A$6:$A$350,0)),""),Steuerungsdaten!$B$17:$E$37,4,FALSE),1)*POWER(IF(OR(IFERROR(INDEX(Aktiv!$E$6:$E$350,MATCH(A310,Aktiv!$A$6:$A$350,0)),0)=0,IFERROR(INDEX(Aktiv!$F$6:$F$350,MATCH(A310,Aktiv!$A$6:$A$350,0)),0)=0),1,(IFERROR(INDEX(Aktiv!$E$6:$E$350,MATCH(A310,Aktiv!$A$6:$A$350,0)),0)*IFERROR(INDEX(Aktiv!$F$6:$F$350,MATCH(A310,Aktiv!$A$6:$A$350,0)),0)/1000000)/Steuerungsdaten!$B$6),1-1),0))</f>
        <v>116</v>
      </c>
      <c r="I310" s="293">
        <f>IFERROR(INDEX(Aktiv!$H$6:$H$350,MATCH(A310,Aktiv!$A$6:$A$350,0)),"")</f>
        <v>105</v>
      </c>
      <c r="J310" s="294">
        <f t="shared" si="34"/>
        <v>-11</v>
      </c>
      <c r="K310" s="296">
        <f t="shared" si="35"/>
        <v>-9.4827586206896547E-2</v>
      </c>
      <c r="L310" s="297">
        <f>IF(C310="","",ROUND(C310*Steuerungsdaten!$B$4*Steuerungsdaten!$B$9*IFERROR(VLOOKUP(IFERROR(INDEX(Aktiv!$C$6:$C$350,MATCH(A310,Aktiv!$A$6:$A$350,0)),""),Steuerungsdaten!$B$17:$G$37,6,FALSE),1)*POWER(IF(OR(IFERROR(INDEX(Aktiv!$E$6:$E$350,MATCH(A310,Aktiv!$A$6:$A$350,0)),0)=0,IFERROR(INDEX(Aktiv!$F$6:$F$350,MATCH(A310,Aktiv!$A$6:$A$350,0)),0)=0),1,(IFERROR(INDEX(Aktiv!$E$6:$E$350,MATCH(A310,Aktiv!$A$6:$A$350,0)),0)*IFERROR(INDEX(Aktiv!$F$6:$F$350,MATCH(A310,Aktiv!$A$6:$A$350,0)),0)/1000000)/Steuerungsdaten!$B$6),1-1),0))</f>
        <v>116</v>
      </c>
      <c r="M310" s="297">
        <f>IFERROR(INDEX(Aktiv!$I$6:$I$350,MATCH(A310,Aktiv!$A$6:$A$350,0)),"")</f>
        <v>105</v>
      </c>
      <c r="N310" s="298">
        <f t="shared" si="36"/>
        <v>-11</v>
      </c>
      <c r="O310" s="296">
        <f t="shared" si="37"/>
        <v>-9.4827586206896547E-2</v>
      </c>
      <c r="P310" s="297">
        <f>IF(C310="","",ROUND(C310*Steuerungsdaten!$B$4*Steuerungsdaten!$B$10*IFERROR(VLOOKUP(IFERROR(INDEX(Aktiv!$C$6:$C$350,MATCH(A310,Aktiv!$A$6:$A$350,0)),""),Steuerungsdaten!$B$17:$I$37,8,FALSE),1)*POWER(IF(OR(IFERROR(INDEX(Aktiv!$E$6:$E$350,MATCH(A310,Aktiv!$A$6:$A$350,0)),0)=0,IFERROR(INDEX(Aktiv!$F$6:$F$350,MATCH(A310,Aktiv!$A$6:$A$350,0)),0)=0),1,(IFERROR(INDEX(Aktiv!$E$6:$E$350,MATCH(A310,Aktiv!$A$6:$A$350,0)),0)*IFERROR(INDEX(Aktiv!$F$6:$F$350,MATCH(A310,Aktiv!$A$6:$A$350,0)),0)/1000000)/Steuerungsdaten!$B$6),1-1),0))</f>
        <v>126</v>
      </c>
      <c r="Q310" s="297">
        <f>IFERROR(INDEX(Aktiv!$J$6:$J$350,MATCH(A310,Aktiv!$A$6:$A$350,0)),"")</f>
        <v>105</v>
      </c>
      <c r="R310" s="298">
        <f t="shared" si="38"/>
        <v>-21</v>
      </c>
      <c r="S310" s="296">
        <f t="shared" si="39"/>
        <v>-0.16666666666666666</v>
      </c>
    </row>
    <row r="311" spans="1:19" x14ac:dyDescent="0.25">
      <c r="A311" s="292" t="s">
        <v>708</v>
      </c>
      <c r="B311" s="292" t="s">
        <v>709</v>
      </c>
      <c r="C311" s="293">
        <f>IFERROR(INDEX(Aktiv!$O$6:$O$350,MATCH(A311,Aktiv!$A$6:$A$350,0)),"")</f>
        <v>105</v>
      </c>
      <c r="D311" s="293">
        <f>IF(C311="","",ROUND(C311*Steuerungsdaten!$B$4*Steuerungsdaten!$B$7*IFERROR(VLOOKUP(IFERROR(INDEX(Aktiv!$C$6:$C$350,MATCH(A311,Aktiv!$A$6:$A$350,0)),""),Steuerungsdaten!$B$17:$C$37,2,FALSE),1)*POWER(IF(OR(IFERROR(INDEX(Aktiv!$E$6:$E$350,MATCH(A311,Aktiv!$A$6:$A$350,0)),0)=0,IFERROR(INDEX(Aktiv!$F$6:$F$350,MATCH(A311,Aktiv!$A$6:$A$350,0)),0)=0),1,(IFERROR(INDEX(Aktiv!$E$6:$E$350,MATCH(A311,Aktiv!$A$6:$A$350,0)),0)*IFERROR(INDEX(Aktiv!$F$6:$F$350,MATCH(A311,Aktiv!$A$6:$A$350,0)),0)/1000000)/Steuerungsdaten!$B$6),IF(ISNUMBER(MATCH(IFERROR(INDEX(Aktiv!$C$6:$C$350,MATCH(A311,Aktiv!$A$6:$A$350,0)),""),{"Boden","Seite außen","Seite außen SY32","Rücken","Seite innen","Seite innen SY32","Seite innen SY32 DB","Fachboden klein","Fachboden groß","Klappenboden"},0)),1.2,1)-1),0))</f>
        <v>116</v>
      </c>
      <c r="E311" s="293">
        <f>IFERROR(INDEX(Aktiv!$G$6:$G$350,MATCH(A311,Aktiv!$A$6:$A$350,0)),"")</f>
        <v>105</v>
      </c>
      <c r="F311" s="294">
        <f t="shared" si="32"/>
        <v>-11</v>
      </c>
      <c r="G311" s="295">
        <f t="shared" si="33"/>
        <v>-9.4827586206896547E-2</v>
      </c>
      <c r="H311" s="293">
        <f>IF(C311="","",ROUND(C311*Steuerungsdaten!$B$4*Steuerungsdaten!$B$8*IFERROR(VLOOKUP(IFERROR(INDEX(Aktiv!$C$6:$C$350,MATCH(A311,Aktiv!$A$6:$A$350,0)),""),Steuerungsdaten!$B$17:$E$37,4,FALSE),1)*POWER(IF(OR(IFERROR(INDEX(Aktiv!$E$6:$E$350,MATCH(A311,Aktiv!$A$6:$A$350,0)),0)=0,IFERROR(INDEX(Aktiv!$F$6:$F$350,MATCH(A311,Aktiv!$A$6:$A$350,0)),0)=0),1,(IFERROR(INDEX(Aktiv!$E$6:$E$350,MATCH(A311,Aktiv!$A$6:$A$350,0)),0)*IFERROR(INDEX(Aktiv!$F$6:$F$350,MATCH(A311,Aktiv!$A$6:$A$350,0)),0)/1000000)/Steuerungsdaten!$B$6),1-1),0))</f>
        <v>116</v>
      </c>
      <c r="I311" s="293">
        <f>IFERROR(INDEX(Aktiv!$H$6:$H$350,MATCH(A311,Aktiv!$A$6:$A$350,0)),"")</f>
        <v>105</v>
      </c>
      <c r="J311" s="294">
        <f t="shared" si="34"/>
        <v>-11</v>
      </c>
      <c r="K311" s="296">
        <f t="shared" si="35"/>
        <v>-9.4827586206896547E-2</v>
      </c>
      <c r="L311" s="297">
        <f>IF(C311="","",ROUND(C311*Steuerungsdaten!$B$4*Steuerungsdaten!$B$9*IFERROR(VLOOKUP(IFERROR(INDEX(Aktiv!$C$6:$C$350,MATCH(A311,Aktiv!$A$6:$A$350,0)),""),Steuerungsdaten!$B$17:$G$37,6,FALSE),1)*POWER(IF(OR(IFERROR(INDEX(Aktiv!$E$6:$E$350,MATCH(A311,Aktiv!$A$6:$A$350,0)),0)=0,IFERROR(INDEX(Aktiv!$F$6:$F$350,MATCH(A311,Aktiv!$A$6:$A$350,0)),0)=0),1,(IFERROR(INDEX(Aktiv!$E$6:$E$350,MATCH(A311,Aktiv!$A$6:$A$350,0)),0)*IFERROR(INDEX(Aktiv!$F$6:$F$350,MATCH(A311,Aktiv!$A$6:$A$350,0)),0)/1000000)/Steuerungsdaten!$B$6),1-1),0))</f>
        <v>116</v>
      </c>
      <c r="M311" s="297">
        <f>IFERROR(INDEX(Aktiv!$I$6:$I$350,MATCH(A311,Aktiv!$A$6:$A$350,0)),"")</f>
        <v>105</v>
      </c>
      <c r="N311" s="298">
        <f t="shared" si="36"/>
        <v>-11</v>
      </c>
      <c r="O311" s="296">
        <f t="shared" si="37"/>
        <v>-9.4827586206896547E-2</v>
      </c>
      <c r="P311" s="297">
        <f>IF(C311="","",ROUND(C311*Steuerungsdaten!$B$4*Steuerungsdaten!$B$10*IFERROR(VLOOKUP(IFERROR(INDEX(Aktiv!$C$6:$C$350,MATCH(A311,Aktiv!$A$6:$A$350,0)),""),Steuerungsdaten!$B$17:$I$37,8,FALSE),1)*POWER(IF(OR(IFERROR(INDEX(Aktiv!$E$6:$E$350,MATCH(A311,Aktiv!$A$6:$A$350,0)),0)=0,IFERROR(INDEX(Aktiv!$F$6:$F$350,MATCH(A311,Aktiv!$A$6:$A$350,0)),0)=0),1,(IFERROR(INDEX(Aktiv!$E$6:$E$350,MATCH(A311,Aktiv!$A$6:$A$350,0)),0)*IFERROR(INDEX(Aktiv!$F$6:$F$350,MATCH(A311,Aktiv!$A$6:$A$350,0)),0)/1000000)/Steuerungsdaten!$B$6),1-1),0))</f>
        <v>126</v>
      </c>
      <c r="Q311" s="297">
        <f>IFERROR(INDEX(Aktiv!$J$6:$J$350,MATCH(A311,Aktiv!$A$6:$A$350,0)),"")</f>
        <v>105</v>
      </c>
      <c r="R311" s="298">
        <f t="shared" si="38"/>
        <v>-21</v>
      </c>
      <c r="S311" s="296">
        <f t="shared" si="39"/>
        <v>-0.16666666666666666</v>
      </c>
    </row>
    <row r="312" spans="1:19" x14ac:dyDescent="0.25">
      <c r="A312" s="292" t="s">
        <v>710</v>
      </c>
      <c r="B312" s="292" t="s">
        <v>711</v>
      </c>
      <c r="C312" s="293">
        <f>IFERROR(INDEX(Aktiv!$O$6:$O$350,MATCH(A312,Aktiv!$A$6:$A$350,0)),"")</f>
        <v>92</v>
      </c>
      <c r="D312" s="293">
        <f>IF(C312="","",ROUND(C312*Steuerungsdaten!$B$4*Steuerungsdaten!$B$7*IFERROR(VLOOKUP(IFERROR(INDEX(Aktiv!$C$6:$C$350,MATCH(A312,Aktiv!$A$6:$A$350,0)),""),Steuerungsdaten!$B$17:$C$37,2,FALSE),1)*POWER(IF(OR(IFERROR(INDEX(Aktiv!$E$6:$E$350,MATCH(A312,Aktiv!$A$6:$A$350,0)),0)=0,IFERROR(INDEX(Aktiv!$F$6:$F$350,MATCH(A312,Aktiv!$A$6:$A$350,0)),0)=0),1,(IFERROR(INDEX(Aktiv!$E$6:$E$350,MATCH(A312,Aktiv!$A$6:$A$350,0)),0)*IFERROR(INDEX(Aktiv!$F$6:$F$350,MATCH(A312,Aktiv!$A$6:$A$350,0)),0)/1000000)/Steuerungsdaten!$B$6),IF(ISNUMBER(MATCH(IFERROR(INDEX(Aktiv!$C$6:$C$350,MATCH(A312,Aktiv!$A$6:$A$350,0)),""),{"Boden","Seite außen","Seite außen SY32","Rücken","Seite innen","Seite innen SY32","Seite innen SY32 DB","Fachboden klein","Fachboden groß","Klappenboden"},0)),1.2,1)-1),0))</f>
        <v>101</v>
      </c>
      <c r="E312" s="293">
        <f>IFERROR(INDEX(Aktiv!$G$6:$G$350,MATCH(A312,Aktiv!$A$6:$A$350,0)),"")</f>
        <v>92</v>
      </c>
      <c r="F312" s="294">
        <f t="shared" si="32"/>
        <v>-9</v>
      </c>
      <c r="G312" s="295">
        <f t="shared" si="33"/>
        <v>-8.9108910891089105E-2</v>
      </c>
      <c r="H312" s="293">
        <f>IF(C312="","",ROUND(C312*Steuerungsdaten!$B$4*Steuerungsdaten!$B$8*IFERROR(VLOOKUP(IFERROR(INDEX(Aktiv!$C$6:$C$350,MATCH(A312,Aktiv!$A$6:$A$350,0)),""),Steuerungsdaten!$B$17:$E$37,4,FALSE),1)*POWER(IF(OR(IFERROR(INDEX(Aktiv!$E$6:$E$350,MATCH(A312,Aktiv!$A$6:$A$350,0)),0)=0,IFERROR(INDEX(Aktiv!$F$6:$F$350,MATCH(A312,Aktiv!$A$6:$A$350,0)),0)=0),1,(IFERROR(INDEX(Aktiv!$E$6:$E$350,MATCH(A312,Aktiv!$A$6:$A$350,0)),0)*IFERROR(INDEX(Aktiv!$F$6:$F$350,MATCH(A312,Aktiv!$A$6:$A$350,0)),0)/1000000)/Steuerungsdaten!$B$6),1-1),0))</f>
        <v>101</v>
      </c>
      <c r="I312" s="293">
        <f>IFERROR(INDEX(Aktiv!$H$6:$H$350,MATCH(A312,Aktiv!$A$6:$A$350,0)),"")</f>
        <v>92</v>
      </c>
      <c r="J312" s="294">
        <f t="shared" si="34"/>
        <v>-9</v>
      </c>
      <c r="K312" s="296">
        <f t="shared" si="35"/>
        <v>-8.9108910891089105E-2</v>
      </c>
      <c r="L312" s="297">
        <f>IF(C312="","",ROUND(C312*Steuerungsdaten!$B$4*Steuerungsdaten!$B$9*IFERROR(VLOOKUP(IFERROR(INDEX(Aktiv!$C$6:$C$350,MATCH(A312,Aktiv!$A$6:$A$350,0)),""),Steuerungsdaten!$B$17:$G$37,6,FALSE),1)*POWER(IF(OR(IFERROR(INDEX(Aktiv!$E$6:$E$350,MATCH(A312,Aktiv!$A$6:$A$350,0)),0)=0,IFERROR(INDEX(Aktiv!$F$6:$F$350,MATCH(A312,Aktiv!$A$6:$A$350,0)),0)=0),1,(IFERROR(INDEX(Aktiv!$E$6:$E$350,MATCH(A312,Aktiv!$A$6:$A$350,0)),0)*IFERROR(INDEX(Aktiv!$F$6:$F$350,MATCH(A312,Aktiv!$A$6:$A$350,0)),0)/1000000)/Steuerungsdaten!$B$6),1-1),0))</f>
        <v>101</v>
      </c>
      <c r="M312" s="297">
        <f>IFERROR(INDEX(Aktiv!$I$6:$I$350,MATCH(A312,Aktiv!$A$6:$A$350,0)),"")</f>
        <v>92</v>
      </c>
      <c r="N312" s="298">
        <f t="shared" si="36"/>
        <v>-9</v>
      </c>
      <c r="O312" s="296">
        <f t="shared" si="37"/>
        <v>-8.9108910891089105E-2</v>
      </c>
      <c r="P312" s="297">
        <f>IF(C312="","",ROUND(C312*Steuerungsdaten!$B$4*Steuerungsdaten!$B$10*IFERROR(VLOOKUP(IFERROR(INDEX(Aktiv!$C$6:$C$350,MATCH(A312,Aktiv!$A$6:$A$350,0)),""),Steuerungsdaten!$B$17:$I$37,8,FALSE),1)*POWER(IF(OR(IFERROR(INDEX(Aktiv!$E$6:$E$350,MATCH(A312,Aktiv!$A$6:$A$350,0)),0)=0,IFERROR(INDEX(Aktiv!$F$6:$F$350,MATCH(A312,Aktiv!$A$6:$A$350,0)),0)=0),1,(IFERROR(INDEX(Aktiv!$E$6:$E$350,MATCH(A312,Aktiv!$A$6:$A$350,0)),0)*IFERROR(INDEX(Aktiv!$F$6:$F$350,MATCH(A312,Aktiv!$A$6:$A$350,0)),0)/1000000)/Steuerungsdaten!$B$6),1-1),0))</f>
        <v>110</v>
      </c>
      <c r="Q312" s="297">
        <f>IFERROR(INDEX(Aktiv!$J$6:$J$350,MATCH(A312,Aktiv!$A$6:$A$350,0)),"")</f>
        <v>92</v>
      </c>
      <c r="R312" s="298">
        <f t="shared" si="38"/>
        <v>-18</v>
      </c>
      <c r="S312" s="296">
        <f t="shared" si="39"/>
        <v>-0.16363636363636364</v>
      </c>
    </row>
    <row r="313" spans="1:19" x14ac:dyDescent="0.25">
      <c r="A313" s="292" t="s">
        <v>712</v>
      </c>
      <c r="B313" s="292" t="s">
        <v>713</v>
      </c>
      <c r="C313" s="293">
        <f>IFERROR(INDEX(Aktiv!$O$6:$O$350,MATCH(A313,Aktiv!$A$6:$A$350,0)),"")</f>
        <v>99</v>
      </c>
      <c r="D313" s="293">
        <f>IF(C313="","",ROUND(C313*Steuerungsdaten!$B$4*Steuerungsdaten!$B$7*IFERROR(VLOOKUP(IFERROR(INDEX(Aktiv!$C$6:$C$350,MATCH(A313,Aktiv!$A$6:$A$350,0)),""),Steuerungsdaten!$B$17:$C$37,2,FALSE),1)*POWER(IF(OR(IFERROR(INDEX(Aktiv!$E$6:$E$350,MATCH(A313,Aktiv!$A$6:$A$350,0)),0)=0,IFERROR(INDEX(Aktiv!$F$6:$F$350,MATCH(A313,Aktiv!$A$6:$A$350,0)),0)=0),1,(IFERROR(INDEX(Aktiv!$E$6:$E$350,MATCH(A313,Aktiv!$A$6:$A$350,0)),0)*IFERROR(INDEX(Aktiv!$F$6:$F$350,MATCH(A313,Aktiv!$A$6:$A$350,0)),0)/1000000)/Steuerungsdaten!$B$6),IF(ISNUMBER(MATCH(IFERROR(INDEX(Aktiv!$C$6:$C$350,MATCH(A313,Aktiv!$A$6:$A$350,0)),""),{"Boden","Seite außen","Seite außen SY32","Rücken","Seite innen","Seite innen SY32","Seite innen SY32 DB","Fachboden klein","Fachboden groß","Klappenboden"},0)),1.2,1)-1),0))</f>
        <v>109</v>
      </c>
      <c r="E313" s="293">
        <f>IFERROR(INDEX(Aktiv!$G$6:$G$350,MATCH(A313,Aktiv!$A$6:$A$350,0)),"")</f>
        <v>99</v>
      </c>
      <c r="F313" s="294">
        <f t="shared" si="32"/>
        <v>-10</v>
      </c>
      <c r="G313" s="295">
        <f t="shared" si="33"/>
        <v>-9.1743119266055051E-2</v>
      </c>
      <c r="H313" s="293">
        <f>IF(C313="","",ROUND(C313*Steuerungsdaten!$B$4*Steuerungsdaten!$B$8*IFERROR(VLOOKUP(IFERROR(INDEX(Aktiv!$C$6:$C$350,MATCH(A313,Aktiv!$A$6:$A$350,0)),""),Steuerungsdaten!$B$17:$E$37,4,FALSE),1)*POWER(IF(OR(IFERROR(INDEX(Aktiv!$E$6:$E$350,MATCH(A313,Aktiv!$A$6:$A$350,0)),0)=0,IFERROR(INDEX(Aktiv!$F$6:$F$350,MATCH(A313,Aktiv!$A$6:$A$350,0)),0)=0),1,(IFERROR(INDEX(Aktiv!$E$6:$E$350,MATCH(A313,Aktiv!$A$6:$A$350,0)),0)*IFERROR(INDEX(Aktiv!$F$6:$F$350,MATCH(A313,Aktiv!$A$6:$A$350,0)),0)/1000000)/Steuerungsdaten!$B$6),1-1),0))</f>
        <v>109</v>
      </c>
      <c r="I313" s="293">
        <f>IFERROR(INDEX(Aktiv!$H$6:$H$350,MATCH(A313,Aktiv!$A$6:$A$350,0)),"")</f>
        <v>99</v>
      </c>
      <c r="J313" s="294">
        <f t="shared" si="34"/>
        <v>-10</v>
      </c>
      <c r="K313" s="296">
        <f t="shared" si="35"/>
        <v>-9.1743119266055051E-2</v>
      </c>
      <c r="L313" s="297">
        <f>IF(C313="","",ROUND(C313*Steuerungsdaten!$B$4*Steuerungsdaten!$B$9*IFERROR(VLOOKUP(IFERROR(INDEX(Aktiv!$C$6:$C$350,MATCH(A313,Aktiv!$A$6:$A$350,0)),""),Steuerungsdaten!$B$17:$G$37,6,FALSE),1)*POWER(IF(OR(IFERROR(INDEX(Aktiv!$E$6:$E$350,MATCH(A313,Aktiv!$A$6:$A$350,0)),0)=0,IFERROR(INDEX(Aktiv!$F$6:$F$350,MATCH(A313,Aktiv!$A$6:$A$350,0)),0)=0),1,(IFERROR(INDEX(Aktiv!$E$6:$E$350,MATCH(A313,Aktiv!$A$6:$A$350,0)),0)*IFERROR(INDEX(Aktiv!$F$6:$F$350,MATCH(A313,Aktiv!$A$6:$A$350,0)),0)/1000000)/Steuerungsdaten!$B$6),1-1),0))</f>
        <v>109</v>
      </c>
      <c r="M313" s="297">
        <f>IFERROR(INDEX(Aktiv!$I$6:$I$350,MATCH(A313,Aktiv!$A$6:$A$350,0)),"")</f>
        <v>99</v>
      </c>
      <c r="N313" s="298">
        <f t="shared" si="36"/>
        <v>-10</v>
      </c>
      <c r="O313" s="296">
        <f t="shared" si="37"/>
        <v>-9.1743119266055051E-2</v>
      </c>
      <c r="P313" s="297">
        <f>IF(C313="","",ROUND(C313*Steuerungsdaten!$B$4*Steuerungsdaten!$B$10*IFERROR(VLOOKUP(IFERROR(INDEX(Aktiv!$C$6:$C$350,MATCH(A313,Aktiv!$A$6:$A$350,0)),""),Steuerungsdaten!$B$17:$I$37,8,FALSE),1)*POWER(IF(OR(IFERROR(INDEX(Aktiv!$E$6:$E$350,MATCH(A313,Aktiv!$A$6:$A$350,0)),0)=0,IFERROR(INDEX(Aktiv!$F$6:$F$350,MATCH(A313,Aktiv!$A$6:$A$350,0)),0)=0),1,(IFERROR(INDEX(Aktiv!$E$6:$E$350,MATCH(A313,Aktiv!$A$6:$A$350,0)),0)*IFERROR(INDEX(Aktiv!$F$6:$F$350,MATCH(A313,Aktiv!$A$6:$A$350,0)),0)/1000000)/Steuerungsdaten!$B$6),1-1),0))</f>
        <v>119</v>
      </c>
      <c r="Q313" s="297">
        <f>IFERROR(INDEX(Aktiv!$J$6:$J$350,MATCH(A313,Aktiv!$A$6:$A$350,0)),"")</f>
        <v>99</v>
      </c>
      <c r="R313" s="298">
        <f t="shared" si="38"/>
        <v>-20</v>
      </c>
      <c r="S313" s="296">
        <f t="shared" si="39"/>
        <v>-0.16806722689075632</v>
      </c>
    </row>
    <row r="314" spans="1:19" x14ac:dyDescent="0.25">
      <c r="A314" s="292" t="s">
        <v>714</v>
      </c>
      <c r="B314" s="292" t="s">
        <v>715</v>
      </c>
      <c r="C314" s="293">
        <f>IFERROR(INDEX(Aktiv!$O$6:$O$350,MATCH(A314,Aktiv!$A$6:$A$350,0)),"")</f>
        <v>107</v>
      </c>
      <c r="D314" s="293">
        <f>IF(C314="","",ROUND(C314*Steuerungsdaten!$B$4*Steuerungsdaten!$B$7*IFERROR(VLOOKUP(IFERROR(INDEX(Aktiv!$C$6:$C$350,MATCH(A314,Aktiv!$A$6:$A$350,0)),""),Steuerungsdaten!$B$17:$C$37,2,FALSE),1)*POWER(IF(OR(IFERROR(INDEX(Aktiv!$E$6:$E$350,MATCH(A314,Aktiv!$A$6:$A$350,0)),0)=0,IFERROR(INDEX(Aktiv!$F$6:$F$350,MATCH(A314,Aktiv!$A$6:$A$350,0)),0)=0),1,(IFERROR(INDEX(Aktiv!$E$6:$E$350,MATCH(A314,Aktiv!$A$6:$A$350,0)),0)*IFERROR(INDEX(Aktiv!$F$6:$F$350,MATCH(A314,Aktiv!$A$6:$A$350,0)),0)/1000000)/Steuerungsdaten!$B$6),IF(ISNUMBER(MATCH(IFERROR(INDEX(Aktiv!$C$6:$C$350,MATCH(A314,Aktiv!$A$6:$A$350,0)),""),{"Boden","Seite außen","Seite außen SY32","Rücken","Seite innen","Seite innen SY32","Seite innen SY32 DB","Fachboden klein","Fachboden groß","Klappenboden"},0)),1.2,1)-1),0))</f>
        <v>118</v>
      </c>
      <c r="E314" s="293">
        <f>IFERROR(INDEX(Aktiv!$G$6:$G$350,MATCH(A314,Aktiv!$A$6:$A$350,0)),"")</f>
        <v>107</v>
      </c>
      <c r="F314" s="294">
        <f t="shared" si="32"/>
        <v>-11</v>
      </c>
      <c r="G314" s="295">
        <f t="shared" si="33"/>
        <v>-9.3220338983050849E-2</v>
      </c>
      <c r="H314" s="293">
        <f>IF(C314="","",ROUND(C314*Steuerungsdaten!$B$4*Steuerungsdaten!$B$8*IFERROR(VLOOKUP(IFERROR(INDEX(Aktiv!$C$6:$C$350,MATCH(A314,Aktiv!$A$6:$A$350,0)),""),Steuerungsdaten!$B$17:$E$37,4,FALSE),1)*POWER(IF(OR(IFERROR(INDEX(Aktiv!$E$6:$E$350,MATCH(A314,Aktiv!$A$6:$A$350,0)),0)=0,IFERROR(INDEX(Aktiv!$F$6:$F$350,MATCH(A314,Aktiv!$A$6:$A$350,0)),0)=0),1,(IFERROR(INDEX(Aktiv!$E$6:$E$350,MATCH(A314,Aktiv!$A$6:$A$350,0)),0)*IFERROR(INDEX(Aktiv!$F$6:$F$350,MATCH(A314,Aktiv!$A$6:$A$350,0)),0)/1000000)/Steuerungsdaten!$B$6),1-1),0))</f>
        <v>118</v>
      </c>
      <c r="I314" s="293">
        <f>IFERROR(INDEX(Aktiv!$H$6:$H$350,MATCH(A314,Aktiv!$A$6:$A$350,0)),"")</f>
        <v>107</v>
      </c>
      <c r="J314" s="294">
        <f t="shared" si="34"/>
        <v>-11</v>
      </c>
      <c r="K314" s="296">
        <f t="shared" si="35"/>
        <v>-9.3220338983050849E-2</v>
      </c>
      <c r="L314" s="297">
        <f>IF(C314="","",ROUND(C314*Steuerungsdaten!$B$4*Steuerungsdaten!$B$9*IFERROR(VLOOKUP(IFERROR(INDEX(Aktiv!$C$6:$C$350,MATCH(A314,Aktiv!$A$6:$A$350,0)),""),Steuerungsdaten!$B$17:$G$37,6,FALSE),1)*POWER(IF(OR(IFERROR(INDEX(Aktiv!$E$6:$E$350,MATCH(A314,Aktiv!$A$6:$A$350,0)),0)=0,IFERROR(INDEX(Aktiv!$F$6:$F$350,MATCH(A314,Aktiv!$A$6:$A$350,0)),0)=0),1,(IFERROR(INDEX(Aktiv!$E$6:$E$350,MATCH(A314,Aktiv!$A$6:$A$350,0)),0)*IFERROR(INDEX(Aktiv!$F$6:$F$350,MATCH(A314,Aktiv!$A$6:$A$350,0)),0)/1000000)/Steuerungsdaten!$B$6),1-1),0))</f>
        <v>118</v>
      </c>
      <c r="M314" s="297">
        <f>IFERROR(INDEX(Aktiv!$I$6:$I$350,MATCH(A314,Aktiv!$A$6:$A$350,0)),"")</f>
        <v>107</v>
      </c>
      <c r="N314" s="298">
        <f t="shared" si="36"/>
        <v>-11</v>
      </c>
      <c r="O314" s="296">
        <f t="shared" si="37"/>
        <v>-9.3220338983050849E-2</v>
      </c>
      <c r="P314" s="297">
        <f>IF(C314="","",ROUND(C314*Steuerungsdaten!$B$4*Steuerungsdaten!$B$10*IFERROR(VLOOKUP(IFERROR(INDEX(Aktiv!$C$6:$C$350,MATCH(A314,Aktiv!$A$6:$A$350,0)),""),Steuerungsdaten!$B$17:$I$37,8,FALSE),1)*POWER(IF(OR(IFERROR(INDEX(Aktiv!$E$6:$E$350,MATCH(A314,Aktiv!$A$6:$A$350,0)),0)=0,IFERROR(INDEX(Aktiv!$F$6:$F$350,MATCH(A314,Aktiv!$A$6:$A$350,0)),0)=0),1,(IFERROR(INDEX(Aktiv!$E$6:$E$350,MATCH(A314,Aktiv!$A$6:$A$350,0)),0)*IFERROR(INDEX(Aktiv!$F$6:$F$350,MATCH(A314,Aktiv!$A$6:$A$350,0)),0)/1000000)/Steuerungsdaten!$B$6),1-1),0))</f>
        <v>128</v>
      </c>
      <c r="Q314" s="297">
        <f>IFERROR(INDEX(Aktiv!$J$6:$J$350,MATCH(A314,Aktiv!$A$6:$A$350,0)),"")</f>
        <v>107</v>
      </c>
      <c r="R314" s="298">
        <f t="shared" si="38"/>
        <v>-21</v>
      </c>
      <c r="S314" s="296">
        <f t="shared" si="39"/>
        <v>-0.1640625</v>
      </c>
    </row>
    <row r="315" spans="1:19" x14ac:dyDescent="0.25">
      <c r="A315" s="292" t="s">
        <v>716</v>
      </c>
      <c r="B315" s="292" t="s">
        <v>717</v>
      </c>
      <c r="C315" s="293">
        <f>IFERROR(INDEX(Aktiv!$O$6:$O$350,MATCH(A315,Aktiv!$A$6:$A$350,0)),"")</f>
        <v>115</v>
      </c>
      <c r="D315" s="293">
        <f>IF(C315="","",ROUND(C315*Steuerungsdaten!$B$4*Steuerungsdaten!$B$7*IFERROR(VLOOKUP(IFERROR(INDEX(Aktiv!$C$6:$C$350,MATCH(A315,Aktiv!$A$6:$A$350,0)),""),Steuerungsdaten!$B$17:$C$37,2,FALSE),1)*POWER(IF(OR(IFERROR(INDEX(Aktiv!$E$6:$E$350,MATCH(A315,Aktiv!$A$6:$A$350,0)),0)=0,IFERROR(INDEX(Aktiv!$F$6:$F$350,MATCH(A315,Aktiv!$A$6:$A$350,0)),0)=0),1,(IFERROR(INDEX(Aktiv!$E$6:$E$350,MATCH(A315,Aktiv!$A$6:$A$350,0)),0)*IFERROR(INDEX(Aktiv!$F$6:$F$350,MATCH(A315,Aktiv!$A$6:$A$350,0)),0)/1000000)/Steuerungsdaten!$B$6),IF(ISNUMBER(MATCH(IFERROR(INDEX(Aktiv!$C$6:$C$350,MATCH(A315,Aktiv!$A$6:$A$350,0)),""),{"Boden","Seite außen","Seite außen SY32","Rücken","Seite innen","Seite innen SY32","Seite innen SY32 DB","Fachboden klein","Fachboden groß","Klappenboden"},0)),1.2,1)-1),0))</f>
        <v>127</v>
      </c>
      <c r="E315" s="293">
        <f>IFERROR(INDEX(Aktiv!$G$6:$G$350,MATCH(A315,Aktiv!$A$6:$A$350,0)),"")</f>
        <v>115</v>
      </c>
      <c r="F315" s="294">
        <f t="shared" si="32"/>
        <v>-12</v>
      </c>
      <c r="G315" s="295">
        <f t="shared" si="33"/>
        <v>-9.4488188976377951E-2</v>
      </c>
      <c r="H315" s="293">
        <f>IF(C315="","",ROUND(C315*Steuerungsdaten!$B$4*Steuerungsdaten!$B$8*IFERROR(VLOOKUP(IFERROR(INDEX(Aktiv!$C$6:$C$350,MATCH(A315,Aktiv!$A$6:$A$350,0)),""),Steuerungsdaten!$B$17:$E$37,4,FALSE),1)*POWER(IF(OR(IFERROR(INDEX(Aktiv!$E$6:$E$350,MATCH(A315,Aktiv!$A$6:$A$350,0)),0)=0,IFERROR(INDEX(Aktiv!$F$6:$F$350,MATCH(A315,Aktiv!$A$6:$A$350,0)),0)=0),1,(IFERROR(INDEX(Aktiv!$E$6:$E$350,MATCH(A315,Aktiv!$A$6:$A$350,0)),0)*IFERROR(INDEX(Aktiv!$F$6:$F$350,MATCH(A315,Aktiv!$A$6:$A$350,0)),0)/1000000)/Steuerungsdaten!$B$6),1-1),0))</f>
        <v>127</v>
      </c>
      <c r="I315" s="293">
        <f>IFERROR(INDEX(Aktiv!$H$6:$H$350,MATCH(A315,Aktiv!$A$6:$A$350,0)),"")</f>
        <v>115</v>
      </c>
      <c r="J315" s="294">
        <f t="shared" si="34"/>
        <v>-12</v>
      </c>
      <c r="K315" s="296">
        <f t="shared" si="35"/>
        <v>-9.4488188976377951E-2</v>
      </c>
      <c r="L315" s="297">
        <f>IF(C315="","",ROUND(C315*Steuerungsdaten!$B$4*Steuerungsdaten!$B$9*IFERROR(VLOOKUP(IFERROR(INDEX(Aktiv!$C$6:$C$350,MATCH(A315,Aktiv!$A$6:$A$350,0)),""),Steuerungsdaten!$B$17:$G$37,6,FALSE),1)*POWER(IF(OR(IFERROR(INDEX(Aktiv!$E$6:$E$350,MATCH(A315,Aktiv!$A$6:$A$350,0)),0)=0,IFERROR(INDEX(Aktiv!$F$6:$F$350,MATCH(A315,Aktiv!$A$6:$A$350,0)),0)=0),1,(IFERROR(INDEX(Aktiv!$E$6:$E$350,MATCH(A315,Aktiv!$A$6:$A$350,0)),0)*IFERROR(INDEX(Aktiv!$F$6:$F$350,MATCH(A315,Aktiv!$A$6:$A$350,0)),0)/1000000)/Steuerungsdaten!$B$6),1-1),0))</f>
        <v>127</v>
      </c>
      <c r="M315" s="297">
        <f>IFERROR(INDEX(Aktiv!$I$6:$I$350,MATCH(A315,Aktiv!$A$6:$A$350,0)),"")</f>
        <v>115</v>
      </c>
      <c r="N315" s="298">
        <f t="shared" si="36"/>
        <v>-12</v>
      </c>
      <c r="O315" s="296">
        <f t="shared" si="37"/>
        <v>-9.4488188976377951E-2</v>
      </c>
      <c r="P315" s="297">
        <f>IF(C315="","",ROUND(C315*Steuerungsdaten!$B$4*Steuerungsdaten!$B$10*IFERROR(VLOOKUP(IFERROR(INDEX(Aktiv!$C$6:$C$350,MATCH(A315,Aktiv!$A$6:$A$350,0)),""),Steuerungsdaten!$B$17:$I$37,8,FALSE),1)*POWER(IF(OR(IFERROR(INDEX(Aktiv!$E$6:$E$350,MATCH(A315,Aktiv!$A$6:$A$350,0)),0)=0,IFERROR(INDEX(Aktiv!$F$6:$F$350,MATCH(A315,Aktiv!$A$6:$A$350,0)),0)=0),1,(IFERROR(INDEX(Aktiv!$E$6:$E$350,MATCH(A315,Aktiv!$A$6:$A$350,0)),0)*IFERROR(INDEX(Aktiv!$F$6:$F$350,MATCH(A315,Aktiv!$A$6:$A$350,0)),0)/1000000)/Steuerungsdaten!$B$6),1-1),0))</f>
        <v>138</v>
      </c>
      <c r="Q315" s="297">
        <f>IFERROR(INDEX(Aktiv!$J$6:$J$350,MATCH(A315,Aktiv!$A$6:$A$350,0)),"")</f>
        <v>115</v>
      </c>
      <c r="R315" s="298">
        <f t="shared" si="38"/>
        <v>-23</v>
      </c>
      <c r="S315" s="296">
        <f t="shared" si="39"/>
        <v>-0.16666666666666666</v>
      </c>
    </row>
    <row r="316" spans="1:19" x14ac:dyDescent="0.25">
      <c r="A316" s="292" t="s">
        <v>718</v>
      </c>
      <c r="B316" s="292" t="s">
        <v>719</v>
      </c>
      <c r="C316" s="293">
        <f>IFERROR(INDEX(Aktiv!$O$6:$O$350,MATCH(A316,Aktiv!$A$6:$A$350,0)),"")</f>
        <v>122</v>
      </c>
      <c r="D316" s="293">
        <f>IF(C316="","",ROUND(C316*Steuerungsdaten!$B$4*Steuerungsdaten!$B$7*IFERROR(VLOOKUP(IFERROR(INDEX(Aktiv!$C$6:$C$350,MATCH(A316,Aktiv!$A$6:$A$350,0)),""),Steuerungsdaten!$B$17:$C$37,2,FALSE),1)*POWER(IF(OR(IFERROR(INDEX(Aktiv!$E$6:$E$350,MATCH(A316,Aktiv!$A$6:$A$350,0)),0)=0,IFERROR(INDEX(Aktiv!$F$6:$F$350,MATCH(A316,Aktiv!$A$6:$A$350,0)),0)=0),1,(IFERROR(INDEX(Aktiv!$E$6:$E$350,MATCH(A316,Aktiv!$A$6:$A$350,0)),0)*IFERROR(INDEX(Aktiv!$F$6:$F$350,MATCH(A316,Aktiv!$A$6:$A$350,0)),0)/1000000)/Steuerungsdaten!$B$6),IF(ISNUMBER(MATCH(IFERROR(INDEX(Aktiv!$C$6:$C$350,MATCH(A316,Aktiv!$A$6:$A$350,0)),""),{"Boden","Seite außen","Seite außen SY32","Rücken","Seite innen","Seite innen SY32","Seite innen SY32 DB","Fachboden klein","Fachboden groß","Klappenboden"},0)),1.2,1)-1),0))</f>
        <v>134</v>
      </c>
      <c r="E316" s="293">
        <f>IFERROR(INDEX(Aktiv!$G$6:$G$350,MATCH(A316,Aktiv!$A$6:$A$350,0)),"")</f>
        <v>122</v>
      </c>
      <c r="F316" s="294">
        <f t="shared" si="32"/>
        <v>-12</v>
      </c>
      <c r="G316" s="295">
        <f t="shared" si="33"/>
        <v>-8.9552238805970144E-2</v>
      </c>
      <c r="H316" s="293">
        <f>IF(C316="","",ROUND(C316*Steuerungsdaten!$B$4*Steuerungsdaten!$B$8*IFERROR(VLOOKUP(IFERROR(INDEX(Aktiv!$C$6:$C$350,MATCH(A316,Aktiv!$A$6:$A$350,0)),""),Steuerungsdaten!$B$17:$E$37,4,FALSE),1)*POWER(IF(OR(IFERROR(INDEX(Aktiv!$E$6:$E$350,MATCH(A316,Aktiv!$A$6:$A$350,0)),0)=0,IFERROR(INDEX(Aktiv!$F$6:$F$350,MATCH(A316,Aktiv!$A$6:$A$350,0)),0)=0),1,(IFERROR(INDEX(Aktiv!$E$6:$E$350,MATCH(A316,Aktiv!$A$6:$A$350,0)),0)*IFERROR(INDEX(Aktiv!$F$6:$F$350,MATCH(A316,Aktiv!$A$6:$A$350,0)),0)/1000000)/Steuerungsdaten!$B$6),1-1),0))</f>
        <v>134</v>
      </c>
      <c r="I316" s="293">
        <f>IFERROR(INDEX(Aktiv!$H$6:$H$350,MATCH(A316,Aktiv!$A$6:$A$350,0)),"")</f>
        <v>122</v>
      </c>
      <c r="J316" s="294">
        <f t="shared" si="34"/>
        <v>-12</v>
      </c>
      <c r="K316" s="296">
        <f t="shared" si="35"/>
        <v>-8.9552238805970144E-2</v>
      </c>
      <c r="L316" s="297">
        <f>IF(C316="","",ROUND(C316*Steuerungsdaten!$B$4*Steuerungsdaten!$B$9*IFERROR(VLOOKUP(IFERROR(INDEX(Aktiv!$C$6:$C$350,MATCH(A316,Aktiv!$A$6:$A$350,0)),""),Steuerungsdaten!$B$17:$G$37,6,FALSE),1)*POWER(IF(OR(IFERROR(INDEX(Aktiv!$E$6:$E$350,MATCH(A316,Aktiv!$A$6:$A$350,0)),0)=0,IFERROR(INDEX(Aktiv!$F$6:$F$350,MATCH(A316,Aktiv!$A$6:$A$350,0)),0)=0),1,(IFERROR(INDEX(Aktiv!$E$6:$E$350,MATCH(A316,Aktiv!$A$6:$A$350,0)),0)*IFERROR(INDEX(Aktiv!$F$6:$F$350,MATCH(A316,Aktiv!$A$6:$A$350,0)),0)/1000000)/Steuerungsdaten!$B$6),1-1),0))</f>
        <v>134</v>
      </c>
      <c r="M316" s="297">
        <f>IFERROR(INDEX(Aktiv!$I$6:$I$350,MATCH(A316,Aktiv!$A$6:$A$350,0)),"")</f>
        <v>122</v>
      </c>
      <c r="N316" s="298">
        <f t="shared" si="36"/>
        <v>-12</v>
      </c>
      <c r="O316" s="296">
        <f t="shared" si="37"/>
        <v>-8.9552238805970144E-2</v>
      </c>
      <c r="P316" s="297">
        <f>IF(C316="","",ROUND(C316*Steuerungsdaten!$B$4*Steuerungsdaten!$B$10*IFERROR(VLOOKUP(IFERROR(INDEX(Aktiv!$C$6:$C$350,MATCH(A316,Aktiv!$A$6:$A$350,0)),""),Steuerungsdaten!$B$17:$I$37,8,FALSE),1)*POWER(IF(OR(IFERROR(INDEX(Aktiv!$E$6:$E$350,MATCH(A316,Aktiv!$A$6:$A$350,0)),0)=0,IFERROR(INDEX(Aktiv!$F$6:$F$350,MATCH(A316,Aktiv!$A$6:$A$350,0)),0)=0),1,(IFERROR(INDEX(Aktiv!$E$6:$E$350,MATCH(A316,Aktiv!$A$6:$A$350,0)),0)*IFERROR(INDEX(Aktiv!$F$6:$F$350,MATCH(A316,Aktiv!$A$6:$A$350,0)),0)/1000000)/Steuerungsdaten!$B$6),1-1),0))</f>
        <v>146</v>
      </c>
      <c r="Q316" s="297">
        <f>IFERROR(INDEX(Aktiv!$J$6:$J$350,MATCH(A316,Aktiv!$A$6:$A$350,0)),"")</f>
        <v>122</v>
      </c>
      <c r="R316" s="298">
        <f t="shared" si="38"/>
        <v>-24</v>
      </c>
      <c r="S316" s="296">
        <f t="shared" si="39"/>
        <v>-0.16438356164383561</v>
      </c>
    </row>
    <row r="317" spans="1:19" x14ac:dyDescent="0.25">
      <c r="A317" s="292" t="s">
        <v>720</v>
      </c>
      <c r="B317" s="292" t="s">
        <v>721</v>
      </c>
      <c r="C317" s="293">
        <f>IFERROR(INDEX(Aktiv!$O$6:$O$350,MATCH(A317,Aktiv!$A$6:$A$350,0)),"")</f>
        <v>130</v>
      </c>
      <c r="D317" s="293">
        <f>IF(C317="","",ROUND(C317*Steuerungsdaten!$B$4*Steuerungsdaten!$B$7*IFERROR(VLOOKUP(IFERROR(INDEX(Aktiv!$C$6:$C$350,MATCH(A317,Aktiv!$A$6:$A$350,0)),""),Steuerungsdaten!$B$17:$C$37,2,FALSE),1)*POWER(IF(OR(IFERROR(INDEX(Aktiv!$E$6:$E$350,MATCH(A317,Aktiv!$A$6:$A$350,0)),0)=0,IFERROR(INDEX(Aktiv!$F$6:$F$350,MATCH(A317,Aktiv!$A$6:$A$350,0)),0)=0),1,(IFERROR(INDEX(Aktiv!$E$6:$E$350,MATCH(A317,Aktiv!$A$6:$A$350,0)),0)*IFERROR(INDEX(Aktiv!$F$6:$F$350,MATCH(A317,Aktiv!$A$6:$A$350,0)),0)/1000000)/Steuerungsdaten!$B$6),IF(ISNUMBER(MATCH(IFERROR(INDEX(Aktiv!$C$6:$C$350,MATCH(A317,Aktiv!$A$6:$A$350,0)),""),{"Boden","Seite außen","Seite außen SY32","Rücken","Seite innen","Seite innen SY32","Seite innen SY32 DB","Fachboden klein","Fachboden groß","Klappenboden"},0)),1.2,1)-1),0))</f>
        <v>143</v>
      </c>
      <c r="E317" s="293">
        <f>IFERROR(INDEX(Aktiv!$G$6:$G$350,MATCH(A317,Aktiv!$A$6:$A$350,0)),"")</f>
        <v>130</v>
      </c>
      <c r="F317" s="294">
        <f t="shared" si="32"/>
        <v>-13</v>
      </c>
      <c r="G317" s="295">
        <f t="shared" si="33"/>
        <v>-9.0909090909090912E-2</v>
      </c>
      <c r="H317" s="293">
        <f>IF(C317="","",ROUND(C317*Steuerungsdaten!$B$4*Steuerungsdaten!$B$8*IFERROR(VLOOKUP(IFERROR(INDEX(Aktiv!$C$6:$C$350,MATCH(A317,Aktiv!$A$6:$A$350,0)),""),Steuerungsdaten!$B$17:$E$37,4,FALSE),1)*POWER(IF(OR(IFERROR(INDEX(Aktiv!$E$6:$E$350,MATCH(A317,Aktiv!$A$6:$A$350,0)),0)=0,IFERROR(INDEX(Aktiv!$F$6:$F$350,MATCH(A317,Aktiv!$A$6:$A$350,0)),0)=0),1,(IFERROR(INDEX(Aktiv!$E$6:$E$350,MATCH(A317,Aktiv!$A$6:$A$350,0)),0)*IFERROR(INDEX(Aktiv!$F$6:$F$350,MATCH(A317,Aktiv!$A$6:$A$350,0)),0)/1000000)/Steuerungsdaten!$B$6),1-1),0))</f>
        <v>143</v>
      </c>
      <c r="I317" s="293">
        <f>IFERROR(INDEX(Aktiv!$H$6:$H$350,MATCH(A317,Aktiv!$A$6:$A$350,0)),"")</f>
        <v>130</v>
      </c>
      <c r="J317" s="294">
        <f t="shared" si="34"/>
        <v>-13</v>
      </c>
      <c r="K317" s="296">
        <f t="shared" si="35"/>
        <v>-9.0909090909090912E-2</v>
      </c>
      <c r="L317" s="297">
        <f>IF(C317="","",ROUND(C317*Steuerungsdaten!$B$4*Steuerungsdaten!$B$9*IFERROR(VLOOKUP(IFERROR(INDEX(Aktiv!$C$6:$C$350,MATCH(A317,Aktiv!$A$6:$A$350,0)),""),Steuerungsdaten!$B$17:$G$37,6,FALSE),1)*POWER(IF(OR(IFERROR(INDEX(Aktiv!$E$6:$E$350,MATCH(A317,Aktiv!$A$6:$A$350,0)),0)=0,IFERROR(INDEX(Aktiv!$F$6:$F$350,MATCH(A317,Aktiv!$A$6:$A$350,0)),0)=0),1,(IFERROR(INDEX(Aktiv!$E$6:$E$350,MATCH(A317,Aktiv!$A$6:$A$350,0)),0)*IFERROR(INDEX(Aktiv!$F$6:$F$350,MATCH(A317,Aktiv!$A$6:$A$350,0)),0)/1000000)/Steuerungsdaten!$B$6),1-1),0))</f>
        <v>143</v>
      </c>
      <c r="M317" s="297">
        <f>IFERROR(INDEX(Aktiv!$I$6:$I$350,MATCH(A317,Aktiv!$A$6:$A$350,0)),"")</f>
        <v>130</v>
      </c>
      <c r="N317" s="298">
        <f t="shared" si="36"/>
        <v>-13</v>
      </c>
      <c r="O317" s="296">
        <f t="shared" si="37"/>
        <v>-9.0909090909090912E-2</v>
      </c>
      <c r="P317" s="297">
        <f>IF(C317="","",ROUND(C317*Steuerungsdaten!$B$4*Steuerungsdaten!$B$10*IFERROR(VLOOKUP(IFERROR(INDEX(Aktiv!$C$6:$C$350,MATCH(A317,Aktiv!$A$6:$A$350,0)),""),Steuerungsdaten!$B$17:$I$37,8,FALSE),1)*POWER(IF(OR(IFERROR(INDEX(Aktiv!$E$6:$E$350,MATCH(A317,Aktiv!$A$6:$A$350,0)),0)=0,IFERROR(INDEX(Aktiv!$F$6:$F$350,MATCH(A317,Aktiv!$A$6:$A$350,0)),0)=0),1,(IFERROR(INDEX(Aktiv!$E$6:$E$350,MATCH(A317,Aktiv!$A$6:$A$350,0)),0)*IFERROR(INDEX(Aktiv!$F$6:$F$350,MATCH(A317,Aktiv!$A$6:$A$350,0)),0)/1000000)/Steuerungsdaten!$B$6),1-1),0))</f>
        <v>156</v>
      </c>
      <c r="Q317" s="297">
        <f>IFERROR(INDEX(Aktiv!$J$6:$J$350,MATCH(A317,Aktiv!$A$6:$A$350,0)),"")</f>
        <v>130</v>
      </c>
      <c r="R317" s="298">
        <f t="shared" si="38"/>
        <v>-26</v>
      </c>
      <c r="S317" s="296">
        <f t="shared" si="39"/>
        <v>-0.16666666666666666</v>
      </c>
    </row>
    <row r="318" spans="1:19" x14ac:dyDescent="0.25">
      <c r="A318" s="292" t="s">
        <v>722</v>
      </c>
      <c r="B318" s="292" t="s">
        <v>723</v>
      </c>
      <c r="C318" s="293">
        <f>IFERROR(INDEX(Aktiv!$O$6:$O$350,MATCH(A318,Aktiv!$A$6:$A$350,0)),"")</f>
        <v>138</v>
      </c>
      <c r="D318" s="293">
        <f>IF(C318="","",ROUND(C318*Steuerungsdaten!$B$4*Steuerungsdaten!$B$7*IFERROR(VLOOKUP(IFERROR(INDEX(Aktiv!$C$6:$C$350,MATCH(A318,Aktiv!$A$6:$A$350,0)),""),Steuerungsdaten!$B$17:$C$37,2,FALSE),1)*POWER(IF(OR(IFERROR(INDEX(Aktiv!$E$6:$E$350,MATCH(A318,Aktiv!$A$6:$A$350,0)),0)=0,IFERROR(INDEX(Aktiv!$F$6:$F$350,MATCH(A318,Aktiv!$A$6:$A$350,0)),0)=0),1,(IFERROR(INDEX(Aktiv!$E$6:$E$350,MATCH(A318,Aktiv!$A$6:$A$350,0)),0)*IFERROR(INDEX(Aktiv!$F$6:$F$350,MATCH(A318,Aktiv!$A$6:$A$350,0)),0)/1000000)/Steuerungsdaten!$B$6),IF(ISNUMBER(MATCH(IFERROR(INDEX(Aktiv!$C$6:$C$350,MATCH(A318,Aktiv!$A$6:$A$350,0)),""),{"Boden","Seite außen","Seite außen SY32","Rücken","Seite innen","Seite innen SY32","Seite innen SY32 DB","Fachboden klein","Fachboden groß","Klappenboden"},0)),1.2,1)-1),0))</f>
        <v>152</v>
      </c>
      <c r="E318" s="293">
        <f>IFERROR(INDEX(Aktiv!$G$6:$G$350,MATCH(A318,Aktiv!$A$6:$A$350,0)),"")</f>
        <v>138</v>
      </c>
      <c r="F318" s="294">
        <f t="shared" si="32"/>
        <v>-14</v>
      </c>
      <c r="G318" s="295">
        <f t="shared" si="33"/>
        <v>-9.2105263157894732E-2</v>
      </c>
      <c r="H318" s="293">
        <f>IF(C318="","",ROUND(C318*Steuerungsdaten!$B$4*Steuerungsdaten!$B$8*IFERROR(VLOOKUP(IFERROR(INDEX(Aktiv!$C$6:$C$350,MATCH(A318,Aktiv!$A$6:$A$350,0)),""),Steuerungsdaten!$B$17:$E$37,4,FALSE),1)*POWER(IF(OR(IFERROR(INDEX(Aktiv!$E$6:$E$350,MATCH(A318,Aktiv!$A$6:$A$350,0)),0)=0,IFERROR(INDEX(Aktiv!$F$6:$F$350,MATCH(A318,Aktiv!$A$6:$A$350,0)),0)=0),1,(IFERROR(INDEX(Aktiv!$E$6:$E$350,MATCH(A318,Aktiv!$A$6:$A$350,0)),0)*IFERROR(INDEX(Aktiv!$F$6:$F$350,MATCH(A318,Aktiv!$A$6:$A$350,0)),0)/1000000)/Steuerungsdaten!$B$6),1-1),0))</f>
        <v>152</v>
      </c>
      <c r="I318" s="293">
        <f>IFERROR(INDEX(Aktiv!$H$6:$H$350,MATCH(A318,Aktiv!$A$6:$A$350,0)),"")</f>
        <v>138</v>
      </c>
      <c r="J318" s="294">
        <f t="shared" si="34"/>
        <v>-14</v>
      </c>
      <c r="K318" s="296">
        <f t="shared" si="35"/>
        <v>-9.2105263157894732E-2</v>
      </c>
      <c r="L318" s="297">
        <f>IF(C318="","",ROUND(C318*Steuerungsdaten!$B$4*Steuerungsdaten!$B$9*IFERROR(VLOOKUP(IFERROR(INDEX(Aktiv!$C$6:$C$350,MATCH(A318,Aktiv!$A$6:$A$350,0)),""),Steuerungsdaten!$B$17:$G$37,6,FALSE),1)*POWER(IF(OR(IFERROR(INDEX(Aktiv!$E$6:$E$350,MATCH(A318,Aktiv!$A$6:$A$350,0)),0)=0,IFERROR(INDEX(Aktiv!$F$6:$F$350,MATCH(A318,Aktiv!$A$6:$A$350,0)),0)=0),1,(IFERROR(INDEX(Aktiv!$E$6:$E$350,MATCH(A318,Aktiv!$A$6:$A$350,0)),0)*IFERROR(INDEX(Aktiv!$F$6:$F$350,MATCH(A318,Aktiv!$A$6:$A$350,0)),0)/1000000)/Steuerungsdaten!$B$6),1-1),0))</f>
        <v>152</v>
      </c>
      <c r="M318" s="297">
        <f>IFERROR(INDEX(Aktiv!$I$6:$I$350,MATCH(A318,Aktiv!$A$6:$A$350,0)),"")</f>
        <v>138</v>
      </c>
      <c r="N318" s="298">
        <f t="shared" si="36"/>
        <v>-14</v>
      </c>
      <c r="O318" s="296">
        <f t="shared" si="37"/>
        <v>-9.2105263157894732E-2</v>
      </c>
      <c r="P318" s="297">
        <f>IF(C318="","",ROUND(C318*Steuerungsdaten!$B$4*Steuerungsdaten!$B$10*IFERROR(VLOOKUP(IFERROR(INDEX(Aktiv!$C$6:$C$350,MATCH(A318,Aktiv!$A$6:$A$350,0)),""),Steuerungsdaten!$B$17:$I$37,8,FALSE),1)*POWER(IF(OR(IFERROR(INDEX(Aktiv!$E$6:$E$350,MATCH(A318,Aktiv!$A$6:$A$350,0)),0)=0,IFERROR(INDEX(Aktiv!$F$6:$F$350,MATCH(A318,Aktiv!$A$6:$A$350,0)),0)=0),1,(IFERROR(INDEX(Aktiv!$E$6:$E$350,MATCH(A318,Aktiv!$A$6:$A$350,0)),0)*IFERROR(INDEX(Aktiv!$F$6:$F$350,MATCH(A318,Aktiv!$A$6:$A$350,0)),0)/1000000)/Steuerungsdaten!$B$6),1-1),0))</f>
        <v>166</v>
      </c>
      <c r="Q318" s="297">
        <f>IFERROR(INDEX(Aktiv!$J$6:$J$350,MATCH(A318,Aktiv!$A$6:$A$350,0)),"")</f>
        <v>138</v>
      </c>
      <c r="R318" s="298">
        <f t="shared" si="38"/>
        <v>-28</v>
      </c>
      <c r="S318" s="296">
        <f t="shared" si="39"/>
        <v>-0.16867469879518071</v>
      </c>
    </row>
    <row r="319" spans="1:19" x14ac:dyDescent="0.25">
      <c r="A319" s="292" t="s">
        <v>724</v>
      </c>
      <c r="B319" s="292" t="s">
        <v>298</v>
      </c>
      <c r="C319" s="293">
        <f>IFERROR(INDEX(Aktiv!$O$6:$O$350,MATCH(A319,Aktiv!$A$6:$A$350,0)),"")</f>
        <v>50</v>
      </c>
      <c r="D319" s="293">
        <f>IF(C319="","",ROUND(C319*Steuerungsdaten!$B$4*Steuerungsdaten!$B$7*IFERROR(VLOOKUP(IFERROR(INDEX(Aktiv!$C$6:$C$350,MATCH(A319,Aktiv!$A$6:$A$350,0)),""),Steuerungsdaten!$B$17:$C$37,2,FALSE),1)*POWER(IF(OR(IFERROR(INDEX(Aktiv!$E$6:$E$350,MATCH(A319,Aktiv!$A$6:$A$350,0)),0)=0,IFERROR(INDEX(Aktiv!$F$6:$F$350,MATCH(A319,Aktiv!$A$6:$A$350,0)),0)=0),1,(IFERROR(INDEX(Aktiv!$E$6:$E$350,MATCH(A319,Aktiv!$A$6:$A$350,0)),0)*IFERROR(INDEX(Aktiv!$F$6:$F$350,MATCH(A319,Aktiv!$A$6:$A$350,0)),0)/1000000)/Steuerungsdaten!$B$6),IF(ISNUMBER(MATCH(IFERROR(INDEX(Aktiv!$C$6:$C$350,MATCH(A319,Aktiv!$A$6:$A$350,0)),""),{"Boden","Seite außen","Seite außen SY32","Rücken","Seite innen","Seite innen SY32","Seite innen SY32 DB","Fachboden klein","Fachboden groß","Klappenboden"},0)),1.2,1)-1),0))</f>
        <v>55</v>
      </c>
      <c r="E319" s="293">
        <f>IFERROR(INDEX(Aktiv!$G$6:$G$350,MATCH(A319,Aktiv!$A$6:$A$350,0)),"")</f>
        <v>50</v>
      </c>
      <c r="F319" s="294">
        <f t="shared" si="32"/>
        <v>-5</v>
      </c>
      <c r="G319" s="295">
        <f t="shared" si="33"/>
        <v>-9.0909090909090912E-2</v>
      </c>
      <c r="H319" s="293">
        <f>IF(C319="","",ROUND(C319*Steuerungsdaten!$B$4*Steuerungsdaten!$B$8*IFERROR(VLOOKUP(IFERROR(INDEX(Aktiv!$C$6:$C$350,MATCH(A319,Aktiv!$A$6:$A$350,0)),""),Steuerungsdaten!$B$17:$E$37,4,FALSE),1)*POWER(IF(OR(IFERROR(INDEX(Aktiv!$E$6:$E$350,MATCH(A319,Aktiv!$A$6:$A$350,0)),0)=0,IFERROR(INDEX(Aktiv!$F$6:$F$350,MATCH(A319,Aktiv!$A$6:$A$350,0)),0)=0),1,(IFERROR(INDEX(Aktiv!$E$6:$E$350,MATCH(A319,Aktiv!$A$6:$A$350,0)),0)*IFERROR(INDEX(Aktiv!$F$6:$F$350,MATCH(A319,Aktiv!$A$6:$A$350,0)),0)/1000000)/Steuerungsdaten!$B$6),1-1),0))</f>
        <v>55</v>
      </c>
      <c r="I319" s="293">
        <f>IFERROR(INDEX(Aktiv!$H$6:$H$350,MATCH(A319,Aktiv!$A$6:$A$350,0)),"")</f>
        <v>50</v>
      </c>
      <c r="J319" s="294">
        <f t="shared" si="34"/>
        <v>-5</v>
      </c>
      <c r="K319" s="296">
        <f t="shared" si="35"/>
        <v>-9.0909090909090912E-2</v>
      </c>
      <c r="L319" s="297">
        <f>IF(C319="","",ROUND(C319*Steuerungsdaten!$B$4*Steuerungsdaten!$B$9*IFERROR(VLOOKUP(IFERROR(INDEX(Aktiv!$C$6:$C$350,MATCH(A319,Aktiv!$A$6:$A$350,0)),""),Steuerungsdaten!$B$17:$G$37,6,FALSE),1)*POWER(IF(OR(IFERROR(INDEX(Aktiv!$E$6:$E$350,MATCH(A319,Aktiv!$A$6:$A$350,0)),0)=0,IFERROR(INDEX(Aktiv!$F$6:$F$350,MATCH(A319,Aktiv!$A$6:$A$350,0)),0)=0),1,(IFERROR(INDEX(Aktiv!$E$6:$E$350,MATCH(A319,Aktiv!$A$6:$A$350,0)),0)*IFERROR(INDEX(Aktiv!$F$6:$F$350,MATCH(A319,Aktiv!$A$6:$A$350,0)),0)/1000000)/Steuerungsdaten!$B$6),1-1),0))</f>
        <v>55</v>
      </c>
      <c r="M319" s="297">
        <f>IFERROR(INDEX(Aktiv!$I$6:$I$350,MATCH(A319,Aktiv!$A$6:$A$350,0)),"")</f>
        <v>50</v>
      </c>
      <c r="N319" s="298">
        <f t="shared" si="36"/>
        <v>-5</v>
      </c>
      <c r="O319" s="296">
        <f t="shared" si="37"/>
        <v>-9.0909090909090912E-2</v>
      </c>
      <c r="P319" s="297">
        <f>IF(C319="","",ROUND(C319*Steuerungsdaten!$B$4*Steuerungsdaten!$B$10*IFERROR(VLOOKUP(IFERROR(INDEX(Aktiv!$C$6:$C$350,MATCH(A319,Aktiv!$A$6:$A$350,0)),""),Steuerungsdaten!$B$17:$I$37,8,FALSE),1)*POWER(IF(OR(IFERROR(INDEX(Aktiv!$E$6:$E$350,MATCH(A319,Aktiv!$A$6:$A$350,0)),0)=0,IFERROR(INDEX(Aktiv!$F$6:$F$350,MATCH(A319,Aktiv!$A$6:$A$350,0)),0)=0),1,(IFERROR(INDEX(Aktiv!$E$6:$E$350,MATCH(A319,Aktiv!$A$6:$A$350,0)),0)*IFERROR(INDEX(Aktiv!$F$6:$F$350,MATCH(A319,Aktiv!$A$6:$A$350,0)),0)/1000000)/Steuerungsdaten!$B$6),1-1),0))</f>
        <v>60</v>
      </c>
      <c r="Q319" s="297">
        <f>IFERROR(INDEX(Aktiv!$J$6:$J$350,MATCH(A319,Aktiv!$A$6:$A$350,0)),"")</f>
        <v>50</v>
      </c>
      <c r="R319" s="298">
        <f t="shared" si="38"/>
        <v>-10</v>
      </c>
      <c r="S319" s="296">
        <f t="shared" si="39"/>
        <v>-0.16666666666666666</v>
      </c>
    </row>
    <row r="320" spans="1:19" x14ac:dyDescent="0.25">
      <c r="A320" s="292" t="s">
        <v>725</v>
      </c>
      <c r="B320" s="292" t="s">
        <v>679</v>
      </c>
      <c r="C320" s="293">
        <f>IFERROR(INDEX(Aktiv!$O$6:$O$350,MATCH(A320,Aktiv!$A$6:$A$350,0)),"")</f>
        <v>37</v>
      </c>
      <c r="D320" s="293">
        <f>IF(C320="","",ROUND(C320*Steuerungsdaten!$B$4*Steuerungsdaten!$B$7*IFERROR(VLOOKUP(IFERROR(INDEX(Aktiv!$C$6:$C$350,MATCH(A320,Aktiv!$A$6:$A$350,0)),""),Steuerungsdaten!$B$17:$C$37,2,FALSE),1)*POWER(IF(OR(IFERROR(INDEX(Aktiv!$E$6:$E$350,MATCH(A320,Aktiv!$A$6:$A$350,0)),0)=0,IFERROR(INDEX(Aktiv!$F$6:$F$350,MATCH(A320,Aktiv!$A$6:$A$350,0)),0)=0),1,(IFERROR(INDEX(Aktiv!$E$6:$E$350,MATCH(A320,Aktiv!$A$6:$A$350,0)),0)*IFERROR(INDEX(Aktiv!$F$6:$F$350,MATCH(A320,Aktiv!$A$6:$A$350,0)),0)/1000000)/Steuerungsdaten!$B$6),IF(ISNUMBER(MATCH(IFERROR(INDEX(Aktiv!$C$6:$C$350,MATCH(A320,Aktiv!$A$6:$A$350,0)),""),{"Boden","Seite außen","Seite außen SY32","Rücken","Seite innen","Seite innen SY32","Seite innen SY32 DB","Fachboden klein","Fachboden groß","Klappenboden"},0)),1.2,1)-1),0))</f>
        <v>41</v>
      </c>
      <c r="E320" s="293">
        <f>IFERROR(INDEX(Aktiv!$G$6:$G$350,MATCH(A320,Aktiv!$A$6:$A$350,0)),"")</f>
        <v>37</v>
      </c>
      <c r="F320" s="294">
        <f t="shared" si="32"/>
        <v>-4</v>
      </c>
      <c r="G320" s="295">
        <f t="shared" si="33"/>
        <v>-9.7560975609756101E-2</v>
      </c>
      <c r="H320" s="293">
        <f>IF(C320="","",ROUND(C320*Steuerungsdaten!$B$4*Steuerungsdaten!$B$8*IFERROR(VLOOKUP(IFERROR(INDEX(Aktiv!$C$6:$C$350,MATCH(A320,Aktiv!$A$6:$A$350,0)),""),Steuerungsdaten!$B$17:$E$37,4,FALSE),1)*POWER(IF(OR(IFERROR(INDEX(Aktiv!$E$6:$E$350,MATCH(A320,Aktiv!$A$6:$A$350,0)),0)=0,IFERROR(INDEX(Aktiv!$F$6:$F$350,MATCH(A320,Aktiv!$A$6:$A$350,0)),0)=0),1,(IFERROR(INDEX(Aktiv!$E$6:$E$350,MATCH(A320,Aktiv!$A$6:$A$350,0)),0)*IFERROR(INDEX(Aktiv!$F$6:$F$350,MATCH(A320,Aktiv!$A$6:$A$350,0)),0)/1000000)/Steuerungsdaten!$B$6),1-1),0))</f>
        <v>41</v>
      </c>
      <c r="I320" s="293">
        <f>IFERROR(INDEX(Aktiv!$H$6:$H$350,MATCH(A320,Aktiv!$A$6:$A$350,0)),"")</f>
        <v>37</v>
      </c>
      <c r="J320" s="294">
        <f t="shared" si="34"/>
        <v>-4</v>
      </c>
      <c r="K320" s="296">
        <f t="shared" si="35"/>
        <v>-9.7560975609756101E-2</v>
      </c>
      <c r="L320" s="297">
        <f>IF(C320="","",ROUND(C320*Steuerungsdaten!$B$4*Steuerungsdaten!$B$9*IFERROR(VLOOKUP(IFERROR(INDEX(Aktiv!$C$6:$C$350,MATCH(A320,Aktiv!$A$6:$A$350,0)),""),Steuerungsdaten!$B$17:$G$37,6,FALSE),1)*POWER(IF(OR(IFERROR(INDEX(Aktiv!$E$6:$E$350,MATCH(A320,Aktiv!$A$6:$A$350,0)),0)=0,IFERROR(INDEX(Aktiv!$F$6:$F$350,MATCH(A320,Aktiv!$A$6:$A$350,0)),0)=0),1,(IFERROR(INDEX(Aktiv!$E$6:$E$350,MATCH(A320,Aktiv!$A$6:$A$350,0)),0)*IFERROR(INDEX(Aktiv!$F$6:$F$350,MATCH(A320,Aktiv!$A$6:$A$350,0)),0)/1000000)/Steuerungsdaten!$B$6),1-1),0))</f>
        <v>41</v>
      </c>
      <c r="M320" s="297">
        <f>IFERROR(INDEX(Aktiv!$I$6:$I$350,MATCH(A320,Aktiv!$A$6:$A$350,0)),"")</f>
        <v>37</v>
      </c>
      <c r="N320" s="298">
        <f t="shared" si="36"/>
        <v>-4</v>
      </c>
      <c r="O320" s="296">
        <f t="shared" si="37"/>
        <v>-9.7560975609756101E-2</v>
      </c>
      <c r="P320" s="297">
        <f>IF(C320="","",ROUND(C320*Steuerungsdaten!$B$4*Steuerungsdaten!$B$10*IFERROR(VLOOKUP(IFERROR(INDEX(Aktiv!$C$6:$C$350,MATCH(A320,Aktiv!$A$6:$A$350,0)),""),Steuerungsdaten!$B$17:$I$37,8,FALSE),1)*POWER(IF(OR(IFERROR(INDEX(Aktiv!$E$6:$E$350,MATCH(A320,Aktiv!$A$6:$A$350,0)),0)=0,IFERROR(INDEX(Aktiv!$F$6:$F$350,MATCH(A320,Aktiv!$A$6:$A$350,0)),0)=0),1,(IFERROR(INDEX(Aktiv!$E$6:$E$350,MATCH(A320,Aktiv!$A$6:$A$350,0)),0)*IFERROR(INDEX(Aktiv!$F$6:$F$350,MATCH(A320,Aktiv!$A$6:$A$350,0)),0)/1000000)/Steuerungsdaten!$B$6),1-1),0))</f>
        <v>44</v>
      </c>
      <c r="Q320" s="297">
        <f>IFERROR(INDEX(Aktiv!$J$6:$J$350,MATCH(A320,Aktiv!$A$6:$A$350,0)),"")</f>
        <v>37</v>
      </c>
      <c r="R320" s="298">
        <f t="shared" si="38"/>
        <v>-7</v>
      </c>
      <c r="S320" s="296">
        <f t="shared" si="39"/>
        <v>-0.15909090909090909</v>
      </c>
    </row>
    <row r="321" spans="1:19" x14ac:dyDescent="0.25">
      <c r="A321" s="292" t="s">
        <v>669</v>
      </c>
      <c r="B321" s="292" t="s">
        <v>726</v>
      </c>
      <c r="C321" s="293">
        <f>IFERROR(INDEX(Aktiv!$O$6:$O$350,MATCH(A321,Aktiv!$A$6:$A$350,0)),"")</f>
        <v>366</v>
      </c>
      <c r="D321" s="293">
        <f>IF(C321="","",ROUND(C321*Steuerungsdaten!$B$4*Steuerungsdaten!$B$7*IFERROR(VLOOKUP(IFERROR(INDEX(Aktiv!$C$6:$C$350,MATCH(A321,Aktiv!$A$6:$A$350,0)),""),Steuerungsdaten!$B$17:$C$37,2,FALSE),1)*POWER(IF(OR(IFERROR(INDEX(Aktiv!$E$6:$E$350,MATCH(A321,Aktiv!$A$6:$A$350,0)),0)=0,IFERROR(INDEX(Aktiv!$F$6:$F$350,MATCH(A321,Aktiv!$A$6:$A$350,0)),0)=0),1,(IFERROR(INDEX(Aktiv!$E$6:$E$350,MATCH(A321,Aktiv!$A$6:$A$350,0)),0)*IFERROR(INDEX(Aktiv!$F$6:$F$350,MATCH(A321,Aktiv!$A$6:$A$350,0)),0)/1000000)/Steuerungsdaten!$B$6),IF(ISNUMBER(MATCH(IFERROR(INDEX(Aktiv!$C$6:$C$350,MATCH(A321,Aktiv!$A$6:$A$350,0)),""),{"Boden","Seite außen","Seite außen SY32","Rücken","Seite innen","Seite innen SY32","Seite innen SY32 DB","Fachboden klein","Fachboden groß","Klappenboden"},0)),1.2,1)-1),0))</f>
        <v>403</v>
      </c>
      <c r="E321" s="293">
        <f>IFERROR(INDEX(Aktiv!$G$6:$G$350,MATCH(A321,Aktiv!$A$6:$A$350,0)),"")</f>
        <v>366</v>
      </c>
      <c r="F321" s="294">
        <f t="shared" si="32"/>
        <v>-37</v>
      </c>
      <c r="G321" s="295">
        <f t="shared" si="33"/>
        <v>-9.1811414392059559E-2</v>
      </c>
      <c r="H321" s="293">
        <f>IF(C321="","",ROUND(C321*Steuerungsdaten!$B$4*Steuerungsdaten!$B$8*IFERROR(VLOOKUP(IFERROR(INDEX(Aktiv!$C$6:$C$350,MATCH(A321,Aktiv!$A$6:$A$350,0)),""),Steuerungsdaten!$B$17:$E$37,4,FALSE),1)*POWER(IF(OR(IFERROR(INDEX(Aktiv!$E$6:$E$350,MATCH(A321,Aktiv!$A$6:$A$350,0)),0)=0,IFERROR(INDEX(Aktiv!$F$6:$F$350,MATCH(A321,Aktiv!$A$6:$A$350,0)),0)=0),1,(IFERROR(INDEX(Aktiv!$E$6:$E$350,MATCH(A321,Aktiv!$A$6:$A$350,0)),0)*IFERROR(INDEX(Aktiv!$F$6:$F$350,MATCH(A321,Aktiv!$A$6:$A$350,0)),0)/1000000)/Steuerungsdaten!$B$6),1-1),0))</f>
        <v>403</v>
      </c>
      <c r="I321" s="293">
        <f>IFERROR(INDEX(Aktiv!$H$6:$H$350,MATCH(A321,Aktiv!$A$6:$A$350,0)),"")</f>
        <v>366</v>
      </c>
      <c r="J321" s="294">
        <f t="shared" si="34"/>
        <v>-37</v>
      </c>
      <c r="K321" s="296">
        <f t="shared" si="35"/>
        <v>-9.1811414392059559E-2</v>
      </c>
      <c r="L321" s="297">
        <f>IF(C321="","",ROUND(C321*Steuerungsdaten!$B$4*Steuerungsdaten!$B$9*IFERROR(VLOOKUP(IFERROR(INDEX(Aktiv!$C$6:$C$350,MATCH(A321,Aktiv!$A$6:$A$350,0)),""),Steuerungsdaten!$B$17:$G$37,6,FALSE),1)*POWER(IF(OR(IFERROR(INDEX(Aktiv!$E$6:$E$350,MATCH(A321,Aktiv!$A$6:$A$350,0)),0)=0,IFERROR(INDEX(Aktiv!$F$6:$F$350,MATCH(A321,Aktiv!$A$6:$A$350,0)),0)=0),1,(IFERROR(INDEX(Aktiv!$E$6:$E$350,MATCH(A321,Aktiv!$A$6:$A$350,0)),0)*IFERROR(INDEX(Aktiv!$F$6:$F$350,MATCH(A321,Aktiv!$A$6:$A$350,0)),0)/1000000)/Steuerungsdaten!$B$6),1-1),0))</f>
        <v>403</v>
      </c>
      <c r="M321" s="297">
        <f>IFERROR(INDEX(Aktiv!$I$6:$I$350,MATCH(A321,Aktiv!$A$6:$A$350,0)),"")</f>
        <v>366</v>
      </c>
      <c r="N321" s="298">
        <f t="shared" si="36"/>
        <v>-37</v>
      </c>
      <c r="O321" s="296">
        <f t="shared" si="37"/>
        <v>-9.1811414392059559E-2</v>
      </c>
      <c r="P321" s="297">
        <f>IF(C321="","",ROUND(C321*Steuerungsdaten!$B$4*Steuerungsdaten!$B$10*IFERROR(VLOOKUP(IFERROR(INDEX(Aktiv!$C$6:$C$350,MATCH(A321,Aktiv!$A$6:$A$350,0)),""),Steuerungsdaten!$B$17:$I$37,8,FALSE),1)*POWER(IF(OR(IFERROR(INDEX(Aktiv!$E$6:$E$350,MATCH(A321,Aktiv!$A$6:$A$350,0)),0)=0,IFERROR(INDEX(Aktiv!$F$6:$F$350,MATCH(A321,Aktiv!$A$6:$A$350,0)),0)=0),1,(IFERROR(INDEX(Aktiv!$E$6:$E$350,MATCH(A321,Aktiv!$A$6:$A$350,0)),0)*IFERROR(INDEX(Aktiv!$F$6:$F$350,MATCH(A321,Aktiv!$A$6:$A$350,0)),0)/1000000)/Steuerungsdaten!$B$6),1-1),0))</f>
        <v>439</v>
      </c>
      <c r="Q321" s="297">
        <f>IFERROR(INDEX(Aktiv!$J$6:$J$350,MATCH(A321,Aktiv!$A$6:$A$350,0)),"")</f>
        <v>366</v>
      </c>
      <c r="R321" s="298">
        <f t="shared" si="38"/>
        <v>-73</v>
      </c>
      <c r="S321" s="296">
        <f t="shared" si="39"/>
        <v>-0.1662870159453303</v>
      </c>
    </row>
    <row r="322" spans="1:19" x14ac:dyDescent="0.25">
      <c r="A322" s="292" t="s">
        <v>668</v>
      </c>
      <c r="B322" s="292" t="s">
        <v>727</v>
      </c>
      <c r="C322" s="293">
        <f>IFERROR(INDEX(Aktiv!$O$6:$O$350,MATCH(A322,Aktiv!$A$6:$A$350,0)),"")</f>
        <v>233</v>
      </c>
      <c r="D322" s="293">
        <f>IF(C322="","",ROUND(C322*Steuerungsdaten!$B$4*Steuerungsdaten!$B$7*IFERROR(VLOOKUP(IFERROR(INDEX(Aktiv!$C$6:$C$350,MATCH(A322,Aktiv!$A$6:$A$350,0)),""),Steuerungsdaten!$B$17:$C$37,2,FALSE),1)*POWER(IF(OR(IFERROR(INDEX(Aktiv!$E$6:$E$350,MATCH(A322,Aktiv!$A$6:$A$350,0)),0)=0,IFERROR(INDEX(Aktiv!$F$6:$F$350,MATCH(A322,Aktiv!$A$6:$A$350,0)),0)=0),1,(IFERROR(INDEX(Aktiv!$E$6:$E$350,MATCH(A322,Aktiv!$A$6:$A$350,0)),0)*IFERROR(INDEX(Aktiv!$F$6:$F$350,MATCH(A322,Aktiv!$A$6:$A$350,0)),0)/1000000)/Steuerungsdaten!$B$6),IF(ISNUMBER(MATCH(IFERROR(INDEX(Aktiv!$C$6:$C$350,MATCH(A322,Aktiv!$A$6:$A$350,0)),""),{"Boden","Seite außen","Seite außen SY32","Rücken","Seite innen","Seite innen SY32","Seite innen SY32 DB","Fachboden klein","Fachboden groß","Klappenboden"},0)),1.2,1)-1),0))</f>
        <v>256</v>
      </c>
      <c r="E322" s="293">
        <f>IFERROR(INDEX(Aktiv!$G$6:$G$350,MATCH(A322,Aktiv!$A$6:$A$350,0)),"")</f>
        <v>233</v>
      </c>
      <c r="F322" s="294">
        <f t="shared" si="32"/>
        <v>-23</v>
      </c>
      <c r="G322" s="295">
        <f t="shared" si="33"/>
        <v>-8.984375E-2</v>
      </c>
      <c r="H322" s="293">
        <f>IF(C322="","",ROUND(C322*Steuerungsdaten!$B$4*Steuerungsdaten!$B$8*IFERROR(VLOOKUP(IFERROR(INDEX(Aktiv!$C$6:$C$350,MATCH(A322,Aktiv!$A$6:$A$350,0)),""),Steuerungsdaten!$B$17:$E$37,4,FALSE),1)*POWER(IF(OR(IFERROR(INDEX(Aktiv!$E$6:$E$350,MATCH(A322,Aktiv!$A$6:$A$350,0)),0)=0,IFERROR(INDEX(Aktiv!$F$6:$F$350,MATCH(A322,Aktiv!$A$6:$A$350,0)),0)=0),1,(IFERROR(INDEX(Aktiv!$E$6:$E$350,MATCH(A322,Aktiv!$A$6:$A$350,0)),0)*IFERROR(INDEX(Aktiv!$F$6:$F$350,MATCH(A322,Aktiv!$A$6:$A$350,0)),0)/1000000)/Steuerungsdaten!$B$6),1-1),0))</f>
        <v>256</v>
      </c>
      <c r="I322" s="293">
        <f>IFERROR(INDEX(Aktiv!$H$6:$H$350,MATCH(A322,Aktiv!$A$6:$A$350,0)),"")</f>
        <v>233</v>
      </c>
      <c r="J322" s="294">
        <f t="shared" si="34"/>
        <v>-23</v>
      </c>
      <c r="K322" s="296">
        <f t="shared" si="35"/>
        <v>-8.984375E-2</v>
      </c>
      <c r="L322" s="297">
        <f>IF(C322="","",ROUND(C322*Steuerungsdaten!$B$4*Steuerungsdaten!$B$9*IFERROR(VLOOKUP(IFERROR(INDEX(Aktiv!$C$6:$C$350,MATCH(A322,Aktiv!$A$6:$A$350,0)),""),Steuerungsdaten!$B$17:$G$37,6,FALSE),1)*POWER(IF(OR(IFERROR(INDEX(Aktiv!$E$6:$E$350,MATCH(A322,Aktiv!$A$6:$A$350,0)),0)=0,IFERROR(INDEX(Aktiv!$F$6:$F$350,MATCH(A322,Aktiv!$A$6:$A$350,0)),0)=0),1,(IFERROR(INDEX(Aktiv!$E$6:$E$350,MATCH(A322,Aktiv!$A$6:$A$350,0)),0)*IFERROR(INDEX(Aktiv!$F$6:$F$350,MATCH(A322,Aktiv!$A$6:$A$350,0)),0)/1000000)/Steuerungsdaten!$B$6),1-1),0))</f>
        <v>256</v>
      </c>
      <c r="M322" s="297">
        <f>IFERROR(INDEX(Aktiv!$I$6:$I$350,MATCH(A322,Aktiv!$A$6:$A$350,0)),"")</f>
        <v>233</v>
      </c>
      <c r="N322" s="298">
        <f t="shared" si="36"/>
        <v>-23</v>
      </c>
      <c r="O322" s="296">
        <f t="shared" si="37"/>
        <v>-8.984375E-2</v>
      </c>
      <c r="P322" s="297">
        <f>IF(C322="","",ROUND(C322*Steuerungsdaten!$B$4*Steuerungsdaten!$B$10*IFERROR(VLOOKUP(IFERROR(INDEX(Aktiv!$C$6:$C$350,MATCH(A322,Aktiv!$A$6:$A$350,0)),""),Steuerungsdaten!$B$17:$I$37,8,FALSE),1)*POWER(IF(OR(IFERROR(INDEX(Aktiv!$E$6:$E$350,MATCH(A322,Aktiv!$A$6:$A$350,0)),0)=0,IFERROR(INDEX(Aktiv!$F$6:$F$350,MATCH(A322,Aktiv!$A$6:$A$350,0)),0)=0),1,(IFERROR(INDEX(Aktiv!$E$6:$E$350,MATCH(A322,Aktiv!$A$6:$A$350,0)),0)*IFERROR(INDEX(Aktiv!$F$6:$F$350,MATCH(A322,Aktiv!$A$6:$A$350,0)),0)/1000000)/Steuerungsdaten!$B$6),1-1),0))</f>
        <v>280</v>
      </c>
      <c r="Q322" s="297">
        <f>IFERROR(INDEX(Aktiv!$J$6:$J$350,MATCH(A322,Aktiv!$A$6:$A$350,0)),"")</f>
        <v>233</v>
      </c>
      <c r="R322" s="298">
        <f t="shared" si="38"/>
        <v>-47</v>
      </c>
      <c r="S322" s="296">
        <f t="shared" si="39"/>
        <v>-0.16785714285714284</v>
      </c>
    </row>
    <row r="323" spans="1:19" x14ac:dyDescent="0.25">
      <c r="A323" s="292" t="s">
        <v>667</v>
      </c>
      <c r="B323" s="292" t="s">
        <v>728</v>
      </c>
      <c r="C323" s="293">
        <f>IFERROR(INDEX(Aktiv!$O$6:$O$350,MATCH(A323,Aktiv!$A$6:$A$350,0)),"")</f>
        <v>244</v>
      </c>
      <c r="D323" s="293">
        <f>IF(C323="","",ROUND(C323*Steuerungsdaten!$B$4*Steuerungsdaten!$B$7*IFERROR(VLOOKUP(IFERROR(INDEX(Aktiv!$C$6:$C$350,MATCH(A323,Aktiv!$A$6:$A$350,0)),""),Steuerungsdaten!$B$17:$C$37,2,FALSE),1)*POWER(IF(OR(IFERROR(INDEX(Aktiv!$E$6:$E$350,MATCH(A323,Aktiv!$A$6:$A$350,0)),0)=0,IFERROR(INDEX(Aktiv!$F$6:$F$350,MATCH(A323,Aktiv!$A$6:$A$350,0)),0)=0),1,(IFERROR(INDEX(Aktiv!$E$6:$E$350,MATCH(A323,Aktiv!$A$6:$A$350,0)),0)*IFERROR(INDEX(Aktiv!$F$6:$F$350,MATCH(A323,Aktiv!$A$6:$A$350,0)),0)/1000000)/Steuerungsdaten!$B$6),IF(ISNUMBER(MATCH(IFERROR(INDEX(Aktiv!$C$6:$C$350,MATCH(A323,Aktiv!$A$6:$A$350,0)),""),{"Boden","Seite außen","Seite außen SY32","Rücken","Seite innen","Seite innen SY32","Seite innen SY32 DB","Fachboden klein","Fachboden groß","Klappenboden"},0)),1.2,1)-1),0))</f>
        <v>268</v>
      </c>
      <c r="E323" s="293">
        <f>IFERROR(INDEX(Aktiv!$G$6:$G$350,MATCH(A323,Aktiv!$A$6:$A$350,0)),"")</f>
        <v>244</v>
      </c>
      <c r="F323" s="294">
        <f t="shared" si="32"/>
        <v>-24</v>
      </c>
      <c r="G323" s="295">
        <f t="shared" si="33"/>
        <v>-8.9552238805970144E-2</v>
      </c>
      <c r="H323" s="293">
        <f>IF(C323="","",ROUND(C323*Steuerungsdaten!$B$4*Steuerungsdaten!$B$8*IFERROR(VLOOKUP(IFERROR(INDEX(Aktiv!$C$6:$C$350,MATCH(A323,Aktiv!$A$6:$A$350,0)),""),Steuerungsdaten!$B$17:$E$37,4,FALSE),1)*POWER(IF(OR(IFERROR(INDEX(Aktiv!$E$6:$E$350,MATCH(A323,Aktiv!$A$6:$A$350,0)),0)=0,IFERROR(INDEX(Aktiv!$F$6:$F$350,MATCH(A323,Aktiv!$A$6:$A$350,0)),0)=0),1,(IFERROR(INDEX(Aktiv!$E$6:$E$350,MATCH(A323,Aktiv!$A$6:$A$350,0)),0)*IFERROR(INDEX(Aktiv!$F$6:$F$350,MATCH(A323,Aktiv!$A$6:$A$350,0)),0)/1000000)/Steuerungsdaten!$B$6),1-1),0))</f>
        <v>268</v>
      </c>
      <c r="I323" s="293">
        <f>IFERROR(INDEX(Aktiv!$H$6:$H$350,MATCH(A323,Aktiv!$A$6:$A$350,0)),"")</f>
        <v>244</v>
      </c>
      <c r="J323" s="294">
        <f t="shared" si="34"/>
        <v>-24</v>
      </c>
      <c r="K323" s="296">
        <f t="shared" si="35"/>
        <v>-8.9552238805970144E-2</v>
      </c>
      <c r="L323" s="297">
        <f>IF(C323="","",ROUND(C323*Steuerungsdaten!$B$4*Steuerungsdaten!$B$9*IFERROR(VLOOKUP(IFERROR(INDEX(Aktiv!$C$6:$C$350,MATCH(A323,Aktiv!$A$6:$A$350,0)),""),Steuerungsdaten!$B$17:$G$37,6,FALSE),1)*POWER(IF(OR(IFERROR(INDEX(Aktiv!$E$6:$E$350,MATCH(A323,Aktiv!$A$6:$A$350,0)),0)=0,IFERROR(INDEX(Aktiv!$F$6:$F$350,MATCH(A323,Aktiv!$A$6:$A$350,0)),0)=0),1,(IFERROR(INDEX(Aktiv!$E$6:$E$350,MATCH(A323,Aktiv!$A$6:$A$350,0)),0)*IFERROR(INDEX(Aktiv!$F$6:$F$350,MATCH(A323,Aktiv!$A$6:$A$350,0)),0)/1000000)/Steuerungsdaten!$B$6),1-1),0))</f>
        <v>268</v>
      </c>
      <c r="M323" s="297">
        <f>IFERROR(INDEX(Aktiv!$I$6:$I$350,MATCH(A323,Aktiv!$A$6:$A$350,0)),"")</f>
        <v>244</v>
      </c>
      <c r="N323" s="298">
        <f t="shared" si="36"/>
        <v>-24</v>
      </c>
      <c r="O323" s="296">
        <f t="shared" si="37"/>
        <v>-8.9552238805970144E-2</v>
      </c>
      <c r="P323" s="297">
        <f>IF(C323="","",ROUND(C323*Steuerungsdaten!$B$4*Steuerungsdaten!$B$10*IFERROR(VLOOKUP(IFERROR(INDEX(Aktiv!$C$6:$C$350,MATCH(A323,Aktiv!$A$6:$A$350,0)),""),Steuerungsdaten!$B$17:$I$37,8,FALSE),1)*POWER(IF(OR(IFERROR(INDEX(Aktiv!$E$6:$E$350,MATCH(A323,Aktiv!$A$6:$A$350,0)),0)=0,IFERROR(INDEX(Aktiv!$F$6:$F$350,MATCH(A323,Aktiv!$A$6:$A$350,0)),0)=0),1,(IFERROR(INDEX(Aktiv!$E$6:$E$350,MATCH(A323,Aktiv!$A$6:$A$350,0)),0)*IFERROR(INDEX(Aktiv!$F$6:$F$350,MATCH(A323,Aktiv!$A$6:$A$350,0)),0)/1000000)/Steuerungsdaten!$B$6),1-1),0))</f>
        <v>293</v>
      </c>
      <c r="Q323" s="297">
        <f>IFERROR(INDEX(Aktiv!$J$6:$J$350,MATCH(A323,Aktiv!$A$6:$A$350,0)),"")</f>
        <v>244</v>
      </c>
      <c r="R323" s="298">
        <f t="shared" si="38"/>
        <v>-49</v>
      </c>
      <c r="S323" s="296">
        <f t="shared" si="39"/>
        <v>-0.16723549488054607</v>
      </c>
    </row>
    <row r="324" spans="1:19" x14ac:dyDescent="0.25">
      <c r="A324" s="292" t="s">
        <v>666</v>
      </c>
      <c r="B324" s="292" t="s">
        <v>729</v>
      </c>
      <c r="C324" s="293">
        <f>IFERROR(INDEX(Aktiv!$O$6:$O$350,MATCH(A324,Aktiv!$A$6:$A$350,0)),"")</f>
        <v>221</v>
      </c>
      <c r="D324" s="293">
        <f>IF(C324="","",ROUND(C324*Steuerungsdaten!$B$4*Steuerungsdaten!$B$7*IFERROR(VLOOKUP(IFERROR(INDEX(Aktiv!$C$6:$C$350,MATCH(A324,Aktiv!$A$6:$A$350,0)),""),Steuerungsdaten!$B$17:$C$37,2,FALSE),1)*POWER(IF(OR(IFERROR(INDEX(Aktiv!$E$6:$E$350,MATCH(A324,Aktiv!$A$6:$A$350,0)),0)=0,IFERROR(INDEX(Aktiv!$F$6:$F$350,MATCH(A324,Aktiv!$A$6:$A$350,0)),0)=0),1,(IFERROR(INDEX(Aktiv!$E$6:$E$350,MATCH(A324,Aktiv!$A$6:$A$350,0)),0)*IFERROR(INDEX(Aktiv!$F$6:$F$350,MATCH(A324,Aktiv!$A$6:$A$350,0)),0)/1000000)/Steuerungsdaten!$B$6),IF(ISNUMBER(MATCH(IFERROR(INDEX(Aktiv!$C$6:$C$350,MATCH(A324,Aktiv!$A$6:$A$350,0)),""),{"Boden","Seite außen","Seite außen SY32","Rücken","Seite innen","Seite innen SY32","Seite innen SY32 DB","Fachboden klein","Fachboden groß","Klappenboden"},0)),1.2,1)-1),0))</f>
        <v>243</v>
      </c>
      <c r="E324" s="293">
        <f>IFERROR(INDEX(Aktiv!$G$6:$G$350,MATCH(A324,Aktiv!$A$6:$A$350,0)),"")</f>
        <v>221</v>
      </c>
      <c r="F324" s="294">
        <f t="shared" si="32"/>
        <v>-22</v>
      </c>
      <c r="G324" s="295">
        <f t="shared" si="33"/>
        <v>-9.0534979423868317E-2</v>
      </c>
      <c r="H324" s="293">
        <f>IF(C324="","",ROUND(C324*Steuerungsdaten!$B$4*Steuerungsdaten!$B$8*IFERROR(VLOOKUP(IFERROR(INDEX(Aktiv!$C$6:$C$350,MATCH(A324,Aktiv!$A$6:$A$350,0)),""),Steuerungsdaten!$B$17:$E$37,4,FALSE),1)*POWER(IF(OR(IFERROR(INDEX(Aktiv!$E$6:$E$350,MATCH(A324,Aktiv!$A$6:$A$350,0)),0)=0,IFERROR(INDEX(Aktiv!$F$6:$F$350,MATCH(A324,Aktiv!$A$6:$A$350,0)),0)=0),1,(IFERROR(INDEX(Aktiv!$E$6:$E$350,MATCH(A324,Aktiv!$A$6:$A$350,0)),0)*IFERROR(INDEX(Aktiv!$F$6:$F$350,MATCH(A324,Aktiv!$A$6:$A$350,0)),0)/1000000)/Steuerungsdaten!$B$6),1-1),0))</f>
        <v>243</v>
      </c>
      <c r="I324" s="293">
        <f>IFERROR(INDEX(Aktiv!$H$6:$H$350,MATCH(A324,Aktiv!$A$6:$A$350,0)),"")</f>
        <v>221</v>
      </c>
      <c r="J324" s="294">
        <f t="shared" si="34"/>
        <v>-22</v>
      </c>
      <c r="K324" s="296">
        <f t="shared" si="35"/>
        <v>-9.0534979423868317E-2</v>
      </c>
      <c r="L324" s="297">
        <f>IF(C324="","",ROUND(C324*Steuerungsdaten!$B$4*Steuerungsdaten!$B$9*IFERROR(VLOOKUP(IFERROR(INDEX(Aktiv!$C$6:$C$350,MATCH(A324,Aktiv!$A$6:$A$350,0)),""),Steuerungsdaten!$B$17:$G$37,6,FALSE),1)*POWER(IF(OR(IFERROR(INDEX(Aktiv!$E$6:$E$350,MATCH(A324,Aktiv!$A$6:$A$350,0)),0)=0,IFERROR(INDEX(Aktiv!$F$6:$F$350,MATCH(A324,Aktiv!$A$6:$A$350,0)),0)=0),1,(IFERROR(INDEX(Aktiv!$E$6:$E$350,MATCH(A324,Aktiv!$A$6:$A$350,0)),0)*IFERROR(INDEX(Aktiv!$F$6:$F$350,MATCH(A324,Aktiv!$A$6:$A$350,0)),0)/1000000)/Steuerungsdaten!$B$6),1-1),0))</f>
        <v>243</v>
      </c>
      <c r="M324" s="297">
        <f>IFERROR(INDEX(Aktiv!$I$6:$I$350,MATCH(A324,Aktiv!$A$6:$A$350,0)),"")</f>
        <v>221</v>
      </c>
      <c r="N324" s="298">
        <f t="shared" si="36"/>
        <v>-22</v>
      </c>
      <c r="O324" s="296">
        <f t="shared" si="37"/>
        <v>-9.0534979423868317E-2</v>
      </c>
      <c r="P324" s="297">
        <f>IF(C324="","",ROUND(C324*Steuerungsdaten!$B$4*Steuerungsdaten!$B$10*IFERROR(VLOOKUP(IFERROR(INDEX(Aktiv!$C$6:$C$350,MATCH(A324,Aktiv!$A$6:$A$350,0)),""),Steuerungsdaten!$B$17:$I$37,8,FALSE),1)*POWER(IF(OR(IFERROR(INDEX(Aktiv!$E$6:$E$350,MATCH(A324,Aktiv!$A$6:$A$350,0)),0)=0,IFERROR(INDEX(Aktiv!$F$6:$F$350,MATCH(A324,Aktiv!$A$6:$A$350,0)),0)=0),1,(IFERROR(INDEX(Aktiv!$E$6:$E$350,MATCH(A324,Aktiv!$A$6:$A$350,0)),0)*IFERROR(INDEX(Aktiv!$F$6:$F$350,MATCH(A324,Aktiv!$A$6:$A$350,0)),0)/1000000)/Steuerungsdaten!$B$6),1-1),0))</f>
        <v>265</v>
      </c>
      <c r="Q324" s="297">
        <f>IFERROR(INDEX(Aktiv!$J$6:$J$350,MATCH(A324,Aktiv!$A$6:$A$350,0)),"")</f>
        <v>221</v>
      </c>
      <c r="R324" s="298">
        <f t="shared" si="38"/>
        <v>-44</v>
      </c>
      <c r="S324" s="296">
        <f t="shared" si="39"/>
        <v>-0.16603773584905659</v>
      </c>
    </row>
    <row r="325" spans="1:19" x14ac:dyDescent="0.25">
      <c r="A325" s="292" t="s">
        <v>665</v>
      </c>
      <c r="B325" s="292" t="s">
        <v>730</v>
      </c>
      <c r="C325" s="293">
        <f>IFERROR(INDEX(Aktiv!$O$6:$O$350,MATCH(A325,Aktiv!$A$6:$A$350,0)),"")</f>
        <v>186</v>
      </c>
      <c r="D325" s="293">
        <f>IF(C325="","",ROUND(C325*Steuerungsdaten!$B$4*Steuerungsdaten!$B$7*IFERROR(VLOOKUP(IFERROR(INDEX(Aktiv!$C$6:$C$350,MATCH(A325,Aktiv!$A$6:$A$350,0)),""),Steuerungsdaten!$B$17:$C$37,2,FALSE),1)*POWER(IF(OR(IFERROR(INDEX(Aktiv!$E$6:$E$350,MATCH(A325,Aktiv!$A$6:$A$350,0)),0)=0,IFERROR(INDEX(Aktiv!$F$6:$F$350,MATCH(A325,Aktiv!$A$6:$A$350,0)),0)=0),1,(IFERROR(INDEX(Aktiv!$E$6:$E$350,MATCH(A325,Aktiv!$A$6:$A$350,0)),0)*IFERROR(INDEX(Aktiv!$F$6:$F$350,MATCH(A325,Aktiv!$A$6:$A$350,0)),0)/1000000)/Steuerungsdaten!$B$6),IF(ISNUMBER(MATCH(IFERROR(INDEX(Aktiv!$C$6:$C$350,MATCH(A325,Aktiv!$A$6:$A$350,0)),""),{"Boden","Seite außen","Seite außen SY32","Rücken","Seite innen","Seite innen SY32","Seite innen SY32 DB","Fachboden klein","Fachboden groß","Klappenboden"},0)),1.2,1)-1),0))</f>
        <v>205</v>
      </c>
      <c r="E325" s="293">
        <f>IFERROR(INDEX(Aktiv!$G$6:$G$350,MATCH(A325,Aktiv!$A$6:$A$350,0)),"")</f>
        <v>186</v>
      </c>
      <c r="F325" s="294">
        <f t="shared" ref="F325:F339" si="40">IF(OR(D325="",E325=""),"",E325-D325)</f>
        <v>-19</v>
      </c>
      <c r="G325" s="295">
        <f t="shared" ref="G325:G339" si="41">IF(OR(D325="",E325="",D325=0),"",(E325-D325)/D325)</f>
        <v>-9.2682926829268292E-2</v>
      </c>
      <c r="H325" s="293">
        <f>IF(C325="","",ROUND(C325*Steuerungsdaten!$B$4*Steuerungsdaten!$B$8*IFERROR(VLOOKUP(IFERROR(INDEX(Aktiv!$C$6:$C$350,MATCH(A325,Aktiv!$A$6:$A$350,0)),""),Steuerungsdaten!$B$17:$E$37,4,FALSE),1)*POWER(IF(OR(IFERROR(INDEX(Aktiv!$E$6:$E$350,MATCH(A325,Aktiv!$A$6:$A$350,0)),0)=0,IFERROR(INDEX(Aktiv!$F$6:$F$350,MATCH(A325,Aktiv!$A$6:$A$350,0)),0)=0),1,(IFERROR(INDEX(Aktiv!$E$6:$E$350,MATCH(A325,Aktiv!$A$6:$A$350,0)),0)*IFERROR(INDEX(Aktiv!$F$6:$F$350,MATCH(A325,Aktiv!$A$6:$A$350,0)),0)/1000000)/Steuerungsdaten!$B$6),1-1),0))</f>
        <v>205</v>
      </c>
      <c r="I325" s="293">
        <f>IFERROR(INDEX(Aktiv!$H$6:$H$350,MATCH(A325,Aktiv!$A$6:$A$350,0)),"")</f>
        <v>186</v>
      </c>
      <c r="J325" s="294">
        <f t="shared" ref="J325:J339" si="42">IF(OR(H325="",I325=""),"",I325-H325)</f>
        <v>-19</v>
      </c>
      <c r="K325" s="296">
        <f t="shared" ref="K325:K339" si="43">IF(OR(H325="",I325="",H325=0),"",(I325-H325)/H325)</f>
        <v>-9.2682926829268292E-2</v>
      </c>
      <c r="L325" s="297">
        <f>IF(C325="","",ROUND(C325*Steuerungsdaten!$B$4*Steuerungsdaten!$B$9*IFERROR(VLOOKUP(IFERROR(INDEX(Aktiv!$C$6:$C$350,MATCH(A325,Aktiv!$A$6:$A$350,0)),""),Steuerungsdaten!$B$17:$G$37,6,FALSE),1)*POWER(IF(OR(IFERROR(INDEX(Aktiv!$E$6:$E$350,MATCH(A325,Aktiv!$A$6:$A$350,0)),0)=0,IFERROR(INDEX(Aktiv!$F$6:$F$350,MATCH(A325,Aktiv!$A$6:$A$350,0)),0)=0),1,(IFERROR(INDEX(Aktiv!$E$6:$E$350,MATCH(A325,Aktiv!$A$6:$A$350,0)),0)*IFERROR(INDEX(Aktiv!$F$6:$F$350,MATCH(A325,Aktiv!$A$6:$A$350,0)),0)/1000000)/Steuerungsdaten!$B$6),1-1),0))</f>
        <v>205</v>
      </c>
      <c r="M325" s="297">
        <f>IFERROR(INDEX(Aktiv!$I$6:$I$350,MATCH(A325,Aktiv!$A$6:$A$350,0)),"")</f>
        <v>186</v>
      </c>
      <c r="N325" s="298">
        <f t="shared" ref="N325:N339" si="44">IF(OR(L325="",M325=""),"",M325-L325)</f>
        <v>-19</v>
      </c>
      <c r="O325" s="296">
        <f t="shared" ref="O325:O339" si="45">IF(OR(L325="",M325="",L325=0),"",(M325-L325)/L325)</f>
        <v>-9.2682926829268292E-2</v>
      </c>
      <c r="P325" s="297">
        <f>IF(C325="","",ROUND(C325*Steuerungsdaten!$B$4*Steuerungsdaten!$B$10*IFERROR(VLOOKUP(IFERROR(INDEX(Aktiv!$C$6:$C$350,MATCH(A325,Aktiv!$A$6:$A$350,0)),""),Steuerungsdaten!$B$17:$I$37,8,FALSE),1)*POWER(IF(OR(IFERROR(INDEX(Aktiv!$E$6:$E$350,MATCH(A325,Aktiv!$A$6:$A$350,0)),0)=0,IFERROR(INDEX(Aktiv!$F$6:$F$350,MATCH(A325,Aktiv!$A$6:$A$350,0)),0)=0),1,(IFERROR(INDEX(Aktiv!$E$6:$E$350,MATCH(A325,Aktiv!$A$6:$A$350,0)),0)*IFERROR(INDEX(Aktiv!$F$6:$F$350,MATCH(A325,Aktiv!$A$6:$A$350,0)),0)/1000000)/Steuerungsdaten!$B$6),1-1),0))</f>
        <v>223</v>
      </c>
      <c r="Q325" s="297">
        <f>IFERROR(INDEX(Aktiv!$J$6:$J$350,MATCH(A325,Aktiv!$A$6:$A$350,0)),"")</f>
        <v>186</v>
      </c>
      <c r="R325" s="298">
        <f t="shared" ref="R325:R339" si="46">IF(OR(P325="",Q325=""),"",Q325-P325)</f>
        <v>-37</v>
      </c>
      <c r="S325" s="296">
        <f t="shared" ref="S325:S339" si="47">IF(OR(P325="",Q325="",P325=0),"",(Q325-P325)/P325)</f>
        <v>-0.16591928251121077</v>
      </c>
    </row>
    <row r="326" spans="1:19" x14ac:dyDescent="0.25">
      <c r="A326" s="292" t="s">
        <v>664</v>
      </c>
      <c r="B326" s="292" t="s">
        <v>731</v>
      </c>
      <c r="C326" s="293">
        <f>IFERROR(INDEX(Aktiv!$O$6:$O$350,MATCH(A326,Aktiv!$A$6:$A$350,0)),"")</f>
        <v>179</v>
      </c>
      <c r="D326" s="293">
        <f>IF(C326="","",ROUND(C326*Steuerungsdaten!$B$4*Steuerungsdaten!$B$7*IFERROR(VLOOKUP(IFERROR(INDEX(Aktiv!$C$6:$C$350,MATCH(A326,Aktiv!$A$6:$A$350,0)),""),Steuerungsdaten!$B$17:$C$37,2,FALSE),1)*POWER(IF(OR(IFERROR(INDEX(Aktiv!$E$6:$E$350,MATCH(A326,Aktiv!$A$6:$A$350,0)),0)=0,IFERROR(INDEX(Aktiv!$F$6:$F$350,MATCH(A326,Aktiv!$A$6:$A$350,0)),0)=0),1,(IFERROR(INDEX(Aktiv!$E$6:$E$350,MATCH(A326,Aktiv!$A$6:$A$350,0)),0)*IFERROR(INDEX(Aktiv!$F$6:$F$350,MATCH(A326,Aktiv!$A$6:$A$350,0)),0)/1000000)/Steuerungsdaten!$B$6),IF(ISNUMBER(MATCH(IFERROR(INDEX(Aktiv!$C$6:$C$350,MATCH(A326,Aktiv!$A$6:$A$350,0)),""),{"Boden","Seite außen","Seite außen SY32","Rücken","Seite innen","Seite innen SY32","Seite innen SY32 DB","Fachboden klein","Fachboden groß","Klappenboden"},0)),1.2,1)-1),0))</f>
        <v>197</v>
      </c>
      <c r="E326" s="293">
        <f>IFERROR(INDEX(Aktiv!$G$6:$G$350,MATCH(A326,Aktiv!$A$6:$A$350,0)),"")</f>
        <v>179</v>
      </c>
      <c r="F326" s="294">
        <f t="shared" si="40"/>
        <v>-18</v>
      </c>
      <c r="G326" s="295">
        <f t="shared" si="41"/>
        <v>-9.1370558375634514E-2</v>
      </c>
      <c r="H326" s="293">
        <f>IF(C326="","",ROUND(C326*Steuerungsdaten!$B$4*Steuerungsdaten!$B$8*IFERROR(VLOOKUP(IFERROR(INDEX(Aktiv!$C$6:$C$350,MATCH(A326,Aktiv!$A$6:$A$350,0)),""),Steuerungsdaten!$B$17:$E$37,4,FALSE),1)*POWER(IF(OR(IFERROR(INDEX(Aktiv!$E$6:$E$350,MATCH(A326,Aktiv!$A$6:$A$350,0)),0)=0,IFERROR(INDEX(Aktiv!$F$6:$F$350,MATCH(A326,Aktiv!$A$6:$A$350,0)),0)=0),1,(IFERROR(INDEX(Aktiv!$E$6:$E$350,MATCH(A326,Aktiv!$A$6:$A$350,0)),0)*IFERROR(INDEX(Aktiv!$F$6:$F$350,MATCH(A326,Aktiv!$A$6:$A$350,0)),0)/1000000)/Steuerungsdaten!$B$6),1-1),0))</f>
        <v>197</v>
      </c>
      <c r="I326" s="293">
        <f>IFERROR(INDEX(Aktiv!$H$6:$H$350,MATCH(A326,Aktiv!$A$6:$A$350,0)),"")</f>
        <v>179</v>
      </c>
      <c r="J326" s="294">
        <f t="shared" si="42"/>
        <v>-18</v>
      </c>
      <c r="K326" s="296">
        <f t="shared" si="43"/>
        <v>-9.1370558375634514E-2</v>
      </c>
      <c r="L326" s="297">
        <f>IF(C326="","",ROUND(C326*Steuerungsdaten!$B$4*Steuerungsdaten!$B$9*IFERROR(VLOOKUP(IFERROR(INDEX(Aktiv!$C$6:$C$350,MATCH(A326,Aktiv!$A$6:$A$350,0)),""),Steuerungsdaten!$B$17:$G$37,6,FALSE),1)*POWER(IF(OR(IFERROR(INDEX(Aktiv!$E$6:$E$350,MATCH(A326,Aktiv!$A$6:$A$350,0)),0)=0,IFERROR(INDEX(Aktiv!$F$6:$F$350,MATCH(A326,Aktiv!$A$6:$A$350,0)),0)=0),1,(IFERROR(INDEX(Aktiv!$E$6:$E$350,MATCH(A326,Aktiv!$A$6:$A$350,0)),0)*IFERROR(INDEX(Aktiv!$F$6:$F$350,MATCH(A326,Aktiv!$A$6:$A$350,0)),0)/1000000)/Steuerungsdaten!$B$6),1-1),0))</f>
        <v>197</v>
      </c>
      <c r="M326" s="297">
        <f>IFERROR(INDEX(Aktiv!$I$6:$I$350,MATCH(A326,Aktiv!$A$6:$A$350,0)),"")</f>
        <v>179</v>
      </c>
      <c r="N326" s="298">
        <f t="shared" si="44"/>
        <v>-18</v>
      </c>
      <c r="O326" s="296">
        <f t="shared" si="45"/>
        <v>-9.1370558375634514E-2</v>
      </c>
      <c r="P326" s="297">
        <f>IF(C326="","",ROUND(C326*Steuerungsdaten!$B$4*Steuerungsdaten!$B$10*IFERROR(VLOOKUP(IFERROR(INDEX(Aktiv!$C$6:$C$350,MATCH(A326,Aktiv!$A$6:$A$350,0)),""),Steuerungsdaten!$B$17:$I$37,8,FALSE),1)*POWER(IF(OR(IFERROR(INDEX(Aktiv!$E$6:$E$350,MATCH(A326,Aktiv!$A$6:$A$350,0)),0)=0,IFERROR(INDEX(Aktiv!$F$6:$F$350,MATCH(A326,Aktiv!$A$6:$A$350,0)),0)=0),1,(IFERROR(INDEX(Aktiv!$E$6:$E$350,MATCH(A326,Aktiv!$A$6:$A$350,0)),0)*IFERROR(INDEX(Aktiv!$F$6:$F$350,MATCH(A326,Aktiv!$A$6:$A$350,0)),0)/1000000)/Steuerungsdaten!$B$6),1-1),0))</f>
        <v>215</v>
      </c>
      <c r="Q326" s="297">
        <f>IFERROR(INDEX(Aktiv!$J$6:$J$350,MATCH(A326,Aktiv!$A$6:$A$350,0)),"")</f>
        <v>179</v>
      </c>
      <c r="R326" s="298">
        <f t="shared" si="46"/>
        <v>-36</v>
      </c>
      <c r="S326" s="296">
        <f t="shared" si="47"/>
        <v>-0.16744186046511628</v>
      </c>
    </row>
    <row r="327" spans="1:19" x14ac:dyDescent="0.25">
      <c r="A327" s="292" t="s">
        <v>663</v>
      </c>
      <c r="B327" s="292" t="s">
        <v>732</v>
      </c>
      <c r="C327" s="293">
        <f>IFERROR(INDEX(Aktiv!$O$6:$O$350,MATCH(A327,Aktiv!$A$6:$A$350,0)),"")</f>
        <v>108</v>
      </c>
      <c r="D327" s="293">
        <f>IF(C327="","",ROUND(C327*Steuerungsdaten!$B$4*Steuerungsdaten!$B$7*IFERROR(VLOOKUP(IFERROR(INDEX(Aktiv!$C$6:$C$350,MATCH(A327,Aktiv!$A$6:$A$350,0)),""),Steuerungsdaten!$B$17:$C$37,2,FALSE),1)*POWER(IF(OR(IFERROR(INDEX(Aktiv!$E$6:$E$350,MATCH(A327,Aktiv!$A$6:$A$350,0)),0)=0,IFERROR(INDEX(Aktiv!$F$6:$F$350,MATCH(A327,Aktiv!$A$6:$A$350,0)),0)=0),1,(IFERROR(INDEX(Aktiv!$E$6:$E$350,MATCH(A327,Aktiv!$A$6:$A$350,0)),0)*IFERROR(INDEX(Aktiv!$F$6:$F$350,MATCH(A327,Aktiv!$A$6:$A$350,0)),0)/1000000)/Steuerungsdaten!$B$6),IF(ISNUMBER(MATCH(IFERROR(INDEX(Aktiv!$C$6:$C$350,MATCH(A327,Aktiv!$A$6:$A$350,0)),""),{"Boden","Seite außen","Seite außen SY32","Rücken","Seite innen","Seite innen SY32","Seite innen SY32 DB","Fachboden klein","Fachboden groß","Klappenboden"},0)),1.2,1)-1),0))</f>
        <v>119</v>
      </c>
      <c r="E327" s="293">
        <f>IFERROR(INDEX(Aktiv!$G$6:$G$350,MATCH(A327,Aktiv!$A$6:$A$350,0)),"")</f>
        <v>108</v>
      </c>
      <c r="F327" s="294">
        <f t="shared" si="40"/>
        <v>-11</v>
      </c>
      <c r="G327" s="295">
        <f t="shared" si="41"/>
        <v>-9.2436974789915971E-2</v>
      </c>
      <c r="H327" s="293">
        <f>IF(C327="","",ROUND(C327*Steuerungsdaten!$B$4*Steuerungsdaten!$B$8*IFERROR(VLOOKUP(IFERROR(INDEX(Aktiv!$C$6:$C$350,MATCH(A327,Aktiv!$A$6:$A$350,0)),""),Steuerungsdaten!$B$17:$E$37,4,FALSE),1)*POWER(IF(OR(IFERROR(INDEX(Aktiv!$E$6:$E$350,MATCH(A327,Aktiv!$A$6:$A$350,0)),0)=0,IFERROR(INDEX(Aktiv!$F$6:$F$350,MATCH(A327,Aktiv!$A$6:$A$350,0)),0)=0),1,(IFERROR(INDEX(Aktiv!$E$6:$E$350,MATCH(A327,Aktiv!$A$6:$A$350,0)),0)*IFERROR(INDEX(Aktiv!$F$6:$F$350,MATCH(A327,Aktiv!$A$6:$A$350,0)),0)/1000000)/Steuerungsdaten!$B$6),1-1),0))</f>
        <v>119</v>
      </c>
      <c r="I327" s="293">
        <f>IFERROR(INDEX(Aktiv!$H$6:$H$350,MATCH(A327,Aktiv!$A$6:$A$350,0)),"")</f>
        <v>108</v>
      </c>
      <c r="J327" s="294">
        <f t="shared" si="42"/>
        <v>-11</v>
      </c>
      <c r="K327" s="296">
        <f t="shared" si="43"/>
        <v>-9.2436974789915971E-2</v>
      </c>
      <c r="L327" s="297">
        <f>IF(C327="","",ROUND(C327*Steuerungsdaten!$B$4*Steuerungsdaten!$B$9*IFERROR(VLOOKUP(IFERROR(INDEX(Aktiv!$C$6:$C$350,MATCH(A327,Aktiv!$A$6:$A$350,0)),""),Steuerungsdaten!$B$17:$G$37,6,FALSE),1)*POWER(IF(OR(IFERROR(INDEX(Aktiv!$E$6:$E$350,MATCH(A327,Aktiv!$A$6:$A$350,0)),0)=0,IFERROR(INDEX(Aktiv!$F$6:$F$350,MATCH(A327,Aktiv!$A$6:$A$350,0)),0)=0),1,(IFERROR(INDEX(Aktiv!$E$6:$E$350,MATCH(A327,Aktiv!$A$6:$A$350,0)),0)*IFERROR(INDEX(Aktiv!$F$6:$F$350,MATCH(A327,Aktiv!$A$6:$A$350,0)),0)/1000000)/Steuerungsdaten!$B$6),1-1),0))</f>
        <v>119</v>
      </c>
      <c r="M327" s="297">
        <f>IFERROR(INDEX(Aktiv!$I$6:$I$350,MATCH(A327,Aktiv!$A$6:$A$350,0)),"")</f>
        <v>108</v>
      </c>
      <c r="N327" s="298">
        <f t="shared" si="44"/>
        <v>-11</v>
      </c>
      <c r="O327" s="296">
        <f t="shared" si="45"/>
        <v>-9.2436974789915971E-2</v>
      </c>
      <c r="P327" s="297">
        <f>IF(C327="","",ROUND(C327*Steuerungsdaten!$B$4*Steuerungsdaten!$B$10*IFERROR(VLOOKUP(IFERROR(INDEX(Aktiv!$C$6:$C$350,MATCH(A327,Aktiv!$A$6:$A$350,0)),""),Steuerungsdaten!$B$17:$I$37,8,FALSE),1)*POWER(IF(OR(IFERROR(INDEX(Aktiv!$E$6:$E$350,MATCH(A327,Aktiv!$A$6:$A$350,0)),0)=0,IFERROR(INDEX(Aktiv!$F$6:$F$350,MATCH(A327,Aktiv!$A$6:$A$350,0)),0)=0),1,(IFERROR(INDEX(Aktiv!$E$6:$E$350,MATCH(A327,Aktiv!$A$6:$A$350,0)),0)*IFERROR(INDEX(Aktiv!$F$6:$F$350,MATCH(A327,Aktiv!$A$6:$A$350,0)),0)/1000000)/Steuerungsdaten!$B$6),1-1),0))</f>
        <v>130</v>
      </c>
      <c r="Q327" s="297">
        <f>IFERROR(INDEX(Aktiv!$J$6:$J$350,MATCH(A327,Aktiv!$A$6:$A$350,0)),"")</f>
        <v>108</v>
      </c>
      <c r="R327" s="298">
        <f t="shared" si="46"/>
        <v>-22</v>
      </c>
      <c r="S327" s="296">
        <f t="shared" si="47"/>
        <v>-0.16923076923076924</v>
      </c>
    </row>
    <row r="328" spans="1:19" x14ac:dyDescent="0.25">
      <c r="A328" s="292" t="s">
        <v>662</v>
      </c>
      <c r="B328" s="292" t="s">
        <v>733</v>
      </c>
      <c r="C328" s="293">
        <f>IFERROR(INDEX(Aktiv!$O$6:$O$350,MATCH(A328,Aktiv!$A$6:$A$350,0)),"")</f>
        <v>107</v>
      </c>
      <c r="D328" s="293">
        <f>IF(C328="","",ROUND(C328*Steuerungsdaten!$B$4*Steuerungsdaten!$B$7*IFERROR(VLOOKUP(IFERROR(INDEX(Aktiv!$C$6:$C$350,MATCH(A328,Aktiv!$A$6:$A$350,0)),""),Steuerungsdaten!$B$17:$C$37,2,FALSE),1)*POWER(IF(OR(IFERROR(INDEX(Aktiv!$E$6:$E$350,MATCH(A328,Aktiv!$A$6:$A$350,0)),0)=0,IFERROR(INDEX(Aktiv!$F$6:$F$350,MATCH(A328,Aktiv!$A$6:$A$350,0)),0)=0),1,(IFERROR(INDEX(Aktiv!$E$6:$E$350,MATCH(A328,Aktiv!$A$6:$A$350,0)),0)*IFERROR(INDEX(Aktiv!$F$6:$F$350,MATCH(A328,Aktiv!$A$6:$A$350,0)),0)/1000000)/Steuerungsdaten!$B$6),IF(ISNUMBER(MATCH(IFERROR(INDEX(Aktiv!$C$6:$C$350,MATCH(A328,Aktiv!$A$6:$A$350,0)),""),{"Boden","Seite außen","Seite außen SY32","Rücken","Seite innen","Seite innen SY32","Seite innen SY32 DB","Fachboden klein","Fachboden groß","Klappenboden"},0)),1.2,1)-1),0))</f>
        <v>118</v>
      </c>
      <c r="E328" s="293">
        <f>IFERROR(INDEX(Aktiv!$G$6:$G$350,MATCH(A328,Aktiv!$A$6:$A$350,0)),"")</f>
        <v>107</v>
      </c>
      <c r="F328" s="294">
        <f t="shared" si="40"/>
        <v>-11</v>
      </c>
      <c r="G328" s="295">
        <f t="shared" si="41"/>
        <v>-9.3220338983050849E-2</v>
      </c>
      <c r="H328" s="293">
        <f>IF(C328="","",ROUND(C328*Steuerungsdaten!$B$4*Steuerungsdaten!$B$8*IFERROR(VLOOKUP(IFERROR(INDEX(Aktiv!$C$6:$C$350,MATCH(A328,Aktiv!$A$6:$A$350,0)),""),Steuerungsdaten!$B$17:$E$37,4,FALSE),1)*POWER(IF(OR(IFERROR(INDEX(Aktiv!$E$6:$E$350,MATCH(A328,Aktiv!$A$6:$A$350,0)),0)=0,IFERROR(INDEX(Aktiv!$F$6:$F$350,MATCH(A328,Aktiv!$A$6:$A$350,0)),0)=0),1,(IFERROR(INDEX(Aktiv!$E$6:$E$350,MATCH(A328,Aktiv!$A$6:$A$350,0)),0)*IFERROR(INDEX(Aktiv!$F$6:$F$350,MATCH(A328,Aktiv!$A$6:$A$350,0)),0)/1000000)/Steuerungsdaten!$B$6),1-1),0))</f>
        <v>118</v>
      </c>
      <c r="I328" s="293">
        <f>IFERROR(INDEX(Aktiv!$H$6:$H$350,MATCH(A328,Aktiv!$A$6:$A$350,0)),"")</f>
        <v>107</v>
      </c>
      <c r="J328" s="294">
        <f t="shared" si="42"/>
        <v>-11</v>
      </c>
      <c r="K328" s="296">
        <f t="shared" si="43"/>
        <v>-9.3220338983050849E-2</v>
      </c>
      <c r="L328" s="297">
        <f>IF(C328="","",ROUND(C328*Steuerungsdaten!$B$4*Steuerungsdaten!$B$9*IFERROR(VLOOKUP(IFERROR(INDEX(Aktiv!$C$6:$C$350,MATCH(A328,Aktiv!$A$6:$A$350,0)),""),Steuerungsdaten!$B$17:$G$37,6,FALSE),1)*POWER(IF(OR(IFERROR(INDEX(Aktiv!$E$6:$E$350,MATCH(A328,Aktiv!$A$6:$A$350,0)),0)=0,IFERROR(INDEX(Aktiv!$F$6:$F$350,MATCH(A328,Aktiv!$A$6:$A$350,0)),0)=0),1,(IFERROR(INDEX(Aktiv!$E$6:$E$350,MATCH(A328,Aktiv!$A$6:$A$350,0)),0)*IFERROR(INDEX(Aktiv!$F$6:$F$350,MATCH(A328,Aktiv!$A$6:$A$350,0)),0)/1000000)/Steuerungsdaten!$B$6),1-1),0))</f>
        <v>118</v>
      </c>
      <c r="M328" s="297">
        <f>IFERROR(INDEX(Aktiv!$I$6:$I$350,MATCH(A328,Aktiv!$A$6:$A$350,0)),"")</f>
        <v>107</v>
      </c>
      <c r="N328" s="298">
        <f t="shared" si="44"/>
        <v>-11</v>
      </c>
      <c r="O328" s="296">
        <f t="shared" si="45"/>
        <v>-9.3220338983050849E-2</v>
      </c>
      <c r="P328" s="297">
        <f>IF(C328="","",ROUND(C328*Steuerungsdaten!$B$4*Steuerungsdaten!$B$10*IFERROR(VLOOKUP(IFERROR(INDEX(Aktiv!$C$6:$C$350,MATCH(A328,Aktiv!$A$6:$A$350,0)),""),Steuerungsdaten!$B$17:$I$37,8,FALSE),1)*POWER(IF(OR(IFERROR(INDEX(Aktiv!$E$6:$E$350,MATCH(A328,Aktiv!$A$6:$A$350,0)),0)=0,IFERROR(INDEX(Aktiv!$F$6:$F$350,MATCH(A328,Aktiv!$A$6:$A$350,0)),0)=0),1,(IFERROR(INDEX(Aktiv!$E$6:$E$350,MATCH(A328,Aktiv!$A$6:$A$350,0)),0)*IFERROR(INDEX(Aktiv!$F$6:$F$350,MATCH(A328,Aktiv!$A$6:$A$350,0)),0)/1000000)/Steuerungsdaten!$B$6),1-1),0))</f>
        <v>128</v>
      </c>
      <c r="Q328" s="297">
        <f>IFERROR(INDEX(Aktiv!$J$6:$J$350,MATCH(A328,Aktiv!$A$6:$A$350,0)),"")</f>
        <v>107</v>
      </c>
      <c r="R328" s="298">
        <f t="shared" si="46"/>
        <v>-21</v>
      </c>
      <c r="S328" s="296">
        <f t="shared" si="47"/>
        <v>-0.1640625</v>
      </c>
    </row>
    <row r="329" spans="1:19" x14ac:dyDescent="0.25">
      <c r="A329" s="292" t="s">
        <v>661</v>
      </c>
      <c r="B329" s="292" t="s">
        <v>734</v>
      </c>
      <c r="C329" s="293">
        <f>IFERROR(INDEX(Aktiv!$O$6:$O$350,MATCH(A329,Aktiv!$A$6:$A$350,0)),"")</f>
        <v>150</v>
      </c>
      <c r="D329" s="293">
        <f>IF(C329="","",ROUND(C329*Steuerungsdaten!$B$4*Steuerungsdaten!$B$7*IFERROR(VLOOKUP(IFERROR(INDEX(Aktiv!$C$6:$C$350,MATCH(A329,Aktiv!$A$6:$A$350,0)),""),Steuerungsdaten!$B$17:$C$37,2,FALSE),1)*POWER(IF(OR(IFERROR(INDEX(Aktiv!$E$6:$E$350,MATCH(A329,Aktiv!$A$6:$A$350,0)),0)=0,IFERROR(INDEX(Aktiv!$F$6:$F$350,MATCH(A329,Aktiv!$A$6:$A$350,0)),0)=0),1,(IFERROR(INDEX(Aktiv!$E$6:$E$350,MATCH(A329,Aktiv!$A$6:$A$350,0)),0)*IFERROR(INDEX(Aktiv!$F$6:$F$350,MATCH(A329,Aktiv!$A$6:$A$350,0)),0)/1000000)/Steuerungsdaten!$B$6),IF(ISNUMBER(MATCH(IFERROR(INDEX(Aktiv!$C$6:$C$350,MATCH(A329,Aktiv!$A$6:$A$350,0)),""),{"Boden","Seite außen","Seite außen SY32","Rücken","Seite innen","Seite innen SY32","Seite innen SY32 DB","Fachboden klein","Fachboden groß","Klappenboden"},0)),1.2,1)-1),0))</f>
        <v>165</v>
      </c>
      <c r="E329" s="293">
        <f>IFERROR(INDEX(Aktiv!$G$6:$G$350,MATCH(A329,Aktiv!$A$6:$A$350,0)),"")</f>
        <v>150</v>
      </c>
      <c r="F329" s="294">
        <f t="shared" si="40"/>
        <v>-15</v>
      </c>
      <c r="G329" s="295">
        <f t="shared" si="41"/>
        <v>-9.0909090909090912E-2</v>
      </c>
      <c r="H329" s="293">
        <f>IF(C329="","",ROUND(C329*Steuerungsdaten!$B$4*Steuerungsdaten!$B$8*IFERROR(VLOOKUP(IFERROR(INDEX(Aktiv!$C$6:$C$350,MATCH(A329,Aktiv!$A$6:$A$350,0)),""),Steuerungsdaten!$B$17:$E$37,4,FALSE),1)*POWER(IF(OR(IFERROR(INDEX(Aktiv!$E$6:$E$350,MATCH(A329,Aktiv!$A$6:$A$350,0)),0)=0,IFERROR(INDEX(Aktiv!$F$6:$F$350,MATCH(A329,Aktiv!$A$6:$A$350,0)),0)=0),1,(IFERROR(INDEX(Aktiv!$E$6:$E$350,MATCH(A329,Aktiv!$A$6:$A$350,0)),0)*IFERROR(INDEX(Aktiv!$F$6:$F$350,MATCH(A329,Aktiv!$A$6:$A$350,0)),0)/1000000)/Steuerungsdaten!$B$6),1-1),0))</f>
        <v>165</v>
      </c>
      <c r="I329" s="293">
        <f>IFERROR(INDEX(Aktiv!$H$6:$H$350,MATCH(A329,Aktiv!$A$6:$A$350,0)),"")</f>
        <v>150</v>
      </c>
      <c r="J329" s="294">
        <f t="shared" si="42"/>
        <v>-15</v>
      </c>
      <c r="K329" s="296">
        <f t="shared" si="43"/>
        <v>-9.0909090909090912E-2</v>
      </c>
      <c r="L329" s="297">
        <f>IF(C329="","",ROUND(C329*Steuerungsdaten!$B$4*Steuerungsdaten!$B$9*IFERROR(VLOOKUP(IFERROR(INDEX(Aktiv!$C$6:$C$350,MATCH(A329,Aktiv!$A$6:$A$350,0)),""),Steuerungsdaten!$B$17:$G$37,6,FALSE),1)*POWER(IF(OR(IFERROR(INDEX(Aktiv!$E$6:$E$350,MATCH(A329,Aktiv!$A$6:$A$350,0)),0)=0,IFERROR(INDEX(Aktiv!$F$6:$F$350,MATCH(A329,Aktiv!$A$6:$A$350,0)),0)=0),1,(IFERROR(INDEX(Aktiv!$E$6:$E$350,MATCH(A329,Aktiv!$A$6:$A$350,0)),0)*IFERROR(INDEX(Aktiv!$F$6:$F$350,MATCH(A329,Aktiv!$A$6:$A$350,0)),0)/1000000)/Steuerungsdaten!$B$6),1-1),0))</f>
        <v>165</v>
      </c>
      <c r="M329" s="297">
        <f>IFERROR(INDEX(Aktiv!$I$6:$I$350,MATCH(A329,Aktiv!$A$6:$A$350,0)),"")</f>
        <v>150</v>
      </c>
      <c r="N329" s="298">
        <f t="shared" si="44"/>
        <v>-15</v>
      </c>
      <c r="O329" s="296">
        <f t="shared" si="45"/>
        <v>-9.0909090909090912E-2</v>
      </c>
      <c r="P329" s="297">
        <f>IF(C329="","",ROUND(C329*Steuerungsdaten!$B$4*Steuerungsdaten!$B$10*IFERROR(VLOOKUP(IFERROR(INDEX(Aktiv!$C$6:$C$350,MATCH(A329,Aktiv!$A$6:$A$350,0)),""),Steuerungsdaten!$B$17:$I$37,8,FALSE),1)*POWER(IF(OR(IFERROR(INDEX(Aktiv!$E$6:$E$350,MATCH(A329,Aktiv!$A$6:$A$350,0)),0)=0,IFERROR(INDEX(Aktiv!$F$6:$F$350,MATCH(A329,Aktiv!$A$6:$A$350,0)),0)=0),1,(IFERROR(INDEX(Aktiv!$E$6:$E$350,MATCH(A329,Aktiv!$A$6:$A$350,0)),0)*IFERROR(INDEX(Aktiv!$F$6:$F$350,MATCH(A329,Aktiv!$A$6:$A$350,0)),0)/1000000)/Steuerungsdaten!$B$6),1-1),0))</f>
        <v>180</v>
      </c>
      <c r="Q329" s="297">
        <f>IFERROR(INDEX(Aktiv!$J$6:$J$350,MATCH(A329,Aktiv!$A$6:$A$350,0)),"")</f>
        <v>150</v>
      </c>
      <c r="R329" s="298">
        <f t="shared" si="46"/>
        <v>-30</v>
      </c>
      <c r="S329" s="296">
        <f t="shared" si="47"/>
        <v>-0.16666666666666666</v>
      </c>
    </row>
    <row r="330" spans="1:19" x14ac:dyDescent="0.25">
      <c r="A330" s="292" t="s">
        <v>660</v>
      </c>
      <c r="B330" s="292" t="s">
        <v>735</v>
      </c>
      <c r="C330" s="293">
        <f>IFERROR(INDEX(Aktiv!$O$6:$O$350,MATCH(A330,Aktiv!$A$6:$A$350,0)),"")</f>
        <v>105</v>
      </c>
      <c r="D330" s="293">
        <f>IF(C330="","",ROUND(C330*Steuerungsdaten!$B$4*Steuerungsdaten!$B$7*IFERROR(VLOOKUP(IFERROR(INDEX(Aktiv!$C$6:$C$350,MATCH(A330,Aktiv!$A$6:$A$350,0)),""),Steuerungsdaten!$B$17:$C$37,2,FALSE),1)*POWER(IF(OR(IFERROR(INDEX(Aktiv!$E$6:$E$350,MATCH(A330,Aktiv!$A$6:$A$350,0)),0)=0,IFERROR(INDEX(Aktiv!$F$6:$F$350,MATCH(A330,Aktiv!$A$6:$A$350,0)),0)=0),1,(IFERROR(INDEX(Aktiv!$E$6:$E$350,MATCH(A330,Aktiv!$A$6:$A$350,0)),0)*IFERROR(INDEX(Aktiv!$F$6:$F$350,MATCH(A330,Aktiv!$A$6:$A$350,0)),0)/1000000)/Steuerungsdaten!$B$6),IF(ISNUMBER(MATCH(IFERROR(INDEX(Aktiv!$C$6:$C$350,MATCH(A330,Aktiv!$A$6:$A$350,0)),""),{"Boden","Seite außen","Seite außen SY32","Rücken","Seite innen","Seite innen SY32","Seite innen SY32 DB","Fachboden klein","Fachboden groß","Klappenboden"},0)),1.2,1)-1),0))</f>
        <v>116</v>
      </c>
      <c r="E330" s="293">
        <f>IFERROR(INDEX(Aktiv!$G$6:$G$350,MATCH(A330,Aktiv!$A$6:$A$350,0)),"")</f>
        <v>105</v>
      </c>
      <c r="F330" s="294">
        <f t="shared" si="40"/>
        <v>-11</v>
      </c>
      <c r="G330" s="295">
        <f t="shared" si="41"/>
        <v>-9.4827586206896547E-2</v>
      </c>
      <c r="H330" s="293">
        <f>IF(C330="","",ROUND(C330*Steuerungsdaten!$B$4*Steuerungsdaten!$B$8*IFERROR(VLOOKUP(IFERROR(INDEX(Aktiv!$C$6:$C$350,MATCH(A330,Aktiv!$A$6:$A$350,0)),""),Steuerungsdaten!$B$17:$E$37,4,FALSE),1)*POWER(IF(OR(IFERROR(INDEX(Aktiv!$E$6:$E$350,MATCH(A330,Aktiv!$A$6:$A$350,0)),0)=0,IFERROR(INDEX(Aktiv!$F$6:$F$350,MATCH(A330,Aktiv!$A$6:$A$350,0)),0)=0),1,(IFERROR(INDEX(Aktiv!$E$6:$E$350,MATCH(A330,Aktiv!$A$6:$A$350,0)),0)*IFERROR(INDEX(Aktiv!$F$6:$F$350,MATCH(A330,Aktiv!$A$6:$A$350,0)),0)/1000000)/Steuerungsdaten!$B$6),1-1),0))</f>
        <v>116</v>
      </c>
      <c r="I330" s="293">
        <f>IFERROR(INDEX(Aktiv!$H$6:$H$350,MATCH(A330,Aktiv!$A$6:$A$350,0)),"")</f>
        <v>105</v>
      </c>
      <c r="J330" s="294">
        <f t="shared" si="42"/>
        <v>-11</v>
      </c>
      <c r="K330" s="296">
        <f t="shared" si="43"/>
        <v>-9.4827586206896547E-2</v>
      </c>
      <c r="L330" s="297">
        <f>IF(C330="","",ROUND(C330*Steuerungsdaten!$B$4*Steuerungsdaten!$B$9*IFERROR(VLOOKUP(IFERROR(INDEX(Aktiv!$C$6:$C$350,MATCH(A330,Aktiv!$A$6:$A$350,0)),""),Steuerungsdaten!$B$17:$G$37,6,FALSE),1)*POWER(IF(OR(IFERROR(INDEX(Aktiv!$E$6:$E$350,MATCH(A330,Aktiv!$A$6:$A$350,0)),0)=0,IFERROR(INDEX(Aktiv!$F$6:$F$350,MATCH(A330,Aktiv!$A$6:$A$350,0)),0)=0),1,(IFERROR(INDEX(Aktiv!$E$6:$E$350,MATCH(A330,Aktiv!$A$6:$A$350,0)),0)*IFERROR(INDEX(Aktiv!$F$6:$F$350,MATCH(A330,Aktiv!$A$6:$A$350,0)),0)/1000000)/Steuerungsdaten!$B$6),1-1),0))</f>
        <v>116</v>
      </c>
      <c r="M330" s="297">
        <f>IFERROR(INDEX(Aktiv!$I$6:$I$350,MATCH(A330,Aktiv!$A$6:$A$350,0)),"")</f>
        <v>105</v>
      </c>
      <c r="N330" s="298">
        <f t="shared" si="44"/>
        <v>-11</v>
      </c>
      <c r="O330" s="296">
        <f t="shared" si="45"/>
        <v>-9.4827586206896547E-2</v>
      </c>
      <c r="P330" s="297">
        <f>IF(C330="","",ROUND(C330*Steuerungsdaten!$B$4*Steuerungsdaten!$B$10*IFERROR(VLOOKUP(IFERROR(INDEX(Aktiv!$C$6:$C$350,MATCH(A330,Aktiv!$A$6:$A$350,0)),""),Steuerungsdaten!$B$17:$I$37,8,FALSE),1)*POWER(IF(OR(IFERROR(INDEX(Aktiv!$E$6:$E$350,MATCH(A330,Aktiv!$A$6:$A$350,0)),0)=0,IFERROR(INDEX(Aktiv!$F$6:$F$350,MATCH(A330,Aktiv!$A$6:$A$350,0)),0)=0),1,(IFERROR(INDEX(Aktiv!$E$6:$E$350,MATCH(A330,Aktiv!$A$6:$A$350,0)),0)*IFERROR(INDEX(Aktiv!$F$6:$F$350,MATCH(A330,Aktiv!$A$6:$A$350,0)),0)/1000000)/Steuerungsdaten!$B$6),1-1),0))</f>
        <v>126</v>
      </c>
      <c r="Q330" s="297">
        <f>IFERROR(INDEX(Aktiv!$J$6:$J$350,MATCH(A330,Aktiv!$A$6:$A$350,0)),"")</f>
        <v>105</v>
      </c>
      <c r="R330" s="298">
        <f t="shared" si="46"/>
        <v>-21</v>
      </c>
      <c r="S330" s="296">
        <f t="shared" si="47"/>
        <v>-0.16666666666666666</v>
      </c>
    </row>
    <row r="331" spans="1:19" x14ac:dyDescent="0.25">
      <c r="A331" s="292" t="s">
        <v>659</v>
      </c>
      <c r="B331" s="292" t="s">
        <v>736</v>
      </c>
      <c r="C331" s="293">
        <f>IFERROR(INDEX(Aktiv!$O$6:$O$350,MATCH(A331,Aktiv!$A$6:$A$350,0)),"")</f>
        <v>84</v>
      </c>
      <c r="D331" s="293">
        <f>IF(C331="","",ROUND(C331*Steuerungsdaten!$B$4*Steuerungsdaten!$B$7*IFERROR(VLOOKUP(IFERROR(INDEX(Aktiv!$C$6:$C$350,MATCH(A331,Aktiv!$A$6:$A$350,0)),""),Steuerungsdaten!$B$17:$C$37,2,FALSE),1)*POWER(IF(OR(IFERROR(INDEX(Aktiv!$E$6:$E$350,MATCH(A331,Aktiv!$A$6:$A$350,0)),0)=0,IFERROR(INDEX(Aktiv!$F$6:$F$350,MATCH(A331,Aktiv!$A$6:$A$350,0)),0)=0),1,(IFERROR(INDEX(Aktiv!$E$6:$E$350,MATCH(A331,Aktiv!$A$6:$A$350,0)),0)*IFERROR(INDEX(Aktiv!$F$6:$F$350,MATCH(A331,Aktiv!$A$6:$A$350,0)),0)/1000000)/Steuerungsdaten!$B$6),IF(ISNUMBER(MATCH(IFERROR(INDEX(Aktiv!$C$6:$C$350,MATCH(A331,Aktiv!$A$6:$A$350,0)),""),{"Boden","Seite außen","Seite außen SY32","Rücken","Seite innen","Seite innen SY32","Seite innen SY32 DB","Fachboden klein","Fachboden groß","Klappenboden"},0)),1.2,1)-1),0))</f>
        <v>92</v>
      </c>
      <c r="E331" s="293">
        <f>IFERROR(INDEX(Aktiv!$G$6:$G$350,MATCH(A331,Aktiv!$A$6:$A$350,0)),"")</f>
        <v>84</v>
      </c>
      <c r="F331" s="294">
        <f t="shared" si="40"/>
        <v>-8</v>
      </c>
      <c r="G331" s="295">
        <f t="shared" si="41"/>
        <v>-8.6956521739130432E-2</v>
      </c>
      <c r="H331" s="293">
        <f>IF(C331="","",ROUND(C331*Steuerungsdaten!$B$4*Steuerungsdaten!$B$8*IFERROR(VLOOKUP(IFERROR(INDEX(Aktiv!$C$6:$C$350,MATCH(A331,Aktiv!$A$6:$A$350,0)),""),Steuerungsdaten!$B$17:$E$37,4,FALSE),1)*POWER(IF(OR(IFERROR(INDEX(Aktiv!$E$6:$E$350,MATCH(A331,Aktiv!$A$6:$A$350,0)),0)=0,IFERROR(INDEX(Aktiv!$F$6:$F$350,MATCH(A331,Aktiv!$A$6:$A$350,0)),0)=0),1,(IFERROR(INDEX(Aktiv!$E$6:$E$350,MATCH(A331,Aktiv!$A$6:$A$350,0)),0)*IFERROR(INDEX(Aktiv!$F$6:$F$350,MATCH(A331,Aktiv!$A$6:$A$350,0)),0)/1000000)/Steuerungsdaten!$B$6),1-1),0))</f>
        <v>92</v>
      </c>
      <c r="I331" s="293">
        <f>IFERROR(INDEX(Aktiv!$H$6:$H$350,MATCH(A331,Aktiv!$A$6:$A$350,0)),"")</f>
        <v>84</v>
      </c>
      <c r="J331" s="294">
        <f t="shared" si="42"/>
        <v>-8</v>
      </c>
      <c r="K331" s="296">
        <f t="shared" si="43"/>
        <v>-8.6956521739130432E-2</v>
      </c>
      <c r="L331" s="297">
        <f>IF(C331="","",ROUND(C331*Steuerungsdaten!$B$4*Steuerungsdaten!$B$9*IFERROR(VLOOKUP(IFERROR(INDEX(Aktiv!$C$6:$C$350,MATCH(A331,Aktiv!$A$6:$A$350,0)),""),Steuerungsdaten!$B$17:$G$37,6,FALSE),1)*POWER(IF(OR(IFERROR(INDEX(Aktiv!$E$6:$E$350,MATCH(A331,Aktiv!$A$6:$A$350,0)),0)=0,IFERROR(INDEX(Aktiv!$F$6:$F$350,MATCH(A331,Aktiv!$A$6:$A$350,0)),0)=0),1,(IFERROR(INDEX(Aktiv!$E$6:$E$350,MATCH(A331,Aktiv!$A$6:$A$350,0)),0)*IFERROR(INDEX(Aktiv!$F$6:$F$350,MATCH(A331,Aktiv!$A$6:$A$350,0)),0)/1000000)/Steuerungsdaten!$B$6),1-1),0))</f>
        <v>92</v>
      </c>
      <c r="M331" s="297">
        <f>IFERROR(INDEX(Aktiv!$I$6:$I$350,MATCH(A331,Aktiv!$A$6:$A$350,0)),"")</f>
        <v>84</v>
      </c>
      <c r="N331" s="298">
        <f t="shared" si="44"/>
        <v>-8</v>
      </c>
      <c r="O331" s="296">
        <f t="shared" si="45"/>
        <v>-8.6956521739130432E-2</v>
      </c>
      <c r="P331" s="297">
        <f>IF(C331="","",ROUND(C331*Steuerungsdaten!$B$4*Steuerungsdaten!$B$10*IFERROR(VLOOKUP(IFERROR(INDEX(Aktiv!$C$6:$C$350,MATCH(A331,Aktiv!$A$6:$A$350,0)),""),Steuerungsdaten!$B$17:$I$37,8,FALSE),1)*POWER(IF(OR(IFERROR(INDEX(Aktiv!$E$6:$E$350,MATCH(A331,Aktiv!$A$6:$A$350,0)),0)=0,IFERROR(INDEX(Aktiv!$F$6:$F$350,MATCH(A331,Aktiv!$A$6:$A$350,0)),0)=0),1,(IFERROR(INDEX(Aktiv!$E$6:$E$350,MATCH(A331,Aktiv!$A$6:$A$350,0)),0)*IFERROR(INDEX(Aktiv!$F$6:$F$350,MATCH(A331,Aktiv!$A$6:$A$350,0)),0)/1000000)/Steuerungsdaten!$B$6),1-1),0))</f>
        <v>101</v>
      </c>
      <c r="Q331" s="297">
        <f>IFERROR(INDEX(Aktiv!$J$6:$J$350,MATCH(A331,Aktiv!$A$6:$A$350,0)),"")</f>
        <v>84</v>
      </c>
      <c r="R331" s="298">
        <f t="shared" si="46"/>
        <v>-17</v>
      </c>
      <c r="S331" s="296">
        <f t="shared" si="47"/>
        <v>-0.16831683168316833</v>
      </c>
    </row>
    <row r="332" spans="1:19" x14ac:dyDescent="0.25">
      <c r="A332" s="299"/>
      <c r="B332" s="299"/>
      <c r="C332" s="297" t="str">
        <f>IFERROR(INDEX(Aktiv!$O$6:$O$350,MATCH(A332,Aktiv!$A$6:$A$350,0)),"")</f>
        <v/>
      </c>
      <c r="D332" s="297" t="str">
        <f>IF(C332="","",ROUND(C332*Steuerungsdaten!$B$4*Steuerungsdaten!$B$7*IFERROR(VLOOKUP(IFERROR(INDEX(Aktiv!$C$6:$C$350,MATCH(A332,Aktiv!$A$6:$A$350,0)),""),Steuerungsdaten!$B$17:$C$37,2,FALSE),1)*POWER(IF(OR(IFERROR(INDEX(Aktiv!$E$6:$E$350,MATCH(A332,Aktiv!$A$6:$A$350,0)),0)=0,IFERROR(INDEX(Aktiv!$F$6:$F$350,MATCH(A332,Aktiv!$A$6:$A$350,0)),0)=0),1,(IFERROR(INDEX(Aktiv!$E$6:$E$350,MATCH(A332,Aktiv!$A$6:$A$350,0)),0)*IFERROR(INDEX(Aktiv!$F$6:$F$350,MATCH(A332,Aktiv!$A$6:$A$350,0)),0)/1000000)/Steuerungsdaten!$B$6),IF(ISNUMBER(MATCH(IFERROR(INDEX(Aktiv!$C$6:$C$350,MATCH(A332,Aktiv!$A$6:$A$350,0)),""),{"Boden","Seite außen","Seite außen SY32","Rücken","Seite innen","Seite innen SY32","Seite innen SY32 DB","Fachboden klein","Fachboden groß","Klappenboden"},0)),1.2,1)-1),0))</f>
        <v/>
      </c>
      <c r="E332" s="297" t="str">
        <f>IFERROR(INDEX(Aktiv!$G$6:$G$350,MATCH(A332,Aktiv!$A$6:$A$350,0)),"")</f>
        <v/>
      </c>
      <c r="F332" s="298" t="str">
        <f t="shared" si="40"/>
        <v/>
      </c>
      <c r="G332" s="296" t="str">
        <f t="shared" si="41"/>
        <v/>
      </c>
      <c r="H332" s="297" t="str">
        <f>IF(C332="","",ROUND(C332*Steuerungsdaten!$B$4*Steuerungsdaten!$B$8*IFERROR(VLOOKUP(IFERROR(INDEX(Aktiv!$C$6:$C$350,MATCH(A332,Aktiv!$A$6:$A$350,0)),""),Steuerungsdaten!$B$17:$E$37,4,FALSE),1)*POWER(IF(OR(IFERROR(INDEX(Aktiv!$E$6:$E$350,MATCH(A332,Aktiv!$A$6:$A$350,0)),0)=0,IFERROR(INDEX(Aktiv!$F$6:$F$350,MATCH(A332,Aktiv!$A$6:$A$350,0)),0)=0),1,(IFERROR(INDEX(Aktiv!$E$6:$E$350,MATCH(A332,Aktiv!$A$6:$A$350,0)),0)*IFERROR(INDEX(Aktiv!$F$6:$F$350,MATCH(A332,Aktiv!$A$6:$A$350,0)),0)/1000000)/Steuerungsdaten!$B$6),1-1),0))</f>
        <v/>
      </c>
      <c r="I332" s="297" t="str">
        <f>IFERROR(INDEX(Aktiv!$H$6:$H$350,MATCH(A332,Aktiv!$A$6:$A$350,0)),"")</f>
        <v/>
      </c>
      <c r="J332" s="298" t="str">
        <f t="shared" si="42"/>
        <v/>
      </c>
      <c r="K332" s="296" t="str">
        <f t="shared" si="43"/>
        <v/>
      </c>
      <c r="L332" s="297" t="str">
        <f>IF(C332="","",ROUND(C332*Steuerungsdaten!$B$4*Steuerungsdaten!$B$9*IFERROR(VLOOKUP(IFERROR(INDEX(Aktiv!$C$6:$C$350,MATCH(A332,Aktiv!$A$6:$A$350,0)),""),Steuerungsdaten!$B$17:$G$37,6,FALSE),1)*POWER(IF(OR(IFERROR(INDEX(Aktiv!$E$6:$E$350,MATCH(A332,Aktiv!$A$6:$A$350,0)),0)=0,IFERROR(INDEX(Aktiv!$F$6:$F$350,MATCH(A332,Aktiv!$A$6:$A$350,0)),0)=0),1,(IFERROR(INDEX(Aktiv!$E$6:$E$350,MATCH(A332,Aktiv!$A$6:$A$350,0)),0)*IFERROR(INDEX(Aktiv!$F$6:$F$350,MATCH(A332,Aktiv!$A$6:$A$350,0)),0)/1000000)/Steuerungsdaten!$B$6),1-1),0))</f>
        <v/>
      </c>
      <c r="M332" s="297" t="str">
        <f>IFERROR(INDEX(Aktiv!$I$6:$I$350,MATCH(A332,Aktiv!$A$6:$A$350,0)),"")</f>
        <v/>
      </c>
      <c r="N332" s="298" t="str">
        <f t="shared" si="44"/>
        <v/>
      </c>
      <c r="O332" s="296" t="str">
        <f t="shared" si="45"/>
        <v/>
      </c>
      <c r="P332" s="297" t="str">
        <f>IF(C332="","",ROUND(C332*Steuerungsdaten!$B$4*Steuerungsdaten!$B$10*IFERROR(VLOOKUP(IFERROR(INDEX(Aktiv!$C$6:$C$350,MATCH(A332,Aktiv!$A$6:$A$350,0)),""),Steuerungsdaten!$B$17:$I$37,8,FALSE),1)*POWER(IF(OR(IFERROR(INDEX(Aktiv!$E$6:$E$350,MATCH(A332,Aktiv!$A$6:$A$350,0)),0)=0,IFERROR(INDEX(Aktiv!$F$6:$F$350,MATCH(A332,Aktiv!$A$6:$A$350,0)),0)=0),1,(IFERROR(INDEX(Aktiv!$E$6:$E$350,MATCH(A332,Aktiv!$A$6:$A$350,0)),0)*IFERROR(INDEX(Aktiv!$F$6:$F$350,MATCH(A332,Aktiv!$A$6:$A$350,0)),0)/1000000)/Steuerungsdaten!$B$6),1-1),0))</f>
        <v/>
      </c>
      <c r="Q332" s="297" t="str">
        <f>IFERROR(INDEX(Aktiv!$J$6:$J$350,MATCH(A332,Aktiv!$A$6:$A$350,0)),"")</f>
        <v/>
      </c>
      <c r="R332" s="298" t="str">
        <f t="shared" si="46"/>
        <v/>
      </c>
      <c r="S332" s="296" t="str">
        <f t="shared" si="47"/>
        <v/>
      </c>
    </row>
    <row r="333" spans="1:19" x14ac:dyDescent="0.25">
      <c r="A333" s="299"/>
      <c r="B333" s="299"/>
      <c r="C333" s="297" t="str">
        <f>IFERROR(INDEX(Aktiv!$O$6:$O$350,MATCH(A333,Aktiv!$A$6:$A$350,0)),"")</f>
        <v/>
      </c>
      <c r="D333" s="297" t="str">
        <f>IF(C333="","",ROUND(C333*Steuerungsdaten!$B$4*Steuerungsdaten!$B$7*IFERROR(VLOOKUP(IFERROR(INDEX(Aktiv!$C$6:$C$350,MATCH(A333,Aktiv!$A$6:$A$350,0)),""),Steuerungsdaten!$B$17:$C$37,2,FALSE),1)*POWER(IF(OR(IFERROR(INDEX(Aktiv!$E$6:$E$350,MATCH(A333,Aktiv!$A$6:$A$350,0)),0)=0,IFERROR(INDEX(Aktiv!$F$6:$F$350,MATCH(A333,Aktiv!$A$6:$A$350,0)),0)=0),1,(IFERROR(INDEX(Aktiv!$E$6:$E$350,MATCH(A333,Aktiv!$A$6:$A$350,0)),0)*IFERROR(INDEX(Aktiv!$F$6:$F$350,MATCH(A333,Aktiv!$A$6:$A$350,0)),0)/1000000)/Steuerungsdaten!$B$6),IF(ISNUMBER(MATCH(IFERROR(INDEX(Aktiv!$C$6:$C$350,MATCH(A333,Aktiv!$A$6:$A$350,0)),""),{"Boden","Seite außen","Seite außen SY32","Rücken","Seite innen","Seite innen SY32","Seite innen SY32 DB","Fachboden klein","Fachboden groß","Klappenboden"},0)),1.2,1)-1),0))</f>
        <v/>
      </c>
      <c r="E333" s="297" t="str">
        <f>IFERROR(INDEX(Aktiv!$G$6:$G$350,MATCH(A333,Aktiv!$A$6:$A$350,0)),"")</f>
        <v/>
      </c>
      <c r="F333" s="298" t="str">
        <f t="shared" si="40"/>
        <v/>
      </c>
      <c r="G333" s="296" t="str">
        <f t="shared" si="41"/>
        <v/>
      </c>
      <c r="H333" s="297" t="str">
        <f>IF(C333="","",ROUND(C333*Steuerungsdaten!$B$4*Steuerungsdaten!$B$8*IFERROR(VLOOKUP(IFERROR(INDEX(Aktiv!$C$6:$C$350,MATCH(A333,Aktiv!$A$6:$A$350,0)),""),Steuerungsdaten!$B$17:$E$37,4,FALSE),1)*POWER(IF(OR(IFERROR(INDEX(Aktiv!$E$6:$E$350,MATCH(A333,Aktiv!$A$6:$A$350,0)),0)=0,IFERROR(INDEX(Aktiv!$F$6:$F$350,MATCH(A333,Aktiv!$A$6:$A$350,0)),0)=0),1,(IFERROR(INDEX(Aktiv!$E$6:$E$350,MATCH(A333,Aktiv!$A$6:$A$350,0)),0)*IFERROR(INDEX(Aktiv!$F$6:$F$350,MATCH(A333,Aktiv!$A$6:$A$350,0)),0)/1000000)/Steuerungsdaten!$B$6),1-1),0))</f>
        <v/>
      </c>
      <c r="I333" s="297" t="str">
        <f>IFERROR(INDEX(Aktiv!$H$6:$H$350,MATCH(A333,Aktiv!$A$6:$A$350,0)),"")</f>
        <v/>
      </c>
      <c r="J333" s="298" t="str">
        <f t="shared" si="42"/>
        <v/>
      </c>
      <c r="K333" s="296" t="str">
        <f t="shared" si="43"/>
        <v/>
      </c>
      <c r="L333" s="297" t="str">
        <f>IF(C333="","",ROUND(C333*Steuerungsdaten!$B$4*Steuerungsdaten!$B$9*IFERROR(VLOOKUP(IFERROR(INDEX(Aktiv!$C$6:$C$350,MATCH(A333,Aktiv!$A$6:$A$350,0)),""),Steuerungsdaten!$B$17:$G$37,6,FALSE),1)*POWER(IF(OR(IFERROR(INDEX(Aktiv!$E$6:$E$350,MATCH(A333,Aktiv!$A$6:$A$350,0)),0)=0,IFERROR(INDEX(Aktiv!$F$6:$F$350,MATCH(A333,Aktiv!$A$6:$A$350,0)),0)=0),1,(IFERROR(INDEX(Aktiv!$E$6:$E$350,MATCH(A333,Aktiv!$A$6:$A$350,0)),0)*IFERROR(INDEX(Aktiv!$F$6:$F$350,MATCH(A333,Aktiv!$A$6:$A$350,0)),0)/1000000)/Steuerungsdaten!$B$6),1-1),0))</f>
        <v/>
      </c>
      <c r="M333" s="297" t="str">
        <f>IFERROR(INDEX(Aktiv!$I$6:$I$350,MATCH(A333,Aktiv!$A$6:$A$350,0)),"")</f>
        <v/>
      </c>
      <c r="N333" s="298" t="str">
        <f t="shared" si="44"/>
        <v/>
      </c>
      <c r="O333" s="296" t="str">
        <f t="shared" si="45"/>
        <v/>
      </c>
      <c r="P333" s="297" t="str">
        <f>IF(C333="","",ROUND(C333*Steuerungsdaten!$B$4*Steuerungsdaten!$B$10*IFERROR(VLOOKUP(IFERROR(INDEX(Aktiv!$C$6:$C$350,MATCH(A333,Aktiv!$A$6:$A$350,0)),""),Steuerungsdaten!$B$17:$I$37,8,FALSE),1)*POWER(IF(OR(IFERROR(INDEX(Aktiv!$E$6:$E$350,MATCH(A333,Aktiv!$A$6:$A$350,0)),0)=0,IFERROR(INDEX(Aktiv!$F$6:$F$350,MATCH(A333,Aktiv!$A$6:$A$350,0)),0)=0),1,(IFERROR(INDEX(Aktiv!$E$6:$E$350,MATCH(A333,Aktiv!$A$6:$A$350,0)),0)*IFERROR(INDEX(Aktiv!$F$6:$F$350,MATCH(A333,Aktiv!$A$6:$A$350,0)),0)/1000000)/Steuerungsdaten!$B$6),1-1),0))</f>
        <v/>
      </c>
      <c r="Q333" s="297" t="str">
        <f>IFERROR(INDEX(Aktiv!$J$6:$J$350,MATCH(A333,Aktiv!$A$6:$A$350,0)),"")</f>
        <v/>
      </c>
      <c r="R333" s="298" t="str">
        <f t="shared" si="46"/>
        <v/>
      </c>
      <c r="S333" s="296" t="str">
        <f t="shared" si="47"/>
        <v/>
      </c>
    </row>
    <row r="334" spans="1:19" x14ac:dyDescent="0.25">
      <c r="A334" s="300" t="s">
        <v>834</v>
      </c>
      <c r="B334" s="299"/>
      <c r="C334" s="297" t="str">
        <f>IFERROR(INDEX(Aktiv!$O$6:$O$350,MATCH(A334,Aktiv!$A$6:$A$350,0)),"")</f>
        <v/>
      </c>
      <c r="D334" s="297" t="str">
        <f>IF(C334="","",ROUND(C334*Steuerungsdaten!$B$4*Steuerungsdaten!$B$7*IFERROR(VLOOKUP(IFERROR(INDEX(Aktiv!$C$6:$C$350,MATCH(A334,Aktiv!$A$6:$A$350,0)),""),Steuerungsdaten!$B$17:$C$37,2,FALSE),1)*POWER(IF(OR(IFERROR(INDEX(Aktiv!$E$6:$E$350,MATCH(A334,Aktiv!$A$6:$A$350,0)),0)=0,IFERROR(INDEX(Aktiv!$F$6:$F$350,MATCH(A334,Aktiv!$A$6:$A$350,0)),0)=0),1,(IFERROR(INDEX(Aktiv!$E$6:$E$350,MATCH(A334,Aktiv!$A$6:$A$350,0)),0)*IFERROR(INDEX(Aktiv!$F$6:$F$350,MATCH(A334,Aktiv!$A$6:$A$350,0)),0)/1000000)/Steuerungsdaten!$B$6),IF(ISNUMBER(MATCH(IFERROR(INDEX(Aktiv!$C$6:$C$350,MATCH(A334,Aktiv!$A$6:$A$350,0)),""),{"Boden","Seite außen","Seite außen SY32","Rücken","Seite innen","Seite innen SY32","Seite innen SY32 DB","Fachboden klein","Fachboden groß","Klappenboden"},0)),1.2,1)-1),0))</f>
        <v/>
      </c>
      <c r="E334" s="297" t="str">
        <f>IFERROR(INDEX(Aktiv!$G$6:$G$350,MATCH(A334,Aktiv!$A$6:$A$350,0)),"")</f>
        <v/>
      </c>
      <c r="F334" s="298" t="str">
        <f t="shared" si="40"/>
        <v/>
      </c>
      <c r="G334" s="296" t="str">
        <f t="shared" si="41"/>
        <v/>
      </c>
      <c r="H334" s="297" t="str">
        <f>IF(C334="","",ROUND(C334*Steuerungsdaten!$B$4*Steuerungsdaten!$B$8*IFERROR(VLOOKUP(IFERROR(INDEX(Aktiv!$C$6:$C$350,MATCH(A334,Aktiv!$A$6:$A$350,0)),""),Steuerungsdaten!$B$17:$E$37,4,FALSE),1)*POWER(IF(OR(IFERROR(INDEX(Aktiv!$E$6:$E$350,MATCH(A334,Aktiv!$A$6:$A$350,0)),0)=0,IFERROR(INDEX(Aktiv!$F$6:$F$350,MATCH(A334,Aktiv!$A$6:$A$350,0)),0)=0),1,(IFERROR(INDEX(Aktiv!$E$6:$E$350,MATCH(A334,Aktiv!$A$6:$A$350,0)),0)*IFERROR(INDEX(Aktiv!$F$6:$F$350,MATCH(A334,Aktiv!$A$6:$A$350,0)),0)/1000000)/Steuerungsdaten!$B$6),1-1),0))</f>
        <v/>
      </c>
      <c r="I334" s="297" t="str">
        <f>IFERROR(INDEX(Aktiv!$H$6:$H$350,MATCH(A334,Aktiv!$A$6:$A$350,0)),"")</f>
        <v/>
      </c>
      <c r="J334" s="298" t="str">
        <f t="shared" si="42"/>
        <v/>
      </c>
      <c r="K334" s="296" t="str">
        <f t="shared" si="43"/>
        <v/>
      </c>
      <c r="L334" s="297" t="str">
        <f>IF(C334="","",ROUND(C334*Steuerungsdaten!$B$4*Steuerungsdaten!$B$9*IFERROR(VLOOKUP(IFERROR(INDEX(Aktiv!$C$6:$C$350,MATCH(A334,Aktiv!$A$6:$A$350,0)),""),Steuerungsdaten!$B$17:$G$37,6,FALSE),1)*POWER(IF(OR(IFERROR(INDEX(Aktiv!$E$6:$E$350,MATCH(A334,Aktiv!$A$6:$A$350,0)),0)=0,IFERROR(INDEX(Aktiv!$F$6:$F$350,MATCH(A334,Aktiv!$A$6:$A$350,0)),0)=0),1,(IFERROR(INDEX(Aktiv!$E$6:$E$350,MATCH(A334,Aktiv!$A$6:$A$350,0)),0)*IFERROR(INDEX(Aktiv!$F$6:$F$350,MATCH(A334,Aktiv!$A$6:$A$350,0)),0)/1000000)/Steuerungsdaten!$B$6),1-1),0))</f>
        <v/>
      </c>
      <c r="M334" s="297" t="str">
        <f>IFERROR(INDEX(Aktiv!$I$6:$I$350,MATCH(A334,Aktiv!$A$6:$A$350,0)),"")</f>
        <v/>
      </c>
      <c r="N334" s="298" t="str">
        <f t="shared" si="44"/>
        <v/>
      </c>
      <c r="O334" s="296" t="str">
        <f t="shared" si="45"/>
        <v/>
      </c>
      <c r="P334" s="297" t="str">
        <f>IF(C334="","",ROUND(C334*Steuerungsdaten!$B$4*Steuerungsdaten!$B$10*IFERROR(VLOOKUP(IFERROR(INDEX(Aktiv!$C$6:$C$350,MATCH(A334,Aktiv!$A$6:$A$350,0)),""),Steuerungsdaten!$B$17:$I$37,8,FALSE),1)*POWER(IF(OR(IFERROR(INDEX(Aktiv!$E$6:$E$350,MATCH(A334,Aktiv!$A$6:$A$350,0)),0)=0,IFERROR(INDEX(Aktiv!$F$6:$F$350,MATCH(A334,Aktiv!$A$6:$A$350,0)),0)=0),1,(IFERROR(INDEX(Aktiv!$E$6:$E$350,MATCH(A334,Aktiv!$A$6:$A$350,0)),0)*IFERROR(INDEX(Aktiv!$F$6:$F$350,MATCH(A334,Aktiv!$A$6:$A$350,0)),0)/1000000)/Steuerungsdaten!$B$6),1-1),0))</f>
        <v/>
      </c>
      <c r="Q334" s="297" t="str">
        <f>IFERROR(INDEX(Aktiv!$J$6:$J$350,MATCH(A334,Aktiv!$A$6:$A$350,0)),"")</f>
        <v/>
      </c>
      <c r="R334" s="298" t="str">
        <f t="shared" si="46"/>
        <v/>
      </c>
      <c r="S334" s="296" t="str">
        <f t="shared" si="47"/>
        <v/>
      </c>
    </row>
    <row r="335" spans="1:19" x14ac:dyDescent="0.25">
      <c r="A335" s="299" t="s">
        <v>835</v>
      </c>
      <c r="B335" s="301">
        <f>AVERAGE(H5:H331)</f>
        <v>139.49541284403671</v>
      </c>
      <c r="C335" s="297" t="str">
        <f>IFERROR(INDEX(Aktiv!$O$6:$O$350,MATCH(A335,Aktiv!$A$6:$A$350,0)),"")</f>
        <v/>
      </c>
      <c r="D335" s="297" t="str">
        <f>IF(C335="","",ROUND(C335*Steuerungsdaten!$B$4*Steuerungsdaten!$B$7*IFERROR(VLOOKUP(IFERROR(INDEX(Aktiv!$C$6:$C$350,MATCH(A335,Aktiv!$A$6:$A$350,0)),""),Steuerungsdaten!$B$17:$C$37,2,FALSE),1)*POWER(IF(OR(IFERROR(INDEX(Aktiv!$E$6:$E$350,MATCH(A335,Aktiv!$A$6:$A$350,0)),0)=0,IFERROR(INDEX(Aktiv!$F$6:$F$350,MATCH(A335,Aktiv!$A$6:$A$350,0)),0)=0),1,(IFERROR(INDEX(Aktiv!$E$6:$E$350,MATCH(A335,Aktiv!$A$6:$A$350,0)),0)*IFERROR(INDEX(Aktiv!$F$6:$F$350,MATCH(A335,Aktiv!$A$6:$A$350,0)),0)/1000000)/Steuerungsdaten!$B$6),IF(ISNUMBER(MATCH(IFERROR(INDEX(Aktiv!$C$6:$C$350,MATCH(A335,Aktiv!$A$6:$A$350,0)),""),{"Boden","Seite außen","Seite außen SY32","Rücken","Seite innen","Seite innen SY32","Seite innen SY32 DB","Fachboden klein","Fachboden groß","Klappenboden"},0)),1.2,1)-1),0))</f>
        <v/>
      </c>
      <c r="E335" s="297" t="str">
        <f>IFERROR(INDEX(Aktiv!$G$6:$G$350,MATCH(A335,Aktiv!$A$6:$A$350,0)),"")</f>
        <v/>
      </c>
      <c r="F335" s="298" t="str">
        <f t="shared" si="40"/>
        <v/>
      </c>
      <c r="G335" s="296" t="str">
        <f t="shared" si="41"/>
        <v/>
      </c>
      <c r="H335" s="297" t="str">
        <f>IF(C335="","",ROUND(C335*Steuerungsdaten!$B$4*Steuerungsdaten!$B$8*IFERROR(VLOOKUP(IFERROR(INDEX(Aktiv!$C$6:$C$350,MATCH(A335,Aktiv!$A$6:$A$350,0)),""),Steuerungsdaten!$B$17:$E$37,4,FALSE),1)*POWER(IF(OR(IFERROR(INDEX(Aktiv!$E$6:$E$350,MATCH(A335,Aktiv!$A$6:$A$350,0)),0)=0,IFERROR(INDEX(Aktiv!$F$6:$F$350,MATCH(A335,Aktiv!$A$6:$A$350,0)),0)=0),1,(IFERROR(INDEX(Aktiv!$E$6:$E$350,MATCH(A335,Aktiv!$A$6:$A$350,0)),0)*IFERROR(INDEX(Aktiv!$F$6:$F$350,MATCH(A335,Aktiv!$A$6:$A$350,0)),0)/1000000)/Steuerungsdaten!$B$6),1-1),0))</f>
        <v/>
      </c>
      <c r="I335" s="297" t="str">
        <f>IFERROR(INDEX(Aktiv!$H$6:$H$350,MATCH(A335,Aktiv!$A$6:$A$350,0)),"")</f>
        <v/>
      </c>
      <c r="J335" s="298" t="str">
        <f t="shared" si="42"/>
        <v/>
      </c>
      <c r="K335" s="296" t="str">
        <f t="shared" si="43"/>
        <v/>
      </c>
      <c r="L335" s="297" t="str">
        <f>IF(C335="","",ROUND(C335*Steuerungsdaten!$B$4*Steuerungsdaten!$B$9*IFERROR(VLOOKUP(IFERROR(INDEX(Aktiv!$C$6:$C$350,MATCH(A335,Aktiv!$A$6:$A$350,0)),""),Steuerungsdaten!$B$17:$G$37,6,FALSE),1)*POWER(IF(OR(IFERROR(INDEX(Aktiv!$E$6:$E$350,MATCH(A335,Aktiv!$A$6:$A$350,0)),0)=0,IFERROR(INDEX(Aktiv!$F$6:$F$350,MATCH(A335,Aktiv!$A$6:$A$350,0)),0)=0),1,(IFERROR(INDEX(Aktiv!$E$6:$E$350,MATCH(A335,Aktiv!$A$6:$A$350,0)),0)*IFERROR(INDEX(Aktiv!$F$6:$F$350,MATCH(A335,Aktiv!$A$6:$A$350,0)),0)/1000000)/Steuerungsdaten!$B$6),1-1),0))</f>
        <v/>
      </c>
      <c r="M335" s="297" t="str">
        <f>IFERROR(INDEX(Aktiv!$I$6:$I$350,MATCH(A335,Aktiv!$A$6:$A$350,0)),"")</f>
        <v/>
      </c>
      <c r="N335" s="298" t="str">
        <f t="shared" si="44"/>
        <v/>
      </c>
      <c r="O335" s="296" t="str">
        <f t="shared" si="45"/>
        <v/>
      </c>
      <c r="P335" s="297" t="str">
        <f>IF(C335="","",ROUND(C335*Steuerungsdaten!$B$4*Steuerungsdaten!$B$10*IFERROR(VLOOKUP(IFERROR(INDEX(Aktiv!$C$6:$C$350,MATCH(A335,Aktiv!$A$6:$A$350,0)),""),Steuerungsdaten!$B$17:$I$37,8,FALSE),1)*POWER(IF(OR(IFERROR(INDEX(Aktiv!$E$6:$E$350,MATCH(A335,Aktiv!$A$6:$A$350,0)),0)=0,IFERROR(INDEX(Aktiv!$F$6:$F$350,MATCH(A335,Aktiv!$A$6:$A$350,0)),0)=0),1,(IFERROR(INDEX(Aktiv!$E$6:$E$350,MATCH(A335,Aktiv!$A$6:$A$350,0)),0)*IFERROR(INDEX(Aktiv!$F$6:$F$350,MATCH(A335,Aktiv!$A$6:$A$350,0)),0)/1000000)/Steuerungsdaten!$B$6),1-1),0))</f>
        <v/>
      </c>
      <c r="Q335" s="297" t="str">
        <f>IFERROR(INDEX(Aktiv!$J$6:$J$350,MATCH(A335,Aktiv!$A$6:$A$350,0)),"")</f>
        <v/>
      </c>
      <c r="R335" s="298" t="str">
        <f t="shared" si="46"/>
        <v/>
      </c>
      <c r="S335" s="296" t="str">
        <f t="shared" si="47"/>
        <v/>
      </c>
    </row>
    <row r="336" spans="1:19" x14ac:dyDescent="0.25">
      <c r="A336" s="299" t="s">
        <v>836</v>
      </c>
      <c r="B336" s="301">
        <f>AVERAGE(I5:I331)</f>
        <v>268.27173913043481</v>
      </c>
      <c r="C336" s="297" t="str">
        <f>IFERROR(INDEX(Aktiv!$O$6:$O$350,MATCH(A336,Aktiv!$A$6:$A$350,0)),"")</f>
        <v/>
      </c>
      <c r="D336" s="297" t="str">
        <f>IF(C336="","",ROUND(C336*Steuerungsdaten!$B$4*Steuerungsdaten!$B$7*IFERROR(VLOOKUP(IFERROR(INDEX(Aktiv!$C$6:$C$350,MATCH(A336,Aktiv!$A$6:$A$350,0)),""),Steuerungsdaten!$B$17:$C$37,2,FALSE),1)*POWER(IF(OR(IFERROR(INDEX(Aktiv!$E$6:$E$350,MATCH(A336,Aktiv!$A$6:$A$350,0)),0)=0,IFERROR(INDEX(Aktiv!$F$6:$F$350,MATCH(A336,Aktiv!$A$6:$A$350,0)),0)=0),1,(IFERROR(INDEX(Aktiv!$E$6:$E$350,MATCH(A336,Aktiv!$A$6:$A$350,0)),0)*IFERROR(INDEX(Aktiv!$F$6:$F$350,MATCH(A336,Aktiv!$A$6:$A$350,0)),0)/1000000)/Steuerungsdaten!$B$6),IF(ISNUMBER(MATCH(IFERROR(INDEX(Aktiv!$C$6:$C$350,MATCH(A336,Aktiv!$A$6:$A$350,0)),""),{"Boden","Seite außen","Seite außen SY32","Rücken","Seite innen","Seite innen SY32","Seite innen SY32 DB","Fachboden klein","Fachboden groß","Klappenboden"},0)),1.2,1)-1),0))</f>
        <v/>
      </c>
      <c r="E336" s="297" t="str">
        <f>IFERROR(INDEX(Aktiv!$G$6:$G$350,MATCH(A336,Aktiv!$A$6:$A$350,0)),"")</f>
        <v/>
      </c>
      <c r="F336" s="298" t="str">
        <f t="shared" si="40"/>
        <v/>
      </c>
      <c r="G336" s="296" t="str">
        <f t="shared" si="41"/>
        <v/>
      </c>
      <c r="H336" s="297" t="str">
        <f>IF(C336="","",ROUND(C336*Steuerungsdaten!$B$4*Steuerungsdaten!$B$8*IFERROR(VLOOKUP(IFERROR(INDEX(Aktiv!$C$6:$C$350,MATCH(A336,Aktiv!$A$6:$A$350,0)),""),Steuerungsdaten!$B$17:$E$37,4,FALSE),1)*POWER(IF(OR(IFERROR(INDEX(Aktiv!$E$6:$E$350,MATCH(A336,Aktiv!$A$6:$A$350,0)),0)=0,IFERROR(INDEX(Aktiv!$F$6:$F$350,MATCH(A336,Aktiv!$A$6:$A$350,0)),0)=0),1,(IFERROR(INDEX(Aktiv!$E$6:$E$350,MATCH(A336,Aktiv!$A$6:$A$350,0)),0)*IFERROR(INDEX(Aktiv!$F$6:$F$350,MATCH(A336,Aktiv!$A$6:$A$350,0)),0)/1000000)/Steuerungsdaten!$B$6),1-1),0))</f>
        <v/>
      </c>
      <c r="I336" s="297" t="str">
        <f>IFERROR(INDEX(Aktiv!$H$6:$H$350,MATCH(A336,Aktiv!$A$6:$A$350,0)),"")</f>
        <v/>
      </c>
      <c r="J336" s="298" t="str">
        <f t="shared" si="42"/>
        <v/>
      </c>
      <c r="K336" s="296" t="str">
        <f t="shared" si="43"/>
        <v/>
      </c>
      <c r="L336" s="297" t="str">
        <f>IF(C336="","",ROUND(C336*Steuerungsdaten!$B$4*Steuerungsdaten!$B$9*IFERROR(VLOOKUP(IFERROR(INDEX(Aktiv!$C$6:$C$350,MATCH(A336,Aktiv!$A$6:$A$350,0)),""),Steuerungsdaten!$B$17:$G$37,6,FALSE),1)*POWER(IF(OR(IFERROR(INDEX(Aktiv!$E$6:$E$350,MATCH(A336,Aktiv!$A$6:$A$350,0)),0)=0,IFERROR(INDEX(Aktiv!$F$6:$F$350,MATCH(A336,Aktiv!$A$6:$A$350,0)),0)=0),1,(IFERROR(INDEX(Aktiv!$E$6:$E$350,MATCH(A336,Aktiv!$A$6:$A$350,0)),0)*IFERROR(INDEX(Aktiv!$F$6:$F$350,MATCH(A336,Aktiv!$A$6:$A$350,0)),0)/1000000)/Steuerungsdaten!$B$6),1-1),0))</f>
        <v/>
      </c>
      <c r="M336" s="297" t="str">
        <f>IFERROR(INDEX(Aktiv!$I$6:$I$350,MATCH(A336,Aktiv!$A$6:$A$350,0)),"")</f>
        <v/>
      </c>
      <c r="N336" s="298" t="str">
        <f t="shared" si="44"/>
        <v/>
      </c>
      <c r="O336" s="296" t="str">
        <f t="shared" si="45"/>
        <v/>
      </c>
      <c r="P336" s="297" t="str">
        <f>IF(C336="","",ROUND(C336*Steuerungsdaten!$B$4*Steuerungsdaten!$B$10*IFERROR(VLOOKUP(IFERROR(INDEX(Aktiv!$C$6:$C$350,MATCH(A336,Aktiv!$A$6:$A$350,0)),""),Steuerungsdaten!$B$17:$I$37,8,FALSE),1)*POWER(IF(OR(IFERROR(INDEX(Aktiv!$E$6:$E$350,MATCH(A336,Aktiv!$A$6:$A$350,0)),0)=0,IFERROR(INDEX(Aktiv!$F$6:$F$350,MATCH(A336,Aktiv!$A$6:$A$350,0)),0)=0),1,(IFERROR(INDEX(Aktiv!$E$6:$E$350,MATCH(A336,Aktiv!$A$6:$A$350,0)),0)*IFERROR(INDEX(Aktiv!$F$6:$F$350,MATCH(A336,Aktiv!$A$6:$A$350,0)),0)/1000000)/Steuerungsdaten!$B$6),1-1),0))</f>
        <v/>
      </c>
      <c r="Q336" s="297" t="str">
        <f>IFERROR(INDEX(Aktiv!$J$6:$J$350,MATCH(A336,Aktiv!$A$6:$A$350,0)),"")</f>
        <v/>
      </c>
      <c r="R336" s="298" t="str">
        <f t="shared" si="46"/>
        <v/>
      </c>
      <c r="S336" s="296" t="str">
        <f t="shared" si="47"/>
        <v/>
      </c>
    </row>
    <row r="337" spans="1:19" x14ac:dyDescent="0.25">
      <c r="A337" s="299" t="s">
        <v>837</v>
      </c>
      <c r="B337" s="301" t="e">
        <f>AVERAGE(J5:J331)</f>
        <v>#VALUE!</v>
      </c>
      <c r="C337" s="297" t="str">
        <f>IFERROR(INDEX(Aktiv!$O$6:$O$350,MATCH(A337,Aktiv!$A$6:$A$350,0)),"")</f>
        <v/>
      </c>
      <c r="D337" s="297" t="str">
        <f>IF(C337="","",ROUND(C337*Steuerungsdaten!$B$4*Steuerungsdaten!$B$7*IFERROR(VLOOKUP(IFERROR(INDEX(Aktiv!$C$6:$C$350,MATCH(A337,Aktiv!$A$6:$A$350,0)),""),Steuerungsdaten!$B$17:$C$37,2,FALSE),1)*POWER(IF(OR(IFERROR(INDEX(Aktiv!$E$6:$E$350,MATCH(A337,Aktiv!$A$6:$A$350,0)),0)=0,IFERROR(INDEX(Aktiv!$F$6:$F$350,MATCH(A337,Aktiv!$A$6:$A$350,0)),0)=0),1,(IFERROR(INDEX(Aktiv!$E$6:$E$350,MATCH(A337,Aktiv!$A$6:$A$350,0)),0)*IFERROR(INDEX(Aktiv!$F$6:$F$350,MATCH(A337,Aktiv!$A$6:$A$350,0)),0)/1000000)/Steuerungsdaten!$B$6),IF(ISNUMBER(MATCH(IFERROR(INDEX(Aktiv!$C$6:$C$350,MATCH(A337,Aktiv!$A$6:$A$350,0)),""),{"Boden","Seite außen","Seite außen SY32","Rücken","Seite innen","Seite innen SY32","Seite innen SY32 DB","Fachboden klein","Fachboden groß","Klappenboden"},0)),1.2,1)-1),0))</f>
        <v/>
      </c>
      <c r="E337" s="297" t="str">
        <f>IFERROR(INDEX(Aktiv!$G$6:$G$350,MATCH(A337,Aktiv!$A$6:$A$350,0)),"")</f>
        <v/>
      </c>
      <c r="F337" s="298" t="str">
        <f t="shared" si="40"/>
        <v/>
      </c>
      <c r="G337" s="296" t="str">
        <f t="shared" si="41"/>
        <v/>
      </c>
      <c r="H337" s="297" t="str">
        <f>IF(C337="","",ROUND(C337*Steuerungsdaten!$B$4*Steuerungsdaten!$B$8*IFERROR(VLOOKUP(IFERROR(INDEX(Aktiv!$C$6:$C$350,MATCH(A337,Aktiv!$A$6:$A$350,0)),""),Steuerungsdaten!$B$17:$E$37,4,FALSE),1)*POWER(IF(OR(IFERROR(INDEX(Aktiv!$E$6:$E$350,MATCH(A337,Aktiv!$A$6:$A$350,0)),0)=0,IFERROR(INDEX(Aktiv!$F$6:$F$350,MATCH(A337,Aktiv!$A$6:$A$350,0)),0)=0),1,(IFERROR(INDEX(Aktiv!$E$6:$E$350,MATCH(A337,Aktiv!$A$6:$A$350,0)),0)*IFERROR(INDEX(Aktiv!$F$6:$F$350,MATCH(A337,Aktiv!$A$6:$A$350,0)),0)/1000000)/Steuerungsdaten!$B$6),1-1),0))</f>
        <v/>
      </c>
      <c r="I337" s="297" t="str">
        <f>IFERROR(INDEX(Aktiv!$H$6:$H$350,MATCH(A337,Aktiv!$A$6:$A$350,0)),"")</f>
        <v/>
      </c>
      <c r="J337" s="298" t="str">
        <f t="shared" si="42"/>
        <v/>
      </c>
      <c r="K337" s="296" t="str">
        <f t="shared" si="43"/>
        <v/>
      </c>
      <c r="L337" s="297" t="str">
        <f>IF(C337="","",ROUND(C337*Steuerungsdaten!$B$4*Steuerungsdaten!$B$9*IFERROR(VLOOKUP(IFERROR(INDEX(Aktiv!$C$6:$C$350,MATCH(A337,Aktiv!$A$6:$A$350,0)),""),Steuerungsdaten!$B$17:$G$37,6,FALSE),1)*POWER(IF(OR(IFERROR(INDEX(Aktiv!$E$6:$E$350,MATCH(A337,Aktiv!$A$6:$A$350,0)),0)=0,IFERROR(INDEX(Aktiv!$F$6:$F$350,MATCH(A337,Aktiv!$A$6:$A$350,0)),0)=0),1,(IFERROR(INDEX(Aktiv!$E$6:$E$350,MATCH(A337,Aktiv!$A$6:$A$350,0)),0)*IFERROR(INDEX(Aktiv!$F$6:$F$350,MATCH(A337,Aktiv!$A$6:$A$350,0)),0)/1000000)/Steuerungsdaten!$B$6),1-1),0))</f>
        <v/>
      </c>
      <c r="M337" s="297" t="str">
        <f>IFERROR(INDEX(Aktiv!$I$6:$I$350,MATCH(A337,Aktiv!$A$6:$A$350,0)),"")</f>
        <v/>
      </c>
      <c r="N337" s="298" t="str">
        <f t="shared" si="44"/>
        <v/>
      </c>
      <c r="O337" s="296" t="str">
        <f t="shared" si="45"/>
        <v/>
      </c>
      <c r="P337" s="297" t="str">
        <f>IF(C337="","",ROUND(C337*Steuerungsdaten!$B$4*Steuerungsdaten!$B$10*IFERROR(VLOOKUP(IFERROR(INDEX(Aktiv!$C$6:$C$350,MATCH(A337,Aktiv!$A$6:$A$350,0)),""),Steuerungsdaten!$B$17:$I$37,8,FALSE),1)*POWER(IF(OR(IFERROR(INDEX(Aktiv!$E$6:$E$350,MATCH(A337,Aktiv!$A$6:$A$350,0)),0)=0,IFERROR(INDEX(Aktiv!$F$6:$F$350,MATCH(A337,Aktiv!$A$6:$A$350,0)),0)=0),1,(IFERROR(INDEX(Aktiv!$E$6:$E$350,MATCH(A337,Aktiv!$A$6:$A$350,0)),0)*IFERROR(INDEX(Aktiv!$F$6:$F$350,MATCH(A337,Aktiv!$A$6:$A$350,0)),0)/1000000)/Steuerungsdaten!$B$6),1-1),0))</f>
        <v/>
      </c>
      <c r="Q337" s="297" t="str">
        <f>IFERROR(INDEX(Aktiv!$J$6:$J$350,MATCH(A337,Aktiv!$A$6:$A$350,0)),"")</f>
        <v/>
      </c>
      <c r="R337" s="298" t="str">
        <f t="shared" si="46"/>
        <v/>
      </c>
      <c r="S337" s="296" t="str">
        <f t="shared" si="47"/>
        <v/>
      </c>
    </row>
    <row r="338" spans="1:19" x14ac:dyDescent="0.25">
      <c r="A338" s="299"/>
      <c r="B338" s="299"/>
      <c r="C338" s="297" t="str">
        <f>IFERROR(INDEX(Aktiv!$O$6:$O$350,MATCH(A338,Aktiv!$A$6:$A$350,0)),"")</f>
        <v/>
      </c>
      <c r="D338" s="297" t="str">
        <f>IF(C338="","",ROUND(C338*Steuerungsdaten!$B$4*Steuerungsdaten!$B$7*IFERROR(VLOOKUP(IFERROR(INDEX(Aktiv!$C$6:$C$350,MATCH(A338,Aktiv!$A$6:$A$350,0)),""),Steuerungsdaten!$B$17:$C$37,2,FALSE),1)*POWER(IF(OR(IFERROR(INDEX(Aktiv!$E$6:$E$350,MATCH(A338,Aktiv!$A$6:$A$350,0)),0)=0,IFERROR(INDEX(Aktiv!$F$6:$F$350,MATCH(A338,Aktiv!$A$6:$A$350,0)),0)=0),1,(IFERROR(INDEX(Aktiv!$E$6:$E$350,MATCH(A338,Aktiv!$A$6:$A$350,0)),0)*IFERROR(INDEX(Aktiv!$F$6:$F$350,MATCH(A338,Aktiv!$A$6:$A$350,0)),0)/1000000)/Steuerungsdaten!$B$6),IF(ISNUMBER(MATCH(IFERROR(INDEX(Aktiv!$C$6:$C$350,MATCH(A338,Aktiv!$A$6:$A$350,0)),""),{"Boden","Seite außen","Seite außen SY32","Rücken","Seite innen","Seite innen SY32","Seite innen SY32 DB","Fachboden klein","Fachboden groß","Klappenboden"},0)),1.2,1)-1),0))</f>
        <v/>
      </c>
      <c r="E338" s="297" t="str">
        <f>IFERROR(INDEX(Aktiv!$G$6:$G$350,MATCH(A338,Aktiv!$A$6:$A$350,0)),"")</f>
        <v/>
      </c>
      <c r="F338" s="298" t="str">
        <f t="shared" si="40"/>
        <v/>
      </c>
      <c r="G338" s="296" t="str">
        <f t="shared" si="41"/>
        <v/>
      </c>
      <c r="H338" s="297" t="str">
        <f>IF(C338="","",ROUND(C338*Steuerungsdaten!$B$4*Steuerungsdaten!$B$8*IFERROR(VLOOKUP(IFERROR(INDEX(Aktiv!$C$6:$C$350,MATCH(A338,Aktiv!$A$6:$A$350,0)),""),Steuerungsdaten!$B$17:$E$37,4,FALSE),1)*POWER(IF(OR(IFERROR(INDEX(Aktiv!$E$6:$E$350,MATCH(A338,Aktiv!$A$6:$A$350,0)),0)=0,IFERROR(INDEX(Aktiv!$F$6:$F$350,MATCH(A338,Aktiv!$A$6:$A$350,0)),0)=0),1,(IFERROR(INDEX(Aktiv!$E$6:$E$350,MATCH(A338,Aktiv!$A$6:$A$350,0)),0)*IFERROR(INDEX(Aktiv!$F$6:$F$350,MATCH(A338,Aktiv!$A$6:$A$350,0)),0)/1000000)/Steuerungsdaten!$B$6),1-1),0))</f>
        <v/>
      </c>
      <c r="I338" s="297" t="str">
        <f>IFERROR(INDEX(Aktiv!$H$6:$H$350,MATCH(A338,Aktiv!$A$6:$A$350,0)),"")</f>
        <v/>
      </c>
      <c r="J338" s="298" t="str">
        <f t="shared" si="42"/>
        <v/>
      </c>
      <c r="K338" s="296" t="str">
        <f t="shared" si="43"/>
        <v/>
      </c>
      <c r="L338" s="297" t="str">
        <f>IF(C338="","",ROUND(C338*Steuerungsdaten!$B$4*Steuerungsdaten!$B$9*IFERROR(VLOOKUP(IFERROR(INDEX(Aktiv!$C$6:$C$350,MATCH(A338,Aktiv!$A$6:$A$350,0)),""),Steuerungsdaten!$B$17:$G$37,6,FALSE),1)*POWER(IF(OR(IFERROR(INDEX(Aktiv!$E$6:$E$350,MATCH(A338,Aktiv!$A$6:$A$350,0)),0)=0,IFERROR(INDEX(Aktiv!$F$6:$F$350,MATCH(A338,Aktiv!$A$6:$A$350,0)),0)=0),1,(IFERROR(INDEX(Aktiv!$E$6:$E$350,MATCH(A338,Aktiv!$A$6:$A$350,0)),0)*IFERROR(INDEX(Aktiv!$F$6:$F$350,MATCH(A338,Aktiv!$A$6:$A$350,0)),0)/1000000)/Steuerungsdaten!$B$6),1-1),0))</f>
        <v/>
      </c>
      <c r="M338" s="297" t="str">
        <f>IFERROR(INDEX(Aktiv!$I$6:$I$350,MATCH(A338,Aktiv!$A$6:$A$350,0)),"")</f>
        <v/>
      </c>
      <c r="N338" s="298" t="str">
        <f t="shared" si="44"/>
        <v/>
      </c>
      <c r="O338" s="296" t="str">
        <f t="shared" si="45"/>
        <v/>
      </c>
      <c r="P338" s="297" t="str">
        <f>IF(C338="","",ROUND(C338*Steuerungsdaten!$B$4*Steuerungsdaten!$B$10*IFERROR(VLOOKUP(IFERROR(INDEX(Aktiv!$C$6:$C$350,MATCH(A338,Aktiv!$A$6:$A$350,0)),""),Steuerungsdaten!$B$17:$I$37,8,FALSE),1)*POWER(IF(OR(IFERROR(INDEX(Aktiv!$E$6:$E$350,MATCH(A338,Aktiv!$A$6:$A$350,0)),0)=0,IFERROR(INDEX(Aktiv!$F$6:$F$350,MATCH(A338,Aktiv!$A$6:$A$350,0)),0)=0),1,(IFERROR(INDEX(Aktiv!$E$6:$E$350,MATCH(A338,Aktiv!$A$6:$A$350,0)),0)*IFERROR(INDEX(Aktiv!$F$6:$F$350,MATCH(A338,Aktiv!$A$6:$A$350,0)),0)/1000000)/Steuerungsdaten!$B$6),1-1),0))</f>
        <v/>
      </c>
      <c r="Q338" s="297" t="str">
        <f>IFERROR(INDEX(Aktiv!$J$6:$J$350,MATCH(A338,Aktiv!$A$6:$A$350,0)),"")</f>
        <v/>
      </c>
      <c r="R338" s="298" t="str">
        <f t="shared" si="46"/>
        <v/>
      </c>
      <c r="S338" s="296" t="str">
        <f t="shared" si="47"/>
        <v/>
      </c>
    </row>
    <row r="339" spans="1:19" ht="214.5" x14ac:dyDescent="0.25">
      <c r="A339" s="302" t="s">
        <v>838</v>
      </c>
      <c r="B339" s="299"/>
      <c r="C339" s="297" t="str">
        <f>IFERROR(INDEX(Aktiv!$O$6:$O$350,MATCH(A339,Aktiv!$A$6:$A$350,0)),"")</f>
        <v/>
      </c>
      <c r="D339" s="297" t="str">
        <f>IF(C339="","",ROUND(C339*Steuerungsdaten!$B$4*Steuerungsdaten!$B$7*IFERROR(VLOOKUP(IFERROR(INDEX(Aktiv!$C$6:$C$350,MATCH(A339,Aktiv!$A$6:$A$350,0)),""),Steuerungsdaten!$B$17:$C$37,2,FALSE),1)*POWER(IF(OR(IFERROR(INDEX(Aktiv!$E$6:$E$350,MATCH(A339,Aktiv!$A$6:$A$350,0)),0)=0,IFERROR(INDEX(Aktiv!$F$6:$F$350,MATCH(A339,Aktiv!$A$6:$A$350,0)),0)=0),1,(IFERROR(INDEX(Aktiv!$E$6:$E$350,MATCH(A339,Aktiv!$A$6:$A$350,0)),0)*IFERROR(INDEX(Aktiv!$F$6:$F$350,MATCH(A339,Aktiv!$A$6:$A$350,0)),0)/1000000)/Steuerungsdaten!$B$6),IF(ISNUMBER(MATCH(IFERROR(INDEX(Aktiv!$C$6:$C$350,MATCH(A339,Aktiv!$A$6:$A$350,0)),""),{"Boden","Seite außen","Seite außen SY32","Rücken","Seite innen","Seite innen SY32","Seite innen SY32 DB","Fachboden klein","Fachboden groß","Klappenboden"},0)),1.2,1)-1),0))</f>
        <v/>
      </c>
      <c r="E339" s="297" t="str">
        <f>IFERROR(INDEX(Aktiv!$G$6:$G$350,MATCH(A339,Aktiv!$A$6:$A$350,0)),"")</f>
        <v/>
      </c>
      <c r="F339" s="298" t="str">
        <f t="shared" si="40"/>
        <v/>
      </c>
      <c r="G339" s="296" t="str">
        <f t="shared" si="41"/>
        <v/>
      </c>
      <c r="H339" s="297" t="str">
        <f>IF(C339="","",ROUND(C339*Steuerungsdaten!$B$4*Steuerungsdaten!$B$8*IFERROR(VLOOKUP(IFERROR(INDEX(Aktiv!$C$6:$C$350,MATCH(A339,Aktiv!$A$6:$A$350,0)),""),Steuerungsdaten!$B$17:$E$37,4,FALSE),1)*POWER(IF(OR(IFERROR(INDEX(Aktiv!$E$6:$E$350,MATCH(A339,Aktiv!$A$6:$A$350,0)),0)=0,IFERROR(INDEX(Aktiv!$F$6:$F$350,MATCH(A339,Aktiv!$A$6:$A$350,0)),0)=0),1,(IFERROR(INDEX(Aktiv!$E$6:$E$350,MATCH(A339,Aktiv!$A$6:$A$350,0)),0)*IFERROR(INDEX(Aktiv!$F$6:$F$350,MATCH(A339,Aktiv!$A$6:$A$350,0)),0)/1000000)/Steuerungsdaten!$B$6),1-1),0))</f>
        <v/>
      </c>
      <c r="I339" s="297" t="str">
        <f>IFERROR(INDEX(Aktiv!$H$6:$H$350,MATCH(A339,Aktiv!$A$6:$A$350,0)),"")</f>
        <v/>
      </c>
      <c r="J339" s="298" t="str">
        <f t="shared" si="42"/>
        <v/>
      </c>
      <c r="K339" s="296" t="str">
        <f t="shared" si="43"/>
        <v/>
      </c>
      <c r="L339" s="297" t="str">
        <f>IF(C339="","",ROUND(C339*Steuerungsdaten!$B$4*Steuerungsdaten!$B$9*IFERROR(VLOOKUP(IFERROR(INDEX(Aktiv!$C$6:$C$350,MATCH(A339,Aktiv!$A$6:$A$350,0)),""),Steuerungsdaten!$B$17:$G$37,6,FALSE),1)*POWER(IF(OR(IFERROR(INDEX(Aktiv!$E$6:$E$350,MATCH(A339,Aktiv!$A$6:$A$350,0)),0)=0,IFERROR(INDEX(Aktiv!$F$6:$F$350,MATCH(A339,Aktiv!$A$6:$A$350,0)),0)=0),1,(IFERROR(INDEX(Aktiv!$E$6:$E$350,MATCH(A339,Aktiv!$A$6:$A$350,0)),0)*IFERROR(INDEX(Aktiv!$F$6:$F$350,MATCH(A339,Aktiv!$A$6:$A$350,0)),0)/1000000)/Steuerungsdaten!$B$6),1-1),0))</f>
        <v/>
      </c>
      <c r="M339" s="297" t="str">
        <f>IFERROR(INDEX(Aktiv!$I$6:$I$350,MATCH(A339,Aktiv!$A$6:$A$350,0)),"")</f>
        <v/>
      </c>
      <c r="N339" s="298" t="str">
        <f t="shared" si="44"/>
        <v/>
      </c>
      <c r="O339" s="296" t="str">
        <f t="shared" si="45"/>
        <v/>
      </c>
      <c r="P339" s="297" t="str">
        <f>IF(C339="","",ROUND(C339*Steuerungsdaten!$B$4*Steuerungsdaten!$B$10*IFERROR(VLOOKUP(IFERROR(INDEX(Aktiv!$C$6:$C$350,MATCH(A339,Aktiv!$A$6:$A$350,0)),""),Steuerungsdaten!$B$17:$I$37,8,FALSE),1)*POWER(IF(OR(IFERROR(INDEX(Aktiv!$E$6:$E$350,MATCH(A339,Aktiv!$A$6:$A$350,0)),0)=0,IFERROR(INDEX(Aktiv!$F$6:$F$350,MATCH(A339,Aktiv!$A$6:$A$350,0)),0)=0),1,(IFERROR(INDEX(Aktiv!$E$6:$E$350,MATCH(A339,Aktiv!$A$6:$A$350,0)),0)*IFERROR(INDEX(Aktiv!$F$6:$F$350,MATCH(A339,Aktiv!$A$6:$A$350,0)),0)/1000000)/Steuerungsdaten!$B$6),1-1),0))</f>
        <v/>
      </c>
      <c r="Q339" s="297" t="str">
        <f>IFERROR(INDEX(Aktiv!$J$6:$J$350,MATCH(A339,Aktiv!$A$6:$A$350,0)),"")</f>
        <v/>
      </c>
      <c r="R339" s="298" t="str">
        <f t="shared" si="46"/>
        <v/>
      </c>
      <c r="S339" s="296" t="str">
        <f t="shared" si="47"/>
        <v/>
      </c>
    </row>
  </sheetData>
  <mergeCells count="1">
    <mergeCell ref="A1:J1"/>
  </mergeCells>
  <conditionalFormatting sqref="F5:G339">
    <cfRule type="cellIs" dxfId="13" priority="2" operator="lessThan">
      <formula>0</formula>
    </cfRule>
    <cfRule type="cellIs" dxfId="12" priority="3" operator="greaterThan">
      <formula>0</formula>
    </cfRule>
  </conditionalFormatting>
  <conditionalFormatting sqref="H5:J331">
    <cfRule type="colorScale" priority="1">
      <colorScale>
        <cfvo type="min"/>
        <cfvo type="num" val="1"/>
        <cfvo type="max"/>
        <color rgb="FFA5D6A7"/>
        <color rgb="FFFFFFFF"/>
        <color rgb="FFEF9A9A"/>
      </colorScale>
    </cfRule>
  </conditionalFormatting>
  <conditionalFormatting sqref="J5:K339">
    <cfRule type="cellIs" dxfId="11" priority="4" operator="lessThan">
      <formula>0</formula>
    </cfRule>
    <cfRule type="cellIs" dxfId="10" priority="5" operator="greaterThan">
      <formula>0</formula>
    </cfRule>
  </conditionalFormatting>
  <conditionalFormatting sqref="N5:O339">
    <cfRule type="cellIs" dxfId="9" priority="6" operator="lessThan">
      <formula>0</formula>
    </cfRule>
    <cfRule type="cellIs" dxfId="8" priority="7" operator="greaterThan">
      <formula>0</formula>
    </cfRule>
  </conditionalFormatting>
  <conditionalFormatting sqref="R5:S339">
    <cfRule type="cellIs" dxfId="7" priority="8" operator="lessThan">
      <formula>0</formula>
    </cfRule>
    <cfRule type="cellIs" dxfId="6" priority="9" operator="greaterThan">
      <formula>0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ADF6-B5A1-4980-8D8D-B9538016B012}">
  <dimension ref="A1:AM208"/>
  <sheetViews>
    <sheetView tabSelected="1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T15" sqref="T15"/>
    </sheetView>
  </sheetViews>
  <sheetFormatPr baseColWidth="10" defaultRowHeight="15" outlineLevelCol="1" x14ac:dyDescent="0.25"/>
  <cols>
    <col min="1" max="1" width="34.28515625" customWidth="1"/>
    <col min="2" max="2" width="19" customWidth="1"/>
    <col min="3" max="3" width="22.85546875" customWidth="1"/>
    <col min="4" max="5" width="19" customWidth="1"/>
    <col min="6" max="6" width="9.42578125" customWidth="1"/>
    <col min="7" max="7" width="8.42578125" customWidth="1"/>
    <col min="8" max="8" width="7.28515625" hidden="1" customWidth="1"/>
    <col min="9" max="9" width="8.42578125" customWidth="1"/>
    <col min="10" max="10" width="7.28515625" hidden="1" customWidth="1"/>
    <col min="11" max="11" width="8.42578125" customWidth="1"/>
    <col min="12" max="13" width="7.28515625" hidden="1" customWidth="1"/>
    <col min="14" max="17" width="9.85546875" customWidth="1"/>
    <col min="18" max="21" width="10.28515625" customWidth="1"/>
    <col min="22" max="25" width="9.140625" customWidth="1"/>
    <col min="26" max="29" width="10.28515625" customWidth="1"/>
    <col min="30" max="33" width="9.140625" customWidth="1" outlineLevel="1"/>
    <col min="34" max="38" width="11" customWidth="1"/>
    <col min="39" max="39" width="9.85546875" customWidth="1"/>
  </cols>
  <sheetData>
    <row r="1" spans="1:39" ht="20.100000000000001" customHeight="1" x14ac:dyDescent="0.25">
      <c r="A1" s="210" t="s">
        <v>874</v>
      </c>
    </row>
    <row r="2" spans="1:39" ht="15.95" customHeight="1" x14ac:dyDescent="0.25">
      <c r="A2" s="306" t="s">
        <v>878</v>
      </c>
    </row>
    <row r="3" spans="1:39" ht="20.100000000000001" customHeight="1" x14ac:dyDescent="0.25">
      <c r="R3" s="370"/>
      <c r="S3" s="370"/>
      <c r="T3" s="370"/>
      <c r="U3" s="370"/>
      <c r="Z3" s="370"/>
      <c r="AA3" s="370"/>
      <c r="AB3" s="370"/>
      <c r="AC3" s="370"/>
      <c r="AH3" s="307" t="s">
        <v>871</v>
      </c>
      <c r="AI3" s="308">
        <v>0.02</v>
      </c>
      <c r="AJ3" s="307" t="s">
        <v>872</v>
      </c>
      <c r="AK3" s="308">
        <v>2012</v>
      </c>
      <c r="AL3" s="307" t="s">
        <v>873</v>
      </c>
      <c r="AM3" s="308">
        <f ca="1">YEAR(TODAY())</f>
        <v>2026</v>
      </c>
    </row>
    <row r="4" spans="1:39" ht="26.1" customHeight="1" x14ac:dyDescent="0.25">
      <c r="A4" s="309" t="s">
        <v>535</v>
      </c>
      <c r="B4" s="309"/>
      <c r="C4" s="309"/>
      <c r="D4" s="309"/>
      <c r="E4" s="309"/>
      <c r="F4" s="450" t="s">
        <v>875</v>
      </c>
      <c r="G4" s="451"/>
      <c r="H4" s="451"/>
      <c r="I4" s="451"/>
      <c r="J4" s="451"/>
      <c r="K4" s="451"/>
      <c r="L4" s="451"/>
      <c r="M4" s="452"/>
      <c r="N4" s="459" t="s">
        <v>879</v>
      </c>
      <c r="O4" s="460"/>
      <c r="P4" s="460"/>
      <c r="Q4" s="461"/>
      <c r="R4" s="456" t="s">
        <v>880</v>
      </c>
      <c r="S4" s="457"/>
      <c r="T4" s="457"/>
      <c r="U4" s="458"/>
      <c r="V4" s="462" t="s">
        <v>881</v>
      </c>
      <c r="W4" s="463"/>
      <c r="X4" s="463"/>
      <c r="Y4" s="464"/>
      <c r="Z4" s="453" t="s">
        <v>882</v>
      </c>
      <c r="AA4" s="454"/>
      <c r="AB4" s="454"/>
      <c r="AC4" s="455"/>
      <c r="AD4" s="444" t="s">
        <v>876</v>
      </c>
      <c r="AE4" s="445"/>
      <c r="AF4" s="445"/>
      <c r="AG4" s="446"/>
      <c r="AH4" s="466" t="s">
        <v>770</v>
      </c>
      <c r="AI4" s="467"/>
      <c r="AJ4" s="467"/>
      <c r="AK4" s="467"/>
      <c r="AL4" s="467"/>
    </row>
    <row r="5" spans="1:39" ht="36" customHeight="1" thickBot="1" x14ac:dyDescent="0.3">
      <c r="A5" s="310" t="s">
        <v>536</v>
      </c>
      <c r="B5" s="310" t="s">
        <v>545</v>
      </c>
      <c r="C5" s="310" t="s">
        <v>546</v>
      </c>
      <c r="D5" s="310" t="s">
        <v>5</v>
      </c>
      <c r="E5" s="310" t="s">
        <v>525</v>
      </c>
      <c r="F5" s="316" t="s">
        <v>883</v>
      </c>
      <c r="G5" s="311" t="s">
        <v>884</v>
      </c>
      <c r="H5" s="311" t="s">
        <v>537</v>
      </c>
      <c r="I5" s="311" t="s">
        <v>885</v>
      </c>
      <c r="J5" s="311" t="s">
        <v>538</v>
      </c>
      <c r="K5" s="311" t="s">
        <v>886</v>
      </c>
      <c r="L5" s="311" t="s">
        <v>539</v>
      </c>
      <c r="M5" s="311" t="s">
        <v>540</v>
      </c>
      <c r="N5" s="317" t="s">
        <v>887</v>
      </c>
      <c r="O5" s="404" t="s">
        <v>888</v>
      </c>
      <c r="P5" s="404" t="s">
        <v>889</v>
      </c>
      <c r="Q5" s="405" t="s">
        <v>890</v>
      </c>
      <c r="R5" s="318" t="s">
        <v>891</v>
      </c>
      <c r="S5" s="403" t="s">
        <v>888</v>
      </c>
      <c r="T5" s="403" t="s">
        <v>889</v>
      </c>
      <c r="U5" s="406" t="s">
        <v>890</v>
      </c>
      <c r="V5" s="319" t="s">
        <v>887</v>
      </c>
      <c r="W5" s="312" t="s">
        <v>888</v>
      </c>
      <c r="X5" s="312" t="s">
        <v>889</v>
      </c>
      <c r="Y5" s="312" t="s">
        <v>890</v>
      </c>
      <c r="Z5" s="321" t="s">
        <v>892</v>
      </c>
      <c r="AA5" s="314" t="s">
        <v>893</v>
      </c>
      <c r="AB5" s="314" t="s">
        <v>894</v>
      </c>
      <c r="AC5" s="314" t="s">
        <v>895</v>
      </c>
      <c r="AD5" s="320" t="s">
        <v>887</v>
      </c>
      <c r="AE5" s="313" t="s">
        <v>888</v>
      </c>
      <c r="AF5" s="313" t="s">
        <v>889</v>
      </c>
      <c r="AG5" s="313" t="s">
        <v>890</v>
      </c>
      <c r="AH5" s="322" t="s">
        <v>896</v>
      </c>
      <c r="AI5" s="315" t="s">
        <v>897</v>
      </c>
      <c r="AJ5" s="315" t="s">
        <v>877</v>
      </c>
      <c r="AK5" s="315" t="s">
        <v>898</v>
      </c>
      <c r="AL5" s="315" t="s">
        <v>899</v>
      </c>
    </row>
    <row r="6" spans="1:39" x14ac:dyDescent="0.25">
      <c r="A6" s="399"/>
      <c r="B6" s="399"/>
      <c r="C6" s="399"/>
      <c r="D6" s="399"/>
      <c r="E6" s="399"/>
      <c r="F6" s="399"/>
      <c r="G6" s="399"/>
      <c r="H6" s="399"/>
      <c r="I6" s="399"/>
      <c r="J6" s="399"/>
      <c r="K6" s="399"/>
      <c r="L6" s="399"/>
      <c r="M6" s="399"/>
      <c r="N6" s="399"/>
      <c r="O6" s="399"/>
      <c r="P6" s="399"/>
      <c r="Q6" s="399"/>
      <c r="R6" s="402">
        <f ca="1">AVERAGE(R7:R45)</f>
        <v>-1.5632647602005174E-2</v>
      </c>
      <c r="S6" s="402">
        <f ca="1">AVERAGE(S7:S45)</f>
        <v>4.6395550516488672E-2</v>
      </c>
      <c r="T6" s="402">
        <f ca="1">AVERAGE(T7:T45)</f>
        <v>0.10431361220256488</v>
      </c>
      <c r="U6" s="402">
        <f ca="1">AVERAGE(U7:U45)</f>
        <v>8.3682580460511885E-2</v>
      </c>
      <c r="V6" s="399"/>
      <c r="W6" s="399"/>
      <c r="X6" s="399"/>
      <c r="Y6" s="399"/>
      <c r="Z6" s="400">
        <f>AVERAGE(Z7:Z45)</f>
        <v>-0.11000910121318773</v>
      </c>
      <c r="AA6" s="400">
        <f>AVERAGE(AA7:AA45)</f>
        <v>9.1776973237031132E-3</v>
      </c>
      <c r="AB6" s="400">
        <f>AVERAGE(AB7:AB45)</f>
        <v>0.25191961448913353</v>
      </c>
      <c r="AC6" s="400">
        <f>AVERAGE(AC7:AC45)</f>
        <v>4.0897235636032966E-2</v>
      </c>
      <c r="AD6" s="399"/>
      <c r="AE6" s="399"/>
      <c r="AF6" s="399"/>
      <c r="AG6" s="399"/>
      <c r="AH6" s="399"/>
      <c r="AI6" s="399"/>
      <c r="AJ6" s="399"/>
      <c r="AK6" s="399"/>
      <c r="AL6" s="399"/>
    </row>
    <row r="7" spans="1:39" x14ac:dyDescent="0.25">
      <c r="A7" s="323" t="str">
        <f>'Preisliste 2012'!A25</f>
        <v>Boden / Seiten</v>
      </c>
      <c r="B7" s="324" t="str">
        <f>'Preisliste 2012'!B25</f>
        <v>Boden</v>
      </c>
      <c r="C7" s="324" t="str">
        <f>'Preisliste 2012'!D25</f>
        <v>360 / 360</v>
      </c>
      <c r="D7" s="324" t="str">
        <f>Aktiv!C6</f>
        <v>Boden</v>
      </c>
      <c r="E7" s="324">
        <f>Aktiv!A6</f>
        <v>3000</v>
      </c>
      <c r="F7" s="325">
        <f>'Preisliste 2012'!E25</f>
        <v>18</v>
      </c>
      <c r="G7" s="325">
        <f>'Preisliste 2012'!F25</f>
        <v>70</v>
      </c>
      <c r="H7" s="325">
        <f>'Preisliste 2012'!G25</f>
        <v>124</v>
      </c>
      <c r="I7" s="325">
        <f>'Preisliste 2012'!H25</f>
        <v>133</v>
      </c>
      <c r="J7" s="325">
        <f>'Preisliste 2012'!I25</f>
        <v>59</v>
      </c>
      <c r="K7" s="325">
        <f>'Preisliste 2012'!J25</f>
        <v>76</v>
      </c>
      <c r="L7" s="325">
        <f>'Preisliste 2012'!K25</f>
        <v>95</v>
      </c>
      <c r="M7" s="325">
        <f>'Preisliste 2012'!L25</f>
        <v>114</v>
      </c>
      <c r="N7" s="365">
        <f ca="1">IF(V7="","",ROUND(V7/(1+$AI$3)^($AM$3-$AK$3),2))</f>
        <v>18.95</v>
      </c>
      <c r="O7" s="361">
        <f ca="1">IF(W7="","",ROUND(W7/(1+$AI$3)^($AM$3-$AK$3),2))</f>
        <v>78.06</v>
      </c>
      <c r="P7" s="361">
        <f ca="1">IF(X7="","",ROUND(X7/(1+$AI$3)^($AM$3-$AK$3),2))</f>
        <v>90.95</v>
      </c>
      <c r="Q7" s="361">
        <f ca="1">IF(Y7="","",ROUND(Y7/(1+$AI$3)^($AM$3-$AK$3),2))</f>
        <v>109.89</v>
      </c>
      <c r="R7" s="369">
        <f ca="1">+IFERROR((N7-F7)/F7,0)</f>
        <v>5.2777777777777736E-2</v>
      </c>
      <c r="S7" s="370">
        <f ca="1">IFERROR((O7-G7)/G7,"")</f>
        <v>0.11514285714285717</v>
      </c>
      <c r="T7" s="370">
        <f ca="1">IFERROR((P7-G7)/G7,"")</f>
        <v>0.29928571428571432</v>
      </c>
      <c r="U7" s="370">
        <f ca="1">IFERROR((Q7-I7)/I7,"")</f>
        <v>-0.17375939849624059</v>
      </c>
      <c r="V7" s="407">
        <f>IF(E7="","",IFERROR(INDEX(Aktiv!$G:$G,MATCH(E7,Aktiv!$A:$A,0)),""))</f>
        <v>25</v>
      </c>
      <c r="W7" s="407">
        <f>IF(E7="","",IFERROR(INDEX(Aktiv!$H:$H,MATCH(E7,Aktiv!$A:$A,0)),""))</f>
        <v>103</v>
      </c>
      <c r="X7" s="407">
        <f>IF(E7="","",IFERROR(INDEX(Aktiv!$I:$I,MATCH(E7,Aktiv!$A:$A,0)),""))</f>
        <v>120</v>
      </c>
      <c r="Y7" s="407">
        <f>IF(E7="","",IFERROR(INDEX(Aktiv!$J:$J,MATCH(E7,Aktiv!$A:$A,0)),""))</f>
        <v>145</v>
      </c>
      <c r="Z7" s="371">
        <f>IFERROR(IF(OR(AD7="",AD7=0,V7="",V7=0),"",(V7-AD7)/AD7),"")</f>
        <v>-0.26470588235294118</v>
      </c>
      <c r="AA7" s="371">
        <f t="shared" ref="AA7:AA70" si="0">IFERROR(IF(OR(AE7="",AE7=0,W7="",W7=0),"",(W7-AE7)/AE7),"")</f>
        <v>-9.6491228070175433E-2</v>
      </c>
      <c r="AB7" s="371">
        <f t="shared" ref="AB7:AB70" si="1">IFERROR(IF(OR(AF7="",AF7=0,X7="",X7=0),"",(X7-AF7)/AF7),"")</f>
        <v>0.34831460674157305</v>
      </c>
      <c r="AC7" s="371">
        <f t="shared" ref="AC7:AC70" si="2">IFERROR(IF(OR(AG7="",AG7=0,Y7="",Y7=0),"",(Y7-AG7)/AG7),"")</f>
        <v>-0.1807909604519774</v>
      </c>
      <c r="AD7" s="366">
        <f>IF(E7="","",IFERROR(INDEX(Preisliste_2025!$E:$E,MATCH(E7,Preisliste_2025!$C:$C,0)),""))</f>
        <v>34</v>
      </c>
      <c r="AE7" s="366">
        <f>IF(E7="","",IFERROR(INDEX(Preisliste_2025!$G:$G,MATCH(E7,Preisliste_2025!$C:$C,0)),""))</f>
        <v>114</v>
      </c>
      <c r="AF7" s="366">
        <f>IF(E7="","",IFERROR(INDEX(Preisliste_2025!$F:$F,MATCH(E7,Preisliste_2025!$C:$C,0)),""))</f>
        <v>89</v>
      </c>
      <c r="AG7" s="366">
        <f>IF(E7="","",IFERROR(INDEX(Preisliste_2025!$H:$H,MATCH(E7,Preisliste_2025!$C:$C,0)),""))</f>
        <v>177</v>
      </c>
      <c r="AH7" s="367">
        <f>IF(OR(AD7="",AD7=0,AF7=""),"",(AF7/AD7))</f>
        <v>2.6176470588235294</v>
      </c>
      <c r="AI7" s="361">
        <f>IF(OR(V7="",V7=0,W7=""),"",(W7/V7))</f>
        <v>4.12</v>
      </c>
      <c r="AJ7" s="368">
        <f>IF(E7="","",IFERROR(INDEX(Aktiv!$E:$E,MATCH(E7,Aktiv!$A:$A,0))*INDEX(Aktiv!$F:$F,MATCH(E7,Aktiv!$A:$A,0)),""))</f>
        <v>129600</v>
      </c>
      <c r="AK7" s="361">
        <f>IF(OR(AJ7="",AJ7=0,F7=""),"",F7/(AJ7/10000))</f>
        <v>1.3888888888888888</v>
      </c>
      <c r="AL7" s="361">
        <f>IF(OR(AJ7="",AJ7=0,V7=""),"",V7/(AJ7/10000))</f>
        <v>1.9290123456790123</v>
      </c>
    </row>
    <row r="8" spans="1:39" x14ac:dyDescent="0.25">
      <c r="A8" s="323" t="str">
        <f>'Preisliste 2012'!A26</f>
        <v>Boden / Seiten</v>
      </c>
      <c r="B8" s="324" t="str">
        <f>'Preisliste 2012'!B26</f>
        <v>Boden</v>
      </c>
      <c r="C8" s="324" t="str">
        <f>'Preisliste 2012'!D26</f>
        <v>420 / 360</v>
      </c>
      <c r="D8" s="324" t="str">
        <f>Aktiv!C7</f>
        <v>Boden</v>
      </c>
      <c r="E8" s="324">
        <f>Aktiv!A7</f>
        <v>3001</v>
      </c>
      <c r="F8" s="325">
        <f>'Preisliste 2012'!E26</f>
        <v>21</v>
      </c>
      <c r="G8" s="325">
        <f>'Preisliste 2012'!F26</f>
        <v>75</v>
      </c>
      <c r="H8" s="325">
        <f>'Preisliste 2012'!G26</f>
        <v>125</v>
      </c>
      <c r="I8" s="325">
        <f>'Preisliste 2012'!H26</f>
        <v>135</v>
      </c>
      <c r="J8" s="325">
        <f>'Preisliste 2012'!I26</f>
        <v>61</v>
      </c>
      <c r="K8" s="325">
        <f>'Preisliste 2012'!J26</f>
        <v>80</v>
      </c>
      <c r="L8" s="325">
        <f>'Preisliste 2012'!K26</f>
        <v>100</v>
      </c>
      <c r="M8" s="325">
        <f>'Preisliste 2012'!L26</f>
        <v>120</v>
      </c>
      <c r="N8" s="365">
        <f t="shared" ref="N8:N72" ca="1" si="3">IF(V8="","",ROUND(V8/(1+$AI$3)^($AM$3-$AK$3),2))</f>
        <v>20.46</v>
      </c>
      <c r="O8" s="361">
        <f t="shared" ref="O8:O72" ca="1" si="4">IF(W8="","",ROUND(W8/(1+$AI$3)^($AM$3-$AK$3),2))</f>
        <v>78.06</v>
      </c>
      <c r="P8" s="361">
        <f t="shared" ref="P8:P72" ca="1" si="5">IF(X8="","",ROUND(X8/(1+$AI$3)^($AM$3-$AK$3),2))</f>
        <v>90.95</v>
      </c>
      <c r="Q8" s="361">
        <f t="shared" ref="Q8:Q11" ca="1" si="6">IF(Y8="","",ROUND(Y8/(1+$AI$3)^($AM$3-$AK$3),2))</f>
        <v>109.89</v>
      </c>
      <c r="R8" s="369">
        <f t="shared" ref="R8:R71" ca="1" si="7">+IFERROR((N8-F8)/F8,0)</f>
        <v>-2.5714285714285672E-2</v>
      </c>
      <c r="S8" s="370">
        <f t="shared" ref="S8:S72" ca="1" si="8">IFERROR((O8-G8)/G8,"")</f>
        <v>4.0800000000000031E-2</v>
      </c>
      <c r="T8" s="370">
        <f t="shared" ref="T8:T72" ca="1" si="9">IFERROR((P8-G8)/G8,"")</f>
        <v>0.2126666666666667</v>
      </c>
      <c r="U8" s="370">
        <f t="shared" ref="U8:U72" ca="1" si="10">IFERROR((Q8-I8)/I8,"")</f>
        <v>-0.186</v>
      </c>
      <c r="V8" s="407">
        <f>IF(E8="","",IFERROR(INDEX(Aktiv!$G:$G,MATCH(E8,Aktiv!$A:$A,0)),""))</f>
        <v>27</v>
      </c>
      <c r="W8" s="407">
        <f>IF(E8="","",IFERROR(INDEX(Aktiv!$H:$H,MATCH(E8,Aktiv!$A:$A,0)),""))</f>
        <v>103</v>
      </c>
      <c r="X8" s="407">
        <f>IF(E8="","",IFERROR(INDEX(Aktiv!$I:$I,MATCH(E8,Aktiv!$A:$A,0)),""))</f>
        <v>120</v>
      </c>
      <c r="Y8" s="407">
        <f>IF(E8="","",IFERROR(INDEX(Aktiv!$J:$J,MATCH(E8,Aktiv!$A:$A,0)),""))</f>
        <v>145</v>
      </c>
      <c r="Z8" s="371">
        <f t="shared" ref="Z8:Z71" si="11">IFERROR(IF(OR(AD8="",AD8=0,V8="",V8=0),"",(V8-AD8)/AD8),"")</f>
        <v>-0.20588235294117646</v>
      </c>
      <c r="AA8" s="371">
        <f t="shared" si="0"/>
        <v>-0.1487603305785124</v>
      </c>
      <c r="AB8" s="371">
        <f t="shared" si="1"/>
        <v>0.30434782608695654</v>
      </c>
      <c r="AC8" s="371">
        <f t="shared" si="2"/>
        <v>-0.1853932584269663</v>
      </c>
      <c r="AD8" s="366">
        <f>IF(E8="","",IFERROR(INDEX(Preisliste_2025!$E:$E,MATCH(E8,Preisliste_2025!$C:$C,0)),""))</f>
        <v>34</v>
      </c>
      <c r="AE8" s="366">
        <f>IF(E8="","",IFERROR(INDEX(Preisliste_2025!$G:$G,MATCH(E8,Preisliste_2025!$C:$C,0)),""))</f>
        <v>121</v>
      </c>
      <c r="AF8" s="366">
        <f>IF(E8="","",IFERROR(INDEX(Preisliste_2025!$F:$F,MATCH(E8,Preisliste_2025!$C:$C,0)),""))</f>
        <v>92</v>
      </c>
      <c r="AG8" s="366">
        <f>IF(E8="","",IFERROR(INDEX(Preisliste_2025!$H:$H,MATCH(E8,Preisliste_2025!$C:$C,0)),""))</f>
        <v>178</v>
      </c>
      <c r="AH8" s="367">
        <f t="shared" ref="AH8:AH72" si="12">IF(OR(AD8="",AD8=0,AF8=""),"",(AF8/AD8))</f>
        <v>2.7058823529411766</v>
      </c>
      <c r="AI8" s="361">
        <f t="shared" ref="AI8:AI72" si="13">IF(OR(V8="",V8=0,X8=""),"",(X8/V8))</f>
        <v>4.4444444444444446</v>
      </c>
      <c r="AJ8" s="368">
        <f>IF(E8="","",IFERROR(INDEX(Aktiv!$E:$E,MATCH(E8,Aktiv!$A:$A,0))*INDEX(Aktiv!$F:$F,MATCH(E8,Aktiv!$A:$A,0)),""))</f>
        <v>151200</v>
      </c>
      <c r="AK8" s="361">
        <f t="shared" ref="AK8:AK37" si="14">IF(OR(AJ8="",AJ8=0,F8=""),"",F8/(AJ8/10000))</f>
        <v>1.3888888888888891</v>
      </c>
      <c r="AL8" s="361">
        <f t="shared" ref="AL8:AL37" si="15">IF(OR(AJ8="",AJ8=0,V8=""),"",V8/(AJ8/10000))</f>
        <v>1.7857142857142858</v>
      </c>
    </row>
    <row r="9" spans="1:39" x14ac:dyDescent="0.25">
      <c r="A9" s="323" t="str">
        <f>'Preisliste 2012'!A27</f>
        <v>Boden / Seiten</v>
      </c>
      <c r="B9" s="324" t="str">
        <f>'Preisliste 2012'!B27</f>
        <v>Boden</v>
      </c>
      <c r="C9" s="324" t="str">
        <f>'Preisliste 2012'!D27</f>
        <v>420 / 580</v>
      </c>
      <c r="D9" s="324" t="str">
        <f>Aktiv!C12</f>
        <v>Boden</v>
      </c>
      <c r="E9" s="324">
        <f>Aktiv!A12</f>
        <v>3006</v>
      </c>
      <c r="F9" s="325">
        <f>'Preisliste 2012'!E27</f>
        <v>33</v>
      </c>
      <c r="G9" s="325">
        <f>'Preisliste 2012'!F27</f>
        <v>120</v>
      </c>
      <c r="H9" s="325">
        <f>'Preisliste 2012'!G27</f>
        <v>131</v>
      </c>
      <c r="I9" s="325">
        <f>'Preisliste 2012'!H27</f>
        <v>139</v>
      </c>
      <c r="J9" s="325">
        <f>'Preisliste 2012'!I27</f>
        <v>102</v>
      </c>
      <c r="K9" s="325">
        <f>'Preisliste 2012'!J27</f>
        <v>128</v>
      </c>
      <c r="L9" s="325">
        <f>'Preisliste 2012'!K27</f>
        <v>160</v>
      </c>
      <c r="M9" s="325">
        <f>'Preisliste 2012'!L27</f>
        <v>192</v>
      </c>
      <c r="N9" s="365">
        <f t="shared" ca="1" si="3"/>
        <v>32.590000000000003</v>
      </c>
      <c r="O9" s="361">
        <f t="shared" ca="1" si="4"/>
        <v>111.41</v>
      </c>
      <c r="P9" s="361">
        <f t="shared" ca="1" si="5"/>
        <v>115.95</v>
      </c>
      <c r="Q9" s="361">
        <f t="shared" ca="1" si="6"/>
        <v>128.84</v>
      </c>
      <c r="R9" s="369">
        <f t="shared" ca="1" si="7"/>
        <v>-1.242424242424232E-2</v>
      </c>
      <c r="S9" s="370">
        <f t="shared" ca="1" si="8"/>
        <v>-7.158333333333336E-2</v>
      </c>
      <c r="T9" s="370">
        <f t="shared" ca="1" si="9"/>
        <v>-3.3749999999999974E-2</v>
      </c>
      <c r="U9" s="370">
        <f t="shared" ca="1" si="10"/>
        <v>-7.3093525179856095E-2</v>
      </c>
      <c r="V9" s="407">
        <f>IF(E9="","",IFERROR(INDEX(Aktiv!$G:$G,MATCH(E9,Aktiv!$A:$A,0)),""))</f>
        <v>43</v>
      </c>
      <c r="W9" s="407">
        <f>IF(E9="","",IFERROR(INDEX(Aktiv!$H:$H,MATCH(E9,Aktiv!$A:$A,0)),""))</f>
        <v>147</v>
      </c>
      <c r="X9" s="407">
        <f>IF(E9="","",IFERROR(INDEX(Aktiv!$I:$I,MATCH(E9,Aktiv!$A:$A,0)),""))</f>
        <v>153</v>
      </c>
      <c r="Y9" s="407">
        <f>IF(E9="","",IFERROR(INDEX(Aktiv!$J:$J,MATCH(E9,Aktiv!$A:$A,0)),""))</f>
        <v>170</v>
      </c>
      <c r="Z9" s="371">
        <f t="shared" si="11"/>
        <v>-0.12244897959183673</v>
      </c>
      <c r="AA9" s="371">
        <f t="shared" si="0"/>
        <v>-0.18784530386740331</v>
      </c>
      <c r="AB9" s="371">
        <f t="shared" si="1"/>
        <v>4.0816326530612242E-2</v>
      </c>
      <c r="AC9" s="371">
        <f t="shared" si="2"/>
        <v>-8.6021505376344093E-2</v>
      </c>
      <c r="AD9" s="366">
        <f>IF(E9="","",IFERROR(INDEX(Preisliste_2025!$E:$E,MATCH(E9,Preisliste_2025!$C:$C,0)),""))</f>
        <v>49</v>
      </c>
      <c r="AE9" s="366">
        <f>IF(E9="","",IFERROR(INDEX(Preisliste_2025!$G:$G,MATCH(E9,Preisliste_2025!$C:$C,0)),""))</f>
        <v>181</v>
      </c>
      <c r="AF9" s="366">
        <f>IF(E9="","",IFERROR(INDEX(Preisliste_2025!$F:$F,MATCH(E9,Preisliste_2025!$C:$C,0)),""))</f>
        <v>147</v>
      </c>
      <c r="AG9" s="366">
        <f>IF(E9="","",IFERROR(INDEX(Preisliste_2025!$H:$H,MATCH(E9,Preisliste_2025!$C:$C,0)),""))</f>
        <v>186</v>
      </c>
      <c r="AH9" s="367">
        <f t="shared" si="12"/>
        <v>3</v>
      </c>
      <c r="AI9" s="361">
        <f t="shared" si="13"/>
        <v>3.558139534883721</v>
      </c>
      <c r="AJ9" s="368">
        <f>IF(E9="","",IFERROR(INDEX(Aktiv!$E:$E,MATCH(E9,Aktiv!$A:$A,0))*INDEX(Aktiv!$F:$F,MATCH(E9,Aktiv!$A:$A,0)),""))</f>
        <v>243600</v>
      </c>
      <c r="AK9" s="361">
        <f t="shared" si="14"/>
        <v>1.354679802955665</v>
      </c>
      <c r="AL9" s="361">
        <f t="shared" si="15"/>
        <v>1.7651888341543513</v>
      </c>
    </row>
    <row r="10" spans="1:39" x14ac:dyDescent="0.25">
      <c r="A10" s="323" t="str">
        <f>'Preisliste 2012'!A28</f>
        <v>Boden / Seiten</v>
      </c>
      <c r="B10" s="324" t="str">
        <f>'Preisliste 2012'!B28</f>
        <v>Boden</v>
      </c>
      <c r="C10" s="324" t="str">
        <f>'Preisliste 2012'!D28</f>
        <v>580 / 360</v>
      </c>
      <c r="D10" s="324" t="str">
        <f>Aktiv!C8</f>
        <v>Boden</v>
      </c>
      <c r="E10" s="324">
        <f>Aktiv!A8</f>
        <v>3002</v>
      </c>
      <c r="F10" s="325">
        <f>'Preisliste 2012'!E28</f>
        <v>28</v>
      </c>
      <c r="G10" s="325">
        <f>'Preisliste 2012'!F28</f>
        <v>105</v>
      </c>
      <c r="H10" s="325">
        <f>'Preisliste 2012'!G28</f>
        <v>130</v>
      </c>
      <c r="I10" s="325">
        <f>'Preisliste 2012'!H28</f>
        <v>140</v>
      </c>
      <c r="J10" s="325">
        <f>'Preisliste 2012'!I28</f>
        <v>89</v>
      </c>
      <c r="K10" s="325">
        <f>'Preisliste 2012'!J28</f>
        <v>114</v>
      </c>
      <c r="L10" s="325">
        <f>'Preisliste 2012'!K28</f>
        <v>143</v>
      </c>
      <c r="M10" s="325">
        <f>'Preisliste 2012'!L28</f>
        <v>171</v>
      </c>
      <c r="N10" s="365">
        <f t="shared" ca="1" si="3"/>
        <v>28.04</v>
      </c>
      <c r="O10" s="361">
        <f t="shared" ca="1" si="4"/>
        <v>95.49</v>
      </c>
      <c r="P10" s="361">
        <f t="shared" ca="1" si="5"/>
        <v>99.28</v>
      </c>
      <c r="Q10" s="361">
        <f t="shared" ca="1" si="6"/>
        <v>110.65</v>
      </c>
      <c r="R10" s="369">
        <f t="shared" ca="1" si="7"/>
        <v>1.4285714285713982E-3</v>
      </c>
      <c r="S10" s="370">
        <f t="shared" ca="1" si="8"/>
        <v>-9.0571428571428622E-2</v>
      </c>
      <c r="T10" s="370">
        <f t="shared" ca="1" si="9"/>
        <v>-5.4476190476190463E-2</v>
      </c>
      <c r="U10" s="370">
        <f t="shared" ca="1" si="10"/>
        <v>-0.2096428571428571</v>
      </c>
      <c r="V10" s="407">
        <f>IF(E10="","",IFERROR(INDEX(Aktiv!$G:$G,MATCH(E10,Aktiv!$A:$A,0)),""))</f>
        <v>37</v>
      </c>
      <c r="W10" s="407">
        <f>IF(E10="","",IFERROR(INDEX(Aktiv!$H:$H,MATCH(E10,Aktiv!$A:$A,0)),""))</f>
        <v>126</v>
      </c>
      <c r="X10" s="407">
        <f>IF(E10="","",IFERROR(INDEX(Aktiv!$I:$I,MATCH(E10,Aktiv!$A:$A,0)),""))</f>
        <v>131</v>
      </c>
      <c r="Y10" s="407">
        <f>IF(E10="","",IFERROR(INDEX(Aktiv!$J:$J,MATCH(E10,Aktiv!$A:$A,0)),""))</f>
        <v>146</v>
      </c>
      <c r="Z10" s="371">
        <f t="shared" si="11"/>
        <v>-0.13953488372093023</v>
      </c>
      <c r="AA10" s="371">
        <f t="shared" si="0"/>
        <v>-0.21739130434782608</v>
      </c>
      <c r="AB10" s="371">
        <f t="shared" si="1"/>
        <v>7.6923076923076927E-3</v>
      </c>
      <c r="AC10" s="371">
        <f t="shared" si="2"/>
        <v>-0.21081081081081082</v>
      </c>
      <c r="AD10" s="366">
        <f>IF(E10="","",IFERROR(INDEX(Preisliste_2025!$E:$E,MATCH(E10,Preisliste_2025!$C:$C,0)),""))</f>
        <v>43</v>
      </c>
      <c r="AE10" s="366">
        <f>IF(E10="","",IFERROR(INDEX(Preisliste_2025!$G:$G,MATCH(E10,Preisliste_2025!$C:$C,0)),""))</f>
        <v>161</v>
      </c>
      <c r="AF10" s="366">
        <f>IF(E10="","",IFERROR(INDEX(Preisliste_2025!$F:$F,MATCH(E10,Preisliste_2025!$C:$C,0)),""))</f>
        <v>130</v>
      </c>
      <c r="AG10" s="366">
        <f>IF(E10="","",IFERROR(INDEX(Preisliste_2025!$H:$H,MATCH(E10,Preisliste_2025!$C:$C,0)),""))</f>
        <v>185</v>
      </c>
      <c r="AH10" s="367">
        <f t="shared" si="12"/>
        <v>3.0232558139534884</v>
      </c>
      <c r="AI10" s="361">
        <f t="shared" si="13"/>
        <v>3.5405405405405403</v>
      </c>
      <c r="AJ10" s="368">
        <f>IF(E10="","",IFERROR(INDEX(Aktiv!$E:$E,MATCH(E10,Aktiv!$A:$A,0))*INDEX(Aktiv!$F:$F,MATCH(E10,Aktiv!$A:$A,0)),""))</f>
        <v>208800</v>
      </c>
      <c r="AK10" s="361">
        <f t="shared" si="14"/>
        <v>1.3409961685823755</v>
      </c>
      <c r="AL10" s="361">
        <f t="shared" si="15"/>
        <v>1.7720306513409962</v>
      </c>
    </row>
    <row r="11" spans="1:39" x14ac:dyDescent="0.25">
      <c r="A11" s="323" t="str">
        <f>'Preisliste 2012'!A29</f>
        <v>Boden / Seiten</v>
      </c>
      <c r="B11" s="324" t="str">
        <f>'Preisliste 2012'!B29</f>
        <v>Boden</v>
      </c>
      <c r="C11" s="324" t="str">
        <f>'Preisliste 2012'!D29</f>
        <v>580 / 580</v>
      </c>
      <c r="D11" s="324" t="str">
        <f>Aktiv!C13</f>
        <v>Boden</v>
      </c>
      <c r="E11" s="324">
        <f>Aktiv!A13</f>
        <v>3007</v>
      </c>
      <c r="F11" s="325">
        <f>'Preisliste 2012'!E29</f>
        <v>46</v>
      </c>
      <c r="G11" s="325">
        <f>'Preisliste 2012'!F29</f>
        <v>155</v>
      </c>
      <c r="H11" s="325">
        <f>'Preisliste 2012'!G29</f>
        <v>135</v>
      </c>
      <c r="I11" s="325">
        <f>'Preisliste 2012'!H29</f>
        <v>151</v>
      </c>
      <c r="J11" s="325">
        <f>'Preisliste 2012'!I29</f>
        <v>129</v>
      </c>
      <c r="K11" s="325">
        <f>'Preisliste 2012'!J29</f>
        <v>169</v>
      </c>
      <c r="L11" s="325">
        <f>'Preisliste 2012'!K29</f>
        <v>211</v>
      </c>
      <c r="M11" s="325">
        <f>'Preisliste 2012'!L29</f>
        <v>254</v>
      </c>
      <c r="N11" s="365">
        <f t="shared" ca="1" si="3"/>
        <v>44.71</v>
      </c>
      <c r="O11" s="361">
        <f t="shared" ca="1" si="4"/>
        <v>153.85</v>
      </c>
      <c r="P11" s="361">
        <f t="shared" ca="1" si="5"/>
        <v>159.91</v>
      </c>
      <c r="Q11" s="361">
        <f t="shared" ca="1" si="6"/>
        <v>178.1</v>
      </c>
      <c r="R11" s="369">
        <f t="shared" ca="1" si="7"/>
        <v>-2.8043478260869548E-2</v>
      </c>
      <c r="S11" s="370">
        <f t="shared" ca="1" si="8"/>
        <v>-7.4193548387097141E-3</v>
      </c>
      <c r="T11" s="370">
        <f t="shared" ca="1" si="9"/>
        <v>3.1677419354838685E-2</v>
      </c>
      <c r="U11" s="370">
        <f t="shared" ca="1" si="10"/>
        <v>0.17947019867549666</v>
      </c>
      <c r="V11" s="407">
        <f>IF(E11="","",IFERROR(INDEX(Aktiv!$G:$G,MATCH(E11,Aktiv!$A:$A,0)),""))</f>
        <v>59</v>
      </c>
      <c r="W11" s="407">
        <f>IF(E11="","",IFERROR(INDEX(Aktiv!$H:$H,MATCH(E11,Aktiv!$A:$A,0)),""))</f>
        <v>203</v>
      </c>
      <c r="X11" s="407">
        <f>IF(E11="","",IFERROR(INDEX(Aktiv!$I:$I,MATCH(E11,Aktiv!$A:$A,0)),""))</f>
        <v>211</v>
      </c>
      <c r="Y11" s="407">
        <f>IF(E11="","",IFERROR(INDEX(Aktiv!$J:$J,MATCH(E11,Aktiv!$A:$A,0)),""))</f>
        <v>235</v>
      </c>
      <c r="Z11" s="371">
        <f t="shared" si="11"/>
        <v>-0.11940298507462686</v>
      </c>
      <c r="AA11" s="371">
        <f t="shared" si="0"/>
        <v>-0.10964912280701754</v>
      </c>
      <c r="AB11" s="371">
        <f t="shared" si="1"/>
        <v>0.15300546448087432</v>
      </c>
      <c r="AC11" s="371">
        <f t="shared" si="2"/>
        <v>0.23036649214659685</v>
      </c>
      <c r="AD11" s="366">
        <f>IF(E11="","",IFERROR(INDEX(Preisliste_2025!$E:$E,MATCH(E11,Preisliste_2025!$C:$C,0)),""))</f>
        <v>67</v>
      </c>
      <c r="AE11" s="366">
        <f>IF(E11="","",IFERROR(INDEX(Preisliste_2025!$G:$G,MATCH(E11,Preisliste_2025!$C:$C,0)),""))</f>
        <v>228</v>
      </c>
      <c r="AF11" s="366">
        <f>IF(E11="","",IFERROR(INDEX(Preisliste_2025!$F:$F,MATCH(E11,Preisliste_2025!$C:$C,0)),""))</f>
        <v>183</v>
      </c>
      <c r="AG11" s="366">
        <f>IF(E11="","",IFERROR(INDEX(Preisliste_2025!$H:$H,MATCH(E11,Preisliste_2025!$C:$C,0)),""))</f>
        <v>191</v>
      </c>
      <c r="AH11" s="367">
        <f t="shared" si="12"/>
        <v>2.7313432835820897</v>
      </c>
      <c r="AI11" s="361">
        <f t="shared" si="13"/>
        <v>3.5762711864406778</v>
      </c>
      <c r="AJ11" s="368">
        <f>IF(E11="","",IFERROR(INDEX(Aktiv!$E:$E,MATCH(E11,Aktiv!$A:$A,0))*INDEX(Aktiv!$F:$F,MATCH(E11,Aktiv!$A:$A,0)),""))</f>
        <v>336400</v>
      </c>
      <c r="AK11" s="361">
        <f t="shared" si="14"/>
        <v>1.3674197384066586</v>
      </c>
      <c r="AL11" s="361">
        <f t="shared" si="15"/>
        <v>1.7538644470868014</v>
      </c>
    </row>
    <row r="12" spans="1:39" x14ac:dyDescent="0.25">
      <c r="A12" s="323" t="str">
        <f>'Preisliste 2012'!A30</f>
        <v>Boden / Seiten</v>
      </c>
      <c r="B12" s="324" t="str">
        <f>'Preisliste 2012'!B30</f>
        <v>Boden</v>
      </c>
      <c r="C12" s="324" t="str">
        <f>'Preisliste 2012'!D30</f>
        <v>780 / 360</v>
      </c>
      <c r="D12" s="324" t="str">
        <f>Aktiv!C9</f>
        <v>Boden</v>
      </c>
      <c r="E12" s="324">
        <f>Aktiv!A9</f>
        <v>3003</v>
      </c>
      <c r="F12" s="325">
        <f>'Preisliste 2012'!E30</f>
        <v>38</v>
      </c>
      <c r="G12" s="325">
        <f>'Preisliste 2012'!F30</f>
        <v>123</v>
      </c>
      <c r="H12" s="325">
        <f>'Preisliste 2012'!G30</f>
        <v>134</v>
      </c>
      <c r="I12" s="325">
        <f>'Preisliste 2012'!H30</f>
        <v>144</v>
      </c>
      <c r="J12" s="325">
        <f>'Preisliste 2012'!I30</f>
        <v>100</v>
      </c>
      <c r="K12" s="325">
        <f>'Preisliste 2012'!J30</f>
        <v>131</v>
      </c>
      <c r="L12" s="325">
        <f>'Preisliste 2012'!K30</f>
        <v>164</v>
      </c>
      <c r="M12" s="325">
        <f>'Preisliste 2012'!L30</f>
        <v>197</v>
      </c>
      <c r="N12" s="365">
        <f t="shared" ca="1" si="3"/>
        <v>37.14</v>
      </c>
      <c r="O12" s="361">
        <f t="shared" ca="1" si="4"/>
        <v>128.08000000000001</v>
      </c>
      <c r="P12" s="361">
        <f t="shared" ca="1" si="5"/>
        <v>134.13999999999999</v>
      </c>
      <c r="Q12" s="361">
        <f t="shared" ref="Q12:Q76" ca="1" si="16">IF(Y12="","",ROUND(Y12/(1+$AI$3)^($AM$3-$AK$3),2))</f>
        <v>148.54</v>
      </c>
      <c r="R12" s="369">
        <f t="shared" ca="1" si="7"/>
        <v>-2.2631578947368405E-2</v>
      </c>
      <c r="S12" s="370">
        <f t="shared" ca="1" si="8"/>
        <v>4.1300813008130183E-2</v>
      </c>
      <c r="T12" s="370">
        <f t="shared" ca="1" si="9"/>
        <v>9.0569105691056806E-2</v>
      </c>
      <c r="U12" s="370">
        <f t="shared" ca="1" si="10"/>
        <v>3.1527777777777724E-2</v>
      </c>
      <c r="V12" s="407">
        <f>IF(E12="","",IFERROR(INDEX(Aktiv!$G:$G,MATCH(E12,Aktiv!$A:$A,0)),""))</f>
        <v>49</v>
      </c>
      <c r="W12" s="407">
        <f>IF(E12="","",IFERROR(INDEX(Aktiv!$H:$H,MATCH(E12,Aktiv!$A:$A,0)),""))</f>
        <v>169</v>
      </c>
      <c r="X12" s="407">
        <f>IF(E12="","",IFERROR(INDEX(Aktiv!$I:$I,MATCH(E12,Aktiv!$A:$A,0)),""))</f>
        <v>177</v>
      </c>
      <c r="Y12" s="407">
        <f>IF(E12="","",IFERROR(INDEX(Aktiv!$J:$J,MATCH(E12,Aktiv!$A:$A,0)),""))</f>
        <v>196</v>
      </c>
      <c r="Z12" s="371">
        <f t="shared" si="11"/>
        <v>-0.125</v>
      </c>
      <c r="AA12" s="371">
        <f t="shared" si="0"/>
        <v>-8.6486486486486491E-2</v>
      </c>
      <c r="AB12" s="371">
        <f t="shared" si="1"/>
        <v>0.22916666666666666</v>
      </c>
      <c r="AC12" s="371">
        <f t="shared" si="2"/>
        <v>3.1578947368421054E-2</v>
      </c>
      <c r="AD12" s="366">
        <f>IF(E12="","",IFERROR(INDEX(Preisliste_2025!$E:$E,MATCH(E12,Preisliste_2025!$C:$C,0)),""))</f>
        <v>56</v>
      </c>
      <c r="AE12" s="366">
        <f>IF(E12="","",IFERROR(INDEX(Preisliste_2025!$G:$G,MATCH(E12,Preisliste_2025!$C:$C,0)),""))</f>
        <v>185</v>
      </c>
      <c r="AF12" s="366">
        <f>IF(E12="","",IFERROR(INDEX(Preisliste_2025!$F:$F,MATCH(E12,Preisliste_2025!$C:$C,0)),""))</f>
        <v>144</v>
      </c>
      <c r="AG12" s="366">
        <f>IF(E12="","",IFERROR(INDEX(Preisliste_2025!$H:$H,MATCH(E12,Preisliste_2025!$C:$C,0)),""))</f>
        <v>190</v>
      </c>
      <c r="AH12" s="367">
        <f t="shared" si="12"/>
        <v>2.5714285714285716</v>
      </c>
      <c r="AI12" s="361">
        <f t="shared" si="13"/>
        <v>3.6122448979591835</v>
      </c>
      <c r="AJ12" s="368">
        <f>IF(E12="","",IFERROR(INDEX(Aktiv!$E:$E,MATCH(E12,Aktiv!$A:$A,0))*INDEX(Aktiv!$F:$F,MATCH(E12,Aktiv!$A:$A,0)),""))</f>
        <v>280800</v>
      </c>
      <c r="AK12" s="361">
        <f t="shared" si="14"/>
        <v>1.3532763532763534</v>
      </c>
      <c r="AL12" s="361">
        <f t="shared" si="15"/>
        <v>1.7450142450142452</v>
      </c>
    </row>
    <row r="13" spans="1:39" x14ac:dyDescent="0.25">
      <c r="A13" s="323" t="str">
        <f>'Preisliste 2012'!A31</f>
        <v>Boden / Seiten</v>
      </c>
      <c r="B13" s="324" t="str">
        <f>'Preisliste 2012'!B31</f>
        <v>Boden</v>
      </c>
      <c r="C13" s="324" t="str">
        <f>'Preisliste 2012'!D31</f>
        <v>780 / 580</v>
      </c>
      <c r="D13" s="324" t="str">
        <f>Aktiv!C14</f>
        <v>Boden</v>
      </c>
      <c r="E13" s="324">
        <f>Aktiv!A14</f>
        <v>3008</v>
      </c>
      <c r="F13" s="325">
        <f>'Preisliste 2012'!E31</f>
        <v>61</v>
      </c>
      <c r="G13" s="325">
        <f>'Preisliste 2012'!F31</f>
        <v>190</v>
      </c>
      <c r="H13" s="325">
        <f>'Preisliste 2012'!G31</f>
        <v>169</v>
      </c>
      <c r="I13" s="325">
        <f>'Preisliste 2012'!H31</f>
        <v>184</v>
      </c>
      <c r="J13" s="325">
        <f>'Preisliste 2012'!I31</f>
        <v>160</v>
      </c>
      <c r="K13" s="325">
        <f>'Preisliste 2012'!J31</f>
        <v>222</v>
      </c>
      <c r="L13" s="325">
        <f>'Preisliste 2012'!K31</f>
        <v>278</v>
      </c>
      <c r="M13" s="325">
        <f>'Preisliste 2012'!L31</f>
        <v>333</v>
      </c>
      <c r="N13" s="365">
        <f t="shared" ca="1" si="3"/>
        <v>60.63</v>
      </c>
      <c r="O13" s="361">
        <f t="shared" ca="1" si="4"/>
        <v>206.9</v>
      </c>
      <c r="P13" s="361">
        <f t="shared" ca="1" si="5"/>
        <v>215.24</v>
      </c>
      <c r="Q13" s="361">
        <f t="shared" ca="1" si="16"/>
        <v>239.49</v>
      </c>
      <c r="R13" s="369">
        <f t="shared" ca="1" si="7"/>
        <v>-6.065573770491761E-3</v>
      </c>
      <c r="S13" s="370">
        <f t="shared" ca="1" si="8"/>
        <v>8.8947368421052664E-2</v>
      </c>
      <c r="T13" s="370">
        <f t="shared" ca="1" si="9"/>
        <v>0.13284210526315796</v>
      </c>
      <c r="U13" s="370">
        <f t="shared" ca="1" si="10"/>
        <v>0.30157608695652177</v>
      </c>
      <c r="V13" s="407">
        <f>IF(E13="","",IFERROR(INDEX(Aktiv!$G:$G,MATCH(E13,Aktiv!$A:$A,0)),""))</f>
        <v>80</v>
      </c>
      <c r="W13" s="407">
        <f>IF(E13="","",IFERROR(INDEX(Aktiv!$H:$H,MATCH(E13,Aktiv!$A:$A,0)),""))</f>
        <v>273</v>
      </c>
      <c r="X13" s="407">
        <f>IF(E13="","",IFERROR(INDEX(Aktiv!$I:$I,MATCH(E13,Aktiv!$A:$A,0)),""))</f>
        <v>284</v>
      </c>
      <c r="Y13" s="407">
        <f>IF(E13="","",IFERROR(INDEX(Aktiv!$J:$J,MATCH(E13,Aktiv!$A:$A,0)),""))</f>
        <v>316</v>
      </c>
      <c r="Z13" s="371">
        <f t="shared" si="11"/>
        <v>-8.0459770114942528E-2</v>
      </c>
      <c r="AA13" s="371">
        <f t="shared" si="0"/>
        <v>-7.2727272727272727E-3</v>
      </c>
      <c r="AB13" s="371">
        <f t="shared" si="1"/>
        <v>0.26222222222222225</v>
      </c>
      <c r="AC13" s="371">
        <f t="shared" si="2"/>
        <v>0.33333333333333331</v>
      </c>
      <c r="AD13" s="366">
        <f>IF(E13="","",IFERROR(INDEX(Preisliste_2025!$E:$E,MATCH(E13,Preisliste_2025!$C:$C,0)),""))</f>
        <v>87</v>
      </c>
      <c r="AE13" s="366">
        <f>IF(E13="","",IFERROR(INDEX(Preisliste_2025!$G:$G,MATCH(E13,Preisliste_2025!$C:$C,0)),""))</f>
        <v>275</v>
      </c>
      <c r="AF13" s="366">
        <f>IF(E13="","",IFERROR(INDEX(Preisliste_2025!$F:$F,MATCH(E13,Preisliste_2025!$C:$C,0)),""))</f>
        <v>225</v>
      </c>
      <c r="AG13" s="366">
        <f>IF(E13="","",IFERROR(INDEX(Preisliste_2025!$H:$H,MATCH(E13,Preisliste_2025!$C:$C,0)),""))</f>
        <v>237</v>
      </c>
      <c r="AH13" s="367">
        <f t="shared" si="12"/>
        <v>2.5862068965517242</v>
      </c>
      <c r="AI13" s="361">
        <f t="shared" si="13"/>
        <v>3.55</v>
      </c>
      <c r="AJ13" s="368">
        <f>IF(E13="","",IFERROR(INDEX(Aktiv!$E:$E,MATCH(E13,Aktiv!$A:$A,0))*INDEX(Aktiv!$F:$F,MATCH(E13,Aktiv!$A:$A,0)),""))</f>
        <v>452400</v>
      </c>
      <c r="AK13" s="361">
        <f t="shared" si="14"/>
        <v>1.348364279398762</v>
      </c>
      <c r="AL13" s="361">
        <f t="shared" si="15"/>
        <v>1.7683465959328029</v>
      </c>
    </row>
    <row r="14" spans="1:39" x14ac:dyDescent="0.25">
      <c r="A14" s="323" t="str">
        <f>'Preisliste 2012'!A32</f>
        <v>Boden / Seiten</v>
      </c>
      <c r="B14" s="324" t="str">
        <f>'Preisliste 2012'!B32</f>
        <v>Boden</v>
      </c>
      <c r="C14" s="324" t="str">
        <f>'Preisliste 2012'!D32</f>
        <v>980 / 360</v>
      </c>
      <c r="D14" s="324" t="str">
        <f>Aktiv!C10</f>
        <v>Boden</v>
      </c>
      <c r="E14" s="324">
        <f>Aktiv!A10</f>
        <v>3004</v>
      </c>
      <c r="F14" s="325">
        <f>'Preisliste 2012'!E32</f>
        <v>48</v>
      </c>
      <c r="G14" s="325">
        <f>'Preisliste 2012'!F32</f>
        <v>151</v>
      </c>
      <c r="H14" s="325">
        <f>'Preisliste 2012'!G32</f>
        <v>148</v>
      </c>
      <c r="I14" s="325">
        <f>'Preisliste 2012'!H32</f>
        <v>159</v>
      </c>
      <c r="J14" s="325">
        <f>'Preisliste 2012'!I32</f>
        <v>122</v>
      </c>
      <c r="K14" s="325">
        <f>'Preisliste 2012'!J32</f>
        <v>158</v>
      </c>
      <c r="L14" s="325">
        <f>'Preisliste 2012'!K32</f>
        <v>198</v>
      </c>
      <c r="M14" s="325">
        <f>'Preisliste 2012'!L32</f>
        <v>237</v>
      </c>
      <c r="N14" s="365">
        <f t="shared" ca="1" si="3"/>
        <v>46.99</v>
      </c>
      <c r="O14" s="361">
        <f t="shared" ca="1" si="4"/>
        <v>161.43</v>
      </c>
      <c r="P14" s="361">
        <f t="shared" ca="1" si="5"/>
        <v>168.25</v>
      </c>
      <c r="Q14" s="361">
        <f t="shared" ca="1" si="16"/>
        <v>187.2</v>
      </c>
      <c r="R14" s="369">
        <f t="shared" ca="1" si="7"/>
        <v>-2.1041666666666625E-2</v>
      </c>
      <c r="S14" s="370">
        <f t="shared" ca="1" si="8"/>
        <v>6.9072847682119257E-2</v>
      </c>
      <c r="T14" s="370">
        <f t="shared" ca="1" si="9"/>
        <v>0.11423841059602649</v>
      </c>
      <c r="U14" s="370">
        <f t="shared" ca="1" si="10"/>
        <v>0.17735849056603767</v>
      </c>
      <c r="V14" s="407">
        <f>IF(E14="","",IFERROR(INDEX(Aktiv!$G:$G,MATCH(E14,Aktiv!$A:$A,0)),""))</f>
        <v>62</v>
      </c>
      <c r="W14" s="407">
        <f>IF(E14="","",IFERROR(INDEX(Aktiv!$H:$H,MATCH(E14,Aktiv!$A:$A,0)),""))</f>
        <v>213</v>
      </c>
      <c r="X14" s="407">
        <f>IF(E14="","",IFERROR(INDEX(Aktiv!$I:$I,MATCH(E14,Aktiv!$A:$A,0)),""))</f>
        <v>222</v>
      </c>
      <c r="Y14" s="407">
        <f>IF(E14="","",IFERROR(INDEX(Aktiv!$J:$J,MATCH(E14,Aktiv!$A:$A,0)),""))</f>
        <v>247</v>
      </c>
      <c r="Z14" s="371">
        <f t="shared" si="11"/>
        <v>-0.11428571428571428</v>
      </c>
      <c r="AA14" s="371">
        <f t="shared" si="0"/>
        <v>-4.4843049327354258E-2</v>
      </c>
      <c r="AB14" s="371">
        <f t="shared" si="1"/>
        <v>0.27586206896551724</v>
      </c>
      <c r="AC14" s="371">
        <f t="shared" si="2"/>
        <v>0.18181818181818182</v>
      </c>
      <c r="AD14" s="366">
        <f>IF(E14="","",IFERROR(INDEX(Preisliste_2025!$E:$E,MATCH(E14,Preisliste_2025!$C:$C,0)),""))</f>
        <v>70</v>
      </c>
      <c r="AE14" s="366">
        <f>IF(E14="","",IFERROR(INDEX(Preisliste_2025!$G:$G,MATCH(E14,Preisliste_2025!$C:$C,0)),""))</f>
        <v>223</v>
      </c>
      <c r="AF14" s="366">
        <f>IF(E14="","",IFERROR(INDEX(Preisliste_2025!$F:$F,MATCH(E14,Preisliste_2025!$C:$C,0)),""))</f>
        <v>174</v>
      </c>
      <c r="AG14" s="366">
        <f>IF(E14="","",IFERROR(INDEX(Preisliste_2025!$H:$H,MATCH(E14,Preisliste_2025!$C:$C,0)),""))</f>
        <v>209</v>
      </c>
      <c r="AH14" s="367">
        <f t="shared" si="12"/>
        <v>2.4857142857142858</v>
      </c>
      <c r="AI14" s="361">
        <f t="shared" si="13"/>
        <v>3.5806451612903225</v>
      </c>
      <c r="AJ14" s="368">
        <f>IF(E14="","",IFERROR(INDEX(Aktiv!$E:$E,MATCH(E14,Aktiv!$A:$A,0))*INDEX(Aktiv!$F:$F,MATCH(E14,Aktiv!$A:$A,0)),""))</f>
        <v>352800</v>
      </c>
      <c r="AK14" s="361">
        <f t="shared" si="14"/>
        <v>1.3605442176870748</v>
      </c>
      <c r="AL14" s="361">
        <f t="shared" si="15"/>
        <v>1.7573696145124715</v>
      </c>
    </row>
    <row r="15" spans="1:39" x14ac:dyDescent="0.25">
      <c r="A15" s="323" t="str">
        <f>'Preisliste 2012'!A33</f>
        <v>Boden / Seiten</v>
      </c>
      <c r="B15" s="324" t="str">
        <f>'Preisliste 2012'!B33</f>
        <v>Boden</v>
      </c>
      <c r="C15" s="324" t="str">
        <f>'Preisliste 2012'!D33</f>
        <v>980 / 580</v>
      </c>
      <c r="D15" s="324" t="str">
        <f>Aktiv!C15</f>
        <v>Boden</v>
      </c>
      <c r="E15" s="324">
        <f>Aktiv!A15</f>
        <v>3009</v>
      </c>
      <c r="F15" s="325">
        <f>'Preisliste 2012'!E33</f>
        <v>78</v>
      </c>
      <c r="G15" s="325">
        <f>'Preisliste 2012'!F33</f>
        <v>249</v>
      </c>
      <c r="H15" s="325">
        <f>'Preisliste 2012'!G33</f>
        <v>198</v>
      </c>
      <c r="I15" s="325">
        <f>'Preisliste 2012'!H33</f>
        <v>214</v>
      </c>
      <c r="J15" s="325">
        <f>'Preisliste 2012'!I33</f>
        <v>205</v>
      </c>
      <c r="K15" s="325">
        <f>'Preisliste 2012'!J33</f>
        <v>269</v>
      </c>
      <c r="L15" s="325">
        <f>'Preisliste 2012'!K33</f>
        <v>336</v>
      </c>
      <c r="M15" s="325">
        <f>'Preisliste 2012'!L33</f>
        <v>404</v>
      </c>
      <c r="N15" s="365">
        <f t="shared" ca="1" si="3"/>
        <v>75.790000000000006</v>
      </c>
      <c r="O15" s="361">
        <f t="shared" ca="1" si="4"/>
        <v>259.95</v>
      </c>
      <c r="P15" s="361">
        <f t="shared" ca="1" si="5"/>
        <v>270.56</v>
      </c>
      <c r="Q15" s="361">
        <f t="shared" ca="1" si="16"/>
        <v>301.63</v>
      </c>
      <c r="R15" s="369">
        <f t="shared" ca="1" si="7"/>
        <v>-2.8333333333333252E-2</v>
      </c>
      <c r="S15" s="370">
        <f t="shared" ca="1" si="8"/>
        <v>4.3975903614457787E-2</v>
      </c>
      <c r="T15" s="370">
        <f t="shared" ca="1" si="9"/>
        <v>8.6586345381526111E-2</v>
      </c>
      <c r="U15" s="370">
        <f t="shared" ca="1" si="10"/>
        <v>0.40948598130841118</v>
      </c>
      <c r="V15" s="407">
        <f>IF(E15="","",IFERROR(INDEX(Aktiv!$G:$G,MATCH(E15,Aktiv!$A:$A,0)),""))</f>
        <v>100</v>
      </c>
      <c r="W15" s="407">
        <f>IF(E15="","",IFERROR(INDEX(Aktiv!$H:$H,MATCH(E15,Aktiv!$A:$A,0)),""))</f>
        <v>343</v>
      </c>
      <c r="X15" s="407">
        <f>IF(E15="","",IFERROR(INDEX(Aktiv!$I:$I,MATCH(E15,Aktiv!$A:$A,0)),""))</f>
        <v>357</v>
      </c>
      <c r="Y15" s="407">
        <f>IF(E15="","",IFERROR(INDEX(Aktiv!$J:$J,MATCH(E15,Aktiv!$A:$A,0)),""))</f>
        <v>398</v>
      </c>
      <c r="Z15" s="371">
        <f t="shared" si="11"/>
        <v>-9.0909090909090912E-2</v>
      </c>
      <c r="AA15" s="371">
        <f t="shared" si="0"/>
        <v>-3.3802816901408447E-2</v>
      </c>
      <c r="AB15" s="371">
        <f t="shared" si="1"/>
        <v>0.24825174825174826</v>
      </c>
      <c r="AC15" s="371">
        <f t="shared" si="2"/>
        <v>0.4420289855072464</v>
      </c>
      <c r="AD15" s="366">
        <f>IF(E15="","",IFERROR(INDEX(Preisliste_2025!$E:$E,MATCH(E15,Preisliste_2025!$C:$C,0)),""))</f>
        <v>110</v>
      </c>
      <c r="AE15" s="366">
        <f>IF(E15="","",IFERROR(INDEX(Preisliste_2025!$G:$G,MATCH(E15,Preisliste_2025!$C:$C,0)),""))</f>
        <v>355</v>
      </c>
      <c r="AF15" s="366">
        <f>IF(E15="","",IFERROR(INDEX(Preisliste_2025!$F:$F,MATCH(E15,Preisliste_2025!$C:$C,0)),""))</f>
        <v>286</v>
      </c>
      <c r="AG15" s="366">
        <f>IF(E15="","",IFERROR(INDEX(Preisliste_2025!$H:$H,MATCH(E15,Preisliste_2025!$C:$C,0)),""))</f>
        <v>276</v>
      </c>
      <c r="AH15" s="367">
        <f t="shared" si="12"/>
        <v>2.6</v>
      </c>
      <c r="AI15" s="361">
        <f t="shared" si="13"/>
        <v>3.57</v>
      </c>
      <c r="AJ15" s="368">
        <f>IF(E15="","",IFERROR(INDEX(Aktiv!$E:$E,MATCH(E15,Aktiv!$A:$A,0))*INDEX(Aktiv!$F:$F,MATCH(E15,Aktiv!$A:$A,0)),""))</f>
        <v>568400</v>
      </c>
      <c r="AK15" s="361">
        <f t="shared" si="14"/>
        <v>1.3722730471498943</v>
      </c>
      <c r="AL15" s="361">
        <f t="shared" si="15"/>
        <v>1.7593244194229414</v>
      </c>
    </row>
    <row r="16" spans="1:39" x14ac:dyDescent="0.25">
      <c r="A16" s="323" t="str">
        <f>'Preisliste 2012'!A34</f>
        <v>Boden / Seiten</v>
      </c>
      <c r="B16" s="324" t="str">
        <f>'Preisliste 2012'!B34</f>
        <v>Seite</v>
      </c>
      <c r="C16" s="324" t="str">
        <f>'Preisliste 2012'!D34</f>
        <v>360 / 360 (180)</v>
      </c>
      <c r="D16" s="324" t="str">
        <f>Aktiv!C24</f>
        <v>Seite außen</v>
      </c>
      <c r="E16" s="324">
        <f>Aktiv!A24</f>
        <v>3101</v>
      </c>
      <c r="F16" s="325">
        <f>'Preisliste 2012'!E34</f>
        <v>18</v>
      </c>
      <c r="G16" s="325">
        <f>'Preisliste 2012'!F34</f>
        <v>70</v>
      </c>
      <c r="H16" s="325">
        <f>'Preisliste 2012'!G34</f>
        <v>142</v>
      </c>
      <c r="I16" s="325">
        <f>'Preisliste 2012'!H34</f>
        <v>158</v>
      </c>
      <c r="J16" s="325">
        <f>'Preisliste 2012'!I34</f>
        <v>59</v>
      </c>
      <c r="K16" s="325">
        <f>'Preisliste 2012'!J34</f>
        <v>76</v>
      </c>
      <c r="L16" s="325">
        <f>'Preisliste 2012'!K34</f>
        <v>95</v>
      </c>
      <c r="M16" s="325">
        <f>'Preisliste 2012'!L34</f>
        <v>114</v>
      </c>
      <c r="N16" s="365">
        <f t="shared" ca="1" si="3"/>
        <v>18.95</v>
      </c>
      <c r="O16" s="361">
        <f t="shared" ca="1" si="4"/>
        <v>78.06</v>
      </c>
      <c r="P16" s="361">
        <f t="shared" ca="1" si="5"/>
        <v>90.95</v>
      </c>
      <c r="Q16" s="361">
        <f t="shared" ca="1" si="16"/>
        <v>109.89</v>
      </c>
      <c r="R16" s="369">
        <f t="shared" ca="1" si="7"/>
        <v>5.2777777777777736E-2</v>
      </c>
      <c r="S16" s="370">
        <f t="shared" ca="1" si="8"/>
        <v>0.11514285714285717</v>
      </c>
      <c r="T16" s="370">
        <f t="shared" ca="1" si="9"/>
        <v>0.29928571428571432</v>
      </c>
      <c r="U16" s="370">
        <f t="shared" ca="1" si="10"/>
        <v>-0.30449367088607593</v>
      </c>
      <c r="V16" s="407">
        <f>IF(E16="","",IFERROR(INDEX(Aktiv!$G:$G,MATCH(E16,Aktiv!$A:$A,0)),""))</f>
        <v>25</v>
      </c>
      <c r="W16" s="407">
        <f>IF(E16="","",IFERROR(INDEX(Aktiv!$H:$H,MATCH(E16,Aktiv!$A:$A,0)),""))</f>
        <v>103</v>
      </c>
      <c r="X16" s="407">
        <f>IF(E16="","",IFERROR(INDEX(Aktiv!$I:$I,MATCH(E16,Aktiv!$A:$A,0)),""))</f>
        <v>120</v>
      </c>
      <c r="Y16" s="407">
        <f>IF(E16="","",IFERROR(INDEX(Aktiv!$J:$J,MATCH(E16,Aktiv!$A:$A,0)),""))</f>
        <v>145</v>
      </c>
      <c r="Z16" s="371">
        <f t="shared" si="11"/>
        <v>-0.26470588235294118</v>
      </c>
      <c r="AA16" s="371">
        <f t="shared" si="0"/>
        <v>-9.6491228070175433E-2</v>
      </c>
      <c r="AB16" s="371">
        <f t="shared" si="1"/>
        <v>0.34831460674157305</v>
      </c>
      <c r="AC16" s="371">
        <f t="shared" si="2"/>
        <v>-0.1807909604519774</v>
      </c>
      <c r="AD16" s="366">
        <f>IF(E16="","",IFERROR(INDEX(Preisliste_2025!$E:$E,MATCH(E16,Preisliste_2025!$C:$C,0)),""))</f>
        <v>34</v>
      </c>
      <c r="AE16" s="366">
        <f>IF(E16="","",IFERROR(INDEX(Preisliste_2025!$G:$G,MATCH(E16,Preisliste_2025!$C:$C,0)),""))</f>
        <v>114</v>
      </c>
      <c r="AF16" s="366">
        <f>IF(E16="","",IFERROR(INDEX(Preisliste_2025!$F:$F,MATCH(E16,Preisliste_2025!$C:$C,0)),""))</f>
        <v>89</v>
      </c>
      <c r="AG16" s="366">
        <f>IF(E16="","",IFERROR(INDEX(Preisliste_2025!$H:$H,MATCH(E16,Preisliste_2025!$C:$C,0)),""))</f>
        <v>177</v>
      </c>
      <c r="AH16" s="367">
        <f t="shared" si="12"/>
        <v>2.6176470588235294</v>
      </c>
      <c r="AI16" s="361">
        <f t="shared" si="13"/>
        <v>4.8</v>
      </c>
      <c r="AJ16" s="368">
        <f>IF(E16="","",IFERROR(INDEX(Aktiv!$E:$E,MATCH(E16,Aktiv!$A:$A,0))*INDEX(Aktiv!$F:$F,MATCH(E16,Aktiv!$A:$A,0)),""))</f>
        <v>129600</v>
      </c>
      <c r="AK16" s="361">
        <f t="shared" si="14"/>
        <v>1.3888888888888888</v>
      </c>
      <c r="AL16" s="361">
        <f t="shared" si="15"/>
        <v>1.9290123456790123</v>
      </c>
    </row>
    <row r="17" spans="1:38" x14ac:dyDescent="0.25">
      <c r="A17" s="323" t="str">
        <f>'Preisliste 2012'!A35</f>
        <v>Boden / Seiten</v>
      </c>
      <c r="B17" s="324" t="str">
        <f>'Preisliste 2012'!B35</f>
        <v>Seite</v>
      </c>
      <c r="C17" s="324" t="str">
        <f>'Preisliste 2012'!D35</f>
        <v>360 / 720</v>
      </c>
      <c r="D17" s="324" t="str">
        <f>Aktiv!C25</f>
        <v>Seite außen</v>
      </c>
      <c r="E17" s="324">
        <f>Aktiv!A25</f>
        <v>3102</v>
      </c>
      <c r="F17" s="325">
        <f>'Preisliste 2012'!E35</f>
        <v>35</v>
      </c>
      <c r="G17" s="325">
        <f>'Preisliste 2012'!F35</f>
        <v>120</v>
      </c>
      <c r="H17" s="325">
        <f>'Preisliste 2012'!G35</f>
        <v>150</v>
      </c>
      <c r="I17" s="325">
        <f>'Preisliste 2012'!H35</f>
        <v>166</v>
      </c>
      <c r="J17" s="325">
        <f>'Preisliste 2012'!I35</f>
        <v>99</v>
      </c>
      <c r="K17" s="325">
        <f>'Preisliste 2012'!J35</f>
        <v>130</v>
      </c>
      <c r="L17" s="325">
        <f>'Preisliste 2012'!K35</f>
        <v>162</v>
      </c>
      <c r="M17" s="325">
        <f>'Preisliste 2012'!L35</f>
        <v>195</v>
      </c>
      <c r="N17" s="365">
        <f t="shared" ca="1" si="3"/>
        <v>34.86</v>
      </c>
      <c r="O17" s="361">
        <f t="shared" ca="1" si="4"/>
        <v>118.23</v>
      </c>
      <c r="P17" s="361">
        <f t="shared" ca="1" si="5"/>
        <v>123.53</v>
      </c>
      <c r="Q17" s="361">
        <f t="shared" ca="1" si="16"/>
        <v>137.18</v>
      </c>
      <c r="R17" s="369">
        <f t="shared" ca="1" si="7"/>
        <v>-4.0000000000000166E-3</v>
      </c>
      <c r="S17" s="370">
        <f t="shared" ca="1" si="8"/>
        <v>-1.4749999999999966E-2</v>
      </c>
      <c r="T17" s="370">
        <f t="shared" ca="1" si="9"/>
        <v>2.9416666666666678E-2</v>
      </c>
      <c r="U17" s="370">
        <f t="shared" ca="1" si="10"/>
        <v>-0.17361445783132526</v>
      </c>
      <c r="V17" s="407">
        <f>IF(E17="","",IFERROR(INDEX(Aktiv!$G:$G,MATCH(E17,Aktiv!$A:$A,0)),""))</f>
        <v>46</v>
      </c>
      <c r="W17" s="407">
        <f>IF(E17="","",IFERROR(INDEX(Aktiv!$H:$H,MATCH(E17,Aktiv!$A:$A,0)),""))</f>
        <v>156</v>
      </c>
      <c r="X17" s="407">
        <f>IF(E17="","",IFERROR(INDEX(Aktiv!$I:$I,MATCH(E17,Aktiv!$A:$A,0)),""))</f>
        <v>163</v>
      </c>
      <c r="Y17" s="407">
        <f>IF(E17="","",IFERROR(INDEX(Aktiv!$J:$J,MATCH(E17,Aktiv!$A:$A,0)),""))</f>
        <v>181</v>
      </c>
      <c r="Z17" s="371">
        <f t="shared" si="11"/>
        <v>-0.11538461538461539</v>
      </c>
      <c r="AA17" s="371">
        <f t="shared" si="0"/>
        <v>-0.13812154696132597</v>
      </c>
      <c r="AB17" s="371">
        <f t="shared" si="1"/>
        <v>0.13986013986013987</v>
      </c>
      <c r="AC17" s="371">
        <f t="shared" si="2"/>
        <v>-0.14622641509433962</v>
      </c>
      <c r="AD17" s="366">
        <f>IF(E17="","",IFERROR(INDEX(Preisliste_2025!$E:$E,MATCH(E17,Preisliste_2025!$C:$C,0)),""))</f>
        <v>52</v>
      </c>
      <c r="AE17" s="366">
        <f>IF(E17="","",IFERROR(INDEX(Preisliste_2025!$G:$G,MATCH(E17,Preisliste_2025!$C:$C,0)),""))</f>
        <v>181</v>
      </c>
      <c r="AF17" s="366">
        <f>IF(E17="","",IFERROR(INDEX(Preisliste_2025!$F:$F,MATCH(E17,Preisliste_2025!$C:$C,0)),""))</f>
        <v>143</v>
      </c>
      <c r="AG17" s="366">
        <f>IF(E17="","",IFERROR(INDEX(Preisliste_2025!$H:$H,MATCH(E17,Preisliste_2025!$C:$C,0)),""))</f>
        <v>212</v>
      </c>
      <c r="AH17" s="367">
        <f t="shared" si="12"/>
        <v>2.75</v>
      </c>
      <c r="AI17" s="361">
        <f t="shared" si="13"/>
        <v>3.5434782608695654</v>
      </c>
      <c r="AJ17" s="368">
        <f>IF(E17="","",IFERROR(INDEX(Aktiv!$E:$E,MATCH(E17,Aktiv!$A:$A,0))*INDEX(Aktiv!$F:$F,MATCH(E17,Aktiv!$A:$A,0)),""))</f>
        <v>259200</v>
      </c>
      <c r="AK17" s="361">
        <f t="shared" si="14"/>
        <v>1.3503086419753085</v>
      </c>
      <c r="AL17" s="361">
        <f t="shared" si="15"/>
        <v>1.7746913580246912</v>
      </c>
    </row>
    <row r="18" spans="1:38" x14ac:dyDescent="0.25">
      <c r="A18" s="323" t="str">
        <f>'Preisliste 2012'!A36</f>
        <v>Boden / Seiten</v>
      </c>
      <c r="B18" s="324" t="str">
        <f>'Preisliste 2012'!B36</f>
        <v>Seite</v>
      </c>
      <c r="C18" s="324" t="str">
        <f>'Preisliste 2012'!D36</f>
        <v>360 / 1080</v>
      </c>
      <c r="D18" s="324" t="str">
        <f>Aktiv!C26</f>
        <v>Seite außen</v>
      </c>
      <c r="E18" s="324">
        <f>Aktiv!A26</f>
        <v>3103</v>
      </c>
      <c r="F18" s="325">
        <f>'Preisliste 2012'!E36</f>
        <v>53</v>
      </c>
      <c r="G18" s="325">
        <f>'Preisliste 2012'!F36</f>
        <v>184</v>
      </c>
      <c r="H18" s="325">
        <f>'Preisliste 2012'!G36</f>
        <v>171</v>
      </c>
      <c r="I18" s="325">
        <f>'Preisliste 2012'!H36</f>
        <v>191</v>
      </c>
      <c r="J18" s="325">
        <f>'Preisliste 2012'!I36</f>
        <v>158</v>
      </c>
      <c r="K18" s="325">
        <f>'Preisliste 2012'!J36</f>
        <v>219</v>
      </c>
      <c r="L18" s="325">
        <f>'Preisliste 2012'!K36</f>
        <v>274</v>
      </c>
      <c r="M18" s="325">
        <f>'Preisliste 2012'!L36</f>
        <v>329</v>
      </c>
      <c r="N18" s="365">
        <f t="shared" ca="1" si="3"/>
        <v>51.54</v>
      </c>
      <c r="O18" s="361">
        <f t="shared" ca="1" si="4"/>
        <v>178.1</v>
      </c>
      <c r="P18" s="361">
        <f t="shared" ca="1" si="5"/>
        <v>184.92</v>
      </c>
      <c r="Q18" s="361">
        <f t="shared" ca="1" si="16"/>
        <v>206.14</v>
      </c>
      <c r="R18" s="369">
        <f t="shared" ca="1" si="7"/>
        <v>-2.7547169811320771E-2</v>
      </c>
      <c r="S18" s="370">
        <f t="shared" ca="1" si="8"/>
        <v>-3.2065217391304378E-2</v>
      </c>
      <c r="T18" s="370">
        <f t="shared" ca="1" si="9"/>
        <v>4.9999999999999324E-3</v>
      </c>
      <c r="U18" s="370">
        <f t="shared" ca="1" si="10"/>
        <v>7.9267015706806207E-2</v>
      </c>
      <c r="V18" s="407">
        <f>IF(E18="","",IFERROR(INDEX(Aktiv!$G:$G,MATCH(E18,Aktiv!$A:$A,0)),""))</f>
        <v>68</v>
      </c>
      <c r="W18" s="407">
        <f>IF(E18="","",IFERROR(INDEX(Aktiv!$H:$H,MATCH(E18,Aktiv!$A:$A,0)),""))</f>
        <v>235</v>
      </c>
      <c r="X18" s="407">
        <f>IF(E18="","",IFERROR(INDEX(Aktiv!$I:$I,MATCH(E18,Aktiv!$A:$A,0)),""))</f>
        <v>244</v>
      </c>
      <c r="Y18" s="407">
        <f>IF(E18="","",IFERROR(INDEX(Aktiv!$J:$J,MATCH(E18,Aktiv!$A:$A,0)),""))</f>
        <v>272</v>
      </c>
      <c r="Z18" s="371">
        <f t="shared" si="11"/>
        <v>-0.10526315789473684</v>
      </c>
      <c r="AA18" s="371">
        <f t="shared" si="0"/>
        <v>-0.1198501872659176</v>
      </c>
      <c r="AB18" s="371">
        <f t="shared" si="1"/>
        <v>9.90990990990991E-2</v>
      </c>
      <c r="AC18" s="371">
        <f t="shared" si="2"/>
        <v>0.13333333333333333</v>
      </c>
      <c r="AD18" s="366">
        <f>IF(E18="","",IFERROR(INDEX(Preisliste_2025!$E:$E,MATCH(E18,Preisliste_2025!$C:$C,0)),""))</f>
        <v>76</v>
      </c>
      <c r="AE18" s="366">
        <f>IF(E18="","",IFERROR(INDEX(Preisliste_2025!$G:$G,MATCH(E18,Preisliste_2025!$C:$C,0)),""))</f>
        <v>267</v>
      </c>
      <c r="AF18" s="366">
        <f>IF(E18="","",IFERROR(INDEX(Preisliste_2025!$F:$F,MATCH(E18,Preisliste_2025!$C:$C,0)),""))</f>
        <v>222</v>
      </c>
      <c r="AG18" s="366">
        <f>IF(E18="","",IFERROR(INDEX(Preisliste_2025!$H:$H,MATCH(E18,Preisliste_2025!$C:$C,0)),""))</f>
        <v>240</v>
      </c>
      <c r="AH18" s="367">
        <f t="shared" si="12"/>
        <v>2.9210526315789473</v>
      </c>
      <c r="AI18" s="361">
        <f t="shared" si="13"/>
        <v>3.5882352941176472</v>
      </c>
      <c r="AJ18" s="368">
        <f>IF(E18="","",IFERROR(INDEX(Aktiv!$E:$E,MATCH(E18,Aktiv!$A:$A,0))*INDEX(Aktiv!$F:$F,MATCH(E18,Aktiv!$A:$A,0)),""))</f>
        <v>388800</v>
      </c>
      <c r="AK18" s="361">
        <f t="shared" si="14"/>
        <v>1.3631687242798354</v>
      </c>
      <c r="AL18" s="361">
        <f t="shared" si="15"/>
        <v>1.7489711934156378</v>
      </c>
    </row>
    <row r="19" spans="1:38" x14ac:dyDescent="0.25">
      <c r="A19" s="323" t="str">
        <f>'Preisliste 2012'!A37</f>
        <v>Boden / Seiten</v>
      </c>
      <c r="B19" s="324" t="str">
        <f>'Preisliste 2012'!B37</f>
        <v>Seite</v>
      </c>
      <c r="C19" s="324" t="str">
        <f>'Preisliste 2012'!D37</f>
        <v>360 / 1440</v>
      </c>
      <c r="D19" s="324" t="str">
        <f>Aktiv!C27</f>
        <v>Seite außen</v>
      </c>
      <c r="E19" s="324">
        <f>Aktiv!A27</f>
        <v>3104</v>
      </c>
      <c r="F19" s="325">
        <f>'Preisliste 2012'!E37</f>
        <v>71</v>
      </c>
      <c r="G19" s="325">
        <f>'Preisliste 2012'!F37</f>
        <v>235</v>
      </c>
      <c r="H19" s="325">
        <f>'Preisliste 2012'!G37</f>
        <v>0</v>
      </c>
      <c r="I19" s="325">
        <f>'Preisliste 2012'!H37</f>
        <v>0</v>
      </c>
      <c r="J19" s="325">
        <f>'Preisliste 2012'!I37</f>
        <v>202</v>
      </c>
      <c r="K19" s="325">
        <f>'Preisliste 2012'!J37</f>
        <v>281</v>
      </c>
      <c r="L19" s="325">
        <f>'Preisliste 2012'!K37</f>
        <v>351</v>
      </c>
      <c r="M19" s="325">
        <f>'Preisliste 2012'!L37</f>
        <v>422</v>
      </c>
      <c r="N19" s="365">
        <f t="shared" ca="1" si="3"/>
        <v>68.97</v>
      </c>
      <c r="O19" s="361">
        <f t="shared" ca="1" si="4"/>
        <v>237.21</v>
      </c>
      <c r="P19" s="361">
        <f t="shared" ca="1" si="5"/>
        <v>247.07</v>
      </c>
      <c r="Q19" s="361">
        <f t="shared" ca="1" si="16"/>
        <v>275.11</v>
      </c>
      <c r="R19" s="369">
        <f t="shared" ca="1" si="7"/>
        <v>-2.8591549295774663E-2</v>
      </c>
      <c r="S19" s="370">
        <f t="shared" ca="1" si="8"/>
        <v>9.4042553191489697E-3</v>
      </c>
      <c r="T19" s="370">
        <f t="shared" ca="1" si="9"/>
        <v>5.1361702127659545E-2</v>
      </c>
      <c r="U19" s="370" t="str">
        <f t="shared" ca="1" si="10"/>
        <v/>
      </c>
      <c r="V19" s="407">
        <f>IF(E19="","",IFERROR(INDEX(Aktiv!$G:$G,MATCH(E19,Aktiv!$A:$A,0)),""))</f>
        <v>91</v>
      </c>
      <c r="W19" s="407">
        <f>IF(E19="","",IFERROR(INDEX(Aktiv!$H:$H,MATCH(E19,Aktiv!$A:$A,0)),""))</f>
        <v>313</v>
      </c>
      <c r="X19" s="407">
        <f>IF(E19="","",IFERROR(INDEX(Aktiv!$I:$I,MATCH(E19,Aktiv!$A:$A,0)),""))</f>
        <v>326</v>
      </c>
      <c r="Y19" s="407">
        <f>IF(E19="","",IFERROR(INDEX(Aktiv!$J:$J,MATCH(E19,Aktiv!$A:$A,0)),""))</f>
        <v>363</v>
      </c>
      <c r="Z19" s="371">
        <f t="shared" si="11"/>
        <v>-0.09</v>
      </c>
      <c r="AA19" s="371">
        <f t="shared" si="0"/>
        <v>-6.8452380952380959E-2</v>
      </c>
      <c r="AB19" s="371">
        <f t="shared" si="1"/>
        <v>0.16014234875444841</v>
      </c>
      <c r="AC19" s="371">
        <f t="shared" si="2"/>
        <v>-0.31379962192816635</v>
      </c>
      <c r="AD19" s="366">
        <f>IF(E19="","",IFERROR(INDEX(Preisliste_2025!$E:$E,MATCH(E19,Preisliste_2025!$C:$C,0)),""))</f>
        <v>100</v>
      </c>
      <c r="AE19" s="366">
        <f>IF(E19="","",IFERROR(INDEX(Preisliste_2025!$G:$G,MATCH(E19,Preisliste_2025!$C:$C,0)),""))</f>
        <v>336</v>
      </c>
      <c r="AF19" s="366">
        <f>IF(E19="","",IFERROR(INDEX(Preisliste_2025!$F:$F,MATCH(E19,Preisliste_2025!$C:$C,0)),""))</f>
        <v>281</v>
      </c>
      <c r="AG19" s="366">
        <f>IF(E19="","",IFERROR(INDEX(Preisliste_2025!$H:$H,MATCH(E19,Preisliste_2025!$C:$C,0)),""))</f>
        <v>529</v>
      </c>
      <c r="AH19" s="367">
        <f t="shared" si="12"/>
        <v>2.81</v>
      </c>
      <c r="AI19" s="361">
        <f t="shared" si="13"/>
        <v>3.5824175824175826</v>
      </c>
      <c r="AJ19" s="368">
        <f>IF(E19="","",IFERROR(INDEX(Aktiv!$E:$E,MATCH(E19,Aktiv!$A:$A,0))*INDEX(Aktiv!$F:$F,MATCH(E19,Aktiv!$A:$A,0)),""))</f>
        <v>518400</v>
      </c>
      <c r="AK19" s="361">
        <f t="shared" si="14"/>
        <v>1.3695987654320987</v>
      </c>
      <c r="AL19" s="361">
        <f t="shared" si="15"/>
        <v>1.7554012345679011</v>
      </c>
    </row>
    <row r="20" spans="1:38" x14ac:dyDescent="0.25">
      <c r="A20" s="323" t="str">
        <f>'Preisliste 2012'!A38</f>
        <v>Boden / Seiten</v>
      </c>
      <c r="B20" s="324" t="str">
        <f>'Preisliste 2012'!B38</f>
        <v>Seite</v>
      </c>
      <c r="C20" s="324" t="str">
        <f>'Preisliste 2012'!D38</f>
        <v>360 / 1800</v>
      </c>
      <c r="D20" s="324" t="str">
        <f>Aktiv!C28</f>
        <v>Seite außen</v>
      </c>
      <c r="E20" s="324">
        <f>Aktiv!A28</f>
        <v>3105</v>
      </c>
      <c r="F20" s="325">
        <f>'Preisliste 2012'!E38</f>
        <v>89</v>
      </c>
      <c r="G20" s="325">
        <f>'Preisliste 2012'!F38</f>
        <v>287</v>
      </c>
      <c r="H20" s="325">
        <f>'Preisliste 2012'!G38</f>
        <v>0</v>
      </c>
      <c r="I20" s="325">
        <f>'Preisliste 2012'!H38</f>
        <v>0</v>
      </c>
      <c r="J20" s="325">
        <f>'Preisliste 2012'!I38</f>
        <v>248</v>
      </c>
      <c r="K20" s="325">
        <f>'Preisliste 2012'!J38</f>
        <v>343</v>
      </c>
      <c r="L20" s="325">
        <f>'Preisliste 2012'!K38</f>
        <v>428</v>
      </c>
      <c r="M20" s="325">
        <f>'Preisliste 2012'!L38</f>
        <v>515</v>
      </c>
      <c r="N20" s="365">
        <f t="shared" ca="1" si="3"/>
        <v>86.4</v>
      </c>
      <c r="O20" s="361">
        <f t="shared" ca="1" si="4"/>
        <v>296.33</v>
      </c>
      <c r="P20" s="361">
        <f t="shared" ca="1" si="5"/>
        <v>308.45999999999998</v>
      </c>
      <c r="Q20" s="361">
        <f t="shared" ca="1" si="16"/>
        <v>343.32</v>
      </c>
      <c r="R20" s="369">
        <f t="shared" ca="1" si="7"/>
        <v>-2.9213483146067351E-2</v>
      </c>
      <c r="S20" s="370">
        <f t="shared" ca="1" si="8"/>
        <v>3.250871080139367E-2</v>
      </c>
      <c r="T20" s="370">
        <f t="shared" ca="1" si="9"/>
        <v>7.4773519163763E-2</v>
      </c>
      <c r="U20" s="370" t="str">
        <f t="shared" ca="1" si="10"/>
        <v/>
      </c>
      <c r="V20" s="407">
        <f>IF(E20="","",IFERROR(INDEX(Aktiv!$G:$G,MATCH(E20,Aktiv!$A:$A,0)),""))</f>
        <v>114</v>
      </c>
      <c r="W20" s="407">
        <f>IF(E20="","",IFERROR(INDEX(Aktiv!$H:$H,MATCH(E20,Aktiv!$A:$A,0)),""))</f>
        <v>391</v>
      </c>
      <c r="X20" s="407">
        <f>IF(E20="","",IFERROR(INDEX(Aktiv!$I:$I,MATCH(E20,Aktiv!$A:$A,0)),""))</f>
        <v>407</v>
      </c>
      <c r="Y20" s="407">
        <f>IF(E20="","",IFERROR(INDEX(Aktiv!$J:$J,MATCH(E20,Aktiv!$A:$A,0)),""))</f>
        <v>453</v>
      </c>
      <c r="Z20" s="371">
        <f t="shared" si="11"/>
        <v>-8.7999999999999995E-2</v>
      </c>
      <c r="AA20" s="371">
        <f t="shared" si="0"/>
        <v>0.58943089430894313</v>
      </c>
      <c r="AB20" s="371">
        <f t="shared" si="1"/>
        <v>0.18658892128279883</v>
      </c>
      <c r="AC20" s="371">
        <f t="shared" si="2"/>
        <v>-0.29767441860465116</v>
      </c>
      <c r="AD20" s="366">
        <f>IF(E20="","",IFERROR(INDEX(Preisliste_2025!$E:$E,MATCH(E20,Preisliste_2025!$C:$C,0)),""))</f>
        <v>125</v>
      </c>
      <c r="AE20" s="366">
        <f>IF(E20="","",IFERROR(INDEX(Preisliste_2025!$G:$G,MATCH(E20,Preisliste_2025!$C:$C,0)),""))</f>
        <v>246</v>
      </c>
      <c r="AF20" s="366">
        <f>IF(E20="","",IFERROR(INDEX(Preisliste_2025!$F:$F,MATCH(E20,Preisliste_2025!$C:$C,0)),""))</f>
        <v>343</v>
      </c>
      <c r="AG20" s="366">
        <f>IF(E20="","",IFERROR(INDEX(Preisliste_2025!$H:$H,MATCH(E20,Preisliste_2025!$C:$C,0)),""))</f>
        <v>645</v>
      </c>
      <c r="AH20" s="367">
        <f t="shared" si="12"/>
        <v>2.7440000000000002</v>
      </c>
      <c r="AI20" s="361">
        <f t="shared" si="13"/>
        <v>3.5701754385964914</v>
      </c>
      <c r="AJ20" s="368">
        <f>IF(E20="","",IFERROR(INDEX(Aktiv!$E:$E,MATCH(E20,Aktiv!$A:$A,0))*INDEX(Aktiv!$F:$F,MATCH(E20,Aktiv!$A:$A,0)),""))</f>
        <v>648000</v>
      </c>
      <c r="AK20" s="361">
        <f t="shared" si="14"/>
        <v>1.3734567901234569</v>
      </c>
      <c r="AL20" s="361">
        <f t="shared" si="15"/>
        <v>1.7592592592592593</v>
      </c>
    </row>
    <row r="21" spans="1:38" x14ac:dyDescent="0.25">
      <c r="A21" s="323" t="str">
        <f>'Preisliste 2012'!A39</f>
        <v>Boden / Seiten</v>
      </c>
      <c r="B21" s="324" t="str">
        <f>'Preisliste 2012'!B39</f>
        <v>Seite</v>
      </c>
      <c r="C21" s="324" t="str">
        <f>'Preisliste 2012'!D39</f>
        <v>580 / 360 (180)</v>
      </c>
      <c r="D21" s="324" t="str">
        <f>Aktiv!C30</f>
        <v>Seite außen</v>
      </c>
      <c r="E21" s="324">
        <f>Aktiv!A30</f>
        <v>3107</v>
      </c>
      <c r="F21" s="325">
        <f>'Preisliste 2012'!E39</f>
        <v>28</v>
      </c>
      <c r="G21" s="325">
        <f>'Preisliste 2012'!F39</f>
        <v>105</v>
      </c>
      <c r="H21" s="325">
        <f>'Preisliste 2012'!G39</f>
        <v>147</v>
      </c>
      <c r="I21" s="325">
        <f>'Preisliste 2012'!H39</f>
        <v>164</v>
      </c>
      <c r="J21" s="325">
        <f>'Preisliste 2012'!I39</f>
        <v>89</v>
      </c>
      <c r="K21" s="325">
        <f>'Preisliste 2012'!J39</f>
        <v>114</v>
      </c>
      <c r="L21" s="325">
        <f>'Preisliste 2012'!K39</f>
        <v>143</v>
      </c>
      <c r="M21" s="325">
        <f>'Preisliste 2012'!L39</f>
        <v>171</v>
      </c>
      <c r="N21" s="365">
        <f t="shared" ca="1" si="3"/>
        <v>28.04</v>
      </c>
      <c r="O21" s="361">
        <f t="shared" ca="1" si="4"/>
        <v>95.49</v>
      </c>
      <c r="P21" s="361">
        <f t="shared" ca="1" si="5"/>
        <v>99.28</v>
      </c>
      <c r="Q21" s="361">
        <f t="shared" ca="1" si="16"/>
        <v>110.65</v>
      </c>
      <c r="R21" s="369">
        <f t="shared" ca="1" si="7"/>
        <v>1.4285714285713982E-3</v>
      </c>
      <c r="S21" s="370">
        <f t="shared" ca="1" si="8"/>
        <v>-9.0571428571428622E-2</v>
      </c>
      <c r="T21" s="370">
        <f t="shared" ca="1" si="9"/>
        <v>-5.4476190476190463E-2</v>
      </c>
      <c r="U21" s="370">
        <f t="shared" ca="1" si="10"/>
        <v>-0.32530487804878044</v>
      </c>
      <c r="V21" s="407">
        <f>IF(E21="","",IFERROR(INDEX(Aktiv!$G:$G,MATCH(E21,Aktiv!$A:$A,0)),""))</f>
        <v>37</v>
      </c>
      <c r="W21" s="407">
        <f>IF(E21="","",IFERROR(INDEX(Aktiv!$H:$H,MATCH(E21,Aktiv!$A:$A,0)),""))</f>
        <v>126</v>
      </c>
      <c r="X21" s="407">
        <f>IF(E21="","",IFERROR(INDEX(Aktiv!$I:$I,MATCH(E21,Aktiv!$A:$A,0)),""))</f>
        <v>131</v>
      </c>
      <c r="Y21" s="407">
        <f>IF(E21="","",IFERROR(INDEX(Aktiv!$J:$J,MATCH(E21,Aktiv!$A:$A,0)),""))</f>
        <v>146</v>
      </c>
      <c r="Z21" s="371">
        <f t="shared" si="11"/>
        <v>-0.13953488372093023</v>
      </c>
      <c r="AA21" s="371">
        <f t="shared" si="0"/>
        <v>-0.21739130434782608</v>
      </c>
      <c r="AB21" s="371">
        <f t="shared" si="1"/>
        <v>7.6923076923076927E-3</v>
      </c>
      <c r="AC21" s="371">
        <f t="shared" si="2"/>
        <v>-0.21081081081081082</v>
      </c>
      <c r="AD21" s="366">
        <f>IF(E21="","",IFERROR(INDEX(Preisliste_2025!$E:$E,MATCH(E21,Preisliste_2025!$C:$C,0)),""))</f>
        <v>43</v>
      </c>
      <c r="AE21" s="366">
        <f>IF(E21="","",IFERROR(INDEX(Preisliste_2025!$G:$G,MATCH(E21,Preisliste_2025!$C:$C,0)),""))</f>
        <v>161</v>
      </c>
      <c r="AF21" s="366">
        <f>IF(E21="","",IFERROR(INDEX(Preisliste_2025!$F:$F,MATCH(E21,Preisliste_2025!$C:$C,0)),""))</f>
        <v>130</v>
      </c>
      <c r="AG21" s="366">
        <f>IF(E21="","",IFERROR(INDEX(Preisliste_2025!$H:$H,MATCH(E21,Preisliste_2025!$C:$C,0)),""))</f>
        <v>185</v>
      </c>
      <c r="AH21" s="367">
        <f t="shared" si="12"/>
        <v>3.0232558139534884</v>
      </c>
      <c r="AI21" s="361">
        <f t="shared" si="13"/>
        <v>3.5405405405405403</v>
      </c>
      <c r="AJ21" s="368">
        <f>IF(E21="","",IFERROR(INDEX(Aktiv!$E:$E,MATCH(E21,Aktiv!$A:$A,0))*INDEX(Aktiv!$F:$F,MATCH(E21,Aktiv!$A:$A,0)),""))</f>
        <v>208800</v>
      </c>
      <c r="AK21" s="361">
        <f t="shared" si="14"/>
        <v>1.3409961685823755</v>
      </c>
      <c r="AL21" s="361">
        <f t="shared" si="15"/>
        <v>1.7720306513409962</v>
      </c>
    </row>
    <row r="22" spans="1:38" x14ac:dyDescent="0.25">
      <c r="A22" s="323" t="str">
        <f>'Preisliste 2012'!A40</f>
        <v>Boden / Seiten</v>
      </c>
      <c r="B22" s="324" t="str">
        <f>'Preisliste 2012'!B40</f>
        <v>Seite</v>
      </c>
      <c r="C22" s="324" t="str">
        <f>'Preisliste 2012'!D40</f>
        <v>580 / 720</v>
      </c>
      <c r="D22" s="324" t="str">
        <f>Aktiv!C31</f>
        <v>Seite außen</v>
      </c>
      <c r="E22" s="324">
        <f>Aktiv!A31</f>
        <v>3108</v>
      </c>
      <c r="F22" s="325">
        <f>'Preisliste 2012'!E40</f>
        <v>57</v>
      </c>
      <c r="G22" s="325">
        <f>'Preisliste 2012'!F40</f>
        <v>180</v>
      </c>
      <c r="H22" s="325">
        <f>'Preisliste 2012'!G40</f>
        <v>175</v>
      </c>
      <c r="I22" s="325">
        <f>'Preisliste 2012'!H40</f>
        <v>194</v>
      </c>
      <c r="J22" s="325">
        <f>'Preisliste 2012'!I40</f>
        <v>153</v>
      </c>
      <c r="K22" s="325">
        <f>'Preisliste 2012'!J40</f>
        <v>207</v>
      </c>
      <c r="L22" s="325">
        <f>'Preisliste 2012'!K40</f>
        <v>258</v>
      </c>
      <c r="M22" s="325">
        <f>'Preisliste 2012'!L40</f>
        <v>311</v>
      </c>
      <c r="N22" s="365">
        <f t="shared" ca="1" si="3"/>
        <v>55.32</v>
      </c>
      <c r="O22" s="361">
        <f t="shared" ca="1" si="4"/>
        <v>190.98</v>
      </c>
      <c r="P22" s="361">
        <f t="shared" ca="1" si="5"/>
        <v>198.56</v>
      </c>
      <c r="Q22" s="361">
        <f t="shared" ca="1" si="16"/>
        <v>221.3</v>
      </c>
      <c r="R22" s="369">
        <f t="shared" ca="1" si="7"/>
        <v>-2.9473684210526312E-2</v>
      </c>
      <c r="S22" s="370">
        <f t="shared" ca="1" si="8"/>
        <v>6.0999999999999943E-2</v>
      </c>
      <c r="T22" s="370">
        <f t="shared" ca="1" si="9"/>
        <v>0.10311111111111113</v>
      </c>
      <c r="U22" s="370">
        <f t="shared" ca="1" si="10"/>
        <v>0.14072164948453614</v>
      </c>
      <c r="V22" s="407">
        <f>IF(E22="","",IFERROR(INDEX(Aktiv!$G:$G,MATCH(E22,Aktiv!$A:$A,0)),""))</f>
        <v>73</v>
      </c>
      <c r="W22" s="407">
        <f>IF(E22="","",IFERROR(INDEX(Aktiv!$H:$H,MATCH(E22,Aktiv!$A:$A,0)),""))</f>
        <v>252</v>
      </c>
      <c r="X22" s="407">
        <f>IF(E22="","",IFERROR(INDEX(Aktiv!$I:$I,MATCH(E22,Aktiv!$A:$A,0)),""))</f>
        <v>262</v>
      </c>
      <c r="Y22" s="407">
        <f>IF(E22="","",IFERROR(INDEX(Aktiv!$J:$J,MATCH(E22,Aktiv!$A:$A,0)),""))</f>
        <v>292</v>
      </c>
      <c r="Z22" s="371">
        <f t="shared" si="11"/>
        <v>-0.10975609756097561</v>
      </c>
      <c r="AA22" s="371">
        <f t="shared" si="0"/>
        <v>-3.8167938931297711E-2</v>
      </c>
      <c r="AB22" s="371">
        <f t="shared" si="1"/>
        <v>0.21296296296296297</v>
      </c>
      <c r="AC22" s="371">
        <f t="shared" si="2"/>
        <v>0.19183673469387755</v>
      </c>
      <c r="AD22" s="366">
        <f>IF(E22="","",IFERROR(INDEX(Preisliste_2025!$E:$E,MATCH(E22,Preisliste_2025!$C:$C,0)),""))</f>
        <v>82</v>
      </c>
      <c r="AE22" s="366">
        <f>IF(E22="","",IFERROR(INDEX(Preisliste_2025!$G:$G,MATCH(E22,Preisliste_2025!$C:$C,0)),""))</f>
        <v>262</v>
      </c>
      <c r="AF22" s="366">
        <f>IF(E22="","",IFERROR(INDEX(Preisliste_2025!$F:$F,MATCH(E22,Preisliste_2025!$C:$C,0)),""))</f>
        <v>216</v>
      </c>
      <c r="AG22" s="366">
        <f>IF(E22="","",IFERROR(INDEX(Preisliste_2025!$H:$H,MATCH(E22,Preisliste_2025!$C:$C,0)),""))</f>
        <v>245</v>
      </c>
      <c r="AH22" s="367">
        <f t="shared" si="12"/>
        <v>2.6341463414634148</v>
      </c>
      <c r="AI22" s="361">
        <f t="shared" si="13"/>
        <v>3.5890410958904111</v>
      </c>
      <c r="AJ22" s="368">
        <f>IF(E22="","",IFERROR(INDEX(Aktiv!$E:$E,MATCH(E22,Aktiv!$A:$A,0))*INDEX(Aktiv!$F:$F,MATCH(E22,Aktiv!$A:$A,0)),""))</f>
        <v>417600</v>
      </c>
      <c r="AK22" s="361">
        <f t="shared" si="14"/>
        <v>1.3649425287356323</v>
      </c>
      <c r="AL22" s="361">
        <f t="shared" si="15"/>
        <v>1.7480842911877394</v>
      </c>
    </row>
    <row r="23" spans="1:38" x14ac:dyDescent="0.25">
      <c r="A23" s="323" t="str">
        <f>'Preisliste 2012'!A41</f>
        <v>Boden / Seiten</v>
      </c>
      <c r="B23" s="324" t="str">
        <f>'Preisliste 2012'!B41</f>
        <v>Seite</v>
      </c>
      <c r="C23" s="324" t="str">
        <f>'Preisliste 2012'!D41</f>
        <v>580 / 1080</v>
      </c>
      <c r="D23" s="324" t="str">
        <f>Aktiv!C32</f>
        <v>Seite außen</v>
      </c>
      <c r="E23" s="324">
        <f>Aktiv!A32</f>
        <v>3109</v>
      </c>
      <c r="F23" s="325">
        <f>'Preisliste 2012'!E41</f>
        <v>85</v>
      </c>
      <c r="G23" s="325">
        <f>'Preisliste 2012'!F41</f>
        <v>266</v>
      </c>
      <c r="H23" s="325">
        <f>'Preisliste 2012'!G41</f>
        <v>221</v>
      </c>
      <c r="I23" s="325">
        <f>'Preisliste 2012'!H41</f>
        <v>246</v>
      </c>
      <c r="J23" s="325">
        <f>'Preisliste 2012'!I41</f>
        <v>216</v>
      </c>
      <c r="K23" s="325">
        <f>'Preisliste 2012'!J41</f>
        <v>309</v>
      </c>
      <c r="L23" s="325">
        <f>'Preisliste 2012'!K41</f>
        <v>387</v>
      </c>
      <c r="M23" s="325">
        <f>'Preisliste 2012'!L41</f>
        <v>464</v>
      </c>
      <c r="N23" s="365">
        <f t="shared" ca="1" si="3"/>
        <v>83.37</v>
      </c>
      <c r="O23" s="361">
        <f t="shared" ca="1" si="4"/>
        <v>286.48</v>
      </c>
      <c r="P23" s="361">
        <f t="shared" ca="1" si="5"/>
        <v>298.60000000000002</v>
      </c>
      <c r="Q23" s="361">
        <f t="shared" ca="1" si="16"/>
        <v>331.95</v>
      </c>
      <c r="R23" s="369">
        <f t="shared" ca="1" si="7"/>
        <v>-1.9176470588235239E-2</v>
      </c>
      <c r="S23" s="370">
        <f t="shared" ca="1" si="8"/>
        <v>7.6992481203007584E-2</v>
      </c>
      <c r="T23" s="370">
        <f t="shared" ca="1" si="9"/>
        <v>0.1225563909774437</v>
      </c>
      <c r="U23" s="370">
        <f t="shared" ca="1" si="10"/>
        <v>0.349390243902439</v>
      </c>
      <c r="V23" s="407">
        <f>IF(E23="","",IFERROR(INDEX(Aktiv!$G:$G,MATCH(E23,Aktiv!$A:$A,0)),""))</f>
        <v>110</v>
      </c>
      <c r="W23" s="407">
        <f>IF(E23="","",IFERROR(INDEX(Aktiv!$H:$H,MATCH(E23,Aktiv!$A:$A,0)),""))</f>
        <v>378</v>
      </c>
      <c r="X23" s="407">
        <f>IF(E23="","",IFERROR(INDEX(Aktiv!$I:$I,MATCH(E23,Aktiv!$A:$A,0)),""))</f>
        <v>394</v>
      </c>
      <c r="Y23" s="407">
        <f>IF(E23="","",IFERROR(INDEX(Aktiv!$J:$J,MATCH(E23,Aktiv!$A:$A,0)),""))</f>
        <v>438</v>
      </c>
      <c r="Z23" s="371">
        <f t="shared" si="11"/>
        <v>-7.5630252100840331E-2</v>
      </c>
      <c r="AA23" s="371">
        <f t="shared" si="0"/>
        <v>2.6525198938992041E-3</v>
      </c>
      <c r="AB23" s="371">
        <f t="shared" si="1"/>
        <v>0.31333333333333335</v>
      </c>
      <c r="AC23" s="371">
        <f t="shared" si="2"/>
        <v>0.42671009771986973</v>
      </c>
      <c r="AD23" s="366">
        <f>IF(E23="","",IFERROR(INDEX(Preisliste_2025!$E:$E,MATCH(E23,Preisliste_2025!$C:$C,0)),""))</f>
        <v>119</v>
      </c>
      <c r="AE23" s="366">
        <f>IF(E23="","",IFERROR(INDEX(Preisliste_2025!$G:$G,MATCH(E23,Preisliste_2025!$C:$C,0)),""))</f>
        <v>377</v>
      </c>
      <c r="AF23" s="366">
        <f>IF(E23="","",IFERROR(INDEX(Preisliste_2025!$F:$F,MATCH(E23,Preisliste_2025!$C:$C,0)),""))</f>
        <v>300</v>
      </c>
      <c r="AG23" s="366">
        <f>IF(E23="","",IFERROR(INDEX(Preisliste_2025!$H:$H,MATCH(E23,Preisliste_2025!$C:$C,0)),""))</f>
        <v>307</v>
      </c>
      <c r="AH23" s="367">
        <f t="shared" si="12"/>
        <v>2.5210084033613445</v>
      </c>
      <c r="AI23" s="361">
        <f t="shared" si="13"/>
        <v>3.581818181818182</v>
      </c>
      <c r="AJ23" s="368">
        <f>IF(E23="","",IFERROR(INDEX(Aktiv!$E:$E,MATCH(E23,Aktiv!$A:$A,0))*INDEX(Aktiv!$F:$F,MATCH(E23,Aktiv!$A:$A,0)),""))</f>
        <v>626400</v>
      </c>
      <c r="AK23" s="361">
        <f t="shared" si="14"/>
        <v>1.3569604086845466</v>
      </c>
      <c r="AL23" s="361">
        <f t="shared" si="15"/>
        <v>1.7560664112388251</v>
      </c>
    </row>
    <row r="24" spans="1:38" x14ac:dyDescent="0.25">
      <c r="A24" s="323" t="str">
        <f>'Preisliste 2012'!A42</f>
        <v>Boden / Seiten</v>
      </c>
      <c r="B24" s="324" t="str">
        <f>'Preisliste 2012'!B42</f>
        <v>Seite</v>
      </c>
      <c r="C24" s="324" t="str">
        <f>'Preisliste 2012'!D42</f>
        <v>580 / 1440</v>
      </c>
      <c r="D24" s="324" t="str">
        <f>Aktiv!C33</f>
        <v>Seite außen</v>
      </c>
      <c r="E24" s="324">
        <f>Aktiv!A33</f>
        <v>3110</v>
      </c>
      <c r="F24" s="325">
        <f>'Preisliste 2012'!E42</f>
        <v>114</v>
      </c>
      <c r="G24" s="325">
        <f>'Preisliste 2012'!F42</f>
        <v>349</v>
      </c>
      <c r="H24" s="325">
        <f>'Preisliste 2012'!G42</f>
        <v>0</v>
      </c>
      <c r="I24" s="325">
        <f>'Preisliste 2012'!H42</f>
        <v>0</v>
      </c>
      <c r="J24" s="325">
        <f>'Preisliste 2012'!I42</f>
        <v>290</v>
      </c>
      <c r="K24" s="325">
        <f>'Preisliste 2012'!J42</f>
        <v>403</v>
      </c>
      <c r="L24" s="325">
        <f>'Preisliste 2012'!K42</f>
        <v>504</v>
      </c>
      <c r="M24" s="325">
        <f>'Preisliste 2012'!L42</f>
        <v>605</v>
      </c>
      <c r="N24" s="365">
        <f t="shared" ca="1" si="3"/>
        <v>111.41</v>
      </c>
      <c r="O24" s="361">
        <f t="shared" ca="1" si="4"/>
        <v>381.97</v>
      </c>
      <c r="P24" s="361">
        <f t="shared" ca="1" si="5"/>
        <v>397.88</v>
      </c>
      <c r="Q24" s="361">
        <f t="shared" ca="1" si="16"/>
        <v>442.6</v>
      </c>
      <c r="R24" s="369">
        <f t="shared" ca="1" si="7"/>
        <v>-2.2719298245614066E-2</v>
      </c>
      <c r="S24" s="370">
        <f t="shared" ca="1" si="8"/>
        <v>9.4469914040114691E-2</v>
      </c>
      <c r="T24" s="370">
        <f t="shared" ca="1" si="9"/>
        <v>0.14005730659025786</v>
      </c>
      <c r="U24" s="370" t="str">
        <f t="shared" ca="1" si="10"/>
        <v/>
      </c>
      <c r="V24" s="407">
        <f>IF(E24="","",IFERROR(INDEX(Aktiv!$G:$G,MATCH(E24,Aktiv!$A:$A,0)),""))</f>
        <v>147</v>
      </c>
      <c r="W24" s="407">
        <f>IF(E24="","",IFERROR(INDEX(Aktiv!$H:$H,MATCH(E24,Aktiv!$A:$A,0)),""))</f>
        <v>504</v>
      </c>
      <c r="X24" s="407">
        <f>IF(E24="","",IFERROR(INDEX(Aktiv!$I:$I,MATCH(E24,Aktiv!$A:$A,0)),""))</f>
        <v>525</v>
      </c>
      <c r="Y24" s="407">
        <f>IF(E24="","",IFERROR(INDEX(Aktiv!$J:$J,MATCH(E24,Aktiv!$A:$A,0)),""))</f>
        <v>584</v>
      </c>
      <c r="Z24" s="371">
        <f t="shared" si="11"/>
        <v>-6.9620253164556958E-2</v>
      </c>
      <c r="AA24" s="371">
        <f t="shared" si="0"/>
        <v>4.1322314049586778E-2</v>
      </c>
      <c r="AB24" s="371">
        <f t="shared" si="1"/>
        <v>0.3125</v>
      </c>
      <c r="AC24" s="371">
        <f t="shared" si="2"/>
        <v>-0.22340425531914893</v>
      </c>
      <c r="AD24" s="366">
        <f>IF(E24="","",IFERROR(INDEX(Preisliste_2025!$E:$E,MATCH(E24,Preisliste_2025!$C:$C,0)),""))</f>
        <v>158</v>
      </c>
      <c r="AE24" s="366">
        <f>IF(E24="","",IFERROR(INDEX(Preisliste_2025!$G:$G,MATCH(E24,Preisliste_2025!$C:$C,0)),""))</f>
        <v>484</v>
      </c>
      <c r="AF24" s="366">
        <f>IF(E24="","",IFERROR(INDEX(Preisliste_2025!$F:$F,MATCH(E24,Preisliste_2025!$C:$C,0)),""))</f>
        <v>400</v>
      </c>
      <c r="AG24" s="366">
        <f>IF(E24="","",IFERROR(INDEX(Preisliste_2025!$H:$H,MATCH(E24,Preisliste_2025!$C:$C,0)),""))</f>
        <v>752</v>
      </c>
      <c r="AH24" s="367">
        <f t="shared" si="12"/>
        <v>2.5316455696202533</v>
      </c>
      <c r="AI24" s="361">
        <f t="shared" si="13"/>
        <v>3.5714285714285716</v>
      </c>
      <c r="AJ24" s="368">
        <f>IF(E24="","",IFERROR(INDEX(Aktiv!$E:$E,MATCH(E24,Aktiv!$A:$A,0))*INDEX(Aktiv!$F:$F,MATCH(E24,Aktiv!$A:$A,0)),""))</f>
        <v>835200</v>
      </c>
      <c r="AK24" s="361">
        <f t="shared" si="14"/>
        <v>1.3649425287356323</v>
      </c>
      <c r="AL24" s="361">
        <f t="shared" si="15"/>
        <v>1.760057471264368</v>
      </c>
    </row>
    <row r="25" spans="1:38" x14ac:dyDescent="0.25">
      <c r="A25" s="323" t="str">
        <f>'Preisliste 2012'!A43</f>
        <v>Boden / Seiten</v>
      </c>
      <c r="B25" s="324" t="str">
        <f>'Preisliste 2012'!B43</f>
        <v>Seite</v>
      </c>
      <c r="C25" s="324" t="str">
        <f>'Preisliste 2012'!D43</f>
        <v>580 / 1800</v>
      </c>
      <c r="D25" s="324" t="str">
        <f>Aktiv!C34</f>
        <v>Seite außen</v>
      </c>
      <c r="E25" s="324">
        <f>Aktiv!A34</f>
        <v>3111</v>
      </c>
      <c r="F25" s="325">
        <f>'Preisliste 2012'!E43</f>
        <v>143</v>
      </c>
      <c r="G25" s="325">
        <f>'Preisliste 2012'!F43</f>
        <v>424</v>
      </c>
      <c r="H25" s="325">
        <f>'Preisliste 2012'!G43</f>
        <v>0</v>
      </c>
      <c r="I25" s="325">
        <f>'Preisliste 2012'!H43</f>
        <v>0</v>
      </c>
      <c r="J25" s="325">
        <f>'Preisliste 2012'!I43</f>
        <v>340</v>
      </c>
      <c r="K25" s="325">
        <f>'Preisliste 2012'!J43</f>
        <v>495</v>
      </c>
      <c r="L25" s="325">
        <f>'Preisliste 2012'!K43</f>
        <v>619</v>
      </c>
      <c r="M25" s="325">
        <f>'Preisliste 2012'!L43</f>
        <v>743</v>
      </c>
      <c r="N25" s="365">
        <f t="shared" ca="1" si="3"/>
        <v>139.44999999999999</v>
      </c>
      <c r="O25" s="361">
        <f t="shared" ca="1" si="4"/>
        <v>477.46</v>
      </c>
      <c r="P25" s="361">
        <f t="shared" ca="1" si="5"/>
        <v>497.17</v>
      </c>
      <c r="Q25" s="361">
        <f t="shared" ca="1" si="16"/>
        <v>553.25</v>
      </c>
      <c r="R25" s="369">
        <f t="shared" ca="1" si="7"/>
        <v>-2.4825174825174906E-2</v>
      </c>
      <c r="S25" s="370">
        <f t="shared" ca="1" si="8"/>
        <v>0.12608490566037731</v>
      </c>
      <c r="T25" s="370">
        <f t="shared" ca="1" si="9"/>
        <v>0.17257075471698116</v>
      </c>
      <c r="U25" s="370" t="str">
        <f t="shared" ca="1" si="10"/>
        <v/>
      </c>
      <c r="V25" s="407">
        <f>IF(E25="","",IFERROR(INDEX(Aktiv!$G:$G,MATCH(E25,Aktiv!$A:$A,0)),""))</f>
        <v>184</v>
      </c>
      <c r="W25" s="407">
        <f>IF(E25="","",IFERROR(INDEX(Aktiv!$H:$H,MATCH(E25,Aktiv!$A:$A,0)),""))</f>
        <v>630</v>
      </c>
      <c r="X25" s="407">
        <f>IF(E25="","",IFERROR(INDEX(Aktiv!$I:$I,MATCH(E25,Aktiv!$A:$A,0)),""))</f>
        <v>656</v>
      </c>
      <c r="Y25" s="407">
        <f>IF(E25="","",IFERROR(INDEX(Aktiv!$J:$J,MATCH(E25,Aktiv!$A:$A,0)),""))</f>
        <v>730</v>
      </c>
      <c r="Z25" s="371">
        <f t="shared" si="11"/>
        <v>-6.5989847715736044E-2</v>
      </c>
      <c r="AA25" s="371">
        <f t="shared" si="0"/>
        <v>0.62371134020618557</v>
      </c>
      <c r="AB25" s="371">
        <f t="shared" si="1"/>
        <v>0.40471092077087795</v>
      </c>
      <c r="AC25" s="371">
        <f t="shared" si="2"/>
        <v>-0.1695108077360637</v>
      </c>
      <c r="AD25" s="366">
        <f>IF(E25="","",IFERROR(INDEX(Preisliste_2025!$E:$E,MATCH(E25,Preisliste_2025!$C:$C,0)),""))</f>
        <v>197</v>
      </c>
      <c r="AE25" s="366">
        <f>IF(E25="","",IFERROR(INDEX(Preisliste_2025!$G:$G,MATCH(E25,Preisliste_2025!$C:$C,0)),""))</f>
        <v>388</v>
      </c>
      <c r="AF25" s="366">
        <f>IF(E25="","",IFERROR(INDEX(Preisliste_2025!$F:$F,MATCH(E25,Preisliste_2025!$C:$C,0)),""))</f>
        <v>467</v>
      </c>
      <c r="AG25" s="366">
        <f>IF(E25="","",IFERROR(INDEX(Preisliste_2025!$H:$H,MATCH(E25,Preisliste_2025!$C:$C,0)),""))</f>
        <v>879</v>
      </c>
      <c r="AH25" s="367">
        <f t="shared" si="12"/>
        <v>2.3705583756345177</v>
      </c>
      <c r="AI25" s="361">
        <f t="shared" si="13"/>
        <v>3.5652173913043477</v>
      </c>
      <c r="AJ25" s="368">
        <f>IF(E25="","",IFERROR(INDEX(Aktiv!$E:$E,MATCH(E25,Aktiv!$A:$A,0))*INDEX(Aktiv!$F:$F,MATCH(E25,Aktiv!$A:$A,0)),""))</f>
        <v>1044000</v>
      </c>
      <c r="AK25" s="361">
        <f t="shared" si="14"/>
        <v>1.3697318007662835</v>
      </c>
      <c r="AL25" s="361">
        <f t="shared" si="15"/>
        <v>1.7624521072796935</v>
      </c>
    </row>
    <row r="26" spans="1:38" x14ac:dyDescent="0.25">
      <c r="A26" s="323" t="str">
        <f>'Preisliste 2012'!A46</f>
        <v>Rücken</v>
      </c>
      <c r="B26" s="324" t="str">
        <f>'Preisliste 2012'!B46</f>
        <v>Rück.</v>
      </c>
      <c r="C26" s="324" t="str">
        <f>'Preisliste 2012'!D46</f>
        <v>420 / 360 (180)</v>
      </c>
      <c r="D26" s="324" t="str">
        <f>Aktiv!C79</f>
        <v>Rücken</v>
      </c>
      <c r="E26" s="324">
        <f>Aktiv!A79</f>
        <v>3306</v>
      </c>
      <c r="F26" s="325">
        <f>'Preisliste 2012'!E46</f>
        <v>21</v>
      </c>
      <c r="G26" s="325">
        <f>'Preisliste 2012'!F46</f>
        <v>75</v>
      </c>
      <c r="H26" s="325">
        <f>'Preisliste 2012'!G46</f>
        <v>143</v>
      </c>
      <c r="I26" s="325">
        <f>'Preisliste 2012'!H46</f>
        <v>159</v>
      </c>
      <c r="J26" s="325">
        <f>'Preisliste 2012'!I46</f>
        <v>61</v>
      </c>
      <c r="K26" s="325">
        <f>'Preisliste 2012'!J46</f>
        <v>80</v>
      </c>
      <c r="L26" s="325">
        <f>'Preisliste 2012'!K46</f>
        <v>100</v>
      </c>
      <c r="M26" s="325">
        <f>'Preisliste 2012'!L46</f>
        <v>120</v>
      </c>
      <c r="N26" s="365">
        <f t="shared" ca="1" si="3"/>
        <v>20.46</v>
      </c>
      <c r="O26" s="361">
        <f t="shared" ca="1" si="4"/>
        <v>78.06</v>
      </c>
      <c r="P26" s="361">
        <f t="shared" ca="1" si="5"/>
        <v>90.95</v>
      </c>
      <c r="Q26" s="361">
        <f t="shared" ca="1" si="16"/>
        <v>109.89</v>
      </c>
      <c r="R26" s="369">
        <f t="shared" ca="1" si="7"/>
        <v>-2.5714285714285672E-2</v>
      </c>
      <c r="S26" s="370">
        <f t="shared" ca="1" si="8"/>
        <v>4.0800000000000031E-2</v>
      </c>
      <c r="T26" s="370">
        <f t="shared" ca="1" si="9"/>
        <v>0.2126666666666667</v>
      </c>
      <c r="U26" s="370">
        <f t="shared" ca="1" si="10"/>
        <v>-0.30886792452830186</v>
      </c>
      <c r="V26" s="407">
        <f>IF(E26="","",IFERROR(INDEX(Aktiv!$G:$G,MATCH(E26,Aktiv!$A:$A,0)),""))</f>
        <v>27</v>
      </c>
      <c r="W26" s="407">
        <f>IF(E26="","",IFERROR(INDEX(Aktiv!$H:$H,MATCH(E26,Aktiv!$A:$A,0)),""))</f>
        <v>103</v>
      </c>
      <c r="X26" s="407">
        <f>IF(E26="","",IFERROR(INDEX(Aktiv!$I:$I,MATCH(E26,Aktiv!$A:$A,0)),""))</f>
        <v>120</v>
      </c>
      <c r="Y26" s="407">
        <f>IF(E26="","",IFERROR(INDEX(Aktiv!$J:$J,MATCH(E26,Aktiv!$A:$A,0)),""))</f>
        <v>145</v>
      </c>
      <c r="Z26" s="371">
        <f t="shared" si="11"/>
        <v>-0.20588235294117646</v>
      </c>
      <c r="AA26" s="371">
        <f t="shared" si="0"/>
        <v>-0.1487603305785124</v>
      </c>
      <c r="AB26" s="371">
        <f t="shared" si="1"/>
        <v>0.30434782608695654</v>
      </c>
      <c r="AC26" s="371">
        <f t="shared" si="2"/>
        <v>-0.1853932584269663</v>
      </c>
      <c r="AD26" s="366">
        <f>IF(E26="","",IFERROR(INDEX(Preisliste_2025!$E:$E,MATCH(E26,Preisliste_2025!$C:$C,0)),""))</f>
        <v>34</v>
      </c>
      <c r="AE26" s="366">
        <f>IF(E26="","",IFERROR(INDEX(Preisliste_2025!$G:$G,MATCH(E26,Preisliste_2025!$C:$C,0)),""))</f>
        <v>121</v>
      </c>
      <c r="AF26" s="366">
        <f>IF(E26="","",IFERROR(INDEX(Preisliste_2025!$F:$F,MATCH(E26,Preisliste_2025!$C:$C,0)),""))</f>
        <v>92</v>
      </c>
      <c r="AG26" s="366">
        <f>IF(E26="","",IFERROR(INDEX(Preisliste_2025!$H:$H,MATCH(E26,Preisliste_2025!$C:$C,0)),""))</f>
        <v>178</v>
      </c>
      <c r="AH26" s="367">
        <f t="shared" si="12"/>
        <v>2.7058823529411766</v>
      </c>
      <c r="AI26" s="361">
        <f t="shared" si="13"/>
        <v>4.4444444444444446</v>
      </c>
      <c r="AJ26" s="368">
        <f>IF(E26="","",IFERROR(INDEX(Aktiv!$E:$E,MATCH(E26,Aktiv!$A:$A,0))*INDEX(Aktiv!$F:$F,MATCH(E26,Aktiv!$A:$A,0)),""))</f>
        <v>151200</v>
      </c>
      <c r="AK26" s="361">
        <f t="shared" si="14"/>
        <v>1.3888888888888891</v>
      </c>
      <c r="AL26" s="361">
        <f t="shared" si="15"/>
        <v>1.7857142857142858</v>
      </c>
    </row>
    <row r="27" spans="1:38" x14ac:dyDescent="0.25">
      <c r="A27" s="323" t="str">
        <f>'Preisliste 2012'!A47</f>
        <v>Rücken</v>
      </c>
      <c r="B27" s="324" t="str">
        <f>'Preisliste 2012'!B47</f>
        <v>Rück.</v>
      </c>
      <c r="C27" s="324" t="str">
        <f>'Preisliste 2012'!D47</f>
        <v>420 / 720</v>
      </c>
      <c r="D27" s="324" t="str">
        <f>Aktiv!C84</f>
        <v>Rücken</v>
      </c>
      <c r="E27" s="324">
        <f>Aktiv!A84</f>
        <v>3311</v>
      </c>
      <c r="F27" s="325">
        <f>'Preisliste 2012'!E47</f>
        <v>41</v>
      </c>
      <c r="G27" s="325">
        <f>'Preisliste 2012'!F47</f>
        <v>143</v>
      </c>
      <c r="H27" s="325">
        <f>'Preisliste 2012'!G47</f>
        <v>150</v>
      </c>
      <c r="I27" s="325">
        <f>'Preisliste 2012'!H47</f>
        <v>167</v>
      </c>
      <c r="J27" s="325">
        <f>'Preisliste 2012'!I47</f>
        <v>116</v>
      </c>
      <c r="K27" s="325">
        <f>'Preisliste 2012'!J47</f>
        <v>155</v>
      </c>
      <c r="L27" s="325">
        <f>'Preisliste 2012'!K47</f>
        <v>194</v>
      </c>
      <c r="M27" s="325">
        <f>'Preisliste 2012'!L47</f>
        <v>233</v>
      </c>
      <c r="N27" s="365">
        <f t="shared" ca="1" si="3"/>
        <v>40.17</v>
      </c>
      <c r="O27" s="361">
        <f t="shared" ca="1" si="4"/>
        <v>137.93</v>
      </c>
      <c r="P27" s="361">
        <f t="shared" ca="1" si="5"/>
        <v>144</v>
      </c>
      <c r="Q27" s="361">
        <f t="shared" ca="1" si="16"/>
        <v>160.66999999999999</v>
      </c>
      <c r="R27" s="369">
        <f t="shared" ca="1" si="7"/>
        <v>-2.0243902439024349E-2</v>
      </c>
      <c r="S27" s="370">
        <f t="shared" ca="1" si="8"/>
        <v>-3.5454545454545405E-2</v>
      </c>
      <c r="T27" s="370">
        <f t="shared" ca="1" si="9"/>
        <v>6.993006993006993E-3</v>
      </c>
      <c r="U27" s="370">
        <f t="shared" ca="1" si="10"/>
        <v>-3.7904191616766544E-2</v>
      </c>
      <c r="V27" s="407">
        <f>IF(E27="","",IFERROR(INDEX(Aktiv!$G:$G,MATCH(E27,Aktiv!$A:$A,0)),""))</f>
        <v>53</v>
      </c>
      <c r="W27" s="407">
        <f>IF(E27="","",IFERROR(INDEX(Aktiv!$H:$H,MATCH(E27,Aktiv!$A:$A,0)),""))</f>
        <v>182</v>
      </c>
      <c r="X27" s="407">
        <f>IF(E27="","",IFERROR(INDEX(Aktiv!$I:$I,MATCH(E27,Aktiv!$A:$A,0)),""))</f>
        <v>190</v>
      </c>
      <c r="Y27" s="407">
        <f>IF(E27="","",IFERROR(INDEX(Aktiv!$J:$J,MATCH(E27,Aktiv!$A:$A,0)),""))</f>
        <v>212</v>
      </c>
      <c r="Z27" s="371">
        <f t="shared" si="11"/>
        <v>-0.11666666666666667</v>
      </c>
      <c r="AA27" s="371">
        <f t="shared" si="0"/>
        <v>-0.14150943396226415</v>
      </c>
      <c r="AB27" s="371">
        <f t="shared" si="1"/>
        <v>0.14457831325301204</v>
      </c>
      <c r="AC27" s="371">
        <f t="shared" si="2"/>
        <v>0</v>
      </c>
      <c r="AD27" s="366">
        <f>IF(E27="","",IFERROR(INDEX(Preisliste_2025!$E:$E,MATCH(E27,Preisliste_2025!$C:$C,0)),""))</f>
        <v>60</v>
      </c>
      <c r="AE27" s="366">
        <f>IF(E27="","",IFERROR(INDEX(Preisliste_2025!$G:$G,MATCH(E27,Preisliste_2025!$C:$C,0)),""))</f>
        <v>212</v>
      </c>
      <c r="AF27" s="366">
        <f>IF(E27="","",IFERROR(INDEX(Preisliste_2025!$F:$F,MATCH(E27,Preisliste_2025!$C:$C,0)),""))</f>
        <v>166</v>
      </c>
      <c r="AG27" s="366">
        <f>IF(E27="","",IFERROR(INDEX(Preisliste_2025!$H:$H,MATCH(E27,Preisliste_2025!$C:$C,0)),""))</f>
        <v>212</v>
      </c>
      <c r="AH27" s="367">
        <f t="shared" si="12"/>
        <v>2.7666666666666666</v>
      </c>
      <c r="AI27" s="361">
        <f t="shared" si="13"/>
        <v>3.5849056603773586</v>
      </c>
      <c r="AJ27" s="368">
        <f>IF(E27="","",IFERROR(INDEX(Aktiv!$E:$E,MATCH(E27,Aktiv!$A:$A,0))*INDEX(Aktiv!$F:$F,MATCH(E27,Aktiv!$A:$A,0)),""))</f>
        <v>302400</v>
      </c>
      <c r="AK27" s="361">
        <f t="shared" si="14"/>
        <v>1.3558201058201058</v>
      </c>
      <c r="AL27" s="361">
        <f t="shared" si="15"/>
        <v>1.7526455026455028</v>
      </c>
    </row>
    <row r="28" spans="1:38" x14ac:dyDescent="0.25">
      <c r="A28" s="323" t="str">
        <f>'Preisliste 2012'!A48</f>
        <v>Rücken</v>
      </c>
      <c r="B28" s="324" t="str">
        <f>'Preisliste 2012'!B48</f>
        <v>Rück.</v>
      </c>
      <c r="C28" s="324" t="str">
        <f>'Preisliste 2012'!D48</f>
        <v>420 / 1080</v>
      </c>
      <c r="D28" s="324" t="str">
        <f>Aktiv!C89</f>
        <v>Rücken</v>
      </c>
      <c r="E28" s="324">
        <f>Aktiv!A89</f>
        <v>3316</v>
      </c>
      <c r="F28" s="325">
        <f>'Preisliste 2012'!E48</f>
        <v>62</v>
      </c>
      <c r="G28" s="325">
        <f>'Preisliste 2012'!F48</f>
        <v>211</v>
      </c>
      <c r="H28" s="325">
        <f>'Preisliste 2012'!G48</f>
        <v>185</v>
      </c>
      <c r="I28" s="325">
        <f>'Preisliste 2012'!H48</f>
        <v>205</v>
      </c>
      <c r="J28" s="325">
        <f>'Preisliste 2012'!I48</f>
        <v>172</v>
      </c>
      <c r="K28" s="325">
        <f>'Preisliste 2012'!J48</f>
        <v>231</v>
      </c>
      <c r="L28" s="325">
        <f>'Preisliste 2012'!K48</f>
        <v>289</v>
      </c>
      <c r="M28" s="325">
        <f>'Preisliste 2012'!L48</f>
        <v>347</v>
      </c>
      <c r="N28" s="365">
        <f t="shared" ca="1" si="3"/>
        <v>60.63</v>
      </c>
      <c r="O28" s="361">
        <f t="shared" ca="1" si="4"/>
        <v>207.66</v>
      </c>
      <c r="P28" s="361">
        <f t="shared" ca="1" si="5"/>
        <v>215.99</v>
      </c>
      <c r="Q28" s="361">
        <f t="shared" ca="1" si="16"/>
        <v>240.25</v>
      </c>
      <c r="R28" s="369">
        <f t="shared" ca="1" si="7"/>
        <v>-2.2096774193548347E-2</v>
      </c>
      <c r="S28" s="370">
        <f t="shared" ca="1" si="8"/>
        <v>-1.5829383886255939E-2</v>
      </c>
      <c r="T28" s="370">
        <f t="shared" ca="1" si="9"/>
        <v>2.364928909952611E-2</v>
      </c>
      <c r="U28" s="370">
        <f t="shared" ca="1" si="10"/>
        <v>0.17195121951219511</v>
      </c>
      <c r="V28" s="407">
        <f>IF(E28="","",IFERROR(INDEX(Aktiv!$G:$G,MATCH(E28,Aktiv!$A:$A,0)),""))</f>
        <v>80</v>
      </c>
      <c r="W28" s="407">
        <f>IF(E28="","",IFERROR(INDEX(Aktiv!$H:$H,MATCH(E28,Aktiv!$A:$A,0)),""))</f>
        <v>274</v>
      </c>
      <c r="X28" s="407">
        <f>IF(E28="","",IFERROR(INDEX(Aktiv!$I:$I,MATCH(E28,Aktiv!$A:$A,0)),""))</f>
        <v>285</v>
      </c>
      <c r="Y28" s="407">
        <f>IF(E28="","",IFERROR(INDEX(Aktiv!$J:$J,MATCH(E28,Aktiv!$A:$A,0)),""))</f>
        <v>317</v>
      </c>
      <c r="Z28" s="371">
        <f t="shared" si="11"/>
        <v>-9.0909090909090912E-2</v>
      </c>
      <c r="AA28" s="371">
        <f t="shared" si="0"/>
        <v>-9.8684210526315791E-2</v>
      </c>
      <c r="AB28" s="371">
        <f t="shared" si="1"/>
        <v>0.18257261410788381</v>
      </c>
      <c r="AC28" s="371">
        <f t="shared" si="2"/>
        <v>0.22393822393822393</v>
      </c>
      <c r="AD28" s="366">
        <f>IF(E28="","",IFERROR(INDEX(Preisliste_2025!$E:$E,MATCH(E28,Preisliste_2025!$C:$C,0)),""))</f>
        <v>88</v>
      </c>
      <c r="AE28" s="366">
        <f>IF(E28="","",IFERROR(INDEX(Preisliste_2025!$G:$G,MATCH(E28,Preisliste_2025!$C:$C,0)),""))</f>
        <v>304</v>
      </c>
      <c r="AF28" s="366">
        <f>IF(E28="","",IFERROR(INDEX(Preisliste_2025!$F:$F,MATCH(E28,Preisliste_2025!$C:$C,0)),""))</f>
        <v>241</v>
      </c>
      <c r="AG28" s="366">
        <f>IF(E28="","",IFERROR(INDEX(Preisliste_2025!$H:$H,MATCH(E28,Preisliste_2025!$C:$C,0)),""))</f>
        <v>259</v>
      </c>
      <c r="AH28" s="367">
        <f t="shared" si="12"/>
        <v>2.7386363636363638</v>
      </c>
      <c r="AI28" s="361">
        <f t="shared" si="13"/>
        <v>3.5625</v>
      </c>
      <c r="AJ28" s="368">
        <f>IF(E28="","",IFERROR(INDEX(Aktiv!$E:$E,MATCH(E28,Aktiv!$A:$A,0))*INDEX(Aktiv!$F:$F,MATCH(E28,Aktiv!$A:$A,0)),""))</f>
        <v>453600</v>
      </c>
      <c r="AK28" s="361">
        <f t="shared" si="14"/>
        <v>1.3668430335097002</v>
      </c>
      <c r="AL28" s="361">
        <f t="shared" si="15"/>
        <v>1.7636684303350971</v>
      </c>
    </row>
    <row r="29" spans="1:38" x14ac:dyDescent="0.25">
      <c r="A29" s="323" t="str">
        <f>'Preisliste 2012'!A49</f>
        <v>Rücken</v>
      </c>
      <c r="B29" s="324" t="str">
        <f>'Preisliste 2012'!B49</f>
        <v>Rück.</v>
      </c>
      <c r="C29" s="324" t="str">
        <f>'Preisliste 2012'!D49</f>
        <v>420 / 1440</v>
      </c>
      <c r="D29" s="324" t="str">
        <f>Aktiv!C94</f>
        <v>Rücken</v>
      </c>
      <c r="E29" s="324">
        <f>Aktiv!A94</f>
        <v>3321</v>
      </c>
      <c r="F29" s="325">
        <f>'Preisliste 2012'!E49</f>
        <v>82</v>
      </c>
      <c r="G29" s="325">
        <f>'Preisliste 2012'!F49</f>
        <v>257</v>
      </c>
      <c r="H29" s="325">
        <f>'Preisliste 2012'!G49</f>
        <v>0</v>
      </c>
      <c r="I29" s="325">
        <f>'Preisliste 2012'!H49</f>
        <v>240</v>
      </c>
      <c r="J29" s="325">
        <f>'Preisliste 2012'!I49</f>
        <v>209</v>
      </c>
      <c r="K29" s="325">
        <f>'Preisliste 2012'!J49</f>
        <v>298</v>
      </c>
      <c r="L29" s="325">
        <f>'Preisliste 2012'!K49</f>
        <v>372</v>
      </c>
      <c r="M29" s="325">
        <f>'Preisliste 2012'!L49</f>
        <v>447</v>
      </c>
      <c r="N29" s="365">
        <f t="shared" ca="1" si="3"/>
        <v>80.33</v>
      </c>
      <c r="O29" s="361">
        <f t="shared" ca="1" si="4"/>
        <v>276.62</v>
      </c>
      <c r="P29" s="361">
        <f t="shared" ca="1" si="5"/>
        <v>287.99</v>
      </c>
      <c r="Q29" s="361">
        <f t="shared" ca="1" si="16"/>
        <v>320.58</v>
      </c>
      <c r="R29" s="369">
        <f t="shared" ca="1" si="7"/>
        <v>-2.0365853658536607E-2</v>
      </c>
      <c r="S29" s="370">
        <f t="shared" ca="1" si="8"/>
        <v>7.6342412451361891E-2</v>
      </c>
      <c r="T29" s="370">
        <f t="shared" ca="1" si="9"/>
        <v>0.12058365758754867</v>
      </c>
      <c r="U29" s="370">
        <f t="shared" ca="1" si="10"/>
        <v>0.33574999999999994</v>
      </c>
      <c r="V29" s="407">
        <f>IF(E29="","",IFERROR(INDEX(Aktiv!$G:$G,MATCH(E29,Aktiv!$A:$A,0)),""))</f>
        <v>106</v>
      </c>
      <c r="W29" s="407">
        <f>IF(E29="","",IFERROR(INDEX(Aktiv!$H:$H,MATCH(E29,Aktiv!$A:$A,0)),""))</f>
        <v>365</v>
      </c>
      <c r="X29" s="407">
        <f>IF(E29="","",IFERROR(INDEX(Aktiv!$I:$I,MATCH(E29,Aktiv!$A:$A,0)),""))</f>
        <v>380</v>
      </c>
      <c r="Y29" s="407">
        <f>IF(E29="","",IFERROR(INDEX(Aktiv!$J:$J,MATCH(E29,Aktiv!$A:$A,0)),""))</f>
        <v>423</v>
      </c>
      <c r="Z29" s="371">
        <f t="shared" si="11"/>
        <v>-7.8260869565217397E-2</v>
      </c>
      <c r="AA29" s="371">
        <f t="shared" si="0"/>
        <v>0</v>
      </c>
      <c r="AB29" s="371">
        <f t="shared" si="1"/>
        <v>0.30584192439862545</v>
      </c>
      <c r="AC29" s="371">
        <f t="shared" si="2"/>
        <v>-0.22669104204753199</v>
      </c>
      <c r="AD29" s="366">
        <f>IF(E29="","",IFERROR(INDEX(Preisliste_2025!$E:$E,MATCH(E29,Preisliste_2025!$C:$C,0)),""))</f>
        <v>115</v>
      </c>
      <c r="AE29" s="366">
        <f>IF(E29="","",IFERROR(INDEX(Preisliste_2025!$G:$G,MATCH(E29,Preisliste_2025!$C:$C,0)),""))</f>
        <v>365</v>
      </c>
      <c r="AF29" s="366">
        <f>IF(E29="","",IFERROR(INDEX(Preisliste_2025!$F:$F,MATCH(E29,Preisliste_2025!$C:$C,0)),""))</f>
        <v>291</v>
      </c>
      <c r="AG29" s="366">
        <f>IF(E29="","",IFERROR(INDEX(Preisliste_2025!$H:$H,MATCH(E29,Preisliste_2025!$C:$C,0)),""))</f>
        <v>547</v>
      </c>
      <c r="AH29" s="367">
        <f t="shared" si="12"/>
        <v>2.5304347826086957</v>
      </c>
      <c r="AI29" s="361">
        <f t="shared" si="13"/>
        <v>3.5849056603773586</v>
      </c>
      <c r="AJ29" s="368">
        <f>IF(E29="","",IFERROR(INDEX(Aktiv!$E:$E,MATCH(E29,Aktiv!$A:$A,0))*INDEX(Aktiv!$F:$F,MATCH(E29,Aktiv!$A:$A,0)),""))</f>
        <v>604800</v>
      </c>
      <c r="AK29" s="361">
        <f t="shared" si="14"/>
        <v>1.3558201058201058</v>
      </c>
      <c r="AL29" s="361">
        <f t="shared" si="15"/>
        <v>1.7526455026455028</v>
      </c>
    </row>
    <row r="30" spans="1:38" x14ac:dyDescent="0.25">
      <c r="A30" s="323" t="str">
        <f>'Preisliste 2012'!A50</f>
        <v>Rücken</v>
      </c>
      <c r="B30" s="324" t="str">
        <f>'Preisliste 2012'!B50</f>
        <v>Rück.</v>
      </c>
      <c r="C30" s="324" t="str">
        <f>'Preisliste 2012'!D50</f>
        <v>420 / 1800</v>
      </c>
      <c r="D30" s="324" t="str">
        <f>Aktiv!C99</f>
        <v>Rücken</v>
      </c>
      <c r="E30" s="324">
        <f>Aktiv!A99</f>
        <v>3326</v>
      </c>
      <c r="F30" s="325">
        <f>'Preisliste 2012'!E50</f>
        <v>103</v>
      </c>
      <c r="G30" s="325">
        <f>'Preisliste 2012'!F50</f>
        <v>313</v>
      </c>
      <c r="H30" s="325">
        <f>'Preisliste 2012'!G50</f>
        <v>0</v>
      </c>
      <c r="I30" s="325">
        <f>'Preisliste 2012'!H50</f>
        <v>0</v>
      </c>
      <c r="J30" s="325">
        <f>'Preisliste 2012'!I50</f>
        <v>253</v>
      </c>
      <c r="K30" s="325">
        <f>'Preisliste 2012'!J50</f>
        <v>366</v>
      </c>
      <c r="L30" s="325">
        <f>'Preisliste 2012'!K50</f>
        <v>458</v>
      </c>
      <c r="M30" s="325">
        <f>'Preisliste 2012'!L50</f>
        <v>549</v>
      </c>
      <c r="N30" s="365">
        <f t="shared" ca="1" si="3"/>
        <v>100.8</v>
      </c>
      <c r="O30" s="361">
        <f t="shared" ca="1" si="4"/>
        <v>345.59</v>
      </c>
      <c r="P30" s="361">
        <f t="shared" ca="1" si="5"/>
        <v>359.99</v>
      </c>
      <c r="Q30" s="361">
        <f t="shared" ca="1" si="16"/>
        <v>400.92</v>
      </c>
      <c r="R30" s="369">
        <f t="shared" ca="1" si="7"/>
        <v>-2.1359223300970901E-2</v>
      </c>
      <c r="S30" s="370">
        <f t="shared" ca="1" si="8"/>
        <v>0.10412140575079865</v>
      </c>
      <c r="T30" s="370">
        <f t="shared" ca="1" si="9"/>
        <v>0.15012779552715658</v>
      </c>
      <c r="U30" s="370" t="str">
        <f t="shared" ca="1" si="10"/>
        <v/>
      </c>
      <c r="V30" s="407">
        <f>IF(E30="","",IFERROR(INDEX(Aktiv!$G:$G,MATCH(E30,Aktiv!$A:$A,0)),""))</f>
        <v>133</v>
      </c>
      <c r="W30" s="407">
        <f>IF(E30="","",IFERROR(INDEX(Aktiv!$H:$H,MATCH(E30,Aktiv!$A:$A,0)),""))</f>
        <v>456</v>
      </c>
      <c r="X30" s="407">
        <f>IF(E30="","",IFERROR(INDEX(Aktiv!$I:$I,MATCH(E30,Aktiv!$A:$A,0)),""))</f>
        <v>475</v>
      </c>
      <c r="Y30" s="407">
        <f>IF(E30="","",IFERROR(INDEX(Aktiv!$J:$J,MATCH(E30,Aktiv!$A:$A,0)),""))</f>
        <v>529</v>
      </c>
      <c r="Z30" s="371">
        <f t="shared" si="11"/>
        <v>-6.9930069930069935E-2</v>
      </c>
      <c r="AA30" s="371">
        <f t="shared" si="0"/>
        <v>0.62277580071174377</v>
      </c>
      <c r="AB30" s="371">
        <f t="shared" si="1"/>
        <v>0.35714285714285715</v>
      </c>
      <c r="AC30" s="371">
        <f t="shared" si="2"/>
        <v>-0.196048632218845</v>
      </c>
      <c r="AD30" s="366">
        <f>IF(E30="","",IFERROR(INDEX(Preisliste_2025!$E:$E,MATCH(E30,Preisliste_2025!$C:$C,0)),""))</f>
        <v>143</v>
      </c>
      <c r="AE30" s="366">
        <f>IF(E30="","",IFERROR(INDEX(Preisliste_2025!$G:$G,MATCH(E30,Preisliste_2025!$C:$C,0)),""))</f>
        <v>281</v>
      </c>
      <c r="AF30" s="366">
        <f>IF(E30="","",IFERROR(INDEX(Preisliste_2025!$F:$F,MATCH(E30,Preisliste_2025!$C:$C,0)),""))</f>
        <v>350</v>
      </c>
      <c r="AG30" s="366">
        <f>IF(E30="","",IFERROR(INDEX(Preisliste_2025!$H:$H,MATCH(E30,Preisliste_2025!$C:$C,0)),""))</f>
        <v>658</v>
      </c>
      <c r="AH30" s="367">
        <f t="shared" si="12"/>
        <v>2.4475524475524475</v>
      </c>
      <c r="AI30" s="361">
        <f t="shared" si="13"/>
        <v>3.5714285714285716</v>
      </c>
      <c r="AJ30" s="368">
        <f>IF(E30="","",IFERROR(INDEX(Aktiv!$E:$E,MATCH(E30,Aktiv!$A:$A,0))*INDEX(Aktiv!$F:$F,MATCH(E30,Aktiv!$A:$A,0)),""))</f>
        <v>756000</v>
      </c>
      <c r="AK30" s="361">
        <f t="shared" si="14"/>
        <v>1.3624338624338626</v>
      </c>
      <c r="AL30" s="361">
        <f t="shared" si="15"/>
        <v>1.7592592592592593</v>
      </c>
    </row>
    <row r="31" spans="1:38" x14ac:dyDescent="0.25">
      <c r="A31" s="323" t="str">
        <f>'Preisliste 2012'!A51</f>
        <v>Rücken</v>
      </c>
      <c r="B31" s="324" t="str">
        <f>'Preisliste 2012'!B51</f>
        <v>Rück.</v>
      </c>
      <c r="C31" s="324" t="str">
        <f>'Preisliste 2012'!D51</f>
        <v>580 / 360 (180)</v>
      </c>
      <c r="D31" s="324" t="str">
        <f>Aktiv!C80</f>
        <v>Rücken</v>
      </c>
      <c r="E31" s="324">
        <f>Aktiv!A80</f>
        <v>3307</v>
      </c>
      <c r="F31" s="325">
        <f>'Preisliste 2012'!E51</f>
        <v>28</v>
      </c>
      <c r="G31" s="325">
        <f>'Preisliste 2012'!F51</f>
        <v>105</v>
      </c>
      <c r="H31" s="325">
        <f>'Preisliste 2012'!G51</f>
        <v>147</v>
      </c>
      <c r="I31" s="325">
        <f>'Preisliste 2012'!H51</f>
        <v>164</v>
      </c>
      <c r="J31" s="325">
        <f>'Preisliste 2012'!I51</f>
        <v>89</v>
      </c>
      <c r="K31" s="325">
        <f>'Preisliste 2012'!J51</f>
        <v>114</v>
      </c>
      <c r="L31" s="325">
        <f>'Preisliste 2012'!K51</f>
        <v>143</v>
      </c>
      <c r="M31" s="325">
        <f>'Preisliste 2012'!L51</f>
        <v>171</v>
      </c>
      <c r="N31" s="365">
        <f t="shared" ca="1" si="3"/>
        <v>28.04</v>
      </c>
      <c r="O31" s="361">
        <f t="shared" ca="1" si="4"/>
        <v>95.49</v>
      </c>
      <c r="P31" s="361">
        <f t="shared" ca="1" si="5"/>
        <v>99.28</v>
      </c>
      <c r="Q31" s="361">
        <f t="shared" ca="1" si="16"/>
        <v>110.65</v>
      </c>
      <c r="R31" s="369">
        <f t="shared" ca="1" si="7"/>
        <v>1.4285714285713982E-3</v>
      </c>
      <c r="S31" s="370">
        <f t="shared" ca="1" si="8"/>
        <v>-9.0571428571428622E-2</v>
      </c>
      <c r="T31" s="370">
        <f t="shared" ca="1" si="9"/>
        <v>-5.4476190476190463E-2</v>
      </c>
      <c r="U31" s="370">
        <f t="shared" ca="1" si="10"/>
        <v>-0.32530487804878044</v>
      </c>
      <c r="V31" s="407">
        <f>IF(E31="","",IFERROR(INDEX(Aktiv!$G:$G,MATCH(E31,Aktiv!$A:$A,0)),""))</f>
        <v>37</v>
      </c>
      <c r="W31" s="407">
        <f>IF(E31="","",IFERROR(INDEX(Aktiv!$H:$H,MATCH(E31,Aktiv!$A:$A,0)),""))</f>
        <v>126</v>
      </c>
      <c r="X31" s="407">
        <f>IF(E31="","",IFERROR(INDEX(Aktiv!$I:$I,MATCH(E31,Aktiv!$A:$A,0)),""))</f>
        <v>131</v>
      </c>
      <c r="Y31" s="407">
        <f>IF(E31="","",IFERROR(INDEX(Aktiv!$J:$J,MATCH(E31,Aktiv!$A:$A,0)),""))</f>
        <v>146</v>
      </c>
      <c r="Z31" s="371">
        <f t="shared" si="11"/>
        <v>-0.13953488372093023</v>
      </c>
      <c r="AA31" s="371">
        <f t="shared" si="0"/>
        <v>-0.21739130434782608</v>
      </c>
      <c r="AB31" s="371">
        <f t="shared" si="1"/>
        <v>7.6923076923076927E-3</v>
      </c>
      <c r="AC31" s="371">
        <f t="shared" si="2"/>
        <v>-0.21081081081081082</v>
      </c>
      <c r="AD31" s="366">
        <f>IF(E31="","",IFERROR(INDEX(Preisliste_2025!$E:$E,MATCH(E31,Preisliste_2025!$C:$C,0)),""))</f>
        <v>43</v>
      </c>
      <c r="AE31" s="366">
        <f>IF(E31="","",IFERROR(INDEX(Preisliste_2025!$G:$G,MATCH(E31,Preisliste_2025!$C:$C,0)),""))</f>
        <v>161</v>
      </c>
      <c r="AF31" s="366">
        <f>IF(E31="","",IFERROR(INDEX(Preisliste_2025!$F:$F,MATCH(E31,Preisliste_2025!$C:$C,0)),""))</f>
        <v>130</v>
      </c>
      <c r="AG31" s="366">
        <f>IF(E31="","",IFERROR(INDEX(Preisliste_2025!$H:$H,MATCH(E31,Preisliste_2025!$C:$C,0)),""))</f>
        <v>185</v>
      </c>
      <c r="AH31" s="367">
        <f t="shared" si="12"/>
        <v>3.0232558139534884</v>
      </c>
      <c r="AI31" s="361">
        <f t="shared" si="13"/>
        <v>3.5405405405405403</v>
      </c>
      <c r="AJ31" s="368">
        <f>IF(E31="","",IFERROR(INDEX(Aktiv!$E:$E,MATCH(E31,Aktiv!$A:$A,0))*INDEX(Aktiv!$F:$F,MATCH(E31,Aktiv!$A:$A,0)),""))</f>
        <v>208800</v>
      </c>
      <c r="AK31" s="361">
        <f t="shared" si="14"/>
        <v>1.3409961685823755</v>
      </c>
      <c r="AL31" s="361">
        <f t="shared" si="15"/>
        <v>1.7720306513409962</v>
      </c>
    </row>
    <row r="32" spans="1:38" x14ac:dyDescent="0.25">
      <c r="A32" s="323" t="str">
        <f>'Preisliste 2012'!A52</f>
        <v>Rücken</v>
      </c>
      <c r="B32" s="324" t="str">
        <f>'Preisliste 2012'!B52</f>
        <v>Rück.</v>
      </c>
      <c r="C32" s="324" t="str">
        <f>'Preisliste 2012'!D52</f>
        <v>580 / 720</v>
      </c>
      <c r="D32" s="324" t="str">
        <f>Aktiv!C85</f>
        <v>Rücken</v>
      </c>
      <c r="E32" s="324">
        <f>Aktiv!A85</f>
        <v>3312</v>
      </c>
      <c r="F32" s="325">
        <f>'Preisliste 2012'!E52</f>
        <v>57</v>
      </c>
      <c r="G32" s="325">
        <f>'Preisliste 2012'!F52</f>
        <v>180</v>
      </c>
      <c r="H32" s="325">
        <f>'Preisliste 2012'!G52</f>
        <v>175</v>
      </c>
      <c r="I32" s="325">
        <f>'Preisliste 2012'!H52</f>
        <v>194</v>
      </c>
      <c r="J32" s="325">
        <f>'Preisliste 2012'!I52</f>
        <v>153</v>
      </c>
      <c r="K32" s="325">
        <f>'Preisliste 2012'!J52</f>
        <v>207</v>
      </c>
      <c r="L32" s="325">
        <f>'Preisliste 2012'!K52</f>
        <v>258</v>
      </c>
      <c r="M32" s="325">
        <f>'Preisliste 2012'!L52</f>
        <v>311</v>
      </c>
      <c r="N32" s="365">
        <f t="shared" ca="1" si="3"/>
        <v>55.32</v>
      </c>
      <c r="O32" s="361">
        <f t="shared" ca="1" si="4"/>
        <v>190.98</v>
      </c>
      <c r="P32" s="361">
        <f t="shared" ca="1" si="5"/>
        <v>198.56</v>
      </c>
      <c r="Q32" s="361">
        <f t="shared" ca="1" si="16"/>
        <v>221.3</v>
      </c>
      <c r="R32" s="369">
        <f t="shared" ca="1" si="7"/>
        <v>-2.9473684210526312E-2</v>
      </c>
      <c r="S32" s="370">
        <f t="shared" ca="1" si="8"/>
        <v>6.0999999999999943E-2</v>
      </c>
      <c r="T32" s="370">
        <f t="shared" ca="1" si="9"/>
        <v>0.10311111111111113</v>
      </c>
      <c r="U32" s="370">
        <f t="shared" ca="1" si="10"/>
        <v>0.14072164948453614</v>
      </c>
      <c r="V32" s="407">
        <f>IF(E32="","",IFERROR(INDEX(Aktiv!$G:$G,MATCH(E32,Aktiv!$A:$A,0)),""))</f>
        <v>73</v>
      </c>
      <c r="W32" s="407">
        <f>IF(E32="","",IFERROR(INDEX(Aktiv!$H:$H,MATCH(E32,Aktiv!$A:$A,0)),""))</f>
        <v>252</v>
      </c>
      <c r="X32" s="407">
        <f>IF(E32="","",IFERROR(INDEX(Aktiv!$I:$I,MATCH(E32,Aktiv!$A:$A,0)),""))</f>
        <v>262</v>
      </c>
      <c r="Y32" s="407">
        <f>IF(E32="","",IFERROR(INDEX(Aktiv!$J:$J,MATCH(E32,Aktiv!$A:$A,0)),""))</f>
        <v>292</v>
      </c>
      <c r="Z32" s="371">
        <f t="shared" si="11"/>
        <v>-0.10975609756097561</v>
      </c>
      <c r="AA32" s="371">
        <f t="shared" si="0"/>
        <v>-3.8167938931297711E-2</v>
      </c>
      <c r="AB32" s="371">
        <f t="shared" si="1"/>
        <v>0.21296296296296297</v>
      </c>
      <c r="AC32" s="371">
        <f t="shared" si="2"/>
        <v>0.19183673469387755</v>
      </c>
      <c r="AD32" s="366">
        <f>IF(E32="","",IFERROR(INDEX(Preisliste_2025!$E:$E,MATCH(E32,Preisliste_2025!$C:$C,0)),""))</f>
        <v>82</v>
      </c>
      <c r="AE32" s="366">
        <f>IF(E32="","",IFERROR(INDEX(Preisliste_2025!$G:$G,MATCH(E32,Preisliste_2025!$C:$C,0)),""))</f>
        <v>262</v>
      </c>
      <c r="AF32" s="366">
        <f>IF(E32="","",IFERROR(INDEX(Preisliste_2025!$F:$F,MATCH(E32,Preisliste_2025!$C:$C,0)),""))</f>
        <v>216</v>
      </c>
      <c r="AG32" s="366">
        <f>IF(E32="","",IFERROR(INDEX(Preisliste_2025!$H:$H,MATCH(E32,Preisliste_2025!$C:$C,0)),""))</f>
        <v>245</v>
      </c>
      <c r="AH32" s="367">
        <f t="shared" si="12"/>
        <v>2.6341463414634148</v>
      </c>
      <c r="AI32" s="361">
        <f t="shared" si="13"/>
        <v>3.5890410958904111</v>
      </c>
      <c r="AJ32" s="368">
        <f>IF(E32="","",IFERROR(INDEX(Aktiv!$E:$E,MATCH(E32,Aktiv!$A:$A,0))*INDEX(Aktiv!$F:$F,MATCH(E32,Aktiv!$A:$A,0)),""))</f>
        <v>417600</v>
      </c>
      <c r="AK32" s="361">
        <f t="shared" si="14"/>
        <v>1.3649425287356323</v>
      </c>
      <c r="AL32" s="361">
        <f t="shared" si="15"/>
        <v>1.7480842911877394</v>
      </c>
    </row>
    <row r="33" spans="1:38" x14ac:dyDescent="0.25">
      <c r="A33" s="323" t="str">
        <f>'Preisliste 2012'!A53</f>
        <v>Rücken</v>
      </c>
      <c r="B33" s="324" t="str">
        <f>'Preisliste 2012'!B53</f>
        <v>Rück.</v>
      </c>
      <c r="C33" s="324" t="str">
        <f>'Preisliste 2012'!D53</f>
        <v>580 / 1080</v>
      </c>
      <c r="D33" s="324" t="str">
        <f>Aktiv!C90</f>
        <v>Rücken</v>
      </c>
      <c r="E33" s="324">
        <f>Aktiv!A90</f>
        <v>3317</v>
      </c>
      <c r="F33" s="325">
        <f>'Preisliste 2012'!E53</f>
        <v>85</v>
      </c>
      <c r="G33" s="325">
        <f>'Preisliste 2012'!F53</f>
        <v>266</v>
      </c>
      <c r="H33" s="325">
        <f>'Preisliste 2012'!G53</f>
        <v>221</v>
      </c>
      <c r="I33" s="325">
        <f>'Preisliste 2012'!H53</f>
        <v>246</v>
      </c>
      <c r="J33" s="325">
        <f>'Preisliste 2012'!I53</f>
        <v>216</v>
      </c>
      <c r="K33" s="325">
        <f>'Preisliste 2012'!J53</f>
        <v>309</v>
      </c>
      <c r="L33" s="325">
        <f>'Preisliste 2012'!K53</f>
        <v>387</v>
      </c>
      <c r="M33" s="325">
        <f>'Preisliste 2012'!L53</f>
        <v>464</v>
      </c>
      <c r="N33" s="365">
        <f t="shared" ca="1" si="3"/>
        <v>83.37</v>
      </c>
      <c r="O33" s="361">
        <f t="shared" ca="1" si="4"/>
        <v>286.48</v>
      </c>
      <c r="P33" s="361">
        <f t="shared" ca="1" si="5"/>
        <v>298.60000000000002</v>
      </c>
      <c r="Q33" s="361">
        <f t="shared" ca="1" si="16"/>
        <v>331.95</v>
      </c>
      <c r="R33" s="369">
        <f t="shared" ca="1" si="7"/>
        <v>-1.9176470588235239E-2</v>
      </c>
      <c r="S33" s="370">
        <f t="shared" ca="1" si="8"/>
        <v>7.6992481203007584E-2</v>
      </c>
      <c r="T33" s="370">
        <f t="shared" ca="1" si="9"/>
        <v>0.1225563909774437</v>
      </c>
      <c r="U33" s="370">
        <f t="shared" ca="1" si="10"/>
        <v>0.349390243902439</v>
      </c>
      <c r="V33" s="407">
        <f>IF(E33="","",IFERROR(INDEX(Aktiv!$G:$G,MATCH(E33,Aktiv!$A:$A,0)),""))</f>
        <v>110</v>
      </c>
      <c r="W33" s="407">
        <f>IF(E33="","",IFERROR(INDEX(Aktiv!$H:$H,MATCH(E33,Aktiv!$A:$A,0)),""))</f>
        <v>378</v>
      </c>
      <c r="X33" s="407">
        <f>IF(E33="","",IFERROR(INDEX(Aktiv!$I:$I,MATCH(E33,Aktiv!$A:$A,0)),""))</f>
        <v>394</v>
      </c>
      <c r="Y33" s="407">
        <f>IF(E33="","",IFERROR(INDEX(Aktiv!$J:$J,MATCH(E33,Aktiv!$A:$A,0)),""))</f>
        <v>438</v>
      </c>
      <c r="Z33" s="371">
        <f t="shared" si="11"/>
        <v>-7.5630252100840331E-2</v>
      </c>
      <c r="AA33" s="371">
        <f t="shared" si="0"/>
        <v>2.6525198938992041E-3</v>
      </c>
      <c r="AB33" s="371">
        <f t="shared" si="1"/>
        <v>0.31333333333333335</v>
      </c>
      <c r="AC33" s="371">
        <f t="shared" si="2"/>
        <v>0.42671009771986973</v>
      </c>
      <c r="AD33" s="366">
        <f>IF(E33="","",IFERROR(INDEX(Preisliste_2025!$E:$E,MATCH(E33,Preisliste_2025!$C:$C,0)),""))</f>
        <v>119</v>
      </c>
      <c r="AE33" s="366">
        <f>IF(E33="","",IFERROR(INDEX(Preisliste_2025!$G:$G,MATCH(E33,Preisliste_2025!$C:$C,0)),""))</f>
        <v>377</v>
      </c>
      <c r="AF33" s="366">
        <f>IF(E33="","",IFERROR(INDEX(Preisliste_2025!$F:$F,MATCH(E33,Preisliste_2025!$C:$C,0)),""))</f>
        <v>300</v>
      </c>
      <c r="AG33" s="366">
        <f>IF(E33="","",IFERROR(INDEX(Preisliste_2025!$H:$H,MATCH(E33,Preisliste_2025!$C:$C,0)),""))</f>
        <v>307</v>
      </c>
      <c r="AH33" s="367">
        <f t="shared" si="12"/>
        <v>2.5210084033613445</v>
      </c>
      <c r="AI33" s="361">
        <f t="shared" si="13"/>
        <v>3.581818181818182</v>
      </c>
      <c r="AJ33" s="368">
        <f>IF(E33="","",IFERROR(INDEX(Aktiv!$E:$E,MATCH(E33,Aktiv!$A:$A,0))*INDEX(Aktiv!$F:$F,MATCH(E33,Aktiv!$A:$A,0)),""))</f>
        <v>626400</v>
      </c>
      <c r="AK33" s="361">
        <f t="shared" si="14"/>
        <v>1.3569604086845466</v>
      </c>
      <c r="AL33" s="361">
        <f t="shared" si="15"/>
        <v>1.7560664112388251</v>
      </c>
    </row>
    <row r="34" spans="1:38" x14ac:dyDescent="0.25">
      <c r="A34" s="323" t="str">
        <f>'Preisliste 2012'!A54</f>
        <v>Rücken</v>
      </c>
      <c r="B34" s="324" t="str">
        <f>'Preisliste 2012'!B54</f>
        <v>Rück.</v>
      </c>
      <c r="C34" s="324" t="str">
        <f>'Preisliste 2012'!D54</f>
        <v>580 / 1440</v>
      </c>
      <c r="D34" s="324" t="str">
        <f>Aktiv!C95</f>
        <v>Rücken</v>
      </c>
      <c r="E34" s="324">
        <f>Aktiv!A95</f>
        <v>3322</v>
      </c>
      <c r="F34" s="325">
        <f>'Preisliste 2012'!E54</f>
        <v>114</v>
      </c>
      <c r="G34" s="325">
        <f>'Preisliste 2012'!F54</f>
        <v>345</v>
      </c>
      <c r="H34" s="325">
        <f>'Preisliste 2012'!G54</f>
        <v>0</v>
      </c>
      <c r="I34" s="325">
        <f>'Preisliste 2012'!H54</f>
        <v>0</v>
      </c>
      <c r="J34" s="325">
        <f>'Preisliste 2012'!I54</f>
        <v>278</v>
      </c>
      <c r="K34" s="325">
        <f>'Preisliste 2012'!J54</f>
        <v>403</v>
      </c>
      <c r="L34" s="325">
        <f>'Preisliste 2012'!K54</f>
        <v>504</v>
      </c>
      <c r="M34" s="325">
        <f>'Preisliste 2012'!L54</f>
        <v>605</v>
      </c>
      <c r="N34" s="365">
        <f t="shared" ca="1" si="3"/>
        <v>111.41</v>
      </c>
      <c r="O34" s="361">
        <f t="shared" ca="1" si="4"/>
        <v>381.97</v>
      </c>
      <c r="P34" s="361">
        <f t="shared" ca="1" si="5"/>
        <v>397.88</v>
      </c>
      <c r="Q34" s="361">
        <f t="shared" ca="1" si="16"/>
        <v>442.6</v>
      </c>
      <c r="R34" s="369">
        <f t="shared" ca="1" si="7"/>
        <v>-2.2719298245614066E-2</v>
      </c>
      <c r="S34" s="370">
        <f t="shared" ca="1" si="8"/>
        <v>0.10715942028985515</v>
      </c>
      <c r="T34" s="370">
        <f t="shared" ca="1" si="9"/>
        <v>0.15327536231884056</v>
      </c>
      <c r="U34" s="370" t="str">
        <f t="shared" ca="1" si="10"/>
        <v/>
      </c>
      <c r="V34" s="407">
        <f>IF(E34="","",IFERROR(INDEX(Aktiv!$G:$G,MATCH(E34,Aktiv!$A:$A,0)),""))</f>
        <v>147</v>
      </c>
      <c r="W34" s="407">
        <f>IF(E34="","",IFERROR(INDEX(Aktiv!$H:$H,MATCH(E34,Aktiv!$A:$A,0)),""))</f>
        <v>504</v>
      </c>
      <c r="X34" s="407">
        <f>IF(E34="","",IFERROR(INDEX(Aktiv!$I:$I,MATCH(E34,Aktiv!$A:$A,0)),""))</f>
        <v>525</v>
      </c>
      <c r="Y34" s="407">
        <f>IF(E34="","",IFERROR(INDEX(Aktiv!$J:$J,MATCH(E34,Aktiv!$A:$A,0)),""))</f>
        <v>584</v>
      </c>
      <c r="Z34" s="371">
        <f t="shared" si="11"/>
        <v>-6.9620253164556958E-2</v>
      </c>
      <c r="AA34" s="371">
        <f t="shared" si="0"/>
        <v>4.1322314049586778E-2</v>
      </c>
      <c r="AB34" s="371">
        <f t="shared" si="1"/>
        <v>0.3125</v>
      </c>
      <c r="AC34" s="371">
        <f t="shared" si="2"/>
        <v>-0.22340425531914893</v>
      </c>
      <c r="AD34" s="366">
        <f>IF(E34="","",IFERROR(INDEX(Preisliste_2025!$E:$E,MATCH(E34,Preisliste_2025!$C:$C,0)),""))</f>
        <v>158</v>
      </c>
      <c r="AE34" s="366">
        <f>IF(E34="","",IFERROR(INDEX(Preisliste_2025!$G:$G,MATCH(E34,Preisliste_2025!$C:$C,0)),""))</f>
        <v>484</v>
      </c>
      <c r="AF34" s="366">
        <f>IF(E34="","",IFERROR(INDEX(Preisliste_2025!$F:$F,MATCH(E34,Preisliste_2025!$C:$C,0)),""))</f>
        <v>400</v>
      </c>
      <c r="AG34" s="366">
        <f>IF(E34="","",IFERROR(INDEX(Preisliste_2025!$H:$H,MATCH(E34,Preisliste_2025!$C:$C,0)),""))</f>
        <v>752</v>
      </c>
      <c r="AH34" s="367">
        <f t="shared" si="12"/>
        <v>2.5316455696202533</v>
      </c>
      <c r="AI34" s="361">
        <f t="shared" si="13"/>
        <v>3.5714285714285716</v>
      </c>
      <c r="AJ34" s="368">
        <f>IF(E34="","",IFERROR(INDEX(Aktiv!$E:$E,MATCH(E34,Aktiv!$A:$A,0))*INDEX(Aktiv!$F:$F,MATCH(E34,Aktiv!$A:$A,0)),""))</f>
        <v>835200</v>
      </c>
      <c r="AK34" s="361">
        <f t="shared" si="14"/>
        <v>1.3649425287356323</v>
      </c>
      <c r="AL34" s="361">
        <f t="shared" si="15"/>
        <v>1.760057471264368</v>
      </c>
    </row>
    <row r="35" spans="1:38" x14ac:dyDescent="0.25">
      <c r="A35" s="323" t="str">
        <f>'Preisliste 2012'!A55</f>
        <v>Rücken</v>
      </c>
      <c r="B35" s="324" t="str">
        <f>'Preisliste 2012'!B55</f>
        <v>Rück.</v>
      </c>
      <c r="C35" s="324" t="str">
        <f>'Preisliste 2012'!D55</f>
        <v>580 / 1800</v>
      </c>
      <c r="D35" s="324" t="str">
        <f>Aktiv!C100</f>
        <v>Rücken</v>
      </c>
      <c r="E35" s="324">
        <f>Aktiv!A100</f>
        <v>3327</v>
      </c>
      <c r="F35" s="325">
        <f>'Preisliste 2012'!E55</f>
        <v>143</v>
      </c>
      <c r="G35" s="325">
        <f>'Preisliste 2012'!F55</f>
        <v>424</v>
      </c>
      <c r="H35" s="325">
        <f>'Preisliste 2012'!G55</f>
        <v>0</v>
      </c>
      <c r="I35" s="325">
        <f>'Preisliste 2012'!H55</f>
        <v>0</v>
      </c>
      <c r="J35" s="325">
        <f>'Preisliste 2012'!I55</f>
        <v>340</v>
      </c>
      <c r="K35" s="325">
        <f>'Preisliste 2012'!J55</f>
        <v>495</v>
      </c>
      <c r="L35" s="325">
        <f>'Preisliste 2012'!K55</f>
        <v>619</v>
      </c>
      <c r="M35" s="325">
        <f>'Preisliste 2012'!L55</f>
        <v>743</v>
      </c>
      <c r="N35" s="365">
        <f t="shared" ca="1" si="3"/>
        <v>139.44999999999999</v>
      </c>
      <c r="O35" s="361">
        <f t="shared" ca="1" si="4"/>
        <v>477.46</v>
      </c>
      <c r="P35" s="361">
        <f t="shared" ca="1" si="5"/>
        <v>497.17</v>
      </c>
      <c r="Q35" s="361">
        <f t="shared" ca="1" si="16"/>
        <v>553.25</v>
      </c>
      <c r="R35" s="369">
        <f t="shared" ca="1" si="7"/>
        <v>-2.4825174825174906E-2</v>
      </c>
      <c r="S35" s="370">
        <f t="shared" ca="1" si="8"/>
        <v>0.12608490566037731</v>
      </c>
      <c r="T35" s="370">
        <f t="shared" ca="1" si="9"/>
        <v>0.17257075471698116</v>
      </c>
      <c r="U35" s="370" t="str">
        <f t="shared" ca="1" si="10"/>
        <v/>
      </c>
      <c r="V35" s="407">
        <f>IF(E35="","",IFERROR(INDEX(Aktiv!$G:$G,MATCH(E35,Aktiv!$A:$A,0)),""))</f>
        <v>184</v>
      </c>
      <c r="W35" s="407">
        <f>IF(E35="","",IFERROR(INDEX(Aktiv!$H:$H,MATCH(E35,Aktiv!$A:$A,0)),""))</f>
        <v>630</v>
      </c>
      <c r="X35" s="407">
        <f>IF(E35="","",IFERROR(INDEX(Aktiv!$I:$I,MATCH(E35,Aktiv!$A:$A,0)),""))</f>
        <v>656</v>
      </c>
      <c r="Y35" s="407">
        <f>IF(E35="","",IFERROR(INDEX(Aktiv!$J:$J,MATCH(E35,Aktiv!$A:$A,0)),""))</f>
        <v>730</v>
      </c>
      <c r="Z35" s="371">
        <f t="shared" si="11"/>
        <v>-6.5989847715736044E-2</v>
      </c>
      <c r="AA35" s="371">
        <f t="shared" si="0"/>
        <v>0.62371134020618557</v>
      </c>
      <c r="AB35" s="371">
        <f t="shared" si="1"/>
        <v>0.40471092077087795</v>
      </c>
      <c r="AC35" s="371">
        <f t="shared" si="2"/>
        <v>-0.1695108077360637</v>
      </c>
      <c r="AD35" s="366">
        <f>IF(E35="","",IFERROR(INDEX(Preisliste_2025!$E:$E,MATCH(E35,Preisliste_2025!$C:$C,0)),""))</f>
        <v>197</v>
      </c>
      <c r="AE35" s="366">
        <f>IF(E35="","",IFERROR(INDEX(Preisliste_2025!$G:$G,MATCH(E35,Preisliste_2025!$C:$C,0)),""))</f>
        <v>388</v>
      </c>
      <c r="AF35" s="366">
        <f>IF(E35="","",IFERROR(INDEX(Preisliste_2025!$F:$F,MATCH(E35,Preisliste_2025!$C:$C,0)),""))</f>
        <v>467</v>
      </c>
      <c r="AG35" s="366">
        <f>IF(E35="","",IFERROR(INDEX(Preisliste_2025!$H:$H,MATCH(E35,Preisliste_2025!$C:$C,0)),""))</f>
        <v>879</v>
      </c>
      <c r="AH35" s="367">
        <f t="shared" si="12"/>
        <v>2.3705583756345177</v>
      </c>
      <c r="AI35" s="361">
        <f t="shared" si="13"/>
        <v>3.5652173913043477</v>
      </c>
      <c r="AJ35" s="368">
        <f>IF(E35="","",IFERROR(INDEX(Aktiv!$E:$E,MATCH(E35,Aktiv!$A:$A,0))*INDEX(Aktiv!$F:$F,MATCH(E35,Aktiv!$A:$A,0)),""))</f>
        <v>1044000</v>
      </c>
      <c r="AK35" s="361">
        <f t="shared" si="14"/>
        <v>1.3697318007662835</v>
      </c>
      <c r="AL35" s="361">
        <f t="shared" si="15"/>
        <v>1.7624521072796935</v>
      </c>
    </row>
    <row r="36" spans="1:38" x14ac:dyDescent="0.25">
      <c r="A36" s="323" t="str">
        <f>'Preisliste 2012'!A56</f>
        <v>Rücken</v>
      </c>
      <c r="B36" s="324" t="str">
        <f>'Preisliste 2012'!B56</f>
        <v>Rück.</v>
      </c>
      <c r="C36" s="324" t="str">
        <f>'Preisliste 2012'!D56</f>
        <v>780 / 360 (180)</v>
      </c>
      <c r="D36" s="324" t="str">
        <f>Aktiv!C81</f>
        <v>Rücken</v>
      </c>
      <c r="E36" s="324">
        <f>Aktiv!A81</f>
        <v>3308</v>
      </c>
      <c r="F36" s="325">
        <f>'Preisliste 2012'!E56</f>
        <v>38</v>
      </c>
      <c r="G36" s="325">
        <f>'Preisliste 2012'!F56</f>
        <v>123</v>
      </c>
      <c r="H36" s="325">
        <f>'Preisliste 2012'!G56</f>
        <v>150</v>
      </c>
      <c r="I36" s="325">
        <f>'Preisliste 2012'!H56</f>
        <v>167</v>
      </c>
      <c r="J36" s="325">
        <f>'Preisliste 2012'!I56</f>
        <v>100</v>
      </c>
      <c r="K36" s="325">
        <f>'Preisliste 2012'!J56</f>
        <v>130</v>
      </c>
      <c r="L36" s="325">
        <f>'Preisliste 2012'!K56</f>
        <v>162</v>
      </c>
      <c r="M36" s="325">
        <f>'Preisliste 2012'!L56</f>
        <v>195</v>
      </c>
      <c r="N36" s="365">
        <f t="shared" ca="1" si="3"/>
        <v>37.14</v>
      </c>
      <c r="O36" s="361">
        <f t="shared" ca="1" si="4"/>
        <v>128.08000000000001</v>
      </c>
      <c r="P36" s="361">
        <f t="shared" ca="1" si="5"/>
        <v>134.13999999999999</v>
      </c>
      <c r="Q36" s="361">
        <f t="shared" ca="1" si="16"/>
        <v>148.54</v>
      </c>
      <c r="R36" s="369">
        <f t="shared" ca="1" si="7"/>
        <v>-2.2631578947368405E-2</v>
      </c>
      <c r="S36" s="370">
        <f t="shared" ca="1" si="8"/>
        <v>4.1300813008130183E-2</v>
      </c>
      <c r="T36" s="370">
        <f t="shared" ca="1" si="9"/>
        <v>9.0569105691056806E-2</v>
      </c>
      <c r="U36" s="370">
        <f t="shared" ca="1" si="10"/>
        <v>-0.11053892215568867</v>
      </c>
      <c r="V36" s="407">
        <f>IF(E36="","",IFERROR(INDEX(Aktiv!$G:$G,MATCH(E36,Aktiv!$A:$A,0)),""))</f>
        <v>49</v>
      </c>
      <c r="W36" s="407">
        <f>IF(E36="","",IFERROR(INDEX(Aktiv!$H:$H,MATCH(E36,Aktiv!$A:$A,0)),""))</f>
        <v>169</v>
      </c>
      <c r="X36" s="407">
        <f>IF(E36="","",IFERROR(INDEX(Aktiv!$I:$I,MATCH(E36,Aktiv!$A:$A,0)),""))</f>
        <v>177</v>
      </c>
      <c r="Y36" s="407">
        <f>IF(E36="","",IFERROR(INDEX(Aktiv!$J:$J,MATCH(E36,Aktiv!$A:$A,0)),""))</f>
        <v>196</v>
      </c>
      <c r="Z36" s="371">
        <f t="shared" si="11"/>
        <v>-0.125</v>
      </c>
      <c r="AA36" s="371">
        <f t="shared" si="0"/>
        <v>-8.6486486486486491E-2</v>
      </c>
      <c r="AB36" s="371">
        <f t="shared" si="1"/>
        <v>0.22916666666666666</v>
      </c>
      <c r="AC36" s="371">
        <f t="shared" si="2"/>
        <v>3.1578947368421054E-2</v>
      </c>
      <c r="AD36" s="366">
        <f>IF(E36="","",IFERROR(INDEX(Preisliste_2025!$E:$E,MATCH(E36,Preisliste_2025!$C:$C,0)),""))</f>
        <v>56</v>
      </c>
      <c r="AE36" s="366">
        <f>IF(E36="","",IFERROR(INDEX(Preisliste_2025!$G:$G,MATCH(E36,Preisliste_2025!$C:$C,0)),""))</f>
        <v>185</v>
      </c>
      <c r="AF36" s="366">
        <f>IF(E36="","",IFERROR(INDEX(Preisliste_2025!$F:$F,MATCH(E36,Preisliste_2025!$C:$C,0)),""))</f>
        <v>144</v>
      </c>
      <c r="AG36" s="366">
        <f>IF(E36="","",IFERROR(INDEX(Preisliste_2025!$H:$H,MATCH(E36,Preisliste_2025!$C:$C,0)),""))</f>
        <v>190</v>
      </c>
      <c r="AH36" s="367">
        <f t="shared" si="12"/>
        <v>2.5714285714285716</v>
      </c>
      <c r="AI36" s="361">
        <f t="shared" si="13"/>
        <v>3.6122448979591835</v>
      </c>
      <c r="AJ36" s="368">
        <f>IF(E36="","",IFERROR(INDEX(Aktiv!$E:$E,MATCH(E36,Aktiv!$A:$A,0))*INDEX(Aktiv!$F:$F,MATCH(E36,Aktiv!$A:$A,0)),""))</f>
        <v>280800</v>
      </c>
      <c r="AK36" s="361">
        <f t="shared" si="14"/>
        <v>1.3532763532763534</v>
      </c>
      <c r="AL36" s="361">
        <f t="shared" si="15"/>
        <v>1.7450142450142452</v>
      </c>
    </row>
    <row r="37" spans="1:38" x14ac:dyDescent="0.25">
      <c r="A37" s="323" t="str">
        <f>'Preisliste 2012'!A57</f>
        <v>Rücken</v>
      </c>
      <c r="B37" s="324" t="str">
        <f>'Preisliste 2012'!B57</f>
        <v>Rück.</v>
      </c>
      <c r="C37" s="324" t="str">
        <f>'Preisliste 2012'!D57</f>
        <v>780 / 720</v>
      </c>
      <c r="D37" s="324" t="str">
        <f>Aktiv!C86</f>
        <v>Rücken</v>
      </c>
      <c r="E37" s="324">
        <f>Aktiv!A86</f>
        <v>3313</v>
      </c>
      <c r="F37" s="325">
        <f>'Preisliste 2012'!E57</f>
        <v>76</v>
      </c>
      <c r="G37" s="325">
        <f>'Preisliste 2012'!F57</f>
        <v>249</v>
      </c>
      <c r="H37" s="325">
        <f>'Preisliste 2012'!G57</f>
        <v>192</v>
      </c>
      <c r="I37" s="325">
        <f>'Preisliste 2012'!H57</f>
        <v>214</v>
      </c>
      <c r="J37" s="325">
        <f>'Preisliste 2012'!I57</f>
        <v>199</v>
      </c>
      <c r="K37" s="325">
        <f>'Preisliste 2012'!J57</f>
        <v>270</v>
      </c>
      <c r="L37" s="325">
        <f>'Preisliste 2012'!K57</f>
        <v>338</v>
      </c>
      <c r="M37" s="325">
        <f>'Preisliste 2012'!L57</f>
        <v>405</v>
      </c>
      <c r="N37" s="365">
        <f t="shared" ca="1" si="3"/>
        <v>75.03</v>
      </c>
      <c r="O37" s="361">
        <f t="shared" ca="1" si="4"/>
        <v>256.92</v>
      </c>
      <c r="P37" s="361">
        <f t="shared" ca="1" si="5"/>
        <v>267.52999999999997</v>
      </c>
      <c r="Q37" s="361">
        <f t="shared" ca="1" si="16"/>
        <v>297.83999999999997</v>
      </c>
      <c r="R37" s="369">
        <f t="shared" ca="1" si="7"/>
        <v>-1.2763157894736827E-2</v>
      </c>
      <c r="S37" s="370">
        <f t="shared" ca="1" si="8"/>
        <v>3.1807228915662712E-2</v>
      </c>
      <c r="T37" s="370">
        <f t="shared" ca="1" si="9"/>
        <v>7.4417670682730808E-2</v>
      </c>
      <c r="U37" s="370">
        <f t="shared" ca="1" si="10"/>
        <v>0.39177570093457931</v>
      </c>
      <c r="V37" s="407">
        <f>IF(E37="","",IFERROR(INDEX(Aktiv!$G:$G,MATCH(E37,Aktiv!$A:$A,0)),""))</f>
        <v>99</v>
      </c>
      <c r="W37" s="407">
        <f>IF(E37="","",IFERROR(INDEX(Aktiv!$H:$H,MATCH(E37,Aktiv!$A:$A,0)),""))</f>
        <v>339</v>
      </c>
      <c r="X37" s="407">
        <f>IF(E37="","",IFERROR(INDEX(Aktiv!$I:$I,MATCH(E37,Aktiv!$A:$A,0)),""))</f>
        <v>353</v>
      </c>
      <c r="Y37" s="407">
        <f>IF(E37="","",IFERROR(INDEX(Aktiv!$J:$J,MATCH(E37,Aktiv!$A:$A,0)),""))</f>
        <v>393</v>
      </c>
      <c r="Z37" s="371">
        <f t="shared" si="11"/>
        <v>-7.476635514018691E-2</v>
      </c>
      <c r="AA37" s="371">
        <f t="shared" si="0"/>
        <v>-4.507042253521127E-2</v>
      </c>
      <c r="AB37" s="371">
        <f t="shared" si="1"/>
        <v>0.27436823104693142</v>
      </c>
      <c r="AC37" s="371">
        <f t="shared" si="2"/>
        <v>0.46641791044776121</v>
      </c>
      <c r="AD37" s="366">
        <f>IF(E37="","",IFERROR(INDEX(Preisliste_2025!$E:$E,MATCH(E37,Preisliste_2025!$C:$C,0)),""))</f>
        <v>107</v>
      </c>
      <c r="AE37" s="366">
        <f>IF(E37="","",IFERROR(INDEX(Preisliste_2025!$G:$G,MATCH(E37,Preisliste_2025!$C:$C,0)),""))</f>
        <v>355</v>
      </c>
      <c r="AF37" s="366">
        <f>IF(E37="","",IFERROR(INDEX(Preisliste_2025!$F:$F,MATCH(E37,Preisliste_2025!$C:$C,0)),""))</f>
        <v>277</v>
      </c>
      <c r="AG37" s="366">
        <f>IF(E37="","",IFERROR(INDEX(Preisliste_2025!$H:$H,MATCH(E37,Preisliste_2025!$C:$C,0)),""))</f>
        <v>268</v>
      </c>
      <c r="AH37" s="367">
        <f t="shared" si="12"/>
        <v>2.5887850467289719</v>
      </c>
      <c r="AI37" s="361">
        <f t="shared" si="13"/>
        <v>3.5656565656565657</v>
      </c>
      <c r="AJ37" s="368">
        <f>IF(E37="","",IFERROR(INDEX(Aktiv!$E:$E,MATCH(E37,Aktiv!$A:$A,0))*INDEX(Aktiv!$F:$F,MATCH(E37,Aktiv!$A:$A,0)),""))</f>
        <v>561600</v>
      </c>
      <c r="AK37" s="361">
        <f t="shared" si="14"/>
        <v>1.3532763532763534</v>
      </c>
      <c r="AL37" s="361">
        <f t="shared" si="15"/>
        <v>1.762820512820513</v>
      </c>
    </row>
    <row r="38" spans="1:38" x14ac:dyDescent="0.25">
      <c r="A38" s="323" t="str">
        <f>'Preisliste 2012'!A58</f>
        <v>Rücken</v>
      </c>
      <c r="B38" s="324" t="str">
        <f>'Preisliste 2012'!B58</f>
        <v>Rück.</v>
      </c>
      <c r="C38" s="324" t="str">
        <f>'Preisliste 2012'!D58</f>
        <v>780 / 1080</v>
      </c>
      <c r="D38" s="324" t="str">
        <f>Aktiv!C91</f>
        <v>Rücken</v>
      </c>
      <c r="E38" s="324">
        <f>Aktiv!A91</f>
        <v>3318</v>
      </c>
      <c r="F38" s="325">
        <f>'Preisliste 2012'!E58</f>
        <v>116</v>
      </c>
      <c r="G38" s="325">
        <f>'Preisliste 2012'!F58</f>
        <v>370</v>
      </c>
      <c r="H38" s="325">
        <f>'Preisliste 2012'!G58</f>
        <v>279</v>
      </c>
      <c r="I38" s="325">
        <f>'Preisliste 2012'!H58</f>
        <v>309</v>
      </c>
      <c r="J38" s="325">
        <f>'Preisliste 2012'!I58</f>
        <v>297</v>
      </c>
      <c r="K38" s="325">
        <f>'Preisliste 2012'!J58</f>
        <v>404</v>
      </c>
      <c r="L38" s="325">
        <f>'Preisliste 2012'!K58</f>
        <v>505</v>
      </c>
      <c r="M38" s="325">
        <f>'Preisliste 2012'!L58</f>
        <v>606</v>
      </c>
      <c r="N38" s="365">
        <f t="shared" ca="1" si="3"/>
        <v>112.17</v>
      </c>
      <c r="O38" s="361">
        <f t="shared" ca="1" si="4"/>
        <v>385</v>
      </c>
      <c r="P38" s="361">
        <f t="shared" ca="1" si="5"/>
        <v>401.67</v>
      </c>
      <c r="Q38" s="361">
        <f t="shared" ca="1" si="16"/>
        <v>446.39</v>
      </c>
      <c r="R38" s="369">
        <f t="shared" ca="1" si="7"/>
        <v>-3.3017241379310329E-2</v>
      </c>
      <c r="S38" s="370">
        <f t="shared" ca="1" si="8"/>
        <v>4.0540540540540543E-2</v>
      </c>
      <c r="T38" s="370">
        <f t="shared" ca="1" si="9"/>
        <v>8.5594594594594633E-2</v>
      </c>
      <c r="U38" s="370">
        <f t="shared" ca="1" si="10"/>
        <v>0.44462783171521031</v>
      </c>
      <c r="V38" s="407">
        <f>IF(E38="","",IFERROR(INDEX(Aktiv!$G:$G,MATCH(E38,Aktiv!$A:$A,0)),""))</f>
        <v>148</v>
      </c>
      <c r="W38" s="407">
        <f>IF(E38="","",IFERROR(INDEX(Aktiv!$H:$H,MATCH(E38,Aktiv!$A:$A,0)),""))</f>
        <v>508</v>
      </c>
      <c r="X38" s="407">
        <f>IF(E38="","",IFERROR(INDEX(Aktiv!$I:$I,MATCH(E38,Aktiv!$A:$A,0)),""))</f>
        <v>530</v>
      </c>
      <c r="Y38" s="407">
        <f>IF(E38="","",IFERROR(INDEX(Aktiv!$J:$J,MATCH(E38,Aktiv!$A:$A,0)),""))</f>
        <v>589</v>
      </c>
      <c r="Z38" s="371">
        <f t="shared" si="11"/>
        <v>-8.0745341614906832E-2</v>
      </c>
      <c r="AA38" s="371">
        <f t="shared" si="0"/>
        <v>-1.7408123791102514E-2</v>
      </c>
      <c r="AB38" s="371">
        <f t="shared" si="1"/>
        <v>0.29584352078239606</v>
      </c>
      <c r="AC38" s="371">
        <f t="shared" si="2"/>
        <v>0.52987012987012982</v>
      </c>
      <c r="AD38" s="366">
        <f>IF(E38="","",IFERROR(INDEX(Preisliste_2025!$E:$E,MATCH(E38,Preisliste_2025!$C:$C,0)),""))</f>
        <v>161</v>
      </c>
      <c r="AE38" s="366">
        <f>IF(E38="","",IFERROR(INDEX(Preisliste_2025!$G:$G,MATCH(E38,Preisliste_2025!$C:$C,0)),""))</f>
        <v>517</v>
      </c>
      <c r="AF38" s="366">
        <f>IF(E38="","",IFERROR(INDEX(Preisliste_2025!$F:$F,MATCH(E38,Preisliste_2025!$C:$C,0)),""))</f>
        <v>409</v>
      </c>
      <c r="AG38" s="366">
        <f>IF(E38="","",IFERROR(INDEX(Preisliste_2025!$H:$H,MATCH(E38,Preisliste_2025!$C:$C,0)),""))</f>
        <v>385</v>
      </c>
      <c r="AH38" s="367">
        <f t="shared" si="12"/>
        <v>2.5403726708074532</v>
      </c>
      <c r="AI38" s="361">
        <f t="shared" si="13"/>
        <v>3.5810810810810811</v>
      </c>
      <c r="AJ38" s="368">
        <f>IF(E38="","",IFERROR(INDEX(Aktiv!$E:$E,MATCH(E38,Aktiv!$A:$A,0))*INDEX(Aktiv!$F:$F,MATCH(E38,Aktiv!$A:$A,0)),""))</f>
        <v>842400</v>
      </c>
      <c r="AK38" s="361">
        <f t="shared" ref="AK38:AK71" si="17">IF(OR(AJ38="",AJ38=0,F38=""),"",F38/(AJ38/10000))</f>
        <v>1.3770180436847104</v>
      </c>
      <c r="AL38" s="361">
        <f t="shared" ref="AL38:AL71" si="18">IF(OR(AJ38="",AJ38=0,V38=""),"",V38/(AJ38/10000))</f>
        <v>1.7568850902184237</v>
      </c>
    </row>
    <row r="39" spans="1:38" x14ac:dyDescent="0.25">
      <c r="A39" s="323" t="str">
        <f>'Preisliste 2012'!A59</f>
        <v>Rücken</v>
      </c>
      <c r="B39" s="324" t="str">
        <f>'Preisliste 2012'!B59</f>
        <v>Rück.</v>
      </c>
      <c r="C39" s="324" t="str">
        <f>'Preisliste 2012'!D59</f>
        <v>780 / 1440</v>
      </c>
      <c r="D39" s="324" t="str">
        <f>Aktiv!C96</f>
        <v>Rücken</v>
      </c>
      <c r="E39" s="324">
        <f>Aktiv!A96</f>
        <v>3323</v>
      </c>
      <c r="F39" s="325">
        <f>'Preisliste 2012'!E59</f>
        <v>153</v>
      </c>
      <c r="G39" s="325">
        <f>'Preisliste 2012'!F59</f>
        <v>454</v>
      </c>
      <c r="H39" s="325">
        <f>'Preisliste 2012'!G59</f>
        <v>0</v>
      </c>
      <c r="I39" s="325">
        <f>'Preisliste 2012'!H59</f>
        <v>0</v>
      </c>
      <c r="J39" s="325">
        <f>'Preisliste 2012'!I59</f>
        <v>364</v>
      </c>
      <c r="K39" s="325">
        <f>'Preisliste 2012'!J59</f>
        <v>530</v>
      </c>
      <c r="L39" s="325">
        <f>'Preisliste 2012'!K59</f>
        <v>662</v>
      </c>
      <c r="M39" s="325">
        <f>'Preisliste 2012'!L59</f>
        <v>795</v>
      </c>
      <c r="N39" s="365">
        <f t="shared" ca="1" si="3"/>
        <v>150.06</v>
      </c>
      <c r="O39" s="361">
        <f t="shared" ca="1" si="4"/>
        <v>513.84</v>
      </c>
      <c r="P39" s="361">
        <f t="shared" ca="1" si="5"/>
        <v>535.05999999999995</v>
      </c>
      <c r="Q39" s="361">
        <f t="shared" ca="1" si="16"/>
        <v>595.69000000000005</v>
      </c>
      <c r="R39" s="369">
        <f t="shared" ca="1" si="7"/>
        <v>-1.9215686274509789E-2</v>
      </c>
      <c r="S39" s="370">
        <f t="shared" ca="1" si="8"/>
        <v>0.13180616740088114</v>
      </c>
      <c r="T39" s="370">
        <f t="shared" ca="1" si="9"/>
        <v>0.1785462555066078</v>
      </c>
      <c r="U39" s="370" t="str">
        <f t="shared" ca="1" si="10"/>
        <v/>
      </c>
      <c r="V39" s="407">
        <f>IF(E39="","",IFERROR(INDEX(Aktiv!$G:$G,MATCH(E39,Aktiv!$A:$A,0)),""))</f>
        <v>198</v>
      </c>
      <c r="W39" s="407">
        <f>IF(E39="","",IFERROR(INDEX(Aktiv!$H:$H,MATCH(E39,Aktiv!$A:$A,0)),""))</f>
        <v>678</v>
      </c>
      <c r="X39" s="407">
        <f>IF(E39="","",IFERROR(INDEX(Aktiv!$I:$I,MATCH(E39,Aktiv!$A:$A,0)),""))</f>
        <v>706</v>
      </c>
      <c r="Y39" s="407">
        <f>IF(E39="","",IFERROR(INDEX(Aktiv!$J:$J,MATCH(E39,Aktiv!$A:$A,0)),""))</f>
        <v>786</v>
      </c>
      <c r="Z39" s="371">
        <f t="shared" si="11"/>
        <v>-6.1611374407582936E-2</v>
      </c>
      <c r="AA39" s="371">
        <f t="shared" si="0"/>
        <v>7.6190476190476197E-2</v>
      </c>
      <c r="AB39" s="371">
        <f t="shared" si="1"/>
        <v>0.4148296593186373</v>
      </c>
      <c r="AC39" s="371">
        <f t="shared" si="2"/>
        <v>-0.16293929712460065</v>
      </c>
      <c r="AD39" s="366">
        <f>IF(E39="","",IFERROR(INDEX(Preisliste_2025!$E:$E,MATCH(E39,Preisliste_2025!$C:$C,0)),""))</f>
        <v>211</v>
      </c>
      <c r="AE39" s="366">
        <f>IF(E39="","",IFERROR(INDEX(Preisliste_2025!$G:$G,MATCH(E39,Preisliste_2025!$C:$C,0)),""))</f>
        <v>630</v>
      </c>
      <c r="AF39" s="366">
        <f>IF(E39="","",IFERROR(INDEX(Preisliste_2025!$F:$F,MATCH(E39,Preisliste_2025!$C:$C,0)),""))</f>
        <v>499</v>
      </c>
      <c r="AG39" s="366">
        <f>IF(E39="","",IFERROR(INDEX(Preisliste_2025!$H:$H,MATCH(E39,Preisliste_2025!$C:$C,0)),""))</f>
        <v>939</v>
      </c>
      <c r="AH39" s="367">
        <f t="shared" si="12"/>
        <v>2.3649289099526065</v>
      </c>
      <c r="AI39" s="361">
        <f t="shared" si="13"/>
        <v>3.5656565656565657</v>
      </c>
      <c r="AJ39" s="368">
        <f>IF(E39="","",IFERROR(INDEX(Aktiv!$E:$E,MATCH(E39,Aktiv!$A:$A,0))*INDEX(Aktiv!$F:$F,MATCH(E39,Aktiv!$A:$A,0)),""))</f>
        <v>1123200</v>
      </c>
      <c r="AK39" s="361">
        <f t="shared" si="17"/>
        <v>1.3621794871794872</v>
      </c>
      <c r="AL39" s="361">
        <f t="shared" si="18"/>
        <v>1.762820512820513</v>
      </c>
    </row>
    <row r="40" spans="1:38" x14ac:dyDescent="0.25">
      <c r="A40" s="323" t="str">
        <f>'Preisliste 2012'!A60</f>
        <v>Rücken</v>
      </c>
      <c r="B40" s="324" t="str">
        <f>'Preisliste 2012'!B60</f>
        <v>Rück.</v>
      </c>
      <c r="C40" s="324" t="str">
        <f>'Preisliste 2012'!D60</f>
        <v>780 / 1800</v>
      </c>
      <c r="D40" s="324" t="str">
        <f>Aktiv!C101</f>
        <v>Rücken</v>
      </c>
      <c r="E40" s="324">
        <f>Aktiv!A101</f>
        <v>3328</v>
      </c>
      <c r="F40" s="325">
        <f>'Preisliste 2012'!E60</f>
        <v>193</v>
      </c>
      <c r="G40" s="325">
        <f>'Preisliste 2012'!F60</f>
        <v>559</v>
      </c>
      <c r="H40" s="325">
        <f>'Preisliste 2012'!G60</f>
        <v>0</v>
      </c>
      <c r="I40" s="325">
        <f>'Preisliste 2012'!H60</f>
        <v>0</v>
      </c>
      <c r="J40" s="325">
        <f>'Preisliste 2012'!I60</f>
        <v>448</v>
      </c>
      <c r="K40" s="325">
        <f>'Preisliste 2012'!J60</f>
        <v>655</v>
      </c>
      <c r="L40" s="325">
        <f>'Preisliste 2012'!K60</f>
        <v>818</v>
      </c>
      <c r="M40" s="325">
        <f>'Preisliste 2012'!L60</f>
        <v>983</v>
      </c>
      <c r="N40" s="365" t="e">
        <f t="shared" ca="1" si="3"/>
        <v>#VALUE!</v>
      </c>
      <c r="O40" s="361" t="e">
        <f t="shared" ca="1" si="4"/>
        <v>#VALUE!</v>
      </c>
      <c r="P40" s="361" t="e">
        <f t="shared" ca="1" si="5"/>
        <v>#VALUE!</v>
      </c>
      <c r="Q40" s="361" t="e">
        <f t="shared" ca="1" si="16"/>
        <v>#VALUE!</v>
      </c>
      <c r="R40" s="369">
        <f t="shared" ca="1" si="7"/>
        <v>0</v>
      </c>
      <c r="S40" s="370" t="str">
        <f t="shared" ca="1" si="8"/>
        <v/>
      </c>
      <c r="T40" s="370" t="str">
        <f t="shared" ca="1" si="9"/>
        <v/>
      </c>
      <c r="U40" s="370" t="str">
        <f t="shared" ca="1" si="10"/>
        <v/>
      </c>
      <c r="V40" s="407" t="str">
        <f>IF(E40="","",IFERROR(INDEX(Aktiv!$G:$G,MATCH(E40,Aktiv!$A:$A,0)),""))</f>
        <v>-</v>
      </c>
      <c r="W40" s="407" t="str">
        <f>IF(E40="","",IFERROR(INDEX(Aktiv!$H:$H,MATCH(E40,Aktiv!$A:$A,0)),""))</f>
        <v>-</v>
      </c>
      <c r="X40" s="407" t="str">
        <f>IF(E40="","",IFERROR(INDEX(Aktiv!$I:$I,MATCH(E40,Aktiv!$A:$A,0)),""))</f>
        <v>-</v>
      </c>
      <c r="Y40" s="407" t="str">
        <f>IF(E40="","",IFERROR(INDEX(Aktiv!$J:$J,MATCH(E40,Aktiv!$A:$A,0)),""))</f>
        <v>-</v>
      </c>
      <c r="Z40" s="371" t="str">
        <f t="shared" si="11"/>
        <v/>
      </c>
      <c r="AA40" s="371" t="str">
        <f t="shared" si="0"/>
        <v/>
      </c>
      <c r="AB40" s="371" t="str">
        <f t="shared" si="1"/>
        <v/>
      </c>
      <c r="AC40" s="371" t="str">
        <f t="shared" si="2"/>
        <v/>
      </c>
      <c r="AD40" s="366">
        <f>IF(E40="","",IFERROR(INDEX(Preisliste_2025!$E:$E,MATCH(E40,Preisliste_2025!$C:$C,0)),""))</f>
        <v>264</v>
      </c>
      <c r="AE40" s="366">
        <f>IF(E40="","",IFERROR(INDEX(Preisliste_2025!$G:$G,MATCH(E40,Preisliste_2025!$C:$C,0)),""))</f>
        <v>520</v>
      </c>
      <c r="AF40" s="366">
        <f>IF(E40="","",IFERROR(INDEX(Preisliste_2025!$F:$F,MATCH(E40,Preisliste_2025!$C:$C,0)),""))</f>
        <v>612</v>
      </c>
      <c r="AG40" s="366">
        <f>IF(E40="","",IFERROR(INDEX(Preisliste_2025!$H:$H,MATCH(E40,Preisliste_2025!$C:$C,0)),""))</f>
        <v>1151</v>
      </c>
      <c r="AH40" s="367">
        <f t="shared" si="12"/>
        <v>2.3181818181818183</v>
      </c>
      <c r="AI40" s="361" t="e">
        <f t="shared" si="13"/>
        <v>#VALUE!</v>
      </c>
      <c r="AJ40" s="368">
        <f>IF(E40="","",IFERROR(INDEX(Aktiv!$E:$E,MATCH(E40,Aktiv!$A:$A,0))*INDEX(Aktiv!$F:$F,MATCH(E40,Aktiv!$A:$A,0)),""))</f>
        <v>1404000</v>
      </c>
      <c r="AK40" s="361">
        <f t="shared" si="17"/>
        <v>1.3746438746438745</v>
      </c>
      <c r="AL40" s="361" t="e">
        <f t="shared" si="18"/>
        <v>#VALUE!</v>
      </c>
    </row>
    <row r="41" spans="1:38" x14ac:dyDescent="0.25">
      <c r="A41" s="323" t="str">
        <f>'Preisliste 2012'!A61</f>
        <v>Rücken</v>
      </c>
      <c r="B41" s="324" t="str">
        <f>'Preisliste 2012'!B61</f>
        <v>Rück.</v>
      </c>
      <c r="C41" s="324" t="str">
        <f>'Preisliste 2012'!D61</f>
        <v>980 / 360 (180)</v>
      </c>
      <c r="D41" s="324" t="str">
        <f>Aktiv!C82</f>
        <v>Rücken</v>
      </c>
      <c r="E41" s="324">
        <f>Aktiv!A82</f>
        <v>3309</v>
      </c>
      <c r="F41" s="325">
        <f>'Preisliste 2012'!E61</f>
        <v>48</v>
      </c>
      <c r="G41" s="325">
        <f>'Preisliste 2012'!F61</f>
        <v>151</v>
      </c>
      <c r="H41" s="325">
        <f>'Preisliste 2012'!G61</f>
        <v>163</v>
      </c>
      <c r="I41" s="325">
        <f>'Preisliste 2012'!H61</f>
        <v>181</v>
      </c>
      <c r="J41" s="325">
        <f>'Preisliste 2012'!I61</f>
        <v>122</v>
      </c>
      <c r="K41" s="325">
        <f>'Preisliste 2012'!J61</f>
        <v>158</v>
      </c>
      <c r="L41" s="325">
        <f>'Preisliste 2012'!K61</f>
        <v>198</v>
      </c>
      <c r="M41" s="325">
        <f>'Preisliste 2012'!L61</f>
        <v>237</v>
      </c>
      <c r="N41" s="365">
        <f t="shared" ca="1" si="3"/>
        <v>46.99</v>
      </c>
      <c r="O41" s="361">
        <f t="shared" ca="1" si="4"/>
        <v>161.43</v>
      </c>
      <c r="P41" s="361">
        <f t="shared" ca="1" si="5"/>
        <v>168.25</v>
      </c>
      <c r="Q41" s="361">
        <f t="shared" ca="1" si="16"/>
        <v>187.2</v>
      </c>
      <c r="R41" s="369">
        <f t="shared" ca="1" si="7"/>
        <v>-2.1041666666666625E-2</v>
      </c>
      <c r="S41" s="370">
        <f t="shared" ca="1" si="8"/>
        <v>6.9072847682119257E-2</v>
      </c>
      <c r="T41" s="370">
        <f t="shared" ca="1" si="9"/>
        <v>0.11423841059602649</v>
      </c>
      <c r="U41" s="370">
        <f t="shared" ca="1" si="10"/>
        <v>3.4254143646408775E-2</v>
      </c>
      <c r="V41" s="407">
        <f>IF(E41="","",IFERROR(INDEX(Aktiv!$G:$G,MATCH(E41,Aktiv!$A:$A,0)),""))</f>
        <v>62</v>
      </c>
      <c r="W41" s="407">
        <f>IF(E41="","",IFERROR(INDEX(Aktiv!$H:$H,MATCH(E41,Aktiv!$A:$A,0)),""))</f>
        <v>213</v>
      </c>
      <c r="X41" s="407">
        <f>IF(E41="","",IFERROR(INDEX(Aktiv!$I:$I,MATCH(E41,Aktiv!$A:$A,0)),""))</f>
        <v>222</v>
      </c>
      <c r="Y41" s="407">
        <f>IF(E41="","",IFERROR(INDEX(Aktiv!$J:$J,MATCH(E41,Aktiv!$A:$A,0)),""))</f>
        <v>247</v>
      </c>
      <c r="Z41" s="371">
        <f t="shared" si="11"/>
        <v>-0.11428571428571428</v>
      </c>
      <c r="AA41" s="371">
        <f t="shared" si="0"/>
        <v>-4.4843049327354258E-2</v>
      </c>
      <c r="AB41" s="371">
        <f t="shared" si="1"/>
        <v>0.27586206896551724</v>
      </c>
      <c r="AC41" s="371">
        <f t="shared" si="2"/>
        <v>0.18181818181818182</v>
      </c>
      <c r="AD41" s="366">
        <f>IF(E41="","",IFERROR(INDEX(Preisliste_2025!$E:$E,MATCH(E41,Preisliste_2025!$C:$C,0)),""))</f>
        <v>70</v>
      </c>
      <c r="AE41" s="366">
        <f>IF(E41="","",IFERROR(INDEX(Preisliste_2025!$G:$G,MATCH(E41,Preisliste_2025!$C:$C,0)),""))</f>
        <v>223</v>
      </c>
      <c r="AF41" s="366">
        <f>IF(E41="","",IFERROR(INDEX(Preisliste_2025!$F:$F,MATCH(E41,Preisliste_2025!$C:$C,0)),""))</f>
        <v>174</v>
      </c>
      <c r="AG41" s="366">
        <f>IF(E41="","",IFERROR(INDEX(Preisliste_2025!$H:$H,MATCH(E41,Preisliste_2025!$C:$C,0)),""))</f>
        <v>209</v>
      </c>
      <c r="AH41" s="367">
        <f t="shared" si="12"/>
        <v>2.4857142857142858</v>
      </c>
      <c r="AI41" s="361">
        <f t="shared" si="13"/>
        <v>3.5806451612903225</v>
      </c>
      <c r="AJ41" s="368">
        <f>IF(E41="","",IFERROR(INDEX(Aktiv!$E:$E,MATCH(E41,Aktiv!$A:$A,0))*INDEX(Aktiv!$F:$F,MATCH(E41,Aktiv!$A:$A,0)),""))</f>
        <v>352800</v>
      </c>
      <c r="AK41" s="361">
        <f t="shared" si="17"/>
        <v>1.3605442176870748</v>
      </c>
      <c r="AL41" s="361">
        <f t="shared" si="18"/>
        <v>1.7573696145124715</v>
      </c>
    </row>
    <row r="42" spans="1:38" x14ac:dyDescent="0.25">
      <c r="A42" s="323" t="str">
        <f>'Preisliste 2012'!A62</f>
        <v>Rücken</v>
      </c>
      <c r="B42" s="324" t="str">
        <f>'Preisliste 2012'!B62</f>
        <v>Rück.</v>
      </c>
      <c r="C42" s="324" t="str">
        <f>'Preisliste 2012'!D62</f>
        <v>980 / 720</v>
      </c>
      <c r="D42" s="324" t="str">
        <f>Aktiv!C87</f>
        <v>Rücken</v>
      </c>
      <c r="E42" s="324">
        <f>Aktiv!A87</f>
        <v>3314</v>
      </c>
      <c r="F42" s="325">
        <f>'Preisliste 2012'!E62</f>
        <v>96</v>
      </c>
      <c r="G42" s="325">
        <f>'Preisliste 2012'!F62</f>
        <v>287</v>
      </c>
      <c r="H42" s="325">
        <f>'Preisliste 2012'!G62</f>
        <v>237</v>
      </c>
      <c r="I42" s="325">
        <f>'Preisliste 2012'!H62</f>
        <v>264</v>
      </c>
      <c r="J42" s="325">
        <f>'Preisliste 2012'!I62</f>
        <v>231</v>
      </c>
      <c r="K42" s="325">
        <f>'Preisliste 2012'!J62</f>
        <v>336</v>
      </c>
      <c r="L42" s="325">
        <f>'Preisliste 2012'!K62</f>
        <v>420</v>
      </c>
      <c r="M42" s="325">
        <f>'Preisliste 2012'!L62</f>
        <v>504</v>
      </c>
      <c r="N42" s="365">
        <f t="shared" ca="1" si="3"/>
        <v>93.98</v>
      </c>
      <c r="O42" s="361">
        <f t="shared" ca="1" si="4"/>
        <v>322.85000000000002</v>
      </c>
      <c r="P42" s="361">
        <f t="shared" ca="1" si="5"/>
        <v>336.5</v>
      </c>
      <c r="Q42" s="361">
        <f t="shared" ca="1" si="16"/>
        <v>374.39</v>
      </c>
      <c r="R42" s="369">
        <f t="shared" ca="1" si="7"/>
        <v>-2.1041666666666625E-2</v>
      </c>
      <c r="S42" s="370">
        <f t="shared" ca="1" si="8"/>
        <v>0.1249128919860628</v>
      </c>
      <c r="T42" s="370">
        <f t="shared" ca="1" si="9"/>
        <v>0.17247386759581881</v>
      </c>
      <c r="U42" s="370">
        <f t="shared" ca="1" si="10"/>
        <v>0.41814393939393935</v>
      </c>
      <c r="V42" s="407">
        <f>IF(E42="","",IFERROR(INDEX(Aktiv!$G:$G,MATCH(E42,Aktiv!$A:$A,0)),""))</f>
        <v>124</v>
      </c>
      <c r="W42" s="407">
        <f>IF(E42="","",IFERROR(INDEX(Aktiv!$H:$H,MATCH(E42,Aktiv!$A:$A,0)),""))</f>
        <v>426</v>
      </c>
      <c r="X42" s="407">
        <f>IF(E42="","",IFERROR(INDEX(Aktiv!$I:$I,MATCH(E42,Aktiv!$A:$A,0)),""))</f>
        <v>444</v>
      </c>
      <c r="Y42" s="407">
        <f>IF(E42="","",IFERROR(INDEX(Aktiv!$J:$J,MATCH(E42,Aktiv!$A:$A,0)),""))</f>
        <v>494</v>
      </c>
      <c r="Z42" s="371">
        <f t="shared" si="11"/>
        <v>-7.4626865671641784E-2</v>
      </c>
      <c r="AA42" s="371">
        <f t="shared" si="0"/>
        <v>4.9261083743842367E-2</v>
      </c>
      <c r="AB42" s="371">
        <f t="shared" si="1"/>
        <v>0.38750000000000001</v>
      </c>
      <c r="AC42" s="371">
        <f t="shared" si="2"/>
        <v>0.50151975683890582</v>
      </c>
      <c r="AD42" s="366">
        <f>IF(E42="","",IFERROR(INDEX(Preisliste_2025!$E:$E,MATCH(E42,Preisliste_2025!$C:$C,0)),""))</f>
        <v>134</v>
      </c>
      <c r="AE42" s="366">
        <f>IF(E42="","",IFERROR(INDEX(Preisliste_2025!$G:$G,MATCH(E42,Preisliste_2025!$C:$C,0)),""))</f>
        <v>406</v>
      </c>
      <c r="AF42" s="366">
        <f>IF(E42="","",IFERROR(INDEX(Preisliste_2025!$F:$F,MATCH(E42,Preisliste_2025!$C:$C,0)),""))</f>
        <v>320</v>
      </c>
      <c r="AG42" s="366">
        <f>IF(E42="","",IFERROR(INDEX(Preisliste_2025!$H:$H,MATCH(E42,Preisliste_2025!$C:$C,0)),""))</f>
        <v>329</v>
      </c>
      <c r="AH42" s="367">
        <f t="shared" si="12"/>
        <v>2.3880597014925371</v>
      </c>
      <c r="AI42" s="361">
        <f t="shared" si="13"/>
        <v>3.5806451612903225</v>
      </c>
      <c r="AJ42" s="368">
        <f>IF(E42="","",IFERROR(INDEX(Aktiv!$E:$E,MATCH(E42,Aktiv!$A:$A,0))*INDEX(Aktiv!$F:$F,MATCH(E42,Aktiv!$A:$A,0)),""))</f>
        <v>705600</v>
      </c>
      <c r="AK42" s="361">
        <f t="shared" si="17"/>
        <v>1.3605442176870748</v>
      </c>
      <c r="AL42" s="361">
        <f t="shared" si="18"/>
        <v>1.7573696145124715</v>
      </c>
    </row>
    <row r="43" spans="1:38" x14ac:dyDescent="0.25">
      <c r="A43" s="323" t="str">
        <f>'Preisliste 2012'!A63</f>
        <v>Rücken</v>
      </c>
      <c r="B43" s="324" t="str">
        <f>'Preisliste 2012'!B63</f>
        <v>Rück.</v>
      </c>
      <c r="C43" s="324" t="str">
        <f>'Preisliste 2012'!D63</f>
        <v>980 / 1080</v>
      </c>
      <c r="D43" s="324" t="str">
        <f>Aktiv!C92</f>
        <v>Rücken</v>
      </c>
      <c r="E43" s="324">
        <f>Aktiv!A92</f>
        <v>3319</v>
      </c>
      <c r="F43" s="325">
        <f>'Preisliste 2012'!E63</f>
        <v>145</v>
      </c>
      <c r="G43" s="325">
        <f>'Preisliste 2012'!F63</f>
        <v>451</v>
      </c>
      <c r="H43" s="325">
        <f>'Preisliste 2012'!G63</f>
        <v>313</v>
      </c>
      <c r="I43" s="325">
        <f>'Preisliste 2012'!H63</f>
        <v>347</v>
      </c>
      <c r="J43" s="325">
        <f>'Preisliste 2012'!I63</f>
        <v>345</v>
      </c>
      <c r="K43" s="325">
        <f>'Preisliste 2012'!J63</f>
        <v>501</v>
      </c>
      <c r="L43" s="325">
        <f>'Preisliste 2012'!K63</f>
        <v>627</v>
      </c>
      <c r="M43" s="325">
        <f>'Preisliste 2012'!L63</f>
        <v>752</v>
      </c>
      <c r="N43" s="365">
        <f t="shared" ca="1" si="3"/>
        <v>140.96</v>
      </c>
      <c r="O43" s="361">
        <f t="shared" ca="1" si="4"/>
        <v>484.28</v>
      </c>
      <c r="P43" s="361">
        <f t="shared" ca="1" si="5"/>
        <v>503.99</v>
      </c>
      <c r="Q43" s="361">
        <f t="shared" ca="1" si="16"/>
        <v>560.83000000000004</v>
      </c>
      <c r="R43" s="369">
        <f t="shared" ca="1" si="7"/>
        <v>-2.7862068965517187E-2</v>
      </c>
      <c r="S43" s="370">
        <f t="shared" ca="1" si="8"/>
        <v>7.3791574279379102E-2</v>
      </c>
      <c r="T43" s="370">
        <f t="shared" ca="1" si="9"/>
        <v>0.11749445676274947</v>
      </c>
      <c r="U43" s="370">
        <f t="shared" ca="1" si="10"/>
        <v>0.61622478386167157</v>
      </c>
      <c r="V43" s="407">
        <f>IF(E43="","",IFERROR(INDEX(Aktiv!$G:$G,MATCH(E43,Aktiv!$A:$A,0)),""))</f>
        <v>186</v>
      </c>
      <c r="W43" s="407">
        <f>IF(E43="","",IFERROR(INDEX(Aktiv!$H:$H,MATCH(E43,Aktiv!$A:$A,0)),""))</f>
        <v>639</v>
      </c>
      <c r="X43" s="407">
        <f>IF(E43="","",IFERROR(INDEX(Aktiv!$I:$I,MATCH(E43,Aktiv!$A:$A,0)),""))</f>
        <v>665</v>
      </c>
      <c r="Y43" s="407">
        <f>IF(E43="","",IFERROR(INDEX(Aktiv!$J:$J,MATCH(E43,Aktiv!$A:$A,0)),""))</f>
        <v>740</v>
      </c>
      <c r="Z43" s="371">
        <f t="shared" si="11"/>
        <v>-7.0000000000000007E-2</v>
      </c>
      <c r="AA43" s="371">
        <f t="shared" si="0"/>
        <v>2.0766773162939296E-2</v>
      </c>
      <c r="AB43" s="371">
        <f t="shared" si="1"/>
        <v>0.40295358649789031</v>
      </c>
      <c r="AC43" s="371">
        <f t="shared" si="2"/>
        <v>0.71693735498839906</v>
      </c>
      <c r="AD43" s="366">
        <f>IF(E43="","",IFERROR(INDEX(Preisliste_2025!$E:$E,MATCH(E43,Preisliste_2025!$C:$C,0)),""))</f>
        <v>200</v>
      </c>
      <c r="AE43" s="366">
        <f>IF(E43="","",IFERROR(INDEX(Preisliste_2025!$G:$G,MATCH(E43,Preisliste_2025!$C:$C,0)),""))</f>
        <v>626</v>
      </c>
      <c r="AF43" s="366">
        <f>IF(E43="","",IFERROR(INDEX(Preisliste_2025!$F:$F,MATCH(E43,Preisliste_2025!$C:$C,0)),""))</f>
        <v>474</v>
      </c>
      <c r="AG43" s="366">
        <f>IF(E43="","",IFERROR(INDEX(Preisliste_2025!$H:$H,MATCH(E43,Preisliste_2025!$C:$C,0)),""))</f>
        <v>431</v>
      </c>
      <c r="AH43" s="367">
        <f t="shared" si="12"/>
        <v>2.37</v>
      </c>
      <c r="AI43" s="361">
        <f t="shared" si="13"/>
        <v>3.575268817204301</v>
      </c>
      <c r="AJ43" s="368">
        <f>IF(E43="","",IFERROR(INDEX(Aktiv!$E:$E,MATCH(E43,Aktiv!$A:$A,0))*INDEX(Aktiv!$F:$F,MATCH(E43,Aktiv!$A:$A,0)),""))</f>
        <v>1058400</v>
      </c>
      <c r="AK43" s="361">
        <f t="shared" si="17"/>
        <v>1.3699924414210127</v>
      </c>
      <c r="AL43" s="361">
        <f t="shared" si="18"/>
        <v>1.7573696145124715</v>
      </c>
    </row>
    <row r="44" spans="1:38" x14ac:dyDescent="0.25">
      <c r="A44" s="323" t="str">
        <f>'Preisliste 2012'!A64</f>
        <v>Rücken</v>
      </c>
      <c r="B44" s="324" t="str">
        <f>'Preisliste 2012'!B64</f>
        <v>Rück.</v>
      </c>
      <c r="C44" s="324" t="str">
        <f>'Preisliste 2012'!D64</f>
        <v>980 / 1440</v>
      </c>
      <c r="D44" s="324" t="str">
        <f>Aktiv!C97</f>
        <v>Rücken</v>
      </c>
      <c r="E44" s="324">
        <f>Aktiv!A97</f>
        <v>3324</v>
      </c>
      <c r="F44" s="325">
        <f>'Preisliste 2012'!E64</f>
        <v>193</v>
      </c>
      <c r="G44" s="325">
        <f>'Preisliste 2012'!F64</f>
        <v>564</v>
      </c>
      <c r="H44" s="325">
        <f>'Preisliste 2012'!G64</f>
        <v>0</v>
      </c>
      <c r="I44" s="325">
        <f>'Preisliste 2012'!H64</f>
        <v>0</v>
      </c>
      <c r="J44" s="325">
        <f>'Preisliste 2012'!I64</f>
        <v>451</v>
      </c>
      <c r="K44" s="325">
        <f>'Preisliste 2012'!J64</f>
        <v>657</v>
      </c>
      <c r="L44" s="325">
        <f>'Preisliste 2012'!K64</f>
        <v>821</v>
      </c>
      <c r="M44" s="325">
        <f>'Preisliste 2012'!L64</f>
        <v>986</v>
      </c>
      <c r="N44" s="365">
        <f t="shared" ca="1" si="3"/>
        <v>187.95</v>
      </c>
      <c r="O44" s="361">
        <f t="shared" ca="1" si="4"/>
        <v>645.71</v>
      </c>
      <c r="P44" s="361">
        <f t="shared" ca="1" si="5"/>
        <v>672.24</v>
      </c>
      <c r="Q44" s="361">
        <f t="shared" ca="1" si="16"/>
        <v>748.02</v>
      </c>
      <c r="R44" s="369">
        <f t="shared" ca="1" si="7"/>
        <v>-2.6165803108808349E-2</v>
      </c>
      <c r="S44" s="370">
        <f t="shared" ca="1" si="8"/>
        <v>0.14487588652482275</v>
      </c>
      <c r="T44" s="370">
        <f t="shared" ca="1" si="9"/>
        <v>0.1919148936170213</v>
      </c>
      <c r="U44" s="370" t="str">
        <f t="shared" ca="1" si="10"/>
        <v/>
      </c>
      <c r="V44" s="407">
        <f>IF(E44="","",IFERROR(INDEX(Aktiv!$G:$G,MATCH(E44,Aktiv!$A:$A,0)),""))</f>
        <v>248</v>
      </c>
      <c r="W44" s="407">
        <f>IF(E44="","",IFERROR(INDEX(Aktiv!$H:$H,MATCH(E44,Aktiv!$A:$A,0)),""))</f>
        <v>852</v>
      </c>
      <c r="X44" s="407">
        <f>IF(E44="","",IFERROR(INDEX(Aktiv!$I:$I,MATCH(E44,Aktiv!$A:$A,0)),""))</f>
        <v>887</v>
      </c>
      <c r="Y44" s="407">
        <f>IF(E44="","",IFERROR(INDEX(Aktiv!$J:$J,MATCH(E44,Aktiv!$A:$A,0)),""))</f>
        <v>987</v>
      </c>
      <c r="Z44" s="371">
        <f t="shared" si="11"/>
        <v>-6.0606060606060608E-2</v>
      </c>
      <c r="AA44" s="371">
        <f t="shared" si="0"/>
        <v>9.5115681233933158E-2</v>
      </c>
      <c r="AB44" s="371">
        <f t="shared" si="1"/>
        <v>0.43993506493506496</v>
      </c>
      <c r="AC44" s="371">
        <f t="shared" si="2"/>
        <v>-0.14840379637618636</v>
      </c>
      <c r="AD44" s="366">
        <f>IF(E44="","",IFERROR(INDEX(Preisliste_2025!$E:$E,MATCH(E44,Preisliste_2025!$C:$C,0)),""))</f>
        <v>264</v>
      </c>
      <c r="AE44" s="366">
        <f>IF(E44="","",IFERROR(INDEX(Preisliste_2025!$G:$G,MATCH(E44,Preisliste_2025!$C:$C,0)),""))</f>
        <v>778</v>
      </c>
      <c r="AF44" s="366">
        <f>IF(E44="","",IFERROR(INDEX(Preisliste_2025!$F:$F,MATCH(E44,Preisliste_2025!$C:$C,0)),""))</f>
        <v>616</v>
      </c>
      <c r="AG44" s="366">
        <f>IF(E44="","",IFERROR(INDEX(Preisliste_2025!$H:$H,MATCH(E44,Preisliste_2025!$C:$C,0)),""))</f>
        <v>1159</v>
      </c>
      <c r="AH44" s="367">
        <f t="shared" si="12"/>
        <v>2.3333333333333335</v>
      </c>
      <c r="AI44" s="361">
        <f t="shared" si="13"/>
        <v>3.5766129032258065</v>
      </c>
      <c r="AJ44" s="368">
        <f>IF(E44="","",IFERROR(INDEX(Aktiv!$E:$E,MATCH(E44,Aktiv!$A:$A,0))*INDEX(Aktiv!$F:$F,MATCH(E44,Aktiv!$A:$A,0)),""))</f>
        <v>1411200</v>
      </c>
      <c r="AK44" s="361">
        <f t="shared" si="17"/>
        <v>1.3676303854875282</v>
      </c>
      <c r="AL44" s="361">
        <f t="shared" si="18"/>
        <v>1.7573696145124715</v>
      </c>
    </row>
    <row r="45" spans="1:38" x14ac:dyDescent="0.25">
      <c r="A45" s="323" t="str">
        <f>'Preisliste 2012'!A65</f>
        <v>Rücken</v>
      </c>
      <c r="B45" s="324" t="str">
        <f>'Preisliste 2012'!B65</f>
        <v>Rück.</v>
      </c>
      <c r="C45" s="324" t="str">
        <f>'Preisliste 2012'!D65</f>
        <v>980 / 1800</v>
      </c>
      <c r="D45" s="324" t="str">
        <f>Aktiv!C102</f>
        <v>Rücken</v>
      </c>
      <c r="E45" s="324">
        <f>Aktiv!A102</f>
        <v>3329</v>
      </c>
      <c r="F45" s="325">
        <f>'Preisliste 2012'!E65</f>
        <v>241</v>
      </c>
      <c r="G45" s="325">
        <f>'Preisliste 2012'!F65</f>
        <v>697</v>
      </c>
      <c r="H45" s="325">
        <f>'Preisliste 2012'!G65</f>
        <v>0</v>
      </c>
      <c r="I45" s="325">
        <f>'Preisliste 2012'!H65</f>
        <v>0</v>
      </c>
      <c r="J45" s="325">
        <f>'Preisliste 2012'!I65</f>
        <v>553</v>
      </c>
      <c r="K45" s="325">
        <f>'Preisliste 2012'!J65</f>
        <v>814</v>
      </c>
      <c r="L45" s="325">
        <f>'Preisliste 2012'!K65</f>
        <v>1018</v>
      </c>
      <c r="M45" s="325">
        <f>'Preisliste 2012'!L65</f>
        <v>1221</v>
      </c>
      <c r="N45" s="365" t="e">
        <f t="shared" ca="1" si="3"/>
        <v>#VALUE!</v>
      </c>
      <c r="O45" s="361" t="e">
        <f t="shared" ca="1" si="4"/>
        <v>#VALUE!</v>
      </c>
      <c r="P45" s="361" t="e">
        <f t="shared" ca="1" si="5"/>
        <v>#VALUE!</v>
      </c>
      <c r="Q45" s="361" t="e">
        <f t="shared" ca="1" si="16"/>
        <v>#VALUE!</v>
      </c>
      <c r="R45" s="369">
        <f t="shared" ca="1" si="7"/>
        <v>0</v>
      </c>
      <c r="S45" s="370" t="str">
        <f t="shared" ca="1" si="8"/>
        <v/>
      </c>
      <c r="T45" s="370" t="str">
        <f t="shared" ca="1" si="9"/>
        <v/>
      </c>
      <c r="U45" s="370" t="str">
        <f t="shared" ca="1" si="10"/>
        <v/>
      </c>
      <c r="V45" s="407" t="str">
        <f>IF(E45="","",IFERROR(INDEX(Aktiv!$G:$G,MATCH(E45,Aktiv!$A:$A,0)),""))</f>
        <v>-</v>
      </c>
      <c r="W45" s="407" t="str">
        <f>IF(E45="","",IFERROR(INDEX(Aktiv!$H:$H,MATCH(E45,Aktiv!$A:$A,0)),""))</f>
        <v>-</v>
      </c>
      <c r="X45" s="407" t="str">
        <f>IF(E45="","",IFERROR(INDEX(Aktiv!$I:$I,MATCH(E45,Aktiv!$A:$A,0)),""))</f>
        <v>-</v>
      </c>
      <c r="Y45" s="407" t="str">
        <f>IF(E45="","",IFERROR(INDEX(Aktiv!$J:$J,MATCH(E45,Aktiv!$A:$A,0)),""))</f>
        <v>-</v>
      </c>
      <c r="Z45" s="371" t="str">
        <f t="shared" si="11"/>
        <v/>
      </c>
      <c r="AA45" s="371" t="str">
        <f t="shared" si="0"/>
        <v/>
      </c>
      <c r="AB45" s="371" t="str">
        <f t="shared" si="1"/>
        <v/>
      </c>
      <c r="AC45" s="371" t="str">
        <f t="shared" si="2"/>
        <v/>
      </c>
      <c r="AD45" s="366">
        <f>IF(E45="","",IFERROR(INDEX(Preisliste_2025!$E:$E,MATCH(E45,Preisliste_2025!$C:$C,0)),""))</f>
        <v>329</v>
      </c>
      <c r="AE45" s="366">
        <f>IF(E45="","",IFERROR(INDEX(Preisliste_2025!$G:$G,MATCH(E45,Preisliste_2025!$C:$C,0)),""))</f>
        <v>648</v>
      </c>
      <c r="AF45" s="366">
        <f>IF(E45="","",IFERROR(INDEX(Preisliste_2025!$F:$F,MATCH(E45,Preisliste_2025!$C:$C,0)),""))</f>
        <v>753</v>
      </c>
      <c r="AG45" s="366">
        <f>IF(E45="","",IFERROR(INDEX(Preisliste_2025!$H:$H,MATCH(E45,Preisliste_2025!$C:$C,0)),""))</f>
        <v>1417</v>
      </c>
      <c r="AH45" s="367">
        <f t="shared" si="12"/>
        <v>2.2887537993920972</v>
      </c>
      <c r="AI45" s="361" t="e">
        <f t="shared" si="13"/>
        <v>#VALUE!</v>
      </c>
      <c r="AJ45" s="368">
        <f>IF(E45="","",IFERROR(INDEX(Aktiv!$E:$E,MATCH(E45,Aktiv!$A:$A,0))*INDEX(Aktiv!$F:$F,MATCH(E45,Aktiv!$A:$A,0)),""))</f>
        <v>1764000</v>
      </c>
      <c r="AK45" s="361">
        <f t="shared" si="17"/>
        <v>1.3662131519274376</v>
      </c>
      <c r="AL45" s="361" t="e">
        <f t="shared" si="18"/>
        <v>#VALUE!</v>
      </c>
    </row>
    <row r="46" spans="1:38" x14ac:dyDescent="0.25">
      <c r="A46" s="399"/>
      <c r="B46" s="399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400">
        <f ca="1">AVERAGE(R47:R50)</f>
        <v>-5.7922744052491128E-2</v>
      </c>
      <c r="S46" s="400">
        <f ca="1">AVERAGE(S47:S50)</f>
        <v>9.4046911157625479E-2</v>
      </c>
      <c r="T46" s="400">
        <f ca="1">AVERAGE(T47:T50)</f>
        <v>0.15187676609105183</v>
      </c>
      <c r="U46" s="400"/>
      <c r="V46" s="408"/>
      <c r="W46" s="408"/>
      <c r="X46" s="408"/>
      <c r="Y46" s="408"/>
      <c r="Z46" s="400" t="str">
        <f t="shared" si="11"/>
        <v/>
      </c>
      <c r="AA46" s="400" t="str">
        <f t="shared" si="0"/>
        <v/>
      </c>
      <c r="AB46" s="400" t="str">
        <f t="shared" si="1"/>
        <v/>
      </c>
      <c r="AC46" s="400" t="str">
        <f t="shared" si="2"/>
        <v/>
      </c>
      <c r="AD46" s="399"/>
      <c r="AE46" s="399"/>
      <c r="AF46" s="399"/>
      <c r="AG46" s="399"/>
      <c r="AH46" s="399"/>
      <c r="AI46" s="399"/>
      <c r="AJ46" s="399"/>
      <c r="AK46" s="399"/>
      <c r="AL46" s="399"/>
    </row>
    <row r="47" spans="1:38" x14ac:dyDescent="0.25">
      <c r="A47" s="323" t="str">
        <f>'Preisliste 2012'!A68</f>
        <v>Fronten (Klappe / Türe / DT)</v>
      </c>
      <c r="B47" s="324" t="str">
        <f>'Preisliste 2012'!B68</f>
        <v>Klappe</v>
      </c>
      <c r="C47" s="324" t="str">
        <f>'Preisliste 2012'!D68</f>
        <v>420 / 360 (180)</v>
      </c>
      <c r="D47" s="324" t="str">
        <f>Aktiv!C206</f>
        <v>Klappe</v>
      </c>
      <c r="E47" s="324">
        <f>Aktiv!A206</f>
        <v>5001</v>
      </c>
      <c r="F47" s="325">
        <f>'Preisliste 2012'!E68</f>
        <v>126</v>
      </c>
      <c r="G47" s="325">
        <f>'Preisliste 2012'!F68</f>
        <v>175</v>
      </c>
      <c r="H47" s="325">
        <f>'Preisliste 2012'!G68</f>
        <v>0</v>
      </c>
      <c r="I47" s="325">
        <f>'Preisliste 2012'!H68</f>
        <v>0</v>
      </c>
      <c r="J47" s="325">
        <f>'Preisliste 2012'!I68</f>
        <v>169</v>
      </c>
      <c r="K47" s="325">
        <f>'Preisliste 2012'!J68</f>
        <v>188</v>
      </c>
      <c r="L47" s="325">
        <f>'Preisliste 2012'!K68</f>
        <v>235</v>
      </c>
      <c r="M47" s="325">
        <f>'Preisliste 2012'!L68</f>
        <v>282</v>
      </c>
      <c r="N47" s="365">
        <f t="shared" ca="1" si="3"/>
        <v>110.65</v>
      </c>
      <c r="O47" s="361">
        <f t="shared" ca="1" si="4"/>
        <v>183.41</v>
      </c>
      <c r="P47" s="361">
        <f t="shared" ca="1" si="5"/>
        <v>192.5</v>
      </c>
      <c r="Q47" s="361" t="e">
        <f t="shared" si="16"/>
        <v>#N/A</v>
      </c>
      <c r="R47" s="369">
        <f t="shared" ca="1" si="7"/>
        <v>-0.12182539682539678</v>
      </c>
      <c r="S47" s="370">
        <f t="shared" ca="1" si="8"/>
        <v>4.805714285714284E-2</v>
      </c>
      <c r="T47" s="370">
        <f t="shared" ca="1" si="9"/>
        <v>0.1</v>
      </c>
      <c r="U47" s="370" t="str">
        <f t="shared" si="10"/>
        <v/>
      </c>
      <c r="V47" s="407">
        <f>IF(E47="","",IFERROR(INDEX(Aktiv!$G:$G,MATCH(E47,Aktiv!$A:$A,0)),""))</f>
        <v>146</v>
      </c>
      <c r="W47" s="407">
        <f>IF(E47="","",IFERROR(INDEX(Aktiv!$H:$H,MATCH(E47,Aktiv!$A:$A,0)),""))</f>
        <v>242</v>
      </c>
      <c r="X47" s="407">
        <f>IF(E47="","",IFERROR(INDEX(Aktiv!$I:$I,MATCH(E47,Aktiv!$A:$A,0)),""))</f>
        <v>254</v>
      </c>
      <c r="Y47" s="407" t="e">
        <v>#N/A</v>
      </c>
      <c r="Z47" s="371">
        <f t="shared" si="11"/>
        <v>-0.13609467455621302</v>
      </c>
      <c r="AA47" s="371">
        <f t="shared" si="0"/>
        <v>-5.0980392156862744E-2</v>
      </c>
      <c r="AB47" s="371">
        <f t="shared" si="1"/>
        <v>7.1729957805907171E-2</v>
      </c>
      <c r="AC47" s="371" t="str">
        <f t="shared" si="2"/>
        <v/>
      </c>
      <c r="AD47" s="366">
        <f>IF(E47="","",IFERROR(INDEX(Preisliste_2025!$E:$E,MATCH(E47,Preisliste_2025!$C:$C,0)),""))</f>
        <v>169</v>
      </c>
      <c r="AE47" s="366">
        <f>IF(E47="","",IFERROR(INDEX(Preisliste_2025!$G:$G,MATCH(E47,Preisliste_2025!$C:$C,0)),""))</f>
        <v>255</v>
      </c>
      <c r="AF47" s="366">
        <f>IF(E47="","",IFERROR(INDEX(Preisliste_2025!$F:$F,MATCH(E47,Preisliste_2025!$C:$C,0)),""))</f>
        <v>237</v>
      </c>
      <c r="AG47" s="366">
        <f>IF(E47="","",IFERROR(INDEX(Preisliste_2025!$H:$H,MATCH(E47,Preisliste_2025!$C:$C,0)),""))</f>
        <v>446</v>
      </c>
      <c r="AH47" s="367">
        <f t="shared" si="12"/>
        <v>1.4023668639053255</v>
      </c>
      <c r="AI47" s="361">
        <f t="shared" si="13"/>
        <v>1.7397260273972603</v>
      </c>
      <c r="AJ47" s="368">
        <f>IF(E47="","",IFERROR(INDEX(Aktiv!$E:$E,MATCH(E47,Aktiv!$A:$A,0))*INDEX(Aktiv!$F:$F,MATCH(E47,Aktiv!$A:$A,0)),""))</f>
        <v>151200</v>
      </c>
      <c r="AK47" s="361">
        <f t="shared" si="17"/>
        <v>8.3333333333333339</v>
      </c>
      <c r="AL47" s="361">
        <f t="shared" si="18"/>
        <v>9.6560846560846567</v>
      </c>
    </row>
    <row r="48" spans="1:38" x14ac:dyDescent="0.25">
      <c r="A48" s="323" t="str">
        <f>'Preisliste 2012'!A69</f>
        <v>Fronten (Klappe / Türe / DT)</v>
      </c>
      <c r="B48" s="324" t="str">
        <f>'Preisliste 2012'!B69</f>
        <v>Klappe</v>
      </c>
      <c r="C48" s="324" t="str">
        <f>'Preisliste 2012'!D69</f>
        <v>580 / 360 (180)</v>
      </c>
      <c r="D48" s="324" t="str">
        <f>Aktiv!C208</f>
        <v>Klappe</v>
      </c>
      <c r="E48" s="324">
        <f>Aktiv!A208</f>
        <v>5003</v>
      </c>
      <c r="F48" s="325">
        <f>'Preisliste 2012'!E69</f>
        <v>137</v>
      </c>
      <c r="G48" s="325">
        <f>'Preisliste 2012'!F69</f>
        <v>196</v>
      </c>
      <c r="H48" s="325">
        <f>'Preisliste 2012'!G69</f>
        <v>0</v>
      </c>
      <c r="I48" s="325">
        <f>'Preisliste 2012'!H69</f>
        <v>0</v>
      </c>
      <c r="J48" s="325">
        <f>'Preisliste 2012'!I69</f>
        <v>185</v>
      </c>
      <c r="K48" s="325">
        <f>'Preisliste 2012'!J69</f>
        <v>211</v>
      </c>
      <c r="L48" s="325">
        <f>'Preisliste 2012'!K69</f>
        <v>264</v>
      </c>
      <c r="M48" s="325">
        <f>'Preisliste 2012'!L69</f>
        <v>317</v>
      </c>
      <c r="N48" s="365">
        <f t="shared" ca="1" si="3"/>
        <v>130.35</v>
      </c>
      <c r="O48" s="361">
        <f t="shared" ca="1" si="4"/>
        <v>215.24</v>
      </c>
      <c r="P48" s="361">
        <f t="shared" ca="1" si="5"/>
        <v>226.6</v>
      </c>
      <c r="Q48" s="361" t="e">
        <f t="shared" si="16"/>
        <v>#N/A</v>
      </c>
      <c r="R48" s="369">
        <f t="shared" ca="1" si="7"/>
        <v>-4.8540145985401503E-2</v>
      </c>
      <c r="S48" s="370">
        <f t="shared" ca="1" si="8"/>
        <v>9.8163265306122502E-2</v>
      </c>
      <c r="T48" s="370">
        <f t="shared" ca="1" si="9"/>
        <v>0.15612244897959182</v>
      </c>
      <c r="U48" s="370" t="str">
        <f t="shared" si="10"/>
        <v/>
      </c>
      <c r="V48" s="407">
        <f>IF(E48="","",IFERROR(INDEX(Aktiv!$G:$G,MATCH(E48,Aktiv!$A:$A,0)),""))</f>
        <v>172</v>
      </c>
      <c r="W48" s="407">
        <f>IF(E48="","",IFERROR(INDEX(Aktiv!$H:$H,MATCH(E48,Aktiv!$A:$A,0)),""))</f>
        <v>284</v>
      </c>
      <c r="X48" s="407">
        <f>IF(E48="","",IFERROR(INDEX(Aktiv!$I:$I,MATCH(E48,Aktiv!$A:$A,0)),""))</f>
        <v>299</v>
      </c>
      <c r="Y48" s="407" t="e">
        <v>#N/A</v>
      </c>
      <c r="Z48" s="371">
        <f t="shared" si="11"/>
        <v>-6.5217391304347824E-2</v>
      </c>
      <c r="AA48" s="371">
        <f t="shared" si="0"/>
        <v>3.5335689045936395E-3</v>
      </c>
      <c r="AB48" s="371">
        <f t="shared" si="1"/>
        <v>0.15444015444015444</v>
      </c>
      <c r="AC48" s="371" t="str">
        <f t="shared" si="2"/>
        <v/>
      </c>
      <c r="AD48" s="366">
        <f>IF(E48="","",IFERROR(INDEX(Preisliste_2025!$E:$E,MATCH(E48,Preisliste_2025!$C:$C,0)),""))</f>
        <v>184</v>
      </c>
      <c r="AE48" s="366">
        <f>IF(E48="","",IFERROR(INDEX(Preisliste_2025!$G:$G,MATCH(E48,Preisliste_2025!$C:$C,0)),""))</f>
        <v>283</v>
      </c>
      <c r="AF48" s="366">
        <f>IF(E48="","",IFERROR(INDEX(Preisliste_2025!$F:$F,MATCH(E48,Preisliste_2025!$C:$C,0)),""))</f>
        <v>259</v>
      </c>
      <c r="AG48" s="366">
        <f>IF(E48="","",IFERROR(INDEX(Preisliste_2025!$H:$H,MATCH(E48,Preisliste_2025!$C:$C,0)),""))</f>
        <v>487</v>
      </c>
      <c r="AH48" s="367">
        <f t="shared" si="12"/>
        <v>1.4076086956521738</v>
      </c>
      <c r="AI48" s="361">
        <f t="shared" si="13"/>
        <v>1.7383720930232558</v>
      </c>
      <c r="AJ48" s="368">
        <f>IF(E48="","",IFERROR(INDEX(Aktiv!$E:$E,MATCH(E48,Aktiv!$A:$A,0))*INDEX(Aktiv!$F:$F,MATCH(E48,Aktiv!$A:$A,0)),""))</f>
        <v>208800</v>
      </c>
      <c r="AK48" s="361">
        <f t="shared" si="17"/>
        <v>6.5613026819923377</v>
      </c>
      <c r="AL48" s="361">
        <f t="shared" si="18"/>
        <v>8.2375478927203076</v>
      </c>
    </row>
    <row r="49" spans="1:38" x14ac:dyDescent="0.25">
      <c r="A49" s="323" t="str">
        <f>'Preisliste 2012'!A70</f>
        <v>Fronten (Klappe / Türe / DT)</v>
      </c>
      <c r="B49" s="324" t="str">
        <f>'Preisliste 2012'!B70</f>
        <v>Klappe</v>
      </c>
      <c r="C49" s="324" t="str">
        <f>'Preisliste 2012'!D70</f>
        <v>780 / 360 (180)</v>
      </c>
      <c r="D49" s="324" t="str">
        <f>Aktiv!C210</f>
        <v>Klappe</v>
      </c>
      <c r="E49" s="324">
        <f>Aktiv!A210</f>
        <v>5005</v>
      </c>
      <c r="F49" s="325">
        <f>'Preisliste 2012'!E70</f>
        <v>147</v>
      </c>
      <c r="G49" s="325">
        <f>'Preisliste 2012'!F70</f>
        <v>216</v>
      </c>
      <c r="H49" s="325">
        <f>'Preisliste 2012'!G70</f>
        <v>0</v>
      </c>
      <c r="I49" s="325">
        <f>'Preisliste 2012'!H70</f>
        <v>0</v>
      </c>
      <c r="J49" s="325">
        <f>'Preisliste 2012'!I70</f>
        <v>201</v>
      </c>
      <c r="K49" s="325">
        <f>'Preisliste 2012'!J70</f>
        <v>226</v>
      </c>
      <c r="L49" s="325">
        <f>'Preisliste 2012'!K70</f>
        <v>282</v>
      </c>
      <c r="M49" s="325">
        <f>'Preisliste 2012'!L70</f>
        <v>339</v>
      </c>
      <c r="N49" s="365">
        <f t="shared" ca="1" si="3"/>
        <v>150.82</v>
      </c>
      <c r="O49" s="361">
        <f t="shared" ca="1" si="4"/>
        <v>249.34</v>
      </c>
      <c r="P49" s="361">
        <f t="shared" ca="1" si="5"/>
        <v>262.98</v>
      </c>
      <c r="Q49" s="361" t="e">
        <f t="shared" si="16"/>
        <v>#N/A</v>
      </c>
      <c r="R49" s="369">
        <f t="shared" ca="1" si="7"/>
        <v>2.5986394557823082E-2</v>
      </c>
      <c r="S49" s="370">
        <f t="shared" ca="1" si="8"/>
        <v>0.15435185185185188</v>
      </c>
      <c r="T49" s="370">
        <f t="shared" ca="1" si="9"/>
        <v>0.21750000000000008</v>
      </c>
      <c r="U49" s="370" t="str">
        <f t="shared" si="10"/>
        <v/>
      </c>
      <c r="V49" s="407">
        <f>IF(E49="","",IFERROR(INDEX(Aktiv!$G:$G,MATCH(E49,Aktiv!$A:$A,0)),""))</f>
        <v>199</v>
      </c>
      <c r="W49" s="407">
        <f>IF(E49="","",IFERROR(INDEX(Aktiv!$H:$H,MATCH(E49,Aktiv!$A:$A,0)),""))</f>
        <v>329</v>
      </c>
      <c r="X49" s="407">
        <f>IF(E49="","",IFERROR(INDEX(Aktiv!$I:$I,MATCH(E49,Aktiv!$A:$A,0)),""))</f>
        <v>347</v>
      </c>
      <c r="Y49" s="407" t="e">
        <v>#N/A</v>
      </c>
      <c r="Z49" s="371">
        <f t="shared" si="11"/>
        <v>5.0505050505050509E-3</v>
      </c>
      <c r="AA49" s="371">
        <f t="shared" si="0"/>
        <v>6.1290322580645158E-2</v>
      </c>
      <c r="AB49" s="371">
        <f t="shared" si="1"/>
        <v>0.2392857142857143</v>
      </c>
      <c r="AC49" s="371" t="str">
        <f t="shared" si="2"/>
        <v/>
      </c>
      <c r="AD49" s="366">
        <f>IF(E49="","",IFERROR(INDEX(Preisliste_2025!$E:$E,MATCH(E49,Preisliste_2025!$C:$C,0)),""))</f>
        <v>198</v>
      </c>
      <c r="AE49" s="366">
        <f>IF(E49="","",IFERROR(INDEX(Preisliste_2025!$G:$G,MATCH(E49,Preisliste_2025!$C:$C,0)),""))</f>
        <v>310</v>
      </c>
      <c r="AF49" s="366">
        <f>IF(E49="","",IFERROR(INDEX(Preisliste_2025!$F:$F,MATCH(E49,Preisliste_2025!$C:$C,0)),""))</f>
        <v>280</v>
      </c>
      <c r="AG49" s="366">
        <f>IF(E49="","",IFERROR(INDEX(Preisliste_2025!$H:$H,MATCH(E49,Preisliste_2025!$C:$C,0)),""))</f>
        <v>527</v>
      </c>
      <c r="AH49" s="367">
        <f t="shared" si="12"/>
        <v>1.4141414141414141</v>
      </c>
      <c r="AI49" s="361">
        <f t="shared" si="13"/>
        <v>1.743718592964824</v>
      </c>
      <c r="AJ49" s="368">
        <f>IF(E49="","",IFERROR(INDEX(Aktiv!$E:$E,MATCH(E49,Aktiv!$A:$A,0))*INDEX(Aktiv!$F:$F,MATCH(E49,Aktiv!$A:$A,0)),""))</f>
        <v>280800</v>
      </c>
      <c r="AK49" s="361">
        <f t="shared" si="17"/>
        <v>5.2350427350427351</v>
      </c>
      <c r="AL49" s="361">
        <f t="shared" si="18"/>
        <v>7.0868945868945872</v>
      </c>
    </row>
    <row r="50" spans="1:38" x14ac:dyDescent="0.25">
      <c r="A50" s="323" t="str">
        <f>'Preisliste 2012'!A71</f>
        <v>Fronten (Klappe / Türe / DT)</v>
      </c>
      <c r="B50" s="324" t="str">
        <f>'Preisliste 2012'!B71</f>
        <v>Klappe</v>
      </c>
      <c r="C50" s="324" t="str">
        <f>'Preisliste 2012'!D71</f>
        <v>980 / 360 (180)</v>
      </c>
      <c r="D50" s="324" t="str">
        <f>Aktiv!C212</f>
        <v>Klappe</v>
      </c>
      <c r="E50" s="324">
        <f>Aktiv!A212</f>
        <v>5007</v>
      </c>
      <c r="F50" s="325">
        <f>'Preisliste 2012'!E71</f>
        <v>186</v>
      </c>
      <c r="G50" s="325">
        <f>'Preisliste 2012'!F71</f>
        <v>260</v>
      </c>
      <c r="H50" s="325">
        <f>'Preisliste 2012'!G71</f>
        <v>0</v>
      </c>
      <c r="I50" s="325">
        <f>'Preisliste 2012'!H71</f>
        <v>0</v>
      </c>
      <c r="J50" s="325">
        <f>'Preisliste 2012'!I71</f>
        <v>249</v>
      </c>
      <c r="K50" s="325">
        <f>'Preisliste 2012'!J71</f>
        <v>302</v>
      </c>
      <c r="L50" s="325">
        <f>'Preisliste 2012'!K71</f>
        <v>430</v>
      </c>
      <c r="M50" s="325">
        <f>'Preisliste 2012'!L71</f>
        <v>453</v>
      </c>
      <c r="N50" s="365">
        <f t="shared" ca="1" si="3"/>
        <v>169.76</v>
      </c>
      <c r="O50" s="361">
        <f t="shared" ca="1" si="4"/>
        <v>279.66000000000003</v>
      </c>
      <c r="P50" s="361">
        <f t="shared" ca="1" si="5"/>
        <v>294.81</v>
      </c>
      <c r="Q50" s="361" t="e">
        <f t="shared" si="16"/>
        <v>#N/A</v>
      </c>
      <c r="R50" s="369">
        <f t="shared" ca="1" si="7"/>
        <v>-8.7311827956989302E-2</v>
      </c>
      <c r="S50" s="370">
        <f t="shared" ca="1" si="8"/>
        <v>7.5615384615384709E-2</v>
      </c>
      <c r="T50" s="370">
        <f t="shared" ca="1" si="9"/>
        <v>0.13388461538461538</v>
      </c>
      <c r="U50" s="370" t="str">
        <f t="shared" si="10"/>
        <v/>
      </c>
      <c r="V50" s="407">
        <f>IF(E50="","",IFERROR(INDEX(Aktiv!$G:$G,MATCH(E50,Aktiv!$A:$A,0)),""))</f>
        <v>224</v>
      </c>
      <c r="W50" s="407">
        <f>IF(E50="","",IFERROR(INDEX(Aktiv!$H:$H,MATCH(E50,Aktiv!$A:$A,0)),""))</f>
        <v>369</v>
      </c>
      <c r="X50" s="407">
        <f>IF(E50="","",IFERROR(INDEX(Aktiv!$I:$I,MATCH(E50,Aktiv!$A:$A,0)),""))</f>
        <v>389</v>
      </c>
      <c r="Y50" s="407" t="e">
        <v>#N/A</v>
      </c>
      <c r="Z50" s="371">
        <f t="shared" si="11"/>
        <v>-0.104</v>
      </c>
      <c r="AA50" s="371">
        <f t="shared" si="0"/>
        <v>0</v>
      </c>
      <c r="AB50" s="371">
        <f t="shared" si="1"/>
        <v>0.12753623188405797</v>
      </c>
      <c r="AC50" s="371" t="str">
        <f t="shared" si="2"/>
        <v/>
      </c>
      <c r="AD50" s="366">
        <f>IF(E50="","",IFERROR(INDEX(Preisliste_2025!$E:$E,MATCH(E50,Preisliste_2025!$C:$C,0)),""))</f>
        <v>250</v>
      </c>
      <c r="AE50" s="366">
        <f>IF(E50="","",IFERROR(INDEX(Preisliste_2025!$G:$G,MATCH(E50,Preisliste_2025!$C:$C,0)),""))</f>
        <v>369</v>
      </c>
      <c r="AF50" s="366">
        <f>IF(E50="","",IFERROR(INDEX(Preisliste_2025!$F:$F,MATCH(E50,Preisliste_2025!$C:$C,0)),""))</f>
        <v>345</v>
      </c>
      <c r="AG50" s="366">
        <f>IF(E50="","",IFERROR(INDEX(Preisliste_2025!$H:$H,MATCH(E50,Preisliste_2025!$C:$C,0)),""))</f>
        <v>649</v>
      </c>
      <c r="AH50" s="367">
        <f t="shared" si="12"/>
        <v>1.38</v>
      </c>
      <c r="AI50" s="361">
        <f t="shared" si="13"/>
        <v>1.7366071428571428</v>
      </c>
      <c r="AJ50" s="368">
        <f>IF(E50="","",IFERROR(INDEX(Aktiv!$E:$E,MATCH(E50,Aktiv!$A:$A,0))*INDEX(Aktiv!$F:$F,MATCH(E50,Aktiv!$A:$A,0)),""))</f>
        <v>352800</v>
      </c>
      <c r="AK50" s="361">
        <f t="shared" si="17"/>
        <v>5.2721088435374144</v>
      </c>
      <c r="AL50" s="361">
        <f t="shared" si="18"/>
        <v>6.3492063492063489</v>
      </c>
    </row>
    <row r="51" spans="1:38" x14ac:dyDescent="0.25">
      <c r="A51" s="399"/>
      <c r="B51" s="399"/>
      <c r="C51" s="399"/>
      <c r="D51" s="399"/>
      <c r="E51" s="399"/>
      <c r="F51" s="399"/>
      <c r="G51" s="399"/>
      <c r="H51" s="399"/>
      <c r="I51" s="399"/>
      <c r="J51" s="399"/>
      <c r="K51" s="399"/>
      <c r="L51" s="399"/>
      <c r="M51" s="399"/>
      <c r="N51" s="399"/>
      <c r="O51" s="399"/>
      <c r="P51" s="399"/>
      <c r="Q51" s="399"/>
      <c r="R51" s="400">
        <f ca="1">AVERAGE(R52:R61)</f>
        <v>-3.8676114644731321E-2</v>
      </c>
      <c r="S51" s="400">
        <f ca="1">AVERAGE(S52:S61)</f>
        <v>0.34860519214273811</v>
      </c>
      <c r="T51" s="400">
        <f ca="1">AVERAGE(T52:T61)</f>
        <v>0.47390984643990219</v>
      </c>
      <c r="U51" s="400">
        <f ca="1">AVERAGE(U52:U61)</f>
        <v>0.17121214948050362</v>
      </c>
      <c r="V51" s="408"/>
      <c r="W51" s="408"/>
      <c r="X51" s="408"/>
      <c r="Y51" s="408"/>
      <c r="Z51" s="400" t="str">
        <f t="shared" si="11"/>
        <v/>
      </c>
      <c r="AA51" s="400" t="str">
        <f t="shared" si="0"/>
        <v/>
      </c>
      <c r="AB51" s="400" t="str">
        <f t="shared" si="1"/>
        <v/>
      </c>
      <c r="AC51" s="400" t="str">
        <f t="shared" si="2"/>
        <v/>
      </c>
      <c r="AD51" s="399"/>
      <c r="AE51" s="399"/>
      <c r="AF51" s="399"/>
      <c r="AG51" s="399"/>
      <c r="AH51" s="399"/>
      <c r="AI51" s="399"/>
      <c r="AJ51" s="399"/>
      <c r="AK51" s="399"/>
      <c r="AL51" s="399"/>
    </row>
    <row r="52" spans="1:38" x14ac:dyDescent="0.25">
      <c r="A52" s="323" t="str">
        <f>'Preisliste 2012'!A72</f>
        <v>Fronten (Klappe / Türe / DT)</v>
      </c>
      <c r="B52" s="324" t="str">
        <f>'Preisliste 2012'!B72</f>
        <v>Tür</v>
      </c>
      <c r="C52" s="324" t="str">
        <f>'Preisliste 2012'!D72</f>
        <v>420 / 360</v>
      </c>
      <c r="D52" s="324" t="str">
        <f>Aktiv!C217</f>
        <v>Tür</v>
      </c>
      <c r="E52" s="324">
        <f>Aktiv!A217</f>
        <v>5100</v>
      </c>
      <c r="F52" s="325">
        <f>'Preisliste 2012'!E72</f>
        <v>101</v>
      </c>
      <c r="G52" s="325">
        <f>'Preisliste 2012'!F72</f>
        <v>138</v>
      </c>
      <c r="H52" s="325">
        <f>'Preisliste 2012'!G72</f>
        <v>314</v>
      </c>
      <c r="I52" s="325">
        <f>'Preisliste 2012'!H72</f>
        <v>349</v>
      </c>
      <c r="J52" s="325">
        <f>'Preisliste 2012'!I72</f>
        <v>128</v>
      </c>
      <c r="K52" s="325">
        <f>'Preisliste 2012'!J72</f>
        <v>147</v>
      </c>
      <c r="L52" s="325">
        <f>'Preisliste 2012'!K72</f>
        <v>184</v>
      </c>
      <c r="M52" s="325">
        <f>'Preisliste 2012'!L72</f>
        <v>221</v>
      </c>
      <c r="N52" s="365">
        <f t="shared" ca="1" si="3"/>
        <v>96.25</v>
      </c>
      <c r="O52" s="361">
        <f t="shared" ca="1" si="4"/>
        <v>206.9</v>
      </c>
      <c r="P52" s="361">
        <f t="shared" ca="1" si="5"/>
        <v>225.85</v>
      </c>
      <c r="Q52" s="361">
        <f t="shared" ca="1" si="16"/>
        <v>328.16</v>
      </c>
      <c r="R52" s="369">
        <f t="shared" ca="1" si="7"/>
        <v>-4.702970297029703E-2</v>
      </c>
      <c r="S52" s="370">
        <f t="shared" ca="1" si="8"/>
        <v>0.49927536231884062</v>
      </c>
      <c r="T52" s="370">
        <f t="shared" ca="1" si="9"/>
        <v>0.63659420289855073</v>
      </c>
      <c r="U52" s="370">
        <f t="shared" ca="1" si="10"/>
        <v>-5.9713467048710528E-2</v>
      </c>
      <c r="V52" s="407">
        <f>IF(E52="","",IFERROR(INDEX(Aktiv!$G:$G,MATCH(E52,Aktiv!$A:$A,0)),""))</f>
        <v>127</v>
      </c>
      <c r="W52" s="407">
        <f>IF(E52="","",IFERROR(INDEX(Aktiv!$H:$H,MATCH(E52,Aktiv!$A:$A,0)),""))</f>
        <v>273</v>
      </c>
      <c r="X52" s="407">
        <f>IF(E52="","",IFERROR(INDEX(Aktiv!$I:$I,MATCH(E52,Aktiv!$A:$A,0)),""))</f>
        <v>298</v>
      </c>
      <c r="Y52" s="407">
        <f>IF(E52="","",IFERROR(INDEX(Aktiv!$J:$J,MATCH(E52,Aktiv!$A:$A,0)),""))</f>
        <v>433</v>
      </c>
      <c r="Z52" s="371">
        <f t="shared" si="11"/>
        <v>-6.6176470588235295E-2</v>
      </c>
      <c r="AA52" s="371">
        <f t="shared" si="0"/>
        <v>0.33170731707317075</v>
      </c>
      <c r="AB52" s="371">
        <f t="shared" si="1"/>
        <v>0.63736263736263732</v>
      </c>
      <c r="AC52" s="371">
        <f t="shared" si="2"/>
        <v>-9.6033402922755737E-2</v>
      </c>
      <c r="AD52" s="366">
        <f>IF(E52="","",IFERROR(INDEX(Preisliste_2025!$E:$E,MATCH(E52,Preisliste_2025!$C:$C,0)),""))</f>
        <v>136</v>
      </c>
      <c r="AE52" s="366">
        <f>IF(E52="","",IFERROR(INDEX(Preisliste_2025!$G:$G,MATCH(E52,Preisliste_2025!$C:$C,0)),""))</f>
        <v>205</v>
      </c>
      <c r="AF52" s="366">
        <f>IF(E52="","",IFERROR(INDEX(Preisliste_2025!$F:$F,MATCH(E52,Preisliste_2025!$C:$C,0)),""))</f>
        <v>182</v>
      </c>
      <c r="AG52" s="366">
        <f>IF(E52="","",IFERROR(INDEX(Preisliste_2025!$H:$H,MATCH(E52,Preisliste_2025!$C:$C,0)),""))</f>
        <v>479</v>
      </c>
      <c r="AH52" s="367">
        <f t="shared" si="12"/>
        <v>1.338235294117647</v>
      </c>
      <c r="AI52" s="361">
        <f t="shared" si="13"/>
        <v>2.3464566929133857</v>
      </c>
      <c r="AJ52" s="368">
        <f>IF(E52="","",IFERROR(INDEX(Aktiv!$E:$E,MATCH(E52,Aktiv!$A:$A,0))*INDEX(Aktiv!$F:$F,MATCH(E52,Aktiv!$A:$A,0)),""))</f>
        <v>151200</v>
      </c>
      <c r="AK52" s="361">
        <f t="shared" si="17"/>
        <v>6.6798941798941804</v>
      </c>
      <c r="AL52" s="361">
        <f t="shared" si="18"/>
        <v>8.3994708994709004</v>
      </c>
    </row>
    <row r="53" spans="1:38" x14ac:dyDescent="0.25">
      <c r="A53" s="323" t="str">
        <f>'Preisliste 2012'!A73</f>
        <v>Fronten (Klappe / Türe / DT)</v>
      </c>
      <c r="B53" s="324" t="str">
        <f>'Preisliste 2012'!B73</f>
        <v>Tür</v>
      </c>
      <c r="C53" s="324" t="str">
        <f>'Preisliste 2012'!D73</f>
        <v>420 / 720</v>
      </c>
      <c r="D53" s="324" t="str">
        <f>Aktiv!C218</f>
        <v>Tür</v>
      </c>
      <c r="E53" s="324">
        <f>Aktiv!A218</f>
        <v>5101</v>
      </c>
      <c r="F53" s="325">
        <f>'Preisliste 2012'!E73</f>
        <v>118</v>
      </c>
      <c r="G53" s="325">
        <f>'Preisliste 2012'!F73</f>
        <v>186</v>
      </c>
      <c r="H53" s="325">
        <f>'Preisliste 2012'!G73</f>
        <v>358</v>
      </c>
      <c r="I53" s="325">
        <f>'Preisliste 2012'!H73</f>
        <v>397</v>
      </c>
      <c r="J53" s="325">
        <f>'Preisliste 2012'!I73</f>
        <v>164</v>
      </c>
      <c r="K53" s="325">
        <f>'Preisliste 2012'!J73</f>
        <v>195</v>
      </c>
      <c r="L53" s="325">
        <f>'Preisliste 2012'!K73</f>
        <v>244</v>
      </c>
      <c r="M53" s="325">
        <f>'Preisliste 2012'!L73</f>
        <v>293</v>
      </c>
      <c r="N53" s="365">
        <f t="shared" ca="1" si="3"/>
        <v>136.41999999999999</v>
      </c>
      <c r="O53" s="361">
        <f t="shared" ca="1" si="4"/>
        <v>292.54000000000002</v>
      </c>
      <c r="P53" s="361">
        <f t="shared" ca="1" si="5"/>
        <v>319.82</v>
      </c>
      <c r="Q53" s="361">
        <f t="shared" ca="1" si="16"/>
        <v>463.82</v>
      </c>
      <c r="R53" s="369">
        <f t="shared" ca="1" si="7"/>
        <v>0.15610169491525414</v>
      </c>
      <c r="S53" s="370">
        <f t="shared" ca="1" si="8"/>
        <v>0.57279569892473126</v>
      </c>
      <c r="T53" s="370">
        <f t="shared" ca="1" si="9"/>
        <v>0.71946236559139787</v>
      </c>
      <c r="U53" s="370">
        <f t="shared" ca="1" si="10"/>
        <v>0.1683123425692695</v>
      </c>
      <c r="V53" s="407">
        <f>IF(E53="","",IFERROR(INDEX(Aktiv!$G:$G,MATCH(E53,Aktiv!$A:$A,0)),""))</f>
        <v>180</v>
      </c>
      <c r="W53" s="407">
        <f>IF(E53="","",IFERROR(INDEX(Aktiv!$H:$H,MATCH(E53,Aktiv!$A:$A,0)),""))</f>
        <v>386</v>
      </c>
      <c r="X53" s="407">
        <f>IF(E53="","",IFERROR(INDEX(Aktiv!$I:$I,MATCH(E53,Aktiv!$A:$A,0)),""))</f>
        <v>422</v>
      </c>
      <c r="Y53" s="407">
        <f>IF(E53="","",IFERROR(INDEX(Aktiv!$J:$J,MATCH(E53,Aktiv!$A:$A,0)),""))</f>
        <v>612</v>
      </c>
      <c r="Z53" s="371">
        <f t="shared" si="11"/>
        <v>0.13207547169811321</v>
      </c>
      <c r="AA53" s="371">
        <f t="shared" si="0"/>
        <v>0.42962962962962964</v>
      </c>
      <c r="AB53" s="371">
        <f t="shared" si="1"/>
        <v>0.83478260869565213</v>
      </c>
      <c r="AC53" s="371">
        <f t="shared" si="2"/>
        <v>0.125</v>
      </c>
      <c r="AD53" s="366">
        <f>IF(E53="","",IFERROR(INDEX(Preisliste_2025!$E:$E,MATCH(E53,Preisliste_2025!$C:$C,0)),""))</f>
        <v>159</v>
      </c>
      <c r="AE53" s="366">
        <f>IF(E53="","",IFERROR(INDEX(Preisliste_2025!$G:$G,MATCH(E53,Preisliste_2025!$C:$C,0)),""))</f>
        <v>270</v>
      </c>
      <c r="AF53" s="366">
        <f>IF(E53="","",IFERROR(INDEX(Preisliste_2025!$F:$F,MATCH(E53,Preisliste_2025!$C:$C,0)),""))</f>
        <v>230</v>
      </c>
      <c r="AG53" s="366">
        <f>IF(E53="","",IFERROR(INDEX(Preisliste_2025!$H:$H,MATCH(E53,Preisliste_2025!$C:$C,0)),""))</f>
        <v>544</v>
      </c>
      <c r="AH53" s="367">
        <f t="shared" si="12"/>
        <v>1.4465408805031446</v>
      </c>
      <c r="AI53" s="361">
        <f t="shared" si="13"/>
        <v>2.3444444444444446</v>
      </c>
      <c r="AJ53" s="368">
        <f>IF(E53="","",IFERROR(INDEX(Aktiv!$E:$E,MATCH(E53,Aktiv!$A:$A,0))*INDEX(Aktiv!$F:$F,MATCH(E53,Aktiv!$A:$A,0)),""))</f>
        <v>302400</v>
      </c>
      <c r="AK53" s="361">
        <f t="shared" si="17"/>
        <v>3.9021164021164023</v>
      </c>
      <c r="AL53" s="361">
        <f t="shared" si="18"/>
        <v>5.9523809523809526</v>
      </c>
    </row>
    <row r="54" spans="1:38" x14ac:dyDescent="0.25">
      <c r="A54" s="323" t="str">
        <f>'Preisliste 2012'!A74</f>
        <v>Fronten (Klappe / Türe / DT)</v>
      </c>
      <c r="B54" s="324" t="str">
        <f>'Preisliste 2012'!B74</f>
        <v>Tür</v>
      </c>
      <c r="C54" s="324" t="str">
        <f>'Preisliste 2012'!D74</f>
        <v>420 / 1080</v>
      </c>
      <c r="D54" s="324" t="str">
        <f>Aktiv!C219</f>
        <v>Tür</v>
      </c>
      <c r="E54" s="324">
        <f>Aktiv!A219</f>
        <v>5102</v>
      </c>
      <c r="F54" s="325">
        <f>'Preisliste 2012'!E74</f>
        <v>175</v>
      </c>
      <c r="G54" s="325">
        <f>'Preisliste 2012'!F74</f>
        <v>263</v>
      </c>
      <c r="H54" s="325">
        <f>'Preisliste 2012'!G74</f>
        <v>490</v>
      </c>
      <c r="I54" s="325">
        <f>'Preisliste 2012'!H74</f>
        <v>471</v>
      </c>
      <c r="J54" s="325">
        <f>'Preisliste 2012'!I74</f>
        <v>245</v>
      </c>
      <c r="K54" s="325">
        <f>'Preisliste 2012'!J74</f>
        <v>299</v>
      </c>
      <c r="L54" s="325">
        <f>'Preisliste 2012'!K74</f>
        <v>374</v>
      </c>
      <c r="M54" s="325">
        <f>'Preisliste 2012'!L74</f>
        <v>449</v>
      </c>
      <c r="N54" s="365">
        <f t="shared" ca="1" si="3"/>
        <v>166.73</v>
      </c>
      <c r="O54" s="361">
        <f t="shared" ca="1" si="4"/>
        <v>358.47</v>
      </c>
      <c r="P54" s="361">
        <f t="shared" ca="1" si="5"/>
        <v>391.82</v>
      </c>
      <c r="Q54" s="361">
        <f t="shared" ca="1" si="16"/>
        <v>568.41</v>
      </c>
      <c r="R54" s="369">
        <f t="shared" ca="1" si="7"/>
        <v>-4.7257142857142914E-2</v>
      </c>
      <c r="S54" s="370">
        <f t="shared" ca="1" si="8"/>
        <v>0.36300380228136891</v>
      </c>
      <c r="T54" s="370">
        <f t="shared" ca="1" si="9"/>
        <v>0.48980988593155889</v>
      </c>
      <c r="U54" s="370">
        <f t="shared" ca="1" si="10"/>
        <v>0.20681528662420376</v>
      </c>
      <c r="V54" s="407">
        <f>IF(E54="","",IFERROR(INDEX(Aktiv!$G:$G,MATCH(E54,Aktiv!$A:$A,0)),""))</f>
        <v>220</v>
      </c>
      <c r="W54" s="407">
        <f>IF(E54="","",IFERROR(INDEX(Aktiv!$H:$H,MATCH(E54,Aktiv!$A:$A,0)),""))</f>
        <v>473</v>
      </c>
      <c r="X54" s="407">
        <f>IF(E54="","",IFERROR(INDEX(Aktiv!$I:$I,MATCH(E54,Aktiv!$A:$A,0)),""))</f>
        <v>517</v>
      </c>
      <c r="Y54" s="407">
        <f>IF(E54="","",IFERROR(INDEX(Aktiv!$J:$J,MATCH(E54,Aktiv!$A:$A,0)),""))</f>
        <v>750</v>
      </c>
      <c r="Z54" s="371">
        <f t="shared" si="11"/>
        <v>-6.3829787234042548E-2</v>
      </c>
      <c r="AA54" s="371">
        <f t="shared" si="0"/>
        <v>0.26809651474530832</v>
      </c>
      <c r="AB54" s="371">
        <f t="shared" si="1"/>
        <v>0.52507374631268433</v>
      </c>
      <c r="AC54" s="371">
        <f t="shared" si="2"/>
        <v>0.16640746500777606</v>
      </c>
      <c r="AD54" s="366">
        <f>IF(E54="","",IFERROR(INDEX(Preisliste_2025!$E:$E,MATCH(E54,Preisliste_2025!$C:$C,0)),""))</f>
        <v>235</v>
      </c>
      <c r="AE54" s="366">
        <f>IF(E54="","",IFERROR(INDEX(Preisliste_2025!$G:$G,MATCH(E54,Preisliste_2025!$C:$C,0)),""))</f>
        <v>373</v>
      </c>
      <c r="AF54" s="366">
        <f>IF(E54="","",IFERROR(INDEX(Preisliste_2025!$F:$F,MATCH(E54,Preisliste_2025!$C:$C,0)),""))</f>
        <v>339</v>
      </c>
      <c r="AG54" s="366">
        <f>IF(E54="","",IFERROR(INDEX(Preisliste_2025!$H:$H,MATCH(E54,Preisliste_2025!$C:$C,0)),""))</f>
        <v>643</v>
      </c>
      <c r="AH54" s="367">
        <f t="shared" si="12"/>
        <v>1.4425531914893617</v>
      </c>
      <c r="AI54" s="361">
        <f t="shared" si="13"/>
        <v>2.35</v>
      </c>
      <c r="AJ54" s="368">
        <f>IF(E54="","",IFERROR(INDEX(Aktiv!$E:$E,MATCH(E54,Aktiv!$A:$A,0))*INDEX(Aktiv!$F:$F,MATCH(E54,Aktiv!$A:$A,0)),""))</f>
        <v>453600</v>
      </c>
      <c r="AK54" s="361">
        <f t="shared" si="17"/>
        <v>3.8580246913580249</v>
      </c>
      <c r="AL54" s="361">
        <f t="shared" si="18"/>
        <v>4.8500881834215166</v>
      </c>
    </row>
    <row r="55" spans="1:38" x14ac:dyDescent="0.25">
      <c r="A55" s="323" t="str">
        <f>'Preisliste 2012'!A75</f>
        <v>Fronten (Klappe / Türe / DT)</v>
      </c>
      <c r="B55" s="324" t="str">
        <f>'Preisliste 2012'!B75</f>
        <v>Tür</v>
      </c>
      <c r="C55" s="324" t="str">
        <f>'Preisliste 2012'!D75</f>
        <v>420 / 1440</v>
      </c>
      <c r="D55" s="324" t="str">
        <f>Aktiv!C220</f>
        <v>Tür</v>
      </c>
      <c r="E55" s="324">
        <f>Aktiv!A220</f>
        <v>5103</v>
      </c>
      <c r="F55" s="325">
        <f>'Preisliste 2012'!E75</f>
        <v>191</v>
      </c>
      <c r="G55" s="325">
        <f>'Preisliste 2012'!F75</f>
        <v>336</v>
      </c>
      <c r="H55" s="325">
        <f>'Preisliste 2012'!G75</f>
        <v>544</v>
      </c>
      <c r="I55" s="325">
        <f>'Preisliste 2012'!H75</f>
        <v>522</v>
      </c>
      <c r="J55" s="325">
        <f>'Preisliste 2012'!I75</f>
        <v>292</v>
      </c>
      <c r="K55" s="325">
        <f>'Preisliste 2012'!J75</f>
        <v>362</v>
      </c>
      <c r="L55" s="325">
        <f>'Preisliste 2012'!K75</f>
        <v>453</v>
      </c>
      <c r="M55" s="325">
        <f>'Preisliste 2012'!L75</f>
        <v>543</v>
      </c>
      <c r="N55" s="365">
        <f t="shared" ca="1" si="3"/>
        <v>192.5</v>
      </c>
      <c r="O55" s="361">
        <f t="shared" ca="1" si="4"/>
        <v>413.8</v>
      </c>
      <c r="P55" s="361">
        <f t="shared" ca="1" si="5"/>
        <v>452.45</v>
      </c>
      <c r="Q55" s="361">
        <f t="shared" ca="1" si="16"/>
        <v>656.32</v>
      </c>
      <c r="R55" s="369">
        <f t="shared" ca="1" si="7"/>
        <v>7.8534031413612562E-3</v>
      </c>
      <c r="S55" s="370">
        <f t="shared" ca="1" si="8"/>
        <v>0.23154761904761909</v>
      </c>
      <c r="T55" s="370">
        <f t="shared" ca="1" si="9"/>
        <v>0.34657738095238094</v>
      </c>
      <c r="U55" s="370">
        <f t="shared" ca="1" si="10"/>
        <v>0.25731800766283536</v>
      </c>
      <c r="V55" s="407">
        <f>IF(E55="","",IFERROR(INDEX(Aktiv!$G:$G,MATCH(E55,Aktiv!$A:$A,0)),""))</f>
        <v>254</v>
      </c>
      <c r="W55" s="407">
        <f>IF(E55="","",IFERROR(INDEX(Aktiv!$H:$H,MATCH(E55,Aktiv!$A:$A,0)),""))</f>
        <v>546</v>
      </c>
      <c r="X55" s="407">
        <f>IF(E55="","",IFERROR(INDEX(Aktiv!$I:$I,MATCH(E55,Aktiv!$A:$A,0)),""))</f>
        <v>597</v>
      </c>
      <c r="Y55" s="407">
        <f>IF(E55="","",IFERROR(INDEX(Aktiv!$J:$J,MATCH(E55,Aktiv!$A:$A,0)),""))</f>
        <v>866</v>
      </c>
      <c r="Z55" s="371">
        <f t="shared" si="11"/>
        <v>-1.1673151750972763E-2</v>
      </c>
      <c r="AA55" s="371">
        <f t="shared" si="0"/>
        <v>0.15677966101694915</v>
      </c>
      <c r="AB55" s="371">
        <f t="shared" si="1"/>
        <v>0.48507462686567165</v>
      </c>
      <c r="AC55" s="371">
        <f t="shared" si="2"/>
        <v>0.21629213483146068</v>
      </c>
      <c r="AD55" s="366">
        <f>IF(E55="","",IFERROR(INDEX(Preisliste_2025!$E:$E,MATCH(E55,Preisliste_2025!$C:$C,0)),""))</f>
        <v>257</v>
      </c>
      <c r="AE55" s="366">
        <f>IF(E55="","",IFERROR(INDEX(Preisliste_2025!$G:$G,MATCH(E55,Preisliste_2025!$C:$C,0)),""))</f>
        <v>472</v>
      </c>
      <c r="AF55" s="366">
        <f>IF(E55="","",IFERROR(INDEX(Preisliste_2025!$F:$F,MATCH(E55,Preisliste_2025!$C:$C,0)),""))</f>
        <v>402</v>
      </c>
      <c r="AG55" s="366">
        <f>IF(E55="","",IFERROR(INDEX(Preisliste_2025!$H:$H,MATCH(E55,Preisliste_2025!$C:$C,0)),""))</f>
        <v>712</v>
      </c>
      <c r="AH55" s="367">
        <f t="shared" si="12"/>
        <v>1.5642023346303502</v>
      </c>
      <c r="AI55" s="361">
        <f t="shared" si="13"/>
        <v>2.3503937007874014</v>
      </c>
      <c r="AJ55" s="368">
        <f>IF(E55="","",IFERROR(INDEX(Aktiv!$E:$E,MATCH(E55,Aktiv!$A:$A,0))*INDEX(Aktiv!$F:$F,MATCH(E55,Aktiv!$A:$A,0)),""))</f>
        <v>604800</v>
      </c>
      <c r="AK55" s="361">
        <f t="shared" si="17"/>
        <v>3.1580687830687832</v>
      </c>
      <c r="AL55" s="361">
        <f t="shared" si="18"/>
        <v>4.1997354497354502</v>
      </c>
    </row>
    <row r="56" spans="1:38" x14ac:dyDescent="0.25">
      <c r="A56" s="323" t="str">
        <f>'Preisliste 2012'!A76</f>
        <v>Fronten (Klappe / Türe / DT)</v>
      </c>
      <c r="B56" s="324" t="str">
        <f>'Preisliste 2012'!B76</f>
        <v>Tür</v>
      </c>
      <c r="C56" s="324" t="str">
        <f>'Preisliste 2012'!D76</f>
        <v>420 / 1800</v>
      </c>
      <c r="D56" s="324" t="str">
        <f>Aktiv!C221</f>
        <v>Tür</v>
      </c>
      <c r="E56" s="324">
        <f>Aktiv!A221</f>
        <v>5104</v>
      </c>
      <c r="F56" s="325">
        <f>'Preisliste 2012'!E76</f>
        <v>253</v>
      </c>
      <c r="G56" s="325">
        <f>'Preisliste 2012'!F76</f>
        <v>393</v>
      </c>
      <c r="H56" s="325">
        <f>'Preisliste 2012'!G76</f>
        <v>641</v>
      </c>
      <c r="I56" s="325">
        <f>'Preisliste 2012'!H76</f>
        <v>613</v>
      </c>
      <c r="J56" s="325">
        <f>'Preisliste 2012'!I76</f>
        <v>360</v>
      </c>
      <c r="K56" s="325">
        <f>'Preisliste 2012'!J76</f>
        <v>444</v>
      </c>
      <c r="L56" s="325">
        <f>'Preisliste 2012'!K76</f>
        <v>555</v>
      </c>
      <c r="M56" s="325">
        <f>'Preisliste 2012'!L76</f>
        <v>666</v>
      </c>
      <c r="N56" s="365">
        <f t="shared" ca="1" si="3"/>
        <v>215.99</v>
      </c>
      <c r="O56" s="361">
        <f t="shared" ca="1" si="4"/>
        <v>462.3</v>
      </c>
      <c r="P56" s="361">
        <f t="shared" ca="1" si="5"/>
        <v>505.5</v>
      </c>
      <c r="Q56" s="361">
        <f t="shared" ca="1" si="16"/>
        <v>733.62</v>
      </c>
      <c r="R56" s="369">
        <f t="shared" ca="1" si="7"/>
        <v>-0.14628458498023711</v>
      </c>
      <c r="S56" s="370">
        <f t="shared" ca="1" si="8"/>
        <v>0.17633587786259544</v>
      </c>
      <c r="T56" s="370">
        <f t="shared" ca="1" si="9"/>
        <v>0.2862595419847328</v>
      </c>
      <c r="U56" s="370">
        <f t="shared" ca="1" si="10"/>
        <v>0.1967699836867863</v>
      </c>
      <c r="V56" s="407">
        <f>IF(E56="","",IFERROR(INDEX(Aktiv!$G:$G,MATCH(E56,Aktiv!$A:$A,0)),""))</f>
        <v>285</v>
      </c>
      <c r="W56" s="407">
        <f>IF(E56="","",IFERROR(INDEX(Aktiv!$H:$H,MATCH(E56,Aktiv!$A:$A,0)),""))</f>
        <v>610</v>
      </c>
      <c r="X56" s="407">
        <f>IF(E56="","",IFERROR(INDEX(Aktiv!$I:$I,MATCH(E56,Aktiv!$A:$A,0)),""))</f>
        <v>667</v>
      </c>
      <c r="Y56" s="407">
        <f>IF(E56="","",IFERROR(INDEX(Aktiv!$J:$J,MATCH(E56,Aktiv!$A:$A,0)),""))</f>
        <v>968</v>
      </c>
      <c r="Z56" s="371">
        <f t="shared" si="11"/>
        <v>-0.16176470588235295</v>
      </c>
      <c r="AA56" s="371">
        <f t="shared" si="0"/>
        <v>-8.8191330343796712E-2</v>
      </c>
      <c r="AB56" s="371">
        <f t="shared" si="1"/>
        <v>0.35020242914979755</v>
      </c>
      <c r="AC56" s="371">
        <f t="shared" si="2"/>
        <v>0.16067146282973621</v>
      </c>
      <c r="AD56" s="366">
        <f>IF(E56="","",IFERROR(INDEX(Preisliste_2025!$E:$E,MATCH(E56,Preisliste_2025!$C:$C,0)),""))</f>
        <v>340</v>
      </c>
      <c r="AE56" s="366">
        <f>IF(E56="","",IFERROR(INDEX(Preisliste_2025!$G:$G,MATCH(E56,Preisliste_2025!$C:$C,0)),""))</f>
        <v>669</v>
      </c>
      <c r="AF56" s="366">
        <f>IF(E56="","",IFERROR(INDEX(Preisliste_2025!$F:$F,MATCH(E56,Preisliste_2025!$C:$C,0)),""))</f>
        <v>494</v>
      </c>
      <c r="AG56" s="366">
        <f>IF(E56="","",IFERROR(INDEX(Preisliste_2025!$H:$H,MATCH(E56,Preisliste_2025!$C:$C,0)),""))</f>
        <v>834</v>
      </c>
      <c r="AH56" s="367">
        <f t="shared" si="12"/>
        <v>1.4529411764705882</v>
      </c>
      <c r="AI56" s="361">
        <f t="shared" si="13"/>
        <v>2.3403508771929826</v>
      </c>
      <c r="AJ56" s="368">
        <f>IF(E56="","",IFERROR(INDEX(Aktiv!$E:$E,MATCH(E56,Aktiv!$A:$A,0))*INDEX(Aktiv!$F:$F,MATCH(E56,Aktiv!$A:$A,0)),""))</f>
        <v>756000</v>
      </c>
      <c r="AK56" s="361">
        <f t="shared" si="17"/>
        <v>3.346560846560847</v>
      </c>
      <c r="AL56" s="361">
        <f t="shared" si="18"/>
        <v>3.7698412698412702</v>
      </c>
    </row>
    <row r="57" spans="1:38" x14ac:dyDescent="0.25">
      <c r="A57" s="323" t="str">
        <f>'Preisliste 2012'!A77</f>
        <v>Fronten (Klappe / Türe / DT)</v>
      </c>
      <c r="B57" s="324" t="str">
        <f>'Preisliste 2012'!B77</f>
        <v>Tür</v>
      </c>
      <c r="C57" s="324" t="str">
        <f>'Preisliste 2012'!D77</f>
        <v>580 / 360</v>
      </c>
      <c r="D57" s="324" t="str">
        <f>Aktiv!C222</f>
        <v>Tür</v>
      </c>
      <c r="E57" s="324">
        <f>Aktiv!A222</f>
        <v>5105</v>
      </c>
      <c r="F57" s="325">
        <f>'Preisliste 2012'!E77</f>
        <v>114</v>
      </c>
      <c r="G57" s="325">
        <f>'Preisliste 2012'!F77</f>
        <v>155</v>
      </c>
      <c r="H57" s="325">
        <f>'Preisliste 2012'!G77</f>
        <v>334</v>
      </c>
      <c r="I57" s="325">
        <f>'Preisliste 2012'!H77</f>
        <v>371</v>
      </c>
      <c r="J57" s="325">
        <f>'Preisliste 2012'!I77</f>
        <v>147</v>
      </c>
      <c r="K57" s="325">
        <f>'Preisliste 2012'!J77</f>
        <v>176</v>
      </c>
      <c r="L57" s="325">
        <f>'Preisliste 2012'!K77</f>
        <v>220</v>
      </c>
      <c r="M57" s="325">
        <f>'Preisliste 2012'!L77</f>
        <v>264</v>
      </c>
      <c r="N57" s="365">
        <f t="shared" ca="1" si="3"/>
        <v>113.68</v>
      </c>
      <c r="O57" s="361">
        <f t="shared" ca="1" si="4"/>
        <v>243.28</v>
      </c>
      <c r="P57" s="361">
        <f t="shared" ca="1" si="5"/>
        <v>266.01</v>
      </c>
      <c r="Q57" s="361">
        <f t="shared" ca="1" si="16"/>
        <v>385.76</v>
      </c>
      <c r="R57" s="369">
        <f t="shared" ca="1" si="7"/>
        <v>-2.8070175438595895E-3</v>
      </c>
      <c r="S57" s="370">
        <f t="shared" ca="1" si="8"/>
        <v>0.56954838709677424</v>
      </c>
      <c r="T57" s="370">
        <f t="shared" ca="1" si="9"/>
        <v>0.7161935483870967</v>
      </c>
      <c r="U57" s="370">
        <f t="shared" ca="1" si="10"/>
        <v>3.9784366576819385E-2</v>
      </c>
      <c r="V57" s="407">
        <f>IF(E57="","",IFERROR(INDEX(Aktiv!$G:$G,MATCH(E57,Aktiv!$A:$A,0)),""))</f>
        <v>150</v>
      </c>
      <c r="W57" s="407">
        <f>IF(E57="","",IFERROR(INDEX(Aktiv!$H:$H,MATCH(E57,Aktiv!$A:$A,0)),""))</f>
        <v>321</v>
      </c>
      <c r="X57" s="407">
        <f>IF(E57="","",IFERROR(INDEX(Aktiv!$I:$I,MATCH(E57,Aktiv!$A:$A,0)),""))</f>
        <v>351</v>
      </c>
      <c r="Y57" s="407">
        <f>IF(E57="","",IFERROR(INDEX(Aktiv!$J:$J,MATCH(E57,Aktiv!$A:$A,0)),""))</f>
        <v>509</v>
      </c>
      <c r="Z57" s="371">
        <f t="shared" si="11"/>
        <v>-1.9607843137254902E-2</v>
      </c>
      <c r="AA57" s="371">
        <f t="shared" si="0"/>
        <v>0.40789473684210525</v>
      </c>
      <c r="AB57" s="371">
        <f t="shared" si="1"/>
        <v>0.6875</v>
      </c>
      <c r="AC57" s="371">
        <f t="shared" si="2"/>
        <v>0</v>
      </c>
      <c r="AD57" s="366">
        <f>IF(E57="","",IFERROR(INDEX(Preisliste_2025!$E:$E,MATCH(E57,Preisliste_2025!$C:$C,0)),""))</f>
        <v>153</v>
      </c>
      <c r="AE57" s="366">
        <f>IF(E57="","",IFERROR(INDEX(Preisliste_2025!$G:$G,MATCH(E57,Preisliste_2025!$C:$C,0)),""))</f>
        <v>228</v>
      </c>
      <c r="AF57" s="366">
        <f>IF(E57="","",IFERROR(INDEX(Preisliste_2025!$F:$F,MATCH(E57,Preisliste_2025!$C:$C,0)),""))</f>
        <v>208</v>
      </c>
      <c r="AG57" s="366">
        <f>IF(E57="","",IFERROR(INDEX(Preisliste_2025!$H:$H,MATCH(E57,Preisliste_2025!$C:$C,0)),""))</f>
        <v>509</v>
      </c>
      <c r="AH57" s="367">
        <f t="shared" si="12"/>
        <v>1.3594771241830066</v>
      </c>
      <c r="AI57" s="361">
        <f t="shared" si="13"/>
        <v>2.34</v>
      </c>
      <c r="AJ57" s="368">
        <f>IF(E57="","",IFERROR(INDEX(Aktiv!$E:$E,MATCH(E57,Aktiv!$A:$A,0))*INDEX(Aktiv!$F:$F,MATCH(E57,Aktiv!$A:$A,0)),""))</f>
        <v>208800</v>
      </c>
      <c r="AK57" s="361">
        <f t="shared" si="17"/>
        <v>5.4597701149425291</v>
      </c>
      <c r="AL57" s="361">
        <f t="shared" si="18"/>
        <v>7.1839080459770122</v>
      </c>
    </row>
    <row r="58" spans="1:38" x14ac:dyDescent="0.25">
      <c r="A58" s="323" t="str">
        <f>'Preisliste 2012'!A78</f>
        <v>Fronten (Klappe / Türe / DT)</v>
      </c>
      <c r="B58" s="324" t="str">
        <f>'Preisliste 2012'!B78</f>
        <v>Tür</v>
      </c>
      <c r="C58" s="324" t="str">
        <f>'Preisliste 2012'!D78</f>
        <v>580 / 720</v>
      </c>
      <c r="D58" s="324" t="str">
        <f>Aktiv!C223</f>
        <v>Tür</v>
      </c>
      <c r="E58" s="324">
        <f>Aktiv!A223</f>
        <v>5106</v>
      </c>
      <c r="F58" s="325">
        <f>'Preisliste 2012'!E78</f>
        <v>156</v>
      </c>
      <c r="G58" s="325">
        <f>'Preisliste 2012'!F78</f>
        <v>232</v>
      </c>
      <c r="H58" s="325">
        <f>'Preisliste 2012'!G78</f>
        <v>385</v>
      </c>
      <c r="I58" s="325">
        <f>'Preisliste 2012'!H78</f>
        <v>428</v>
      </c>
      <c r="J58" s="325">
        <f>'Preisliste 2012'!I78</f>
        <v>220</v>
      </c>
      <c r="K58" s="325">
        <f>'Preisliste 2012'!J78</f>
        <v>268</v>
      </c>
      <c r="L58" s="325">
        <f>'Preisliste 2012'!K78</f>
        <v>335</v>
      </c>
      <c r="M58" s="325">
        <f>'Preisliste 2012'!L78</f>
        <v>402</v>
      </c>
      <c r="N58" s="365">
        <f t="shared" ca="1" si="3"/>
        <v>159.91</v>
      </c>
      <c r="O58" s="361">
        <f t="shared" ca="1" si="4"/>
        <v>344.08</v>
      </c>
      <c r="P58" s="361">
        <f t="shared" ca="1" si="5"/>
        <v>375.91</v>
      </c>
      <c r="Q58" s="361">
        <f t="shared" ca="1" si="16"/>
        <v>545.66999999999996</v>
      </c>
      <c r="R58" s="369">
        <f t="shared" ca="1" si="7"/>
        <v>2.5064102564102544E-2</v>
      </c>
      <c r="S58" s="370">
        <f t="shared" ca="1" si="8"/>
        <v>0.48310344827586199</v>
      </c>
      <c r="T58" s="370">
        <f t="shared" ca="1" si="9"/>
        <v>0.62030172413793117</v>
      </c>
      <c r="U58" s="370">
        <f t="shared" ca="1" si="10"/>
        <v>0.27492990654205596</v>
      </c>
      <c r="V58" s="407">
        <f>IF(E58="","",IFERROR(INDEX(Aktiv!$G:$G,MATCH(E58,Aktiv!$A:$A,0)),""))</f>
        <v>211</v>
      </c>
      <c r="W58" s="407">
        <f>IF(E58="","",IFERROR(INDEX(Aktiv!$H:$H,MATCH(E58,Aktiv!$A:$A,0)),""))</f>
        <v>454</v>
      </c>
      <c r="X58" s="407">
        <f>IF(E58="","",IFERROR(INDEX(Aktiv!$I:$I,MATCH(E58,Aktiv!$A:$A,0)),""))</f>
        <v>496</v>
      </c>
      <c r="Y58" s="407">
        <f>IF(E58="","",IFERROR(INDEX(Aktiv!$J:$J,MATCH(E58,Aktiv!$A:$A,0)),""))</f>
        <v>720</v>
      </c>
      <c r="Z58" s="371">
        <f t="shared" si="11"/>
        <v>4.7619047619047623E-3</v>
      </c>
      <c r="AA58" s="371">
        <f t="shared" si="0"/>
        <v>0.36746987951807231</v>
      </c>
      <c r="AB58" s="371">
        <f t="shared" si="1"/>
        <v>0.62091503267973858</v>
      </c>
      <c r="AC58" s="371">
        <f t="shared" si="2"/>
        <v>0.23076923076923078</v>
      </c>
      <c r="AD58" s="366">
        <f>IF(E58="","",IFERROR(INDEX(Preisliste_2025!$E:$E,MATCH(E58,Preisliste_2025!$C:$C,0)),""))</f>
        <v>210</v>
      </c>
      <c r="AE58" s="366">
        <f>IF(E58="","",IFERROR(INDEX(Preisliste_2025!$G:$G,MATCH(E58,Preisliste_2025!$C:$C,0)),""))</f>
        <v>332</v>
      </c>
      <c r="AF58" s="366">
        <f>IF(E58="","",IFERROR(INDEX(Preisliste_2025!$F:$F,MATCH(E58,Preisliste_2025!$C:$C,0)),""))</f>
        <v>306</v>
      </c>
      <c r="AG58" s="366">
        <f>IF(E58="","",IFERROR(INDEX(Preisliste_2025!$H:$H,MATCH(E58,Preisliste_2025!$C:$C,0)),""))</f>
        <v>585</v>
      </c>
      <c r="AH58" s="367">
        <f t="shared" si="12"/>
        <v>1.4571428571428571</v>
      </c>
      <c r="AI58" s="361">
        <f t="shared" si="13"/>
        <v>2.3507109004739335</v>
      </c>
      <c r="AJ58" s="368">
        <f>IF(E58="","",IFERROR(INDEX(Aktiv!$E:$E,MATCH(E58,Aktiv!$A:$A,0))*INDEX(Aktiv!$F:$F,MATCH(E58,Aktiv!$A:$A,0)),""))</f>
        <v>417600</v>
      </c>
      <c r="AK58" s="361">
        <f t="shared" si="17"/>
        <v>3.735632183908046</v>
      </c>
      <c r="AL58" s="361">
        <f t="shared" si="18"/>
        <v>5.0526819923371651</v>
      </c>
    </row>
    <row r="59" spans="1:38" x14ac:dyDescent="0.25">
      <c r="A59" s="323" t="str">
        <f>'Preisliste 2012'!A79</f>
        <v>Fronten (Klappe / Türe / DT)</v>
      </c>
      <c r="B59" s="324" t="str">
        <f>'Preisliste 2012'!B79</f>
        <v>Tür</v>
      </c>
      <c r="C59" s="324" t="str">
        <f>'Preisliste 2012'!D79</f>
        <v>580 / 1080</v>
      </c>
      <c r="D59" s="324" t="str">
        <f>Aktiv!C224</f>
        <v>Tür</v>
      </c>
      <c r="E59" s="324">
        <f>Aktiv!A224</f>
        <v>5107</v>
      </c>
      <c r="F59" s="325">
        <f>'Preisliste 2012'!E79</f>
        <v>207</v>
      </c>
      <c r="G59" s="325">
        <f>'Preisliste 2012'!F79</f>
        <v>327</v>
      </c>
      <c r="H59" s="325">
        <f>'Preisliste 2012'!G79</f>
        <v>550</v>
      </c>
      <c r="I59" s="325">
        <f>'Preisliste 2012'!H79</f>
        <v>520</v>
      </c>
      <c r="J59" s="325">
        <f>'Preisliste 2012'!I79</f>
        <v>301</v>
      </c>
      <c r="K59" s="325">
        <f>'Preisliste 2012'!J79</f>
        <v>370</v>
      </c>
      <c r="L59" s="325">
        <f>'Preisliste 2012'!K79</f>
        <v>462</v>
      </c>
      <c r="M59" s="325">
        <f>'Preisliste 2012'!L79</f>
        <v>555</v>
      </c>
      <c r="N59" s="365">
        <f t="shared" ca="1" si="3"/>
        <v>196.29</v>
      </c>
      <c r="O59" s="361">
        <f t="shared" ca="1" si="4"/>
        <v>421.38</v>
      </c>
      <c r="P59" s="361">
        <f t="shared" ca="1" si="5"/>
        <v>460.03</v>
      </c>
      <c r="Q59" s="361">
        <f t="shared" ca="1" si="16"/>
        <v>668.45</v>
      </c>
      <c r="R59" s="369">
        <f t="shared" ca="1" si="7"/>
        <v>-5.1739130434782649E-2</v>
      </c>
      <c r="S59" s="370">
        <f t="shared" ca="1" si="8"/>
        <v>0.28862385321100914</v>
      </c>
      <c r="T59" s="370">
        <f t="shared" ca="1" si="9"/>
        <v>0.40681957186544332</v>
      </c>
      <c r="U59" s="370">
        <f t="shared" ca="1" si="10"/>
        <v>0.28548076923076932</v>
      </c>
      <c r="V59" s="407">
        <f>IF(E59="","",IFERROR(INDEX(Aktiv!$G:$G,MATCH(E59,Aktiv!$A:$A,0)),""))</f>
        <v>259</v>
      </c>
      <c r="W59" s="407">
        <f>IF(E59="","",IFERROR(INDEX(Aktiv!$H:$H,MATCH(E59,Aktiv!$A:$A,0)),""))</f>
        <v>556</v>
      </c>
      <c r="X59" s="407">
        <f>IF(E59="","",IFERROR(INDEX(Aktiv!$I:$I,MATCH(E59,Aktiv!$A:$A,0)),""))</f>
        <v>607</v>
      </c>
      <c r="Y59" s="407">
        <f>IF(E59="","",IFERROR(INDEX(Aktiv!$J:$J,MATCH(E59,Aktiv!$A:$A,0)),""))</f>
        <v>882</v>
      </c>
      <c r="Z59" s="371">
        <f t="shared" si="11"/>
        <v>-6.83453237410072E-2</v>
      </c>
      <c r="AA59" s="371">
        <f t="shared" si="0"/>
        <v>0.2113289760348584</v>
      </c>
      <c r="AB59" s="371">
        <f t="shared" si="1"/>
        <v>0.46265060240963857</v>
      </c>
      <c r="AC59" s="371">
        <f t="shared" si="2"/>
        <v>0.24400564174894218</v>
      </c>
      <c r="AD59" s="366">
        <f>IF(E59="","",IFERROR(INDEX(Preisliste_2025!$E:$E,MATCH(E59,Preisliste_2025!$C:$C,0)),""))</f>
        <v>278</v>
      </c>
      <c r="AE59" s="366">
        <f>IF(E59="","",IFERROR(INDEX(Preisliste_2025!$G:$G,MATCH(E59,Preisliste_2025!$C:$C,0)),""))</f>
        <v>459</v>
      </c>
      <c r="AF59" s="366">
        <f>IF(E59="","",IFERROR(INDEX(Preisliste_2025!$F:$F,MATCH(E59,Preisliste_2025!$C:$C,0)),""))</f>
        <v>415</v>
      </c>
      <c r="AG59" s="366">
        <f>IF(E59="","",IFERROR(INDEX(Preisliste_2025!$H:$H,MATCH(E59,Preisliste_2025!$C:$C,0)),""))</f>
        <v>709</v>
      </c>
      <c r="AH59" s="367">
        <f t="shared" si="12"/>
        <v>1.4928057553956835</v>
      </c>
      <c r="AI59" s="361">
        <f t="shared" si="13"/>
        <v>2.3436293436293436</v>
      </c>
      <c r="AJ59" s="368">
        <f>IF(E59="","",IFERROR(INDEX(Aktiv!$E:$E,MATCH(E59,Aktiv!$A:$A,0))*INDEX(Aktiv!$F:$F,MATCH(E59,Aktiv!$A:$A,0)),""))</f>
        <v>626400</v>
      </c>
      <c r="AK59" s="361">
        <f t="shared" si="17"/>
        <v>3.3045977011494254</v>
      </c>
      <c r="AL59" s="361">
        <f t="shared" si="18"/>
        <v>4.1347381864623243</v>
      </c>
    </row>
    <row r="60" spans="1:38" x14ac:dyDescent="0.25">
      <c r="A60" s="323" t="str">
        <f>'Preisliste 2012'!A80</f>
        <v>Fronten (Klappe / Türe / DT)</v>
      </c>
      <c r="B60" s="324" t="str">
        <f>'Preisliste 2012'!B80</f>
        <v>Tür</v>
      </c>
      <c r="C60" s="324" t="str">
        <f>'Preisliste 2012'!D80</f>
        <v>580 / 1440</v>
      </c>
      <c r="D60" s="324" t="str">
        <f>Aktiv!C225</f>
        <v>Tür</v>
      </c>
      <c r="E60" s="324">
        <f>Aktiv!A225</f>
        <v>5108</v>
      </c>
      <c r="F60" s="325">
        <f>'Preisliste 2012'!E80</f>
        <v>251</v>
      </c>
      <c r="G60" s="325">
        <f>'Preisliste 2012'!F80</f>
        <v>402</v>
      </c>
      <c r="H60" s="325">
        <f>'Preisliste 2012'!G80</f>
        <v>0</v>
      </c>
      <c r="I60" s="325">
        <f>'Preisliste 2012'!H80</f>
        <v>0</v>
      </c>
      <c r="J60" s="325">
        <f>'Preisliste 2012'!I80</f>
        <v>367</v>
      </c>
      <c r="K60" s="325">
        <f>'Preisliste 2012'!J80</f>
        <v>460</v>
      </c>
      <c r="L60" s="325">
        <f>'Preisliste 2012'!K80</f>
        <v>575</v>
      </c>
      <c r="M60" s="325">
        <f>'Preisliste 2012'!L80</f>
        <v>690</v>
      </c>
      <c r="N60" s="365">
        <f t="shared" ca="1" si="3"/>
        <v>226.6</v>
      </c>
      <c r="O60" s="361">
        <f t="shared" ca="1" si="4"/>
        <v>485.8</v>
      </c>
      <c r="P60" s="361">
        <f t="shared" ca="1" si="5"/>
        <v>531.27</v>
      </c>
      <c r="Q60" s="361" t="e">
        <f t="shared" si="16"/>
        <v>#N/A</v>
      </c>
      <c r="R60" s="369">
        <f t="shared" ca="1" si="7"/>
        <v>-9.7211155378486083E-2</v>
      </c>
      <c r="S60" s="370">
        <f t="shared" ca="1" si="8"/>
        <v>0.2084577114427861</v>
      </c>
      <c r="T60" s="370">
        <f t="shared" ca="1" si="9"/>
        <v>0.32156716417910441</v>
      </c>
      <c r="U60" s="370" t="str">
        <f t="shared" si="10"/>
        <v/>
      </c>
      <c r="V60" s="407">
        <f>IF(E60="","",IFERROR(INDEX(Aktiv!$G:$G,MATCH(E60,Aktiv!$A:$A,0)),""))</f>
        <v>299</v>
      </c>
      <c r="W60" s="407">
        <f>IF(E60="","",IFERROR(INDEX(Aktiv!$H:$H,MATCH(E60,Aktiv!$A:$A,0)),""))</f>
        <v>641</v>
      </c>
      <c r="X60" s="407">
        <f>IF(E60="","",IFERROR(INDEX(Aktiv!$I:$I,MATCH(E60,Aktiv!$A:$A,0)),""))</f>
        <v>701</v>
      </c>
      <c r="Y60" s="407" t="e">
        <v>#N/A</v>
      </c>
      <c r="Z60" s="371">
        <f t="shared" si="11"/>
        <v>-0.11275964391691394</v>
      </c>
      <c r="AA60" s="371">
        <f t="shared" si="0"/>
        <v>0.14464285714285716</v>
      </c>
      <c r="AB60" s="371">
        <f t="shared" si="1"/>
        <v>0.39363817097415504</v>
      </c>
      <c r="AC60" s="371" t="str">
        <f t="shared" si="2"/>
        <v/>
      </c>
      <c r="AD60" s="366">
        <f>IF(E60="","",IFERROR(INDEX(Preisliste_2025!$E:$E,MATCH(E60,Preisliste_2025!$C:$C,0)),""))</f>
        <v>337</v>
      </c>
      <c r="AE60" s="366">
        <f>IF(E60="","",IFERROR(INDEX(Preisliste_2025!$G:$G,MATCH(E60,Preisliste_2025!$C:$C,0)),""))</f>
        <v>560</v>
      </c>
      <c r="AF60" s="366">
        <f>IF(E60="","",IFERROR(INDEX(Preisliste_2025!$F:$F,MATCH(E60,Preisliste_2025!$C:$C,0)),""))</f>
        <v>503</v>
      </c>
      <c r="AG60" s="366">
        <f>IF(E60="","",IFERROR(INDEX(Preisliste_2025!$H:$H,MATCH(E60,Preisliste_2025!$C:$C,0)),""))</f>
        <v>946</v>
      </c>
      <c r="AH60" s="367">
        <f t="shared" si="12"/>
        <v>1.4925816023738872</v>
      </c>
      <c r="AI60" s="361">
        <f t="shared" si="13"/>
        <v>2.3444816053511706</v>
      </c>
      <c r="AJ60" s="368">
        <f>IF(E60="","",IFERROR(INDEX(Aktiv!$E:$E,MATCH(E60,Aktiv!$A:$A,0))*INDEX(Aktiv!$F:$F,MATCH(E60,Aktiv!$A:$A,0)),""))</f>
        <v>835200</v>
      </c>
      <c r="AK60" s="361">
        <f t="shared" si="17"/>
        <v>3.0052681992337167</v>
      </c>
      <c r="AL60" s="361">
        <f t="shared" si="18"/>
        <v>3.5799808429118776</v>
      </c>
    </row>
    <row r="61" spans="1:38" x14ac:dyDescent="0.25">
      <c r="A61" s="323" t="str">
        <f>'Preisliste 2012'!A81</f>
        <v>Fronten (Klappe / Türe / DT)</v>
      </c>
      <c r="B61" s="324" t="str">
        <f>'Preisliste 2012'!B81</f>
        <v>Tür</v>
      </c>
      <c r="C61" s="324" t="str">
        <f>'Preisliste 2012'!D81</f>
        <v>580 / 1800</v>
      </c>
      <c r="D61" s="324" t="str">
        <f>Aktiv!C226</f>
        <v>Tür</v>
      </c>
      <c r="E61" s="324">
        <f>Aktiv!A226</f>
        <v>5109</v>
      </c>
      <c r="F61" s="325">
        <f>'Preisliste 2012'!E81</f>
        <v>310</v>
      </c>
      <c r="G61" s="325">
        <f>'Preisliste 2012'!F81</f>
        <v>497</v>
      </c>
      <c r="H61" s="325">
        <f>'Preisliste 2012'!G81</f>
        <v>0</v>
      </c>
      <c r="I61" s="325">
        <f>'Preisliste 2012'!H81</f>
        <v>0</v>
      </c>
      <c r="J61" s="325">
        <f>'Preisliste 2012'!I81</f>
        <v>453</v>
      </c>
      <c r="K61" s="325">
        <f>'Preisliste 2012'!J81</f>
        <v>569</v>
      </c>
      <c r="L61" s="325">
        <f>'Preisliste 2012'!K81</f>
        <v>711</v>
      </c>
      <c r="M61" s="325">
        <f>'Preisliste 2012'!L81</f>
        <v>854</v>
      </c>
      <c r="N61" s="365">
        <f t="shared" ca="1" si="3"/>
        <v>253.13</v>
      </c>
      <c r="O61" s="361">
        <f t="shared" ca="1" si="4"/>
        <v>543.4</v>
      </c>
      <c r="P61" s="361">
        <f t="shared" ca="1" si="5"/>
        <v>594.16999999999996</v>
      </c>
      <c r="Q61" s="361" t="e">
        <f t="shared" si="16"/>
        <v>#N/A</v>
      </c>
      <c r="R61" s="369">
        <f t="shared" ca="1" si="7"/>
        <v>-0.18345161290322581</v>
      </c>
      <c r="S61" s="370">
        <f t="shared" ca="1" si="8"/>
        <v>9.336016096579472E-2</v>
      </c>
      <c r="T61" s="370">
        <f t="shared" ca="1" si="9"/>
        <v>0.19551307847082486</v>
      </c>
      <c r="U61" s="370" t="str">
        <f t="shared" si="10"/>
        <v/>
      </c>
      <c r="V61" s="407">
        <f>IF(E61="","",IFERROR(INDEX(Aktiv!$G:$G,MATCH(E61,Aktiv!$A:$A,0)),""))</f>
        <v>334</v>
      </c>
      <c r="W61" s="407">
        <f>IF(E61="","",IFERROR(INDEX(Aktiv!$H:$H,MATCH(E61,Aktiv!$A:$A,0)),""))</f>
        <v>717</v>
      </c>
      <c r="X61" s="407">
        <f>IF(E61="","",IFERROR(INDEX(Aktiv!$I:$I,MATCH(E61,Aktiv!$A:$A,0)),""))</f>
        <v>784</v>
      </c>
      <c r="Y61" s="407" t="e">
        <v>#N/A</v>
      </c>
      <c r="Z61" s="371">
        <f t="shared" si="11"/>
        <v>-0.19904076738609114</v>
      </c>
      <c r="AA61" s="371">
        <f t="shared" si="0"/>
        <v>-0.12667478684531058</v>
      </c>
      <c r="AB61" s="371">
        <f t="shared" si="1"/>
        <v>0.2665589660743134</v>
      </c>
      <c r="AC61" s="371" t="str">
        <f t="shared" si="2"/>
        <v/>
      </c>
      <c r="AD61" s="366">
        <f>IF(E61="","",IFERROR(INDEX(Preisliste_2025!$E:$E,MATCH(E61,Preisliste_2025!$C:$C,0)),""))</f>
        <v>417</v>
      </c>
      <c r="AE61" s="366">
        <f>IF(E61="","",IFERROR(INDEX(Preisliste_2025!$G:$G,MATCH(E61,Preisliste_2025!$C:$C,0)),""))</f>
        <v>821</v>
      </c>
      <c r="AF61" s="366">
        <f>IF(E61="","",IFERROR(INDEX(Preisliste_2025!$F:$F,MATCH(E61,Preisliste_2025!$C:$C,0)),""))</f>
        <v>619</v>
      </c>
      <c r="AG61" s="366">
        <f>IF(E61="","",IFERROR(INDEX(Preisliste_2025!$H:$H,MATCH(E61,Preisliste_2025!$C:$C,0)),""))</f>
        <v>1164</v>
      </c>
      <c r="AH61" s="367">
        <f t="shared" si="12"/>
        <v>1.4844124700239809</v>
      </c>
      <c r="AI61" s="361">
        <f t="shared" si="13"/>
        <v>2.3473053892215567</v>
      </c>
      <c r="AJ61" s="368">
        <f>IF(E61="","",IFERROR(INDEX(Aktiv!$E:$E,MATCH(E61,Aktiv!$A:$A,0))*INDEX(Aktiv!$F:$F,MATCH(E61,Aktiv!$A:$A,0)),""))</f>
        <v>1044000</v>
      </c>
      <c r="AK61" s="361">
        <f t="shared" si="17"/>
        <v>2.9693486590038312</v>
      </c>
      <c r="AL61" s="361">
        <f t="shared" si="18"/>
        <v>3.1992337164750957</v>
      </c>
    </row>
    <row r="62" spans="1:38" x14ac:dyDescent="0.25">
      <c r="A62" s="399"/>
      <c r="B62" s="399"/>
      <c r="C62" s="399"/>
      <c r="D62" s="399"/>
      <c r="E62" s="399"/>
      <c r="F62" s="399"/>
      <c r="G62" s="399"/>
      <c r="H62" s="399"/>
      <c r="I62" s="399"/>
      <c r="J62" s="399"/>
      <c r="K62" s="399"/>
      <c r="L62" s="399"/>
      <c r="M62" s="399"/>
      <c r="N62" s="399"/>
      <c r="O62" s="399"/>
      <c r="P62" s="399"/>
      <c r="Q62" s="399"/>
      <c r="R62" s="400">
        <f ca="1">AVERAGE(R63:R72)</f>
        <v>8.5309081579740941E-3</v>
      </c>
      <c r="S62" s="400">
        <f ca="1">AVERAGE(S63:S72)</f>
        <v>-3.8447803541031118E-2</v>
      </c>
      <c r="T62" s="400">
        <f ca="1">AVERAGE(T63:T72)</f>
        <v>1.4692721790872786E-2</v>
      </c>
      <c r="U62" s="400">
        <f ca="1">AVERAGE(U63:U72)</f>
        <v>0.26284917114475292</v>
      </c>
      <c r="V62" s="408"/>
      <c r="W62" s="408"/>
      <c r="X62" s="408"/>
      <c r="Y62" s="408"/>
      <c r="Z62" s="400" t="str">
        <f t="shared" si="11"/>
        <v/>
      </c>
      <c r="AA62" s="400" t="str">
        <f t="shared" si="0"/>
        <v/>
      </c>
      <c r="AB62" s="400" t="str">
        <f t="shared" si="1"/>
        <v/>
      </c>
      <c r="AC62" s="400" t="str">
        <f t="shared" si="2"/>
        <v/>
      </c>
      <c r="AD62" s="399"/>
      <c r="AE62" s="399"/>
      <c r="AF62" s="399"/>
      <c r="AG62" s="399"/>
      <c r="AH62" s="399"/>
      <c r="AI62" s="399"/>
      <c r="AJ62" s="399"/>
      <c r="AK62" s="399"/>
      <c r="AL62" s="399"/>
    </row>
    <row r="63" spans="1:38" x14ac:dyDescent="0.25">
      <c r="A63" s="323" t="str">
        <f>'Preisliste 2012'!A82</f>
        <v>Fronten (Klappe / Türe / DT)</v>
      </c>
      <c r="B63" s="324" t="str">
        <f>'Preisliste 2012'!B82</f>
        <v>Doppeltür</v>
      </c>
      <c r="C63" s="324" t="str">
        <f>'Preisliste 2012'!D82</f>
        <v>780 / 360</v>
      </c>
      <c r="D63" s="324" t="str">
        <f>Aktiv!C230</f>
        <v>Doppeltür</v>
      </c>
      <c r="E63" s="324">
        <f>Aktiv!A230</f>
        <v>5200</v>
      </c>
      <c r="F63" s="325">
        <f>'Preisliste 2012'!E82</f>
        <v>190</v>
      </c>
      <c r="G63" s="325">
        <f>'Preisliste 2012'!F82</f>
        <v>258</v>
      </c>
      <c r="H63" s="325">
        <f>'Preisliste 2012'!G82</f>
        <v>574</v>
      </c>
      <c r="I63" s="325">
        <f>'Preisliste 2012'!H82</f>
        <v>638</v>
      </c>
      <c r="J63" s="325">
        <f>'Preisliste 2012'!I82</f>
        <v>241</v>
      </c>
      <c r="K63" s="325">
        <f>'Preisliste 2012'!J82</f>
        <v>274</v>
      </c>
      <c r="L63" s="325">
        <f>'Preisliste 2012'!K82</f>
        <v>343</v>
      </c>
      <c r="M63" s="325">
        <f>'Preisliste 2012'!L82</f>
        <v>411</v>
      </c>
      <c r="N63" s="365">
        <f t="shared" ca="1" si="3"/>
        <v>160.66999999999999</v>
      </c>
      <c r="O63" s="361">
        <f t="shared" ca="1" si="4"/>
        <v>227.36</v>
      </c>
      <c r="P63" s="361">
        <f t="shared" ca="1" si="5"/>
        <v>239.49</v>
      </c>
      <c r="Q63" s="361">
        <f t="shared" ca="1" si="16"/>
        <v>528.24</v>
      </c>
      <c r="R63" s="369">
        <f t="shared" ca="1" si="7"/>
        <v>-0.15436842105263165</v>
      </c>
      <c r="S63" s="370">
        <f t="shared" ca="1" si="8"/>
        <v>-0.11875968992248057</v>
      </c>
      <c r="T63" s="370">
        <f t="shared" ca="1" si="9"/>
        <v>-7.1744186046511588E-2</v>
      </c>
      <c r="U63" s="370">
        <f t="shared" ca="1" si="10"/>
        <v>-0.17203761755485891</v>
      </c>
      <c r="V63" s="407">
        <f>IF(E63="","",IFERROR(INDEX(Aktiv!$G:$G,MATCH(E63,Aktiv!$A:$A,0)),""))</f>
        <v>212</v>
      </c>
      <c r="W63" s="407">
        <f>IF(E63="","",IFERROR(INDEX(Aktiv!$H:$H,MATCH(E63,Aktiv!$A:$A,0)),""))</f>
        <v>300</v>
      </c>
      <c r="X63" s="407">
        <f>IF(E63="","",IFERROR(INDEX(Aktiv!$I:$I,MATCH(E63,Aktiv!$A:$A,0)),""))</f>
        <v>316</v>
      </c>
      <c r="Y63" s="407">
        <f>IF(E63="","",IFERROR(INDEX(Aktiv!$J:$J,MATCH(E63,Aktiv!$A:$A,0)),""))</f>
        <v>697</v>
      </c>
      <c r="Z63" s="371">
        <f t="shared" si="11"/>
        <v>-0.16862745098039217</v>
      </c>
      <c r="AA63" s="371">
        <f t="shared" si="0"/>
        <v>-0.18256130790190736</v>
      </c>
      <c r="AB63" s="371">
        <f t="shared" si="1"/>
        <v>-5.3892215568862277E-2</v>
      </c>
      <c r="AC63" s="371">
        <f t="shared" si="2"/>
        <v>-0.19607843137254902</v>
      </c>
      <c r="AD63" s="366">
        <f>IF(E63="","",IFERROR(INDEX(Preisliste_2025!$E:$E,MATCH(E63,Preisliste_2025!$C:$C,0)),""))</f>
        <v>255</v>
      </c>
      <c r="AE63" s="366">
        <f>IF(E63="","",IFERROR(INDEX(Preisliste_2025!$G:$G,MATCH(E63,Preisliste_2025!$C:$C,0)),""))</f>
        <v>367</v>
      </c>
      <c r="AF63" s="366">
        <f>IF(E63="","",IFERROR(INDEX(Preisliste_2025!$F:$F,MATCH(E63,Preisliste_2025!$C:$C,0)),""))</f>
        <v>334</v>
      </c>
      <c r="AG63" s="366">
        <f>IF(E63="","",IFERROR(INDEX(Preisliste_2025!$H:$H,MATCH(E63,Preisliste_2025!$C:$C,0)),""))</f>
        <v>867</v>
      </c>
      <c r="AH63" s="367">
        <f t="shared" si="12"/>
        <v>1.3098039215686275</v>
      </c>
      <c r="AI63" s="361">
        <f t="shared" si="13"/>
        <v>1.4905660377358489</v>
      </c>
      <c r="AJ63" s="368">
        <f>IF(E63="","",IFERROR(INDEX(Aktiv!$E:$E,MATCH(E63,Aktiv!$A:$A,0))*INDEX(Aktiv!$F:$F,MATCH(E63,Aktiv!$A:$A,0)),""))</f>
        <v>280800</v>
      </c>
      <c r="AK63" s="361">
        <f t="shared" si="17"/>
        <v>6.7663817663817669</v>
      </c>
      <c r="AL63" s="361">
        <f t="shared" si="18"/>
        <v>7.54985754985755</v>
      </c>
    </row>
    <row r="64" spans="1:38" x14ac:dyDescent="0.25">
      <c r="A64" s="323" t="str">
        <f>'Preisliste 2012'!A83</f>
        <v>Fronten (Klappe / Türe / DT)</v>
      </c>
      <c r="B64" s="324" t="str">
        <f>'Preisliste 2012'!B83</f>
        <v>Doppeltür</v>
      </c>
      <c r="C64" s="324" t="str">
        <f>'Preisliste 2012'!D83</f>
        <v>780 / 720</v>
      </c>
      <c r="D64" s="324" t="str">
        <f>Aktiv!C232</f>
        <v>Doppeltür</v>
      </c>
      <c r="E64" s="324">
        <f>Aktiv!A232</f>
        <v>5201</v>
      </c>
      <c r="F64" s="325">
        <f>'Preisliste 2012'!E83</f>
        <v>234</v>
      </c>
      <c r="G64" s="325">
        <f>'Preisliste 2012'!F83</f>
        <v>345</v>
      </c>
      <c r="H64" s="325">
        <f>'Preisliste 2012'!G83</f>
        <v>598</v>
      </c>
      <c r="I64" s="325">
        <f>'Preisliste 2012'!H83</f>
        <v>664</v>
      </c>
      <c r="J64" s="325">
        <f>'Preisliste 2012'!I83</f>
        <v>307</v>
      </c>
      <c r="K64" s="325">
        <f>'Preisliste 2012'!J83</f>
        <v>365</v>
      </c>
      <c r="L64" s="325">
        <f>'Preisliste 2012'!K83</f>
        <v>456</v>
      </c>
      <c r="M64" s="325">
        <f>'Preisliste 2012'!L83</f>
        <v>548</v>
      </c>
      <c r="N64" s="365">
        <f t="shared" ca="1" si="3"/>
        <v>260.70999999999998</v>
      </c>
      <c r="O64" s="361">
        <f t="shared" ca="1" si="4"/>
        <v>369.09</v>
      </c>
      <c r="P64" s="361">
        <f t="shared" ca="1" si="5"/>
        <v>389.55</v>
      </c>
      <c r="Q64" s="361">
        <f t="shared" ca="1" si="16"/>
        <v>857.91</v>
      </c>
      <c r="R64" s="369">
        <f t="shared" ca="1" si="7"/>
        <v>0.11414529914529906</v>
      </c>
      <c r="S64" s="370">
        <f t="shared" ca="1" si="8"/>
        <v>6.9826086956521663E-2</v>
      </c>
      <c r="T64" s="370">
        <f t="shared" ca="1" si="9"/>
        <v>0.12913043478260872</v>
      </c>
      <c r="U64" s="370">
        <f t="shared" ca="1" si="10"/>
        <v>0.29203313253012042</v>
      </c>
      <c r="V64" s="407">
        <f>IF(E64="","",IFERROR(INDEX(Aktiv!$G:$G,MATCH(E64,Aktiv!$A:$A,0)),""))</f>
        <v>344</v>
      </c>
      <c r="W64" s="407">
        <f>IF(E64="","",IFERROR(INDEX(Aktiv!$H:$H,MATCH(E64,Aktiv!$A:$A,0)),""))</f>
        <v>487</v>
      </c>
      <c r="X64" s="407">
        <f>IF(E64="","",IFERROR(INDEX(Aktiv!$I:$I,MATCH(E64,Aktiv!$A:$A,0)),""))</f>
        <v>514</v>
      </c>
      <c r="Y64" s="407">
        <f>IF(E64="","",IFERROR(INDEX(Aktiv!$J:$J,MATCH(E64,Aktiv!$A:$A,0)),""))</f>
        <v>1132</v>
      </c>
      <c r="Z64" s="371">
        <f t="shared" si="11"/>
        <v>9.5541401273885357E-2</v>
      </c>
      <c r="AA64" s="371">
        <f t="shared" si="0"/>
        <v>6.1983471074380167E-3</v>
      </c>
      <c r="AB64" s="371">
        <f t="shared" si="1"/>
        <v>0.21513002364066194</v>
      </c>
      <c r="AC64" s="371">
        <f t="shared" si="2"/>
        <v>0.25498891352549891</v>
      </c>
      <c r="AD64" s="366">
        <f>IF(E64="","",IFERROR(INDEX(Preisliste_2025!$E:$E,MATCH(E64,Preisliste_2025!$C:$C,0)),""))</f>
        <v>314</v>
      </c>
      <c r="AE64" s="366">
        <f>IF(E64="","",IFERROR(INDEX(Preisliste_2025!$G:$G,MATCH(E64,Preisliste_2025!$C:$C,0)),""))</f>
        <v>484</v>
      </c>
      <c r="AF64" s="366">
        <f>IF(E64="","",IFERROR(INDEX(Preisliste_2025!$F:$F,MATCH(E64,Preisliste_2025!$C:$C,0)),""))</f>
        <v>423</v>
      </c>
      <c r="AG64" s="366">
        <f>IF(E64="","",IFERROR(INDEX(Preisliste_2025!$H:$H,MATCH(E64,Preisliste_2025!$C:$C,0)),""))</f>
        <v>902</v>
      </c>
      <c r="AH64" s="367">
        <f t="shared" si="12"/>
        <v>1.3471337579617835</v>
      </c>
      <c r="AI64" s="361">
        <f t="shared" si="13"/>
        <v>1.4941860465116279</v>
      </c>
      <c r="AJ64" s="368">
        <f>IF(E64="","",IFERROR(INDEX(Aktiv!$E:$E,MATCH(E64,Aktiv!$A:$A,0))*INDEX(Aktiv!$F:$F,MATCH(E64,Aktiv!$A:$A,0)),""))</f>
        <v>561600</v>
      </c>
      <c r="AK64" s="361">
        <f t="shared" si="17"/>
        <v>4.166666666666667</v>
      </c>
      <c r="AL64" s="361">
        <f t="shared" si="18"/>
        <v>6.1253561253561255</v>
      </c>
    </row>
    <row r="65" spans="1:38" x14ac:dyDescent="0.25">
      <c r="A65" s="323" t="str">
        <f>'Preisliste 2012'!A84</f>
        <v>Fronten (Klappe / Türe / DT)</v>
      </c>
      <c r="B65" s="324" t="str">
        <f>'Preisliste 2012'!B84</f>
        <v>Doppeltür</v>
      </c>
      <c r="C65" s="324" t="str">
        <f>'Preisliste 2012'!D84</f>
        <v>780 / 1080</v>
      </c>
      <c r="D65" s="324" t="str">
        <f>Aktiv!C233</f>
        <v>Doppeltür</v>
      </c>
      <c r="E65" s="324">
        <f>Aktiv!A233</f>
        <v>5202</v>
      </c>
      <c r="F65" s="325">
        <f>'Preisliste 2012'!E84</f>
        <v>345</v>
      </c>
      <c r="G65" s="325">
        <f>'Preisliste 2012'!F84</f>
        <v>518</v>
      </c>
      <c r="H65" s="325">
        <f>'Preisliste 2012'!G84</f>
        <v>863</v>
      </c>
      <c r="I65" s="325">
        <f>'Preisliste 2012'!H84</f>
        <v>840</v>
      </c>
      <c r="J65" s="325">
        <f>'Preisliste 2012'!I84</f>
        <v>457</v>
      </c>
      <c r="K65" s="325">
        <f>'Preisliste 2012'!J84</f>
        <v>555</v>
      </c>
      <c r="L65" s="325">
        <f>'Preisliste 2012'!K84</f>
        <v>694</v>
      </c>
      <c r="M65" s="325">
        <f>'Preisliste 2012'!L84</f>
        <v>833</v>
      </c>
      <c r="N65" s="365">
        <f t="shared" ca="1" si="3"/>
        <v>345.59</v>
      </c>
      <c r="O65" s="361">
        <f t="shared" ca="1" si="4"/>
        <v>489.59</v>
      </c>
      <c r="P65" s="361">
        <f t="shared" ca="1" si="5"/>
        <v>516.87</v>
      </c>
      <c r="Q65" s="361">
        <f t="shared" ca="1" si="16"/>
        <v>1139.8399999999999</v>
      </c>
      <c r="R65" s="369">
        <f t="shared" ca="1" si="7"/>
        <v>1.7101449275361595E-3</v>
      </c>
      <c r="S65" s="370">
        <f t="shared" ca="1" si="8"/>
        <v>-5.4845559845559895E-2</v>
      </c>
      <c r="T65" s="370">
        <f t="shared" ca="1" si="9"/>
        <v>-2.1814671814671728E-3</v>
      </c>
      <c r="U65" s="370">
        <f t="shared" ca="1" si="10"/>
        <v>0.35695238095238085</v>
      </c>
      <c r="V65" s="407">
        <f>IF(E65="","",IFERROR(INDEX(Aktiv!$G:$G,MATCH(E65,Aktiv!$A:$A,0)),""))</f>
        <v>456</v>
      </c>
      <c r="W65" s="407">
        <f>IF(E65="","",IFERROR(INDEX(Aktiv!$H:$H,MATCH(E65,Aktiv!$A:$A,0)),""))</f>
        <v>646</v>
      </c>
      <c r="X65" s="407">
        <f>IF(E65="","",IFERROR(INDEX(Aktiv!$I:$I,MATCH(E65,Aktiv!$A:$A,0)),""))</f>
        <v>682</v>
      </c>
      <c r="Y65" s="407">
        <f>IF(E65="","",IFERROR(INDEX(Aktiv!$J:$J,MATCH(E65,Aktiv!$A:$A,0)),""))</f>
        <v>1504</v>
      </c>
      <c r="Z65" s="371">
        <f t="shared" si="11"/>
        <v>-1.7241379310344827E-2</v>
      </c>
      <c r="AA65" s="371">
        <f t="shared" si="0"/>
        <v>-9.7765363128491614E-2</v>
      </c>
      <c r="AB65" s="371">
        <f t="shared" si="1"/>
        <v>9.2948717948717952E-2</v>
      </c>
      <c r="AC65" s="371">
        <f t="shared" si="2"/>
        <v>0.32045654082528535</v>
      </c>
      <c r="AD65" s="366">
        <f>IF(E65="","",IFERROR(INDEX(Preisliste_2025!$E:$E,MATCH(E65,Preisliste_2025!$C:$C,0)),""))</f>
        <v>464</v>
      </c>
      <c r="AE65" s="366">
        <f>IF(E65="","",IFERROR(INDEX(Preisliste_2025!$G:$G,MATCH(E65,Preisliste_2025!$C:$C,0)),""))</f>
        <v>716</v>
      </c>
      <c r="AF65" s="366">
        <f>IF(E65="","",IFERROR(INDEX(Preisliste_2025!$F:$F,MATCH(E65,Preisliste_2025!$C:$C,0)),""))</f>
        <v>624</v>
      </c>
      <c r="AG65" s="366">
        <f>IF(E65="","",IFERROR(INDEX(Preisliste_2025!$H:$H,MATCH(E65,Preisliste_2025!$C:$C,0)),""))</f>
        <v>1139</v>
      </c>
      <c r="AH65" s="367">
        <f t="shared" si="12"/>
        <v>1.3448275862068966</v>
      </c>
      <c r="AI65" s="361">
        <f t="shared" si="13"/>
        <v>1.4956140350877194</v>
      </c>
      <c r="AJ65" s="368">
        <f>IF(E65="","",IFERROR(INDEX(Aktiv!$E:$E,MATCH(E65,Aktiv!$A:$A,0))*INDEX(Aktiv!$F:$F,MATCH(E65,Aktiv!$A:$A,0)),""))</f>
        <v>842400</v>
      </c>
      <c r="AK65" s="361">
        <f t="shared" si="17"/>
        <v>4.0954415954415957</v>
      </c>
      <c r="AL65" s="361">
        <f t="shared" si="18"/>
        <v>5.4131054131054137</v>
      </c>
    </row>
    <row r="66" spans="1:38" x14ac:dyDescent="0.25">
      <c r="A66" s="323" t="str">
        <f>'Preisliste 2012'!A85</f>
        <v>Fronten (Klappe / Türe / DT)</v>
      </c>
      <c r="B66" s="324" t="str">
        <f>'Preisliste 2012'!B85</f>
        <v>Doppeltür</v>
      </c>
      <c r="C66" s="324" t="str">
        <f>'Preisliste 2012'!D85</f>
        <v>780 / 1440</v>
      </c>
      <c r="D66" s="324" t="str">
        <f>Aktiv!C234</f>
        <v>Doppeltür</v>
      </c>
      <c r="E66" s="324">
        <f>Aktiv!A234</f>
        <v>5203</v>
      </c>
      <c r="F66" s="325">
        <f>'Preisliste 2012'!E85</f>
        <v>403</v>
      </c>
      <c r="G66" s="325">
        <f>'Preisliste 2012'!F85</f>
        <v>627</v>
      </c>
      <c r="H66" s="325">
        <f>'Preisliste 2012'!G85</f>
        <v>980</v>
      </c>
      <c r="I66" s="325">
        <f>'Preisliste 2012'!H85</f>
        <v>934</v>
      </c>
      <c r="J66" s="325">
        <f>'Preisliste 2012'!I85</f>
        <v>548</v>
      </c>
      <c r="K66" s="325">
        <f>'Preisliste 2012'!J85</f>
        <v>675</v>
      </c>
      <c r="L66" s="325">
        <f>'Preisliste 2012'!K85</f>
        <v>844</v>
      </c>
      <c r="M66" s="325">
        <f>'Preisliste 2012'!L85</f>
        <v>1013</v>
      </c>
      <c r="N66" s="365">
        <f t="shared" ca="1" si="3"/>
        <v>422.89</v>
      </c>
      <c r="O66" s="361">
        <f t="shared" ca="1" si="4"/>
        <v>598.72</v>
      </c>
      <c r="P66" s="361">
        <f t="shared" ca="1" si="5"/>
        <v>632.07000000000005</v>
      </c>
      <c r="Q66" s="361">
        <f t="shared" ca="1" si="16"/>
        <v>1393.73</v>
      </c>
      <c r="R66" s="369">
        <f t="shared" ca="1" si="7"/>
        <v>4.9354838709677384E-2</v>
      </c>
      <c r="S66" s="370">
        <f t="shared" ca="1" si="8"/>
        <v>-4.5103668261562958E-2</v>
      </c>
      <c r="T66" s="370">
        <f t="shared" ca="1" si="9"/>
        <v>8.0861244019139553E-3</v>
      </c>
      <c r="U66" s="370">
        <f t="shared" ca="1" si="10"/>
        <v>0.49221627408993579</v>
      </c>
      <c r="V66" s="407">
        <f>IF(E66="","",IFERROR(INDEX(Aktiv!$G:$G,MATCH(E66,Aktiv!$A:$A,0)),""))</f>
        <v>558</v>
      </c>
      <c r="W66" s="407">
        <f>IF(E66="","",IFERROR(INDEX(Aktiv!$H:$H,MATCH(E66,Aktiv!$A:$A,0)),""))</f>
        <v>790</v>
      </c>
      <c r="X66" s="407">
        <f>IF(E66="","",IFERROR(INDEX(Aktiv!$I:$I,MATCH(E66,Aktiv!$A:$A,0)),""))</f>
        <v>834</v>
      </c>
      <c r="Y66" s="407">
        <f>IF(E66="","",IFERROR(INDEX(Aktiv!$J:$J,MATCH(E66,Aktiv!$A:$A,0)),""))</f>
        <v>1839</v>
      </c>
      <c r="Z66" s="371">
        <f t="shared" si="11"/>
        <v>2.9520295202952029E-2</v>
      </c>
      <c r="AA66" s="371">
        <f t="shared" si="0"/>
        <v>-8.4588644264194671E-2</v>
      </c>
      <c r="AB66" s="371">
        <f t="shared" si="1"/>
        <v>0.11796246648793565</v>
      </c>
      <c r="AC66" s="371">
        <f t="shared" si="2"/>
        <v>0.45375494071146244</v>
      </c>
      <c r="AD66" s="366">
        <f>IF(E66="","",IFERROR(INDEX(Preisliste_2025!$E:$E,MATCH(E66,Preisliste_2025!$C:$C,0)),""))</f>
        <v>542</v>
      </c>
      <c r="AE66" s="366">
        <f>IF(E66="","",IFERROR(INDEX(Preisliste_2025!$G:$G,MATCH(E66,Preisliste_2025!$C:$C,0)),""))</f>
        <v>863</v>
      </c>
      <c r="AF66" s="366">
        <f>IF(E66="","",IFERROR(INDEX(Preisliste_2025!$F:$F,MATCH(E66,Preisliste_2025!$C:$C,0)),""))</f>
        <v>746</v>
      </c>
      <c r="AG66" s="366">
        <f>IF(E66="","",IFERROR(INDEX(Preisliste_2025!$H:$H,MATCH(E66,Preisliste_2025!$C:$C,0)),""))</f>
        <v>1265</v>
      </c>
      <c r="AH66" s="367">
        <f t="shared" si="12"/>
        <v>1.3763837638376384</v>
      </c>
      <c r="AI66" s="361">
        <f t="shared" si="13"/>
        <v>1.4946236559139785</v>
      </c>
      <c r="AJ66" s="368">
        <f>IF(E66="","",IFERROR(INDEX(Aktiv!$E:$E,MATCH(E66,Aktiv!$A:$A,0))*INDEX(Aktiv!$F:$F,MATCH(E66,Aktiv!$A:$A,0)),""))</f>
        <v>1123200</v>
      </c>
      <c r="AK66" s="361">
        <f t="shared" si="17"/>
        <v>3.5879629629629632</v>
      </c>
      <c r="AL66" s="361">
        <f t="shared" si="18"/>
        <v>4.9679487179487181</v>
      </c>
    </row>
    <row r="67" spans="1:38" x14ac:dyDescent="0.25">
      <c r="A67" s="323" t="str">
        <f>'Preisliste 2012'!A86</f>
        <v>Fronten (Klappe / Türe / DT)</v>
      </c>
      <c r="B67" s="324" t="str">
        <f>'Preisliste 2012'!B86</f>
        <v>Doppeltür</v>
      </c>
      <c r="C67" s="324" t="str">
        <f>'Preisliste 2012'!D86</f>
        <v>780 / 1800</v>
      </c>
      <c r="D67" s="324" t="str">
        <f>Aktiv!C235</f>
        <v>Doppeltür</v>
      </c>
      <c r="E67" s="324">
        <f>Aktiv!A235</f>
        <v>5204</v>
      </c>
      <c r="F67" s="325">
        <f>'Preisliste 2012'!E86</f>
        <v>497</v>
      </c>
      <c r="G67" s="325">
        <f>'Preisliste 2012'!F86</f>
        <v>761</v>
      </c>
      <c r="H67" s="325">
        <f>'Preisliste 2012'!G86</f>
        <v>1166</v>
      </c>
      <c r="I67" s="325">
        <f>'Preisliste 2012'!H86</f>
        <v>1106</v>
      </c>
      <c r="J67" s="325">
        <f>'Preisliste 2012'!I86</f>
        <v>675</v>
      </c>
      <c r="K67" s="325">
        <f>'Preisliste 2012'!J86</f>
        <v>832</v>
      </c>
      <c r="L67" s="325">
        <f>'Preisliste 2012'!K86</f>
        <v>1041</v>
      </c>
      <c r="M67" s="325">
        <f>'Preisliste 2012'!L86</f>
        <v>1248</v>
      </c>
      <c r="N67" s="365">
        <f t="shared" ca="1" si="3"/>
        <v>494.89</v>
      </c>
      <c r="O67" s="361">
        <f t="shared" ca="1" si="4"/>
        <v>700.28</v>
      </c>
      <c r="P67" s="361">
        <f t="shared" ca="1" si="5"/>
        <v>738.93</v>
      </c>
      <c r="Q67" s="361">
        <f t="shared" ca="1" si="16"/>
        <v>1629.43</v>
      </c>
      <c r="R67" s="369">
        <f t="shared" ca="1" si="7"/>
        <v>-4.2454728370221601E-3</v>
      </c>
      <c r="S67" s="370">
        <f t="shared" ca="1" si="8"/>
        <v>-7.9789750328515152E-2</v>
      </c>
      <c r="T67" s="370">
        <f t="shared" ca="1" si="9"/>
        <v>-2.9001314060446846E-2</v>
      </c>
      <c r="U67" s="370">
        <f t="shared" ca="1" si="10"/>
        <v>0.47326401446654615</v>
      </c>
      <c r="V67" s="407">
        <f>IF(E67="","",IFERROR(INDEX(Aktiv!$G:$G,MATCH(E67,Aktiv!$A:$A,0)),""))</f>
        <v>653</v>
      </c>
      <c r="W67" s="407">
        <f>IF(E67="","",IFERROR(INDEX(Aktiv!$H:$H,MATCH(E67,Aktiv!$A:$A,0)),""))</f>
        <v>924</v>
      </c>
      <c r="X67" s="407">
        <f>IF(E67="","",IFERROR(INDEX(Aktiv!$I:$I,MATCH(E67,Aktiv!$A:$A,0)),""))</f>
        <v>975</v>
      </c>
      <c r="Y67" s="407">
        <f>IF(E67="","",IFERROR(INDEX(Aktiv!$J:$J,MATCH(E67,Aktiv!$A:$A,0)),""))</f>
        <v>2150</v>
      </c>
      <c r="Z67" s="371">
        <f t="shared" si="11"/>
        <v>-2.2455089820359281E-2</v>
      </c>
      <c r="AA67" s="371">
        <f t="shared" si="0"/>
        <v>-0.29733840304182507</v>
      </c>
      <c r="AB67" s="371">
        <f t="shared" si="1"/>
        <v>6.3249727371864781E-2</v>
      </c>
      <c r="AC67" s="371">
        <f t="shared" si="2"/>
        <v>0.43716577540106955</v>
      </c>
      <c r="AD67" s="366">
        <f>IF(E67="","",IFERROR(INDEX(Preisliste_2025!$E:$E,MATCH(E67,Preisliste_2025!$C:$C,0)),""))</f>
        <v>668</v>
      </c>
      <c r="AE67" s="366">
        <f>IF(E67="","",IFERROR(INDEX(Preisliste_2025!$G:$G,MATCH(E67,Preisliste_2025!$C:$C,0)),""))</f>
        <v>1315</v>
      </c>
      <c r="AF67" s="366">
        <f>IF(E67="","",IFERROR(INDEX(Preisliste_2025!$F:$F,MATCH(E67,Preisliste_2025!$C:$C,0)),""))</f>
        <v>917</v>
      </c>
      <c r="AG67" s="366">
        <f>IF(E67="","",IFERROR(INDEX(Preisliste_2025!$H:$H,MATCH(E67,Preisliste_2025!$C:$C,0)),""))</f>
        <v>1496</v>
      </c>
      <c r="AH67" s="367">
        <f t="shared" si="12"/>
        <v>1.3727544910179641</v>
      </c>
      <c r="AI67" s="361">
        <f t="shared" si="13"/>
        <v>1.4931087289433385</v>
      </c>
      <c r="AJ67" s="368">
        <f>IF(E67="","",IFERROR(INDEX(Aktiv!$E:$E,MATCH(E67,Aktiv!$A:$A,0))*INDEX(Aktiv!$F:$F,MATCH(E67,Aktiv!$A:$A,0)),""))</f>
        <v>1404000</v>
      </c>
      <c r="AK67" s="361">
        <f t="shared" si="17"/>
        <v>3.5398860398860399</v>
      </c>
      <c r="AL67" s="361">
        <f t="shared" si="18"/>
        <v>4.6509971509971511</v>
      </c>
    </row>
    <row r="68" spans="1:38" x14ac:dyDescent="0.25">
      <c r="A68" s="323" t="str">
        <f>'Preisliste 2012'!A87</f>
        <v>Fronten (Klappe / Türe / DT)</v>
      </c>
      <c r="B68" s="324" t="str">
        <f>'Preisliste 2012'!B87</f>
        <v>Doppeltür</v>
      </c>
      <c r="C68" s="324" t="str">
        <f>'Preisliste 2012'!D87</f>
        <v>980 / 360</v>
      </c>
      <c r="D68" s="324" t="str">
        <f>Aktiv!C236</f>
        <v>Doppeltür</v>
      </c>
      <c r="E68" s="324">
        <f>Aktiv!A236</f>
        <v>5205</v>
      </c>
      <c r="F68" s="325">
        <f>'Preisliste 2012'!E87</f>
        <v>200</v>
      </c>
      <c r="G68" s="325">
        <f>'Preisliste 2012'!F87</f>
        <v>287</v>
      </c>
      <c r="H68" s="325">
        <f>'Preisliste 2012'!G87</f>
        <v>588</v>
      </c>
      <c r="I68" s="325">
        <f>'Preisliste 2012'!H87</f>
        <v>653</v>
      </c>
      <c r="J68" s="325">
        <f>'Preisliste 2012'!I87</f>
        <v>263</v>
      </c>
      <c r="K68" s="325">
        <f>'Preisliste 2012'!J87</f>
        <v>305</v>
      </c>
      <c r="L68" s="325">
        <f>'Preisliste 2012'!K87</f>
        <v>382</v>
      </c>
      <c r="M68" s="325">
        <f>'Preisliste 2012'!L87</f>
        <v>458</v>
      </c>
      <c r="N68" s="365">
        <f t="shared" ca="1" si="3"/>
        <v>187.95</v>
      </c>
      <c r="O68" s="361">
        <f t="shared" ca="1" si="4"/>
        <v>266.01</v>
      </c>
      <c r="P68" s="361">
        <f t="shared" ca="1" si="5"/>
        <v>281.17</v>
      </c>
      <c r="Q68" s="361">
        <f t="shared" ca="1" si="16"/>
        <v>619.94000000000005</v>
      </c>
      <c r="R68" s="369">
        <f t="shared" ca="1" si="7"/>
        <v>-6.0250000000000054E-2</v>
      </c>
      <c r="S68" s="370">
        <f t="shared" ca="1" si="8"/>
        <v>-7.3135888501742186E-2</v>
      </c>
      <c r="T68" s="370">
        <f t="shared" ca="1" si="9"/>
        <v>-2.0313588850174161E-2</v>
      </c>
      <c r="U68" s="370">
        <f t="shared" ca="1" si="10"/>
        <v>-5.062787136294019E-2</v>
      </c>
      <c r="V68" s="407">
        <f>IF(E68="","",IFERROR(INDEX(Aktiv!$G:$G,MATCH(E68,Aktiv!$A:$A,0)),""))</f>
        <v>248</v>
      </c>
      <c r="W68" s="407">
        <f>IF(E68="","",IFERROR(INDEX(Aktiv!$H:$H,MATCH(E68,Aktiv!$A:$A,0)),""))</f>
        <v>351</v>
      </c>
      <c r="X68" s="407">
        <f>IF(E68="","",IFERROR(INDEX(Aktiv!$I:$I,MATCH(E68,Aktiv!$A:$A,0)),""))</f>
        <v>371</v>
      </c>
      <c r="Y68" s="407">
        <f>IF(E68="","",IFERROR(INDEX(Aktiv!$J:$J,MATCH(E68,Aktiv!$A:$A,0)),""))</f>
        <v>818</v>
      </c>
      <c r="Z68" s="371">
        <f t="shared" si="11"/>
        <v>-7.8066914498141265E-2</v>
      </c>
      <c r="AA68" s="371">
        <f t="shared" si="0"/>
        <v>-0.1354679802955665</v>
      </c>
      <c r="AB68" s="371">
        <f t="shared" si="1"/>
        <v>2.2038567493112948E-2</v>
      </c>
      <c r="AC68" s="371">
        <f t="shared" si="2"/>
        <v>-7.8828828828828829E-2</v>
      </c>
      <c r="AD68" s="366">
        <f>IF(E68="","",IFERROR(INDEX(Preisliste_2025!$E:$E,MATCH(E68,Preisliste_2025!$C:$C,0)),""))</f>
        <v>269</v>
      </c>
      <c r="AE68" s="366">
        <f>IF(E68="","",IFERROR(INDEX(Preisliste_2025!$G:$G,MATCH(E68,Preisliste_2025!$C:$C,0)),""))</f>
        <v>406</v>
      </c>
      <c r="AF68" s="366">
        <f>IF(E68="","",IFERROR(INDEX(Preisliste_2025!$F:$F,MATCH(E68,Preisliste_2025!$C:$C,0)),""))</f>
        <v>363</v>
      </c>
      <c r="AG68" s="366">
        <f>IF(E68="","",IFERROR(INDEX(Preisliste_2025!$H:$H,MATCH(E68,Preisliste_2025!$C:$C,0)),""))</f>
        <v>888</v>
      </c>
      <c r="AH68" s="367">
        <f t="shared" si="12"/>
        <v>1.3494423791821561</v>
      </c>
      <c r="AI68" s="361">
        <f t="shared" si="13"/>
        <v>1.4959677419354838</v>
      </c>
      <c r="AJ68" s="368">
        <f>IF(E68="","",IFERROR(INDEX(Aktiv!$E:$E,MATCH(E68,Aktiv!$A:$A,0))*INDEX(Aktiv!$F:$F,MATCH(E68,Aktiv!$A:$A,0)),""))</f>
        <v>352800</v>
      </c>
      <c r="AK68" s="361">
        <f t="shared" si="17"/>
        <v>5.6689342403628116</v>
      </c>
      <c r="AL68" s="361">
        <f t="shared" si="18"/>
        <v>7.0294784580498861</v>
      </c>
    </row>
    <row r="69" spans="1:38" x14ac:dyDescent="0.25">
      <c r="A69" s="323" t="str">
        <f>'Preisliste 2012'!A88</f>
        <v>Fronten (Klappe / Türe / DT)</v>
      </c>
      <c r="B69" s="324" t="str">
        <f>'Preisliste 2012'!B88</f>
        <v>Doppeltür</v>
      </c>
      <c r="C69" s="324" t="str">
        <f>'Preisliste 2012'!D88</f>
        <v>980 / 720</v>
      </c>
      <c r="D69" s="324" t="str">
        <f>Aktiv!C237</f>
        <v>Doppeltür</v>
      </c>
      <c r="E69" s="324">
        <f>Aktiv!A237</f>
        <v>5206</v>
      </c>
      <c r="F69" s="325">
        <f>'Preisliste 2012'!E88</f>
        <v>279</v>
      </c>
      <c r="G69" s="325">
        <f>'Preisliste 2012'!F88</f>
        <v>422</v>
      </c>
      <c r="H69" s="325">
        <f>'Preisliste 2012'!G88</f>
        <v>625</v>
      </c>
      <c r="I69" s="325">
        <f>'Preisliste 2012'!H88</f>
        <v>695</v>
      </c>
      <c r="J69" s="325">
        <f>'Preisliste 2012'!I88</f>
        <v>377</v>
      </c>
      <c r="K69" s="325">
        <f>'Preisliste 2012'!J88</f>
        <v>457</v>
      </c>
      <c r="L69" s="325">
        <f>'Preisliste 2012'!K88</f>
        <v>571</v>
      </c>
      <c r="M69" s="325">
        <f>'Preisliste 2012'!L88</f>
        <v>656</v>
      </c>
      <c r="N69" s="365">
        <f t="shared" ca="1" si="3"/>
        <v>305.42</v>
      </c>
      <c r="O69" s="361">
        <f t="shared" ca="1" si="4"/>
        <v>432.75</v>
      </c>
      <c r="P69" s="361">
        <f t="shared" ca="1" si="5"/>
        <v>456.24</v>
      </c>
      <c r="Q69" s="361">
        <f t="shared" ca="1" si="16"/>
        <v>1006.46</v>
      </c>
      <c r="R69" s="369">
        <f t="shared" ca="1" si="7"/>
        <v>9.4695340501792166E-2</v>
      </c>
      <c r="S69" s="370">
        <f t="shared" ca="1" si="8"/>
        <v>2.5473933649289099E-2</v>
      </c>
      <c r="T69" s="370">
        <f t="shared" ca="1" si="9"/>
        <v>8.1137440758293863E-2</v>
      </c>
      <c r="U69" s="370">
        <f t="shared" ca="1" si="10"/>
        <v>0.4481438848920864</v>
      </c>
      <c r="V69" s="407">
        <f>IF(E69="","",IFERROR(INDEX(Aktiv!$G:$G,MATCH(E69,Aktiv!$A:$A,0)),""))</f>
        <v>403</v>
      </c>
      <c r="W69" s="407">
        <f>IF(E69="","",IFERROR(INDEX(Aktiv!$H:$H,MATCH(E69,Aktiv!$A:$A,0)),""))</f>
        <v>571</v>
      </c>
      <c r="X69" s="407">
        <f>IF(E69="","",IFERROR(INDEX(Aktiv!$I:$I,MATCH(E69,Aktiv!$A:$A,0)),""))</f>
        <v>602</v>
      </c>
      <c r="Y69" s="407">
        <f>IF(E69="","",IFERROR(INDEX(Aktiv!$J:$J,MATCH(E69,Aktiv!$A:$A,0)),""))</f>
        <v>1328</v>
      </c>
      <c r="Z69" s="371">
        <f t="shared" si="11"/>
        <v>7.4666666666666673E-2</v>
      </c>
      <c r="AA69" s="371">
        <f t="shared" si="0"/>
        <v>-2.7257240204429302E-2</v>
      </c>
      <c r="AB69" s="371">
        <f t="shared" si="1"/>
        <v>0.16441005802707931</v>
      </c>
      <c r="AC69" s="371">
        <f t="shared" si="2"/>
        <v>0.40677966101694918</v>
      </c>
      <c r="AD69" s="366">
        <f>IF(E69="","",IFERROR(INDEX(Preisliste_2025!$E:$E,MATCH(E69,Preisliste_2025!$C:$C,0)),""))</f>
        <v>375</v>
      </c>
      <c r="AE69" s="366">
        <f>IF(E69="","",IFERROR(INDEX(Preisliste_2025!$G:$G,MATCH(E69,Preisliste_2025!$C:$C,0)),""))</f>
        <v>587</v>
      </c>
      <c r="AF69" s="366">
        <f>IF(E69="","",IFERROR(INDEX(Preisliste_2025!$F:$F,MATCH(E69,Preisliste_2025!$C:$C,0)),""))</f>
        <v>517</v>
      </c>
      <c r="AG69" s="366">
        <f>IF(E69="","",IFERROR(INDEX(Preisliste_2025!$H:$H,MATCH(E69,Preisliste_2025!$C:$C,0)),""))</f>
        <v>944</v>
      </c>
      <c r="AH69" s="367">
        <f t="shared" si="12"/>
        <v>1.3786666666666667</v>
      </c>
      <c r="AI69" s="361">
        <f t="shared" si="13"/>
        <v>1.4937965260545907</v>
      </c>
      <c r="AJ69" s="368">
        <f>IF(E69="","",IFERROR(INDEX(Aktiv!$E:$E,MATCH(E69,Aktiv!$A:$A,0))*INDEX(Aktiv!$F:$F,MATCH(E69,Aktiv!$A:$A,0)),""))</f>
        <v>705600</v>
      </c>
      <c r="AK69" s="361">
        <f t="shared" si="17"/>
        <v>3.954081632653061</v>
      </c>
      <c r="AL69" s="361">
        <f t="shared" si="18"/>
        <v>5.7114512471655328</v>
      </c>
    </row>
    <row r="70" spans="1:38" x14ac:dyDescent="0.25">
      <c r="A70" s="323" t="str">
        <f>'Preisliste 2012'!A89</f>
        <v>Fronten (Klappe / Türe / DT)</v>
      </c>
      <c r="B70" s="324" t="str">
        <f>'Preisliste 2012'!B89</f>
        <v>Doppeltür</v>
      </c>
      <c r="C70" s="324" t="str">
        <f>'Preisliste 2012'!D89</f>
        <v>980 / 1080</v>
      </c>
      <c r="D70" s="324" t="str">
        <f>Aktiv!C238</f>
        <v>Doppeltür</v>
      </c>
      <c r="E70" s="324">
        <f>Aktiv!A238</f>
        <v>5207</v>
      </c>
      <c r="F70" s="325">
        <f>'Preisliste 2012'!E89</f>
        <v>389</v>
      </c>
      <c r="G70" s="325">
        <f>'Preisliste 2012'!F89</f>
        <v>593</v>
      </c>
      <c r="H70" s="325">
        <f>'Preisliste 2012'!G89</f>
        <v>0</v>
      </c>
      <c r="I70" s="325">
        <f>'Preisliste 2012'!H89</f>
        <v>0</v>
      </c>
      <c r="J70" s="325">
        <f>'Preisliste 2012'!I89</f>
        <v>526</v>
      </c>
      <c r="K70" s="325">
        <f>'Preisliste 2012'!J89</f>
        <v>648</v>
      </c>
      <c r="L70" s="325">
        <f>'Preisliste 2012'!K89</f>
        <v>810</v>
      </c>
      <c r="M70" s="325">
        <f>'Preisliste 2012'!L89</f>
        <v>972</v>
      </c>
      <c r="N70" s="365">
        <f t="shared" ca="1" si="3"/>
        <v>406.22</v>
      </c>
      <c r="O70" s="361">
        <f t="shared" ca="1" si="4"/>
        <v>574.47</v>
      </c>
      <c r="P70" s="361">
        <f t="shared" ca="1" si="5"/>
        <v>606.29999999999995</v>
      </c>
      <c r="Q70" s="361" t="e">
        <f t="shared" si="16"/>
        <v>#N/A</v>
      </c>
      <c r="R70" s="369">
        <f t="shared" ca="1" si="7"/>
        <v>4.4267352185090043E-2</v>
      </c>
      <c r="S70" s="370">
        <f t="shared" ca="1" si="8"/>
        <v>-3.1247892074198941E-2</v>
      </c>
      <c r="T70" s="370">
        <f t="shared" ca="1" si="9"/>
        <v>2.2428330522765522E-2</v>
      </c>
      <c r="U70" s="370" t="str">
        <f t="shared" si="10"/>
        <v/>
      </c>
      <c r="V70" s="407">
        <f>IF(E70="","",IFERROR(INDEX(Aktiv!$G:$G,MATCH(E70,Aktiv!$A:$A,0)),""))</f>
        <v>536</v>
      </c>
      <c r="W70" s="407">
        <f>IF(E70="","",IFERROR(INDEX(Aktiv!$H:$H,MATCH(E70,Aktiv!$A:$A,0)),""))</f>
        <v>758</v>
      </c>
      <c r="X70" s="407">
        <f>IF(E70="","",IFERROR(INDEX(Aktiv!$I:$I,MATCH(E70,Aktiv!$A:$A,0)),""))</f>
        <v>800</v>
      </c>
      <c r="Y70" s="407" t="e">
        <v>#N/A</v>
      </c>
      <c r="Z70" s="371">
        <f t="shared" si="11"/>
        <v>2.4856596558317401E-2</v>
      </c>
      <c r="AA70" s="371">
        <f t="shared" si="0"/>
        <v>-7.2215422276621782E-2</v>
      </c>
      <c r="AB70" s="371">
        <f t="shared" si="1"/>
        <v>0.11576011157601115</v>
      </c>
      <c r="AC70" s="371" t="str">
        <f t="shared" si="2"/>
        <v/>
      </c>
      <c r="AD70" s="366">
        <f>IF(E70="","",IFERROR(INDEX(Preisliste_2025!$E:$E,MATCH(E70,Preisliste_2025!$C:$C,0)),""))</f>
        <v>523</v>
      </c>
      <c r="AE70" s="366">
        <f>IF(E70="","",IFERROR(INDEX(Preisliste_2025!$G:$G,MATCH(E70,Preisliste_2025!$C:$C,0)),""))</f>
        <v>817</v>
      </c>
      <c r="AF70" s="366">
        <f>IF(E70="","",IFERROR(INDEX(Preisliste_2025!$F:$F,MATCH(E70,Preisliste_2025!$C:$C,0)),""))</f>
        <v>717</v>
      </c>
      <c r="AG70" s="366">
        <f>IF(E70="","",IFERROR(INDEX(Preisliste_2025!$H:$H,MATCH(E70,Preisliste_2025!$C:$C,0)),""))</f>
        <v>1349</v>
      </c>
      <c r="AH70" s="367">
        <f t="shared" si="12"/>
        <v>1.3709369024856597</v>
      </c>
      <c r="AI70" s="361">
        <f t="shared" si="13"/>
        <v>1.4925373134328359</v>
      </c>
      <c r="AJ70" s="368">
        <f>IF(E70="","",IFERROR(INDEX(Aktiv!$E:$E,MATCH(E70,Aktiv!$A:$A,0))*INDEX(Aktiv!$F:$F,MATCH(E70,Aktiv!$A:$A,0)),""))</f>
        <v>1058400</v>
      </c>
      <c r="AK70" s="361">
        <f t="shared" si="17"/>
        <v>3.6753590325018894</v>
      </c>
      <c r="AL70" s="361">
        <f t="shared" si="18"/>
        <v>5.0642479213907787</v>
      </c>
    </row>
    <row r="71" spans="1:38" x14ac:dyDescent="0.25">
      <c r="A71" s="323" t="str">
        <f>'Preisliste 2012'!A90</f>
        <v>Fronten (Klappe / Türe / DT)</v>
      </c>
      <c r="B71" s="324" t="str">
        <f>'Preisliste 2012'!B90</f>
        <v>Doppeltür</v>
      </c>
      <c r="C71" s="324" t="str">
        <f>'Preisliste 2012'!D90</f>
        <v>980 / 1440</v>
      </c>
      <c r="D71" s="324" t="str">
        <f>Aktiv!C239</f>
        <v>Doppeltür</v>
      </c>
      <c r="E71" s="324">
        <f>Aktiv!A239</f>
        <v>5208</v>
      </c>
      <c r="F71" s="325">
        <f>'Preisliste 2012'!E90</f>
        <v>465</v>
      </c>
      <c r="G71" s="325">
        <f>'Preisliste 2012'!F90</f>
        <v>728</v>
      </c>
      <c r="H71" s="325">
        <f>'Preisliste 2012'!G90</f>
        <v>0</v>
      </c>
      <c r="I71" s="325">
        <f>'Preisliste 2012'!H90</f>
        <v>0</v>
      </c>
      <c r="J71" s="325">
        <f>'Preisliste 2012'!I90</f>
        <v>639</v>
      </c>
      <c r="K71" s="325">
        <f>'Preisliste 2012'!J90</f>
        <v>799</v>
      </c>
      <c r="L71" s="325">
        <f>'Preisliste 2012'!K90</f>
        <v>998</v>
      </c>
      <c r="M71" s="325">
        <f>'Preisliste 2012'!L90</f>
        <v>1199</v>
      </c>
      <c r="N71" s="365" t="e">
        <f t="shared" ca="1" si="3"/>
        <v>#VALUE!</v>
      </c>
      <c r="O71" s="361" t="e">
        <f t="shared" ca="1" si="4"/>
        <v>#VALUE!</v>
      </c>
      <c r="P71" s="361" t="e">
        <f t="shared" ca="1" si="5"/>
        <v>#VALUE!</v>
      </c>
      <c r="Q71" s="361" t="e">
        <f t="shared" si="16"/>
        <v>#N/A</v>
      </c>
      <c r="R71" s="369">
        <f t="shared" ca="1" si="7"/>
        <v>0</v>
      </c>
      <c r="S71" s="370" t="str">
        <f t="shared" ca="1" si="8"/>
        <v/>
      </c>
      <c r="T71" s="370" t="str">
        <f t="shared" ca="1" si="9"/>
        <v/>
      </c>
      <c r="U71" s="370" t="str">
        <f t="shared" si="10"/>
        <v/>
      </c>
      <c r="V71" s="407" t="str">
        <f>IF(E71="","",IFERROR(INDEX(Aktiv!$G:$G,MATCH(E71,Aktiv!$A:$A,0)),""))</f>
        <v>-</v>
      </c>
      <c r="W71" s="407" t="str">
        <f>IF(E71="","",IFERROR(INDEX(Aktiv!$H:$H,MATCH(E71,Aktiv!$A:$A,0)),""))</f>
        <v>-</v>
      </c>
      <c r="X71" s="407" t="str">
        <f>IF(E71="","",IFERROR(INDEX(Aktiv!$I:$I,MATCH(E71,Aktiv!$A:$A,0)),""))</f>
        <v>-</v>
      </c>
      <c r="Y71" s="407" t="e">
        <v>#N/A</v>
      </c>
      <c r="Z71" s="371" t="str">
        <f t="shared" si="11"/>
        <v/>
      </c>
      <c r="AA71" s="371" t="str">
        <f t="shared" ref="AA71:AA97" si="19">IFERROR(IF(OR(AE71="",AE71=0,W71="",W71=0),"",(W71-AE71)/AE71),"")</f>
        <v/>
      </c>
      <c r="AB71" s="371" t="str">
        <f t="shared" ref="AB71:AB97" si="20">IFERROR(IF(OR(AF71="",AF71=0,X71="",X71=0),"",(X71-AF71)/AF71),"")</f>
        <v/>
      </c>
      <c r="AC71" s="371" t="str">
        <f t="shared" ref="AC71:AC97" si="21">IFERROR(IF(OR(AG71="",AG71=0,Y71="",Y71=0),"",(Y71-AG71)/AG71),"")</f>
        <v/>
      </c>
      <c r="AD71" s="366">
        <f>IF(E71="","",IFERROR(INDEX(Preisliste_2025!$E:$E,MATCH(E71,Preisliste_2025!$C:$C,0)),""))</f>
        <v>625</v>
      </c>
      <c r="AE71" s="366">
        <f>IF(E71="","",IFERROR(INDEX(Preisliste_2025!$G:$G,MATCH(E71,Preisliste_2025!$C:$C,0)),""))</f>
        <v>998</v>
      </c>
      <c r="AF71" s="366">
        <f>IF(E71="","",IFERROR(INDEX(Preisliste_2025!$F:$F,MATCH(E71,Preisliste_2025!$C:$C,0)),""))</f>
        <v>869</v>
      </c>
      <c r="AG71" s="366">
        <f>IF(E71="","",IFERROR(INDEX(Preisliste_2025!$H:$H,MATCH(E71,Preisliste_2025!$C:$C,0)),""))</f>
        <v>1635</v>
      </c>
      <c r="AH71" s="367">
        <f t="shared" si="12"/>
        <v>1.3904000000000001</v>
      </c>
      <c r="AI71" s="361" t="e">
        <f t="shared" si="13"/>
        <v>#VALUE!</v>
      </c>
      <c r="AJ71" s="368">
        <f>IF(E71="","",IFERROR(INDEX(Aktiv!$E:$E,MATCH(E71,Aktiv!$A:$A,0))*INDEX(Aktiv!$F:$F,MATCH(E71,Aktiv!$A:$A,0)),""))</f>
        <v>1411200</v>
      </c>
      <c r="AK71" s="361">
        <f t="shared" si="17"/>
        <v>3.2950680272108843</v>
      </c>
      <c r="AL71" s="361" t="e">
        <f t="shared" si="18"/>
        <v>#VALUE!</v>
      </c>
    </row>
    <row r="72" spans="1:38" x14ac:dyDescent="0.25">
      <c r="A72" s="323" t="str">
        <f>'Preisliste 2012'!A91</f>
        <v>Fronten (Klappe / Türe / DT)</v>
      </c>
      <c r="B72" s="324" t="str">
        <f>'Preisliste 2012'!B91</f>
        <v>Doppeltür</v>
      </c>
      <c r="C72" s="324" t="str">
        <f>'Preisliste 2012'!D91</f>
        <v>980 / 1800</v>
      </c>
      <c r="D72" s="324" t="str">
        <f>Aktiv!C240</f>
        <v>Doppeltür</v>
      </c>
      <c r="E72" s="324">
        <f>Aktiv!A240</f>
        <v>5209</v>
      </c>
      <c r="F72" s="325">
        <f>'Preisliste 2012'!E91</f>
        <v>572</v>
      </c>
      <c r="G72" s="325">
        <f>'Preisliste 2012'!F91</f>
        <v>901</v>
      </c>
      <c r="H72" s="325">
        <f>'Preisliste 2012'!G91</f>
        <v>0</v>
      </c>
      <c r="I72" s="325">
        <f>'Preisliste 2012'!H91</f>
        <v>0</v>
      </c>
      <c r="J72" s="325">
        <f>'Preisliste 2012'!I91</f>
        <v>790</v>
      </c>
      <c r="K72" s="325">
        <f>'Preisliste 2012'!J91</f>
        <v>989</v>
      </c>
      <c r="L72" s="325">
        <f>'Preisliste 2012'!K91</f>
        <v>1236</v>
      </c>
      <c r="M72" s="325">
        <f>'Preisliste 2012'!L91</f>
        <v>1484</v>
      </c>
      <c r="N72" s="365" t="e">
        <f t="shared" ca="1" si="3"/>
        <v>#VALUE!</v>
      </c>
      <c r="O72" s="361" t="e">
        <f t="shared" ca="1" si="4"/>
        <v>#VALUE!</v>
      </c>
      <c r="P72" s="361" t="e">
        <f t="shared" ca="1" si="5"/>
        <v>#VALUE!</v>
      </c>
      <c r="Q72" s="361" t="e">
        <f t="shared" si="16"/>
        <v>#N/A</v>
      </c>
      <c r="R72" s="369">
        <f ca="1">+IFERROR((N72-F72)/F72,0)</f>
        <v>0</v>
      </c>
      <c r="S72" s="370" t="str">
        <f t="shared" ca="1" si="8"/>
        <v/>
      </c>
      <c r="T72" s="370" t="str">
        <f t="shared" ca="1" si="9"/>
        <v/>
      </c>
      <c r="U72" s="370" t="str">
        <f t="shared" si="10"/>
        <v/>
      </c>
      <c r="V72" s="407" t="str">
        <f>IF(E72="","",IFERROR(INDEX(Aktiv!$G:$G,MATCH(E72,Aktiv!$A:$A,0)),""))</f>
        <v>-</v>
      </c>
      <c r="W72" s="407" t="str">
        <f>IF(E72="","",IFERROR(INDEX(Aktiv!$H:$H,MATCH(E72,Aktiv!$A:$A,0)),""))</f>
        <v>-</v>
      </c>
      <c r="X72" s="407" t="str">
        <f>IF(E72="","",IFERROR(INDEX(Aktiv!$I:$I,MATCH(E72,Aktiv!$A:$A,0)),""))</f>
        <v>-</v>
      </c>
      <c r="Y72" s="407" t="e">
        <v>#N/A</v>
      </c>
      <c r="Z72" s="371" t="str">
        <f t="shared" ref="Z72:Z97" si="22">IFERROR(IF(OR(AD72="",AD72=0,V72="",V72=0),"",(V72-AD72)/AD72),"")</f>
        <v/>
      </c>
      <c r="AA72" s="371" t="str">
        <f t="shared" si="19"/>
        <v/>
      </c>
      <c r="AB72" s="371" t="str">
        <f t="shared" si="20"/>
        <v/>
      </c>
      <c r="AC72" s="371" t="str">
        <f t="shared" si="21"/>
        <v/>
      </c>
      <c r="AD72" s="366">
        <f>IF(E72="","",IFERROR(INDEX(Preisliste_2025!$E:$E,MATCH(E72,Preisliste_2025!$C:$C,0)),""))</f>
        <v>769</v>
      </c>
      <c r="AE72" s="366">
        <f>IF(E72="","",IFERROR(INDEX(Preisliste_2025!$G:$G,MATCH(E72,Preisliste_2025!$C:$C,0)),""))</f>
        <v>1514</v>
      </c>
      <c r="AF72" s="366">
        <f>IF(E72="","",IFERROR(INDEX(Preisliste_2025!$F:$F,MATCH(E72,Preisliste_2025!$C:$C,0)),""))</f>
        <v>1072</v>
      </c>
      <c r="AG72" s="366">
        <f>IF(E72="","",IFERROR(INDEX(Preisliste_2025!$H:$H,MATCH(E72,Preisliste_2025!$C:$C,0)),""))</f>
        <v>2017</v>
      </c>
      <c r="AH72" s="367">
        <f t="shared" si="12"/>
        <v>1.3940182054616386</v>
      </c>
      <c r="AI72" s="361" t="e">
        <f t="shared" si="13"/>
        <v>#VALUE!</v>
      </c>
      <c r="AJ72" s="368">
        <f>IF(E72="","",IFERROR(INDEX(Aktiv!$E:$E,MATCH(E72,Aktiv!$A:$A,0))*INDEX(Aktiv!$F:$F,MATCH(E72,Aktiv!$A:$A,0)),""))</f>
        <v>1764000</v>
      </c>
      <c r="AK72" s="361">
        <f t="shared" ref="AK72:AK103" si="23">IF(OR(AJ72="",AJ72=0,F72=""),"",F72/(AJ72/10000))</f>
        <v>3.2426303854875282</v>
      </c>
      <c r="AL72" s="361" t="e">
        <f t="shared" ref="AL72:AL103" si="24">IF(OR(AJ72="",AJ72=0,V72=""),"",V72/(AJ72/10000))</f>
        <v>#VALUE!</v>
      </c>
    </row>
    <row r="73" spans="1:38" x14ac:dyDescent="0.25">
      <c r="A73" s="399"/>
      <c r="B73" s="399"/>
      <c r="C73" s="399"/>
      <c r="D73" s="399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  <c r="P73" s="399"/>
      <c r="Q73" s="399"/>
      <c r="R73" s="400">
        <f ca="1">AVERAGE(R74:R89)</f>
        <v>-3.603883153980543E-2</v>
      </c>
      <c r="S73" s="400">
        <f ca="1">AVERAGE(S74:S89)</f>
        <v>-7.675705749617924E-2</v>
      </c>
      <c r="T73" s="400">
        <f ca="1">AVERAGE(T74:T89)</f>
        <v>4.4612728156987512E-3</v>
      </c>
      <c r="U73" s="400"/>
      <c r="V73" s="408"/>
      <c r="W73" s="408"/>
      <c r="X73" s="408"/>
      <c r="Y73" s="408"/>
      <c r="Z73" s="400" t="str">
        <f t="shared" si="22"/>
        <v/>
      </c>
      <c r="AA73" s="400" t="str">
        <f t="shared" si="19"/>
        <v/>
      </c>
      <c r="AB73" s="400" t="str">
        <f t="shared" si="20"/>
        <v/>
      </c>
      <c r="AC73" s="400" t="str">
        <f t="shared" si="21"/>
        <v/>
      </c>
      <c r="AD73" s="399"/>
      <c r="AE73" s="399"/>
      <c r="AF73" s="399"/>
      <c r="AG73" s="399"/>
      <c r="AH73" s="399"/>
      <c r="AI73" s="399"/>
      <c r="AJ73" s="399"/>
      <c r="AK73" s="399"/>
      <c r="AL73" s="399"/>
    </row>
    <row r="74" spans="1:38" x14ac:dyDescent="0.25">
      <c r="A74" s="323" t="str">
        <f>'Preisliste 2012'!A94</f>
        <v>Fronten (Schubladen / HR)</v>
      </c>
      <c r="B74" s="324" t="str">
        <f>'Preisliste 2012'!B94</f>
        <v>Schubl.</v>
      </c>
      <c r="C74" s="324" t="str">
        <f>'Preisliste 2012'!D94</f>
        <v>420 / 180</v>
      </c>
      <c r="D74" s="324" t="str">
        <f>Aktiv!C242</f>
        <v>Schublade</v>
      </c>
      <c r="E74" s="324">
        <f>Aktiv!A242</f>
        <v>5300</v>
      </c>
      <c r="F74" s="325">
        <f>'Preisliste 2012'!E94</f>
        <v>212</v>
      </c>
      <c r="G74" s="325">
        <f>'Preisliste 2012'!F94</f>
        <v>242</v>
      </c>
      <c r="H74" s="325">
        <f>'Preisliste 2012'!G94</f>
        <v>0</v>
      </c>
      <c r="I74" s="325">
        <f>'Preisliste 2012'!H94</f>
        <v>0</v>
      </c>
      <c r="J74" s="325">
        <f>'Preisliste 2012'!I94</f>
        <v>237</v>
      </c>
      <c r="K74" s="325">
        <f>'Preisliste 2012'!J94</f>
        <v>246</v>
      </c>
      <c r="L74" s="325">
        <f>'Preisliste 2012'!K94</f>
        <v>307</v>
      </c>
      <c r="M74" s="325">
        <f>'Preisliste 2012'!L94</f>
        <v>369</v>
      </c>
      <c r="N74" s="365">
        <f t="shared" ref="N74:N136" ca="1" si="25">IF(V74="","",ROUND(V74/(1+$AI$3)^($AM$3-$AK$3),2))</f>
        <v>226.6</v>
      </c>
      <c r="O74" s="361">
        <f t="shared" ref="O74:O136" ca="1" si="26">IF(W74="","",ROUND(W74/(1+$AI$3)^($AM$3-$AK$3),2))</f>
        <v>269.05</v>
      </c>
      <c r="P74" s="361">
        <f t="shared" ref="P74:P136" ca="1" si="27">IF(X74="","",ROUND(X74/(1+$AI$3)^($AM$3-$AK$3),2))</f>
        <v>292.54000000000002</v>
      </c>
      <c r="Q74" s="361" t="e">
        <f t="shared" si="16"/>
        <v>#N/A</v>
      </c>
      <c r="R74" s="369">
        <f t="shared" ref="R74:R97" ca="1" si="28">+IFERROR((N74-F74)/F74,0)</f>
        <v>6.8867924528301858E-2</v>
      </c>
      <c r="S74" s="370">
        <f t="shared" ref="S74:S136" ca="1" si="29">IFERROR((O74-G74)/G74,"")</f>
        <v>0.11177685950413228</v>
      </c>
      <c r="T74" s="370">
        <f t="shared" ref="T74:T136" ca="1" si="30">IFERROR((P74-G74)/G74,"")</f>
        <v>0.20884297520661166</v>
      </c>
      <c r="U74" s="370" t="str">
        <f t="shared" ref="U74:U136" si="31">IFERROR((Q74-I74)/I74,"")</f>
        <v/>
      </c>
      <c r="V74" s="407">
        <f>IF(E74="","",IFERROR(INDEX(Aktiv!$G:$G,MATCH(E74,Aktiv!$A:$A,0)),""))</f>
        <v>299</v>
      </c>
      <c r="W74" s="407">
        <f>IF(E74="","",IFERROR(INDEX(Aktiv!$H:$H,MATCH(E74,Aktiv!$A:$A,0)),""))</f>
        <v>355</v>
      </c>
      <c r="X74" s="407">
        <f>IF(E74="","",IFERROR(INDEX(Aktiv!$I:$I,MATCH(E74,Aktiv!$A:$A,0)),""))</f>
        <v>386</v>
      </c>
      <c r="Y74" s="407" t="e">
        <v>#N/A</v>
      </c>
      <c r="Z74" s="371">
        <f t="shared" si="22"/>
        <v>4.912280701754386E-2</v>
      </c>
      <c r="AA74" s="371">
        <f t="shared" si="19"/>
        <v>2.8985507246376812E-2</v>
      </c>
      <c r="AB74" s="371">
        <f t="shared" si="20"/>
        <v>0.17325227963525835</v>
      </c>
      <c r="AC74" s="371" t="str">
        <f t="shared" si="21"/>
        <v/>
      </c>
      <c r="AD74" s="366">
        <f>IF(E74="","",IFERROR(INDEX(Preisliste_2025!$E:$E,MATCH(E74,Preisliste_2025!$C:$C,0)),""))</f>
        <v>285</v>
      </c>
      <c r="AE74" s="366">
        <f>IF(E74="","",IFERROR(INDEX(Preisliste_2025!$G:$G,MATCH(E74,Preisliste_2025!$C:$C,0)),""))</f>
        <v>345</v>
      </c>
      <c r="AF74" s="366">
        <f>IF(E74="","",IFERROR(INDEX(Preisliste_2025!$F:$F,MATCH(E74,Preisliste_2025!$C:$C,0)),""))</f>
        <v>329</v>
      </c>
      <c r="AG74" s="366">
        <f>IF(E74="","",IFERROR(INDEX(Preisliste_2025!$H:$H,MATCH(E74,Preisliste_2025!$C:$C,0)),""))</f>
        <v>619</v>
      </c>
      <c r="AH74" s="367">
        <f t="shared" ref="AH74:AH136" si="32">IF(OR(AD74="",AD74=0,AF74=""),"",(AF74/AD74))</f>
        <v>1.1543859649122807</v>
      </c>
      <c r="AI74" s="361">
        <f t="shared" ref="AI74:AI136" si="33">IF(OR(V74="",V74=0,X74=""),"",(X74/V74))</f>
        <v>1.2909698996655519</v>
      </c>
      <c r="AJ74" s="368">
        <f>IF(E74="","",IFERROR(INDEX(Aktiv!$E:$E,MATCH(E74,Aktiv!$A:$A,0))*INDEX(Aktiv!$F:$F,MATCH(E74,Aktiv!$A:$A,0)),""))</f>
        <v>75600</v>
      </c>
      <c r="AK74" s="361">
        <f t="shared" si="23"/>
        <v>28.042328042328045</v>
      </c>
      <c r="AL74" s="361">
        <f t="shared" si="24"/>
        <v>39.550264550264551</v>
      </c>
    </row>
    <row r="75" spans="1:38" x14ac:dyDescent="0.25">
      <c r="A75" s="323" t="str">
        <f>'Preisliste 2012'!A95</f>
        <v>Fronten (Schubladen / HR)</v>
      </c>
      <c r="B75" s="324" t="str">
        <f>'Preisliste 2012'!B95</f>
        <v>Schubl.</v>
      </c>
      <c r="C75" s="324" t="str">
        <f>'Preisliste 2012'!D95</f>
        <v>420 / 360</v>
      </c>
      <c r="D75" s="324" t="str">
        <f>Aktiv!C243</f>
        <v>Schublade</v>
      </c>
      <c r="E75" s="324">
        <f>Aktiv!A243</f>
        <v>5301</v>
      </c>
      <c r="F75" s="325">
        <f>'Preisliste 2012'!E95</f>
        <v>262</v>
      </c>
      <c r="G75" s="325">
        <f>'Preisliste 2012'!F95</f>
        <v>312</v>
      </c>
      <c r="H75" s="325">
        <f>'Preisliste 2012'!G95</f>
        <v>0</v>
      </c>
      <c r="I75" s="325">
        <f>'Preisliste 2012'!H95</f>
        <v>0</v>
      </c>
      <c r="J75" s="325">
        <f>'Preisliste 2012'!I95</f>
        <v>305</v>
      </c>
      <c r="K75" s="325">
        <f>'Preisliste 2012'!J95</f>
        <v>321</v>
      </c>
      <c r="L75" s="325">
        <f>'Preisliste 2012'!K95</f>
        <v>401</v>
      </c>
      <c r="M75" s="325">
        <f>'Preisliste 2012'!L95</f>
        <v>482</v>
      </c>
      <c r="N75" s="365">
        <f t="shared" ca="1" si="25"/>
        <v>242.52</v>
      </c>
      <c r="O75" s="361">
        <f t="shared" ca="1" si="26"/>
        <v>288.75</v>
      </c>
      <c r="P75" s="361">
        <f t="shared" ca="1" si="27"/>
        <v>313.76</v>
      </c>
      <c r="Q75" s="361" t="e">
        <f t="shared" si="16"/>
        <v>#N/A</v>
      </c>
      <c r="R75" s="369">
        <f t="shared" ca="1" si="28"/>
        <v>-7.4351145038167907E-2</v>
      </c>
      <c r="S75" s="370">
        <f t="shared" ca="1" si="29"/>
        <v>-7.4519230769230768E-2</v>
      </c>
      <c r="T75" s="370">
        <f t="shared" ca="1" si="30"/>
        <v>5.641025641025612E-3</v>
      </c>
      <c r="U75" s="370" t="str">
        <f t="shared" si="31"/>
        <v/>
      </c>
      <c r="V75" s="407">
        <f>IF(E75="","",IFERROR(INDEX(Aktiv!$G:$G,MATCH(E75,Aktiv!$A:$A,0)),""))</f>
        <v>320</v>
      </c>
      <c r="W75" s="407">
        <f>IF(E75="","",IFERROR(INDEX(Aktiv!$H:$H,MATCH(E75,Aktiv!$A:$A,0)),""))</f>
        <v>381</v>
      </c>
      <c r="X75" s="407">
        <f>IF(E75="","",IFERROR(INDEX(Aktiv!$I:$I,MATCH(E75,Aktiv!$A:$A,0)),""))</f>
        <v>414</v>
      </c>
      <c r="Y75" s="407" t="e">
        <v>#N/A</v>
      </c>
      <c r="Z75" s="371">
        <f t="shared" si="22"/>
        <v>-9.0909090909090912E-2</v>
      </c>
      <c r="AA75" s="371">
        <f t="shared" si="19"/>
        <v>-0.13211845102505695</v>
      </c>
      <c r="AB75" s="371">
        <f t="shared" si="20"/>
        <v>-1.4285714285714285E-2</v>
      </c>
      <c r="AC75" s="371" t="str">
        <f t="shared" si="21"/>
        <v/>
      </c>
      <c r="AD75" s="366">
        <f>IF(E75="","",IFERROR(INDEX(Preisliste_2025!$E:$E,MATCH(E75,Preisliste_2025!$C:$C,0)),""))</f>
        <v>352</v>
      </c>
      <c r="AE75" s="366">
        <f>IF(E75="","",IFERROR(INDEX(Preisliste_2025!$G:$G,MATCH(E75,Preisliste_2025!$C:$C,0)),""))</f>
        <v>439</v>
      </c>
      <c r="AF75" s="366">
        <f>IF(E75="","",IFERROR(INDEX(Preisliste_2025!$F:$F,MATCH(E75,Preisliste_2025!$C:$C,0)),""))</f>
        <v>420</v>
      </c>
      <c r="AG75" s="366">
        <f>IF(E75="","",IFERROR(INDEX(Preisliste_2025!$H:$H,MATCH(E75,Preisliste_2025!$C:$C,0)),""))</f>
        <v>429</v>
      </c>
      <c r="AH75" s="367">
        <f t="shared" si="32"/>
        <v>1.1931818181818181</v>
      </c>
      <c r="AI75" s="361">
        <f t="shared" si="33"/>
        <v>1.29375</v>
      </c>
      <c r="AJ75" s="368">
        <f>IF(E75="","",IFERROR(INDEX(Aktiv!$E:$E,MATCH(E75,Aktiv!$A:$A,0))*INDEX(Aktiv!$F:$F,MATCH(E75,Aktiv!$A:$A,0)),""))</f>
        <v>151200</v>
      </c>
      <c r="AK75" s="361">
        <f t="shared" si="23"/>
        <v>17.328042328042329</v>
      </c>
      <c r="AL75" s="361">
        <f t="shared" si="24"/>
        <v>21.164021164021165</v>
      </c>
    </row>
    <row r="76" spans="1:38" x14ac:dyDescent="0.25">
      <c r="A76" s="323" t="str">
        <f>'Preisliste 2012'!A96</f>
        <v>Fronten (Schubladen / HR)</v>
      </c>
      <c r="B76" s="324" t="str">
        <f>'Preisliste 2012'!B96</f>
        <v>Schubl.</v>
      </c>
      <c r="C76" s="324" t="str">
        <f>'Preisliste 2012'!D96</f>
        <v>580 / 180</v>
      </c>
      <c r="D76" s="324" t="str">
        <f>Aktiv!C244</f>
        <v>Schublade</v>
      </c>
      <c r="E76" s="324">
        <f>Aktiv!A244</f>
        <v>5302</v>
      </c>
      <c r="F76" s="325">
        <f>'Preisliste 2012'!E96</f>
        <v>222</v>
      </c>
      <c r="G76" s="325">
        <f>'Preisliste 2012'!F96</f>
        <v>259</v>
      </c>
      <c r="H76" s="325">
        <f>'Preisliste 2012'!G96</f>
        <v>0</v>
      </c>
      <c r="I76" s="325">
        <f>'Preisliste 2012'!H96</f>
        <v>0</v>
      </c>
      <c r="J76" s="325">
        <f>'Preisliste 2012'!I96</f>
        <v>254</v>
      </c>
      <c r="K76" s="325">
        <f>'Preisliste 2012'!J96</f>
        <v>265</v>
      </c>
      <c r="L76" s="325">
        <f>'Preisliste 2012'!K96</f>
        <v>331</v>
      </c>
      <c r="M76" s="325">
        <f>'Preisliste 2012'!L96</f>
        <v>398</v>
      </c>
      <c r="N76" s="365">
        <f t="shared" ca="1" si="25"/>
        <v>234.18</v>
      </c>
      <c r="O76" s="361">
        <f t="shared" ca="1" si="26"/>
        <v>278.14</v>
      </c>
      <c r="P76" s="361">
        <f t="shared" ca="1" si="27"/>
        <v>302.39</v>
      </c>
      <c r="Q76" s="361" t="e">
        <f t="shared" si="16"/>
        <v>#N/A</v>
      </c>
      <c r="R76" s="369">
        <f t="shared" ca="1" si="28"/>
        <v>5.4864864864864894E-2</v>
      </c>
      <c r="S76" s="370">
        <f t="shared" ca="1" si="29"/>
        <v>7.3899613899613845E-2</v>
      </c>
      <c r="T76" s="370">
        <f t="shared" ca="1" si="30"/>
        <v>0.16752895752895747</v>
      </c>
      <c r="U76" s="370" t="str">
        <f t="shared" si="31"/>
        <v/>
      </c>
      <c r="V76" s="407">
        <f>IF(E76="","",IFERROR(INDEX(Aktiv!$G:$G,MATCH(E76,Aktiv!$A:$A,0)),""))</f>
        <v>309</v>
      </c>
      <c r="W76" s="407">
        <f>IF(E76="","",IFERROR(INDEX(Aktiv!$H:$H,MATCH(E76,Aktiv!$A:$A,0)),""))</f>
        <v>367</v>
      </c>
      <c r="X76" s="407">
        <f>IF(E76="","",IFERROR(INDEX(Aktiv!$I:$I,MATCH(E76,Aktiv!$A:$A,0)),""))</f>
        <v>399</v>
      </c>
      <c r="Y76" s="407" t="e">
        <v>#N/A</v>
      </c>
      <c r="Z76" s="371">
        <f t="shared" si="22"/>
        <v>3.6912751677852351E-2</v>
      </c>
      <c r="AA76" s="371">
        <f t="shared" si="19"/>
        <v>-2.717391304347826E-3</v>
      </c>
      <c r="AB76" s="371">
        <f t="shared" si="20"/>
        <v>0.13675213675213677</v>
      </c>
      <c r="AC76" s="371" t="str">
        <f t="shared" si="21"/>
        <v/>
      </c>
      <c r="AD76" s="366">
        <f>IF(E76="","",IFERROR(INDEX(Preisliste_2025!$E:$E,MATCH(E76,Preisliste_2025!$C:$C,0)),""))</f>
        <v>298</v>
      </c>
      <c r="AE76" s="366">
        <f>IF(E76="","",IFERROR(INDEX(Preisliste_2025!$G:$G,MATCH(E76,Preisliste_2025!$C:$C,0)),""))</f>
        <v>368</v>
      </c>
      <c r="AF76" s="366">
        <f>IF(E76="","",IFERROR(INDEX(Preisliste_2025!$F:$F,MATCH(E76,Preisliste_2025!$C:$C,0)),""))</f>
        <v>351</v>
      </c>
      <c r="AG76" s="366">
        <f>IF(E76="","",IFERROR(INDEX(Preisliste_2025!$H:$H,MATCH(E76,Preisliste_2025!$C:$C,0)),""))</f>
        <v>358</v>
      </c>
      <c r="AH76" s="367">
        <f t="shared" si="32"/>
        <v>1.1778523489932886</v>
      </c>
      <c r="AI76" s="361">
        <f t="shared" si="33"/>
        <v>1.2912621359223302</v>
      </c>
      <c r="AJ76" s="368">
        <f>IF(E76="","",IFERROR(INDEX(Aktiv!$E:$E,MATCH(E76,Aktiv!$A:$A,0))*INDEX(Aktiv!$F:$F,MATCH(E76,Aktiv!$A:$A,0)),""))</f>
        <v>104400</v>
      </c>
      <c r="AK76" s="361">
        <f t="shared" si="23"/>
        <v>21.264367816091955</v>
      </c>
      <c r="AL76" s="361">
        <f t="shared" si="24"/>
        <v>29.597701149425287</v>
      </c>
    </row>
    <row r="77" spans="1:38" x14ac:dyDescent="0.25">
      <c r="A77" s="323" t="str">
        <f>'Preisliste 2012'!A97</f>
        <v>Fronten (Schubladen / HR)</v>
      </c>
      <c r="B77" s="324" t="str">
        <f>'Preisliste 2012'!B97</f>
        <v>Schubl.</v>
      </c>
      <c r="C77" s="324" t="str">
        <f>'Preisliste 2012'!D97</f>
        <v>580 / 360</v>
      </c>
      <c r="D77" s="324" t="str">
        <f>Aktiv!C245</f>
        <v>Schublade</v>
      </c>
      <c r="E77" s="324">
        <f>Aktiv!A245</f>
        <v>5303</v>
      </c>
      <c r="F77" s="325">
        <f>'Preisliste 2012'!E97</f>
        <v>263</v>
      </c>
      <c r="G77" s="325">
        <f>'Preisliste 2012'!F97</f>
        <v>335</v>
      </c>
      <c r="H77" s="325">
        <f>'Preisliste 2012'!G97</f>
        <v>0</v>
      </c>
      <c r="I77" s="325">
        <f>'Preisliste 2012'!H97</f>
        <v>0</v>
      </c>
      <c r="J77" s="325">
        <f>'Preisliste 2012'!I97</f>
        <v>324</v>
      </c>
      <c r="K77" s="325">
        <f>'Preisliste 2012'!J97</f>
        <v>343</v>
      </c>
      <c r="L77" s="325">
        <f>'Preisliste 2012'!K97</f>
        <v>429</v>
      </c>
      <c r="M77" s="325">
        <f>'Preisliste 2012'!L97</f>
        <v>515</v>
      </c>
      <c r="N77" s="365">
        <f t="shared" ca="1" si="25"/>
        <v>250.86</v>
      </c>
      <c r="O77" s="361">
        <f t="shared" ca="1" si="26"/>
        <v>297.83999999999997</v>
      </c>
      <c r="P77" s="361">
        <f t="shared" ca="1" si="27"/>
        <v>324.37</v>
      </c>
      <c r="Q77" s="361" t="e">
        <f t="shared" ref="Q77:Q140" si="34">IF(Y77="","",ROUND(Y77/(1+$AI$3)^($AM$3-$AK$3),2))</f>
        <v>#N/A</v>
      </c>
      <c r="R77" s="369">
        <f t="shared" ca="1" si="28"/>
        <v>-4.6159695817490444E-2</v>
      </c>
      <c r="S77" s="370">
        <f t="shared" ca="1" si="29"/>
        <v>-0.11092537313432843</v>
      </c>
      <c r="T77" s="370">
        <f t="shared" ca="1" si="30"/>
        <v>-3.1731343283582077E-2</v>
      </c>
      <c r="U77" s="370" t="str">
        <f t="shared" si="31"/>
        <v/>
      </c>
      <c r="V77" s="407">
        <f>IF(E77="","",IFERROR(INDEX(Aktiv!$G:$G,MATCH(E77,Aktiv!$A:$A,0)),""))</f>
        <v>331</v>
      </c>
      <c r="W77" s="407">
        <f>IF(E77="","",IFERROR(INDEX(Aktiv!$H:$H,MATCH(E77,Aktiv!$A:$A,0)),""))</f>
        <v>393</v>
      </c>
      <c r="X77" s="407">
        <f>IF(E77="","",IFERROR(INDEX(Aktiv!$I:$I,MATCH(E77,Aktiv!$A:$A,0)),""))</f>
        <v>428</v>
      </c>
      <c r="Y77" s="407" t="e">
        <v>#N/A</v>
      </c>
      <c r="Z77" s="371">
        <f t="shared" si="22"/>
        <v>-6.2322946175637391E-2</v>
      </c>
      <c r="AA77" s="371">
        <f t="shared" si="19"/>
        <v>-0.16382978723404254</v>
      </c>
      <c r="AB77" s="371">
        <f t="shared" si="20"/>
        <v>-3.8202247191011236E-2</v>
      </c>
      <c r="AC77" s="371" t="str">
        <f t="shared" si="21"/>
        <v/>
      </c>
      <c r="AD77" s="366">
        <f>IF(E77="","",IFERROR(INDEX(Preisliste_2025!$E:$E,MATCH(E77,Preisliste_2025!$C:$C,0)),""))</f>
        <v>353</v>
      </c>
      <c r="AE77" s="366">
        <f>IF(E77="","",IFERROR(INDEX(Preisliste_2025!$G:$G,MATCH(E77,Preisliste_2025!$C:$C,0)),""))</f>
        <v>470</v>
      </c>
      <c r="AF77" s="366">
        <f>IF(E77="","",IFERROR(INDEX(Preisliste_2025!$F:$F,MATCH(E77,Preisliste_2025!$C:$C,0)),""))</f>
        <v>445</v>
      </c>
      <c r="AG77" s="366">
        <f>IF(E77="","",IFERROR(INDEX(Preisliste_2025!$H:$H,MATCH(E77,Preisliste_2025!$C:$C,0)),""))</f>
        <v>460</v>
      </c>
      <c r="AH77" s="367">
        <f t="shared" si="32"/>
        <v>1.2606232294617563</v>
      </c>
      <c r="AI77" s="361">
        <f t="shared" si="33"/>
        <v>1.2930513595166162</v>
      </c>
      <c r="AJ77" s="368">
        <f>IF(E77="","",IFERROR(INDEX(Aktiv!$E:$E,MATCH(E77,Aktiv!$A:$A,0))*INDEX(Aktiv!$F:$F,MATCH(E77,Aktiv!$A:$A,0)),""))</f>
        <v>208800</v>
      </c>
      <c r="AK77" s="361">
        <f t="shared" si="23"/>
        <v>12.595785440613028</v>
      </c>
      <c r="AL77" s="361">
        <f t="shared" si="24"/>
        <v>15.85249042145594</v>
      </c>
    </row>
    <row r="78" spans="1:38" x14ac:dyDescent="0.25">
      <c r="A78" s="323" t="str">
        <f>'Preisliste 2012'!A98</f>
        <v>Fronten (Schubladen / HR)</v>
      </c>
      <c r="B78" s="324" t="str">
        <f>'Preisliste 2012'!B98</f>
        <v>Schubl.</v>
      </c>
      <c r="C78" s="324" t="str">
        <f>'Preisliste 2012'!D98</f>
        <v>780 / 180</v>
      </c>
      <c r="D78" s="324" t="str">
        <f>Aktiv!C246</f>
        <v>Schublade</v>
      </c>
      <c r="E78" s="324">
        <f>Aktiv!A246</f>
        <v>5304</v>
      </c>
      <c r="F78" s="325">
        <f>'Preisliste 2012'!E98</f>
        <v>230</v>
      </c>
      <c r="G78" s="325">
        <f>'Preisliste 2012'!F98</f>
        <v>276</v>
      </c>
      <c r="H78" s="325">
        <f>'Preisliste 2012'!G98</f>
        <v>0</v>
      </c>
      <c r="I78" s="325">
        <f>'Preisliste 2012'!H98</f>
        <v>0</v>
      </c>
      <c r="J78" s="325">
        <f>'Preisliste 2012'!I98</f>
        <v>269</v>
      </c>
      <c r="K78" s="325">
        <f>'Preisliste 2012'!J98</f>
        <v>284</v>
      </c>
      <c r="L78" s="325">
        <f>'Preisliste 2012'!K98</f>
        <v>355</v>
      </c>
      <c r="M78" s="325">
        <f>'Preisliste 2012'!L98</f>
        <v>426</v>
      </c>
      <c r="N78" s="365">
        <f t="shared" ca="1" si="25"/>
        <v>241</v>
      </c>
      <c r="O78" s="361">
        <f t="shared" ca="1" si="26"/>
        <v>286.48</v>
      </c>
      <c r="P78" s="361">
        <f t="shared" ca="1" si="27"/>
        <v>311.49</v>
      </c>
      <c r="Q78" s="361" t="e">
        <f t="shared" si="34"/>
        <v>#N/A</v>
      </c>
      <c r="R78" s="369">
        <f t="shared" ca="1" si="28"/>
        <v>4.7826086956521741E-2</v>
      </c>
      <c r="S78" s="370">
        <f t="shared" ca="1" si="29"/>
        <v>3.7971014492753689E-2</v>
      </c>
      <c r="T78" s="370">
        <f t="shared" ca="1" si="30"/>
        <v>0.12858695652173915</v>
      </c>
      <c r="U78" s="370" t="str">
        <f t="shared" si="31"/>
        <v/>
      </c>
      <c r="V78" s="407">
        <f>IF(E78="","",IFERROR(INDEX(Aktiv!$G:$G,MATCH(E78,Aktiv!$A:$A,0)),""))</f>
        <v>318</v>
      </c>
      <c r="W78" s="407">
        <f>IF(E78="","",IFERROR(INDEX(Aktiv!$H:$H,MATCH(E78,Aktiv!$A:$A,0)),""))</f>
        <v>378</v>
      </c>
      <c r="X78" s="407">
        <f>IF(E78="","",IFERROR(INDEX(Aktiv!$I:$I,MATCH(E78,Aktiv!$A:$A,0)),""))</f>
        <v>411</v>
      </c>
      <c r="Y78" s="407" t="e">
        <v>#N/A</v>
      </c>
      <c r="Z78" s="371">
        <f t="shared" si="22"/>
        <v>2.9126213592233011E-2</v>
      </c>
      <c r="AA78" s="371">
        <f t="shared" si="19"/>
        <v>-3.3248081841432228E-2</v>
      </c>
      <c r="AB78" s="371">
        <f t="shared" si="20"/>
        <v>0.10483870967741936</v>
      </c>
      <c r="AC78" s="371" t="str">
        <f t="shared" si="21"/>
        <v/>
      </c>
      <c r="AD78" s="366">
        <f>IF(E78="","",IFERROR(INDEX(Preisliste_2025!$E:$E,MATCH(E78,Preisliste_2025!$C:$C,0)),""))</f>
        <v>309</v>
      </c>
      <c r="AE78" s="366">
        <f>IF(E78="","",IFERROR(INDEX(Preisliste_2025!$G:$G,MATCH(E78,Preisliste_2025!$C:$C,0)),""))</f>
        <v>391</v>
      </c>
      <c r="AF78" s="366">
        <f>IF(E78="","",IFERROR(INDEX(Preisliste_2025!$F:$F,MATCH(E78,Preisliste_2025!$C:$C,0)),""))</f>
        <v>372</v>
      </c>
      <c r="AG78" s="366">
        <f>IF(E78="","",IFERROR(INDEX(Preisliste_2025!$H:$H,MATCH(E78,Preisliste_2025!$C:$C,0)),""))</f>
        <v>381</v>
      </c>
      <c r="AH78" s="367">
        <f t="shared" si="32"/>
        <v>1.203883495145631</v>
      </c>
      <c r="AI78" s="361">
        <f t="shared" si="33"/>
        <v>1.2924528301886793</v>
      </c>
      <c r="AJ78" s="368">
        <f>IF(E78="","",IFERROR(INDEX(Aktiv!$E:$E,MATCH(E78,Aktiv!$A:$A,0))*INDEX(Aktiv!$F:$F,MATCH(E78,Aktiv!$A:$A,0)),""))</f>
        <v>140400</v>
      </c>
      <c r="AK78" s="361">
        <f t="shared" si="23"/>
        <v>16.381766381766383</v>
      </c>
      <c r="AL78" s="361">
        <f t="shared" si="24"/>
        <v>22.649572649572651</v>
      </c>
    </row>
    <row r="79" spans="1:38" x14ac:dyDescent="0.25">
      <c r="A79" s="323" t="str">
        <f>'Preisliste 2012'!A99</f>
        <v>Fronten (Schubladen / HR)</v>
      </c>
      <c r="B79" s="324" t="str">
        <f>'Preisliste 2012'!B99</f>
        <v>Schubl.</v>
      </c>
      <c r="C79" s="324" t="str">
        <f>'Preisliste 2012'!D99</f>
        <v>780 / 360</v>
      </c>
      <c r="D79" s="324" t="str">
        <f>Aktiv!C247</f>
        <v>Schublade</v>
      </c>
      <c r="E79" s="324">
        <f>Aktiv!A247</f>
        <v>5305</v>
      </c>
      <c r="F79" s="325">
        <f>'Preisliste 2012'!E99</f>
        <v>265</v>
      </c>
      <c r="G79" s="325">
        <f>'Preisliste 2012'!F99</f>
        <v>358</v>
      </c>
      <c r="H79" s="325">
        <f>'Preisliste 2012'!G99</f>
        <v>0</v>
      </c>
      <c r="I79" s="325">
        <f>'Preisliste 2012'!H99</f>
        <v>0</v>
      </c>
      <c r="J79" s="325">
        <f>'Preisliste 2012'!I99</f>
        <v>343</v>
      </c>
      <c r="K79" s="325">
        <f>'Preisliste 2012'!J99</f>
        <v>365</v>
      </c>
      <c r="L79" s="325">
        <f>'Preisliste 2012'!K99</f>
        <v>457</v>
      </c>
      <c r="M79" s="325">
        <f>'Preisliste 2012'!L99</f>
        <v>548</v>
      </c>
      <c r="N79" s="365">
        <f t="shared" ca="1" si="25"/>
        <v>258.44</v>
      </c>
      <c r="O79" s="361">
        <f t="shared" ca="1" si="26"/>
        <v>306.94</v>
      </c>
      <c r="P79" s="361">
        <f t="shared" ca="1" si="27"/>
        <v>334.22</v>
      </c>
      <c r="Q79" s="361" t="e">
        <f t="shared" si="34"/>
        <v>#N/A</v>
      </c>
      <c r="R79" s="369">
        <f t="shared" ca="1" si="28"/>
        <v>-2.4754716981132085E-2</v>
      </c>
      <c r="S79" s="370">
        <f t="shared" ca="1" si="29"/>
        <v>-0.14262569832402236</v>
      </c>
      <c r="T79" s="370">
        <f t="shared" ca="1" si="30"/>
        <v>-6.6424581005586514E-2</v>
      </c>
      <c r="U79" s="370" t="str">
        <f t="shared" si="31"/>
        <v/>
      </c>
      <c r="V79" s="407">
        <f>IF(E79="","",IFERROR(INDEX(Aktiv!$G:$G,MATCH(E79,Aktiv!$A:$A,0)),""))</f>
        <v>341</v>
      </c>
      <c r="W79" s="407">
        <f>IF(E79="","",IFERROR(INDEX(Aktiv!$H:$H,MATCH(E79,Aktiv!$A:$A,0)),""))</f>
        <v>405</v>
      </c>
      <c r="X79" s="407">
        <f>IF(E79="","",IFERROR(INDEX(Aktiv!$I:$I,MATCH(E79,Aktiv!$A:$A,0)),""))</f>
        <v>441</v>
      </c>
      <c r="Y79" s="407" t="e">
        <v>#N/A</v>
      </c>
      <c r="Z79" s="371">
        <f t="shared" si="22"/>
        <v>-4.2134831460674156E-2</v>
      </c>
      <c r="AA79" s="371">
        <f t="shared" si="19"/>
        <v>-0.19161676646706588</v>
      </c>
      <c r="AB79" s="371">
        <f t="shared" si="20"/>
        <v>-6.3694267515923567E-2</v>
      </c>
      <c r="AC79" s="371" t="str">
        <f t="shared" si="21"/>
        <v/>
      </c>
      <c r="AD79" s="366">
        <f>IF(E79="","",IFERROR(INDEX(Preisliste_2025!$E:$E,MATCH(E79,Preisliste_2025!$C:$C,0)),""))</f>
        <v>356</v>
      </c>
      <c r="AE79" s="366">
        <f>IF(E79="","",IFERROR(INDEX(Preisliste_2025!$G:$G,MATCH(E79,Preisliste_2025!$C:$C,0)),""))</f>
        <v>501</v>
      </c>
      <c r="AF79" s="366">
        <f>IF(E79="","",IFERROR(INDEX(Preisliste_2025!$F:$F,MATCH(E79,Preisliste_2025!$C:$C,0)),""))</f>
        <v>471</v>
      </c>
      <c r="AG79" s="366">
        <f>IF(E79="","",IFERROR(INDEX(Preisliste_2025!$H:$H,MATCH(E79,Preisliste_2025!$C:$C,0)),""))</f>
        <v>491</v>
      </c>
      <c r="AH79" s="367">
        <f t="shared" si="32"/>
        <v>1.3230337078651686</v>
      </c>
      <c r="AI79" s="361">
        <f t="shared" si="33"/>
        <v>1.2932551319648093</v>
      </c>
      <c r="AJ79" s="368">
        <f>IF(E79="","",IFERROR(INDEX(Aktiv!$E:$E,MATCH(E79,Aktiv!$A:$A,0))*INDEX(Aktiv!$F:$F,MATCH(E79,Aktiv!$A:$A,0)),""))</f>
        <v>280800</v>
      </c>
      <c r="AK79" s="361">
        <f t="shared" si="23"/>
        <v>9.4373219373219381</v>
      </c>
      <c r="AL79" s="361">
        <f t="shared" si="24"/>
        <v>12.143874643874645</v>
      </c>
    </row>
    <row r="80" spans="1:38" x14ac:dyDescent="0.25">
      <c r="A80" s="323" t="str">
        <f>'Preisliste 2012'!A100</f>
        <v>Fronten (Schubladen / HR)</v>
      </c>
      <c r="B80" s="324" t="str">
        <f>'Preisliste 2012'!B100</f>
        <v>Schubl.</v>
      </c>
      <c r="C80" s="324" t="str">
        <f>'Preisliste 2012'!D100</f>
        <v>980 / 180</v>
      </c>
      <c r="D80" s="324" t="str">
        <f>Aktiv!C248</f>
        <v>Schublade</v>
      </c>
      <c r="E80" s="324">
        <f>Aktiv!A248</f>
        <v>5306</v>
      </c>
      <c r="F80" s="325">
        <f>'Preisliste 2012'!E100</f>
        <v>259</v>
      </c>
      <c r="G80" s="325">
        <f>'Preisliste 2012'!F100</f>
        <v>338</v>
      </c>
      <c r="H80" s="325">
        <f>'Preisliste 2012'!G100</f>
        <v>0</v>
      </c>
      <c r="I80" s="325">
        <f>'Preisliste 2012'!H100</f>
        <v>0</v>
      </c>
      <c r="J80" s="325">
        <f>'Preisliste 2012'!I100</f>
        <v>303</v>
      </c>
      <c r="K80" s="325">
        <f>'Preisliste 2012'!J100</f>
        <v>318</v>
      </c>
      <c r="L80" s="325">
        <f>'Preisliste 2012'!K100</f>
        <v>394</v>
      </c>
      <c r="M80" s="325">
        <f>'Preisliste 2012'!L100</f>
        <v>477</v>
      </c>
      <c r="N80" s="365">
        <f t="shared" ca="1" si="25"/>
        <v>246.31</v>
      </c>
      <c r="O80" s="361">
        <f t="shared" ca="1" si="26"/>
        <v>292.54000000000002</v>
      </c>
      <c r="P80" s="361">
        <f t="shared" ca="1" si="27"/>
        <v>319.07</v>
      </c>
      <c r="Q80" s="361" t="e">
        <f t="shared" si="34"/>
        <v>#N/A</v>
      </c>
      <c r="R80" s="369">
        <f t="shared" ca="1" si="28"/>
        <v>-4.8996138996138985E-2</v>
      </c>
      <c r="S80" s="370">
        <f t="shared" ca="1" si="29"/>
        <v>-0.13449704142011829</v>
      </c>
      <c r="T80" s="370">
        <f t="shared" ca="1" si="30"/>
        <v>-5.6005917159763337E-2</v>
      </c>
      <c r="U80" s="370" t="str">
        <f t="shared" si="31"/>
        <v/>
      </c>
      <c r="V80" s="407">
        <f>IF(E80="","",IFERROR(INDEX(Aktiv!$G:$G,MATCH(E80,Aktiv!$A:$A,0)),""))</f>
        <v>325</v>
      </c>
      <c r="W80" s="407">
        <f>IF(E80="","",IFERROR(INDEX(Aktiv!$H:$H,MATCH(E80,Aktiv!$A:$A,0)),""))</f>
        <v>386</v>
      </c>
      <c r="X80" s="407">
        <f>IF(E80="","",IFERROR(INDEX(Aktiv!$I:$I,MATCH(E80,Aktiv!$A:$A,0)),""))</f>
        <v>421</v>
      </c>
      <c r="Y80" s="407" t="e">
        <v>#N/A</v>
      </c>
      <c r="Z80" s="371">
        <f t="shared" si="22"/>
        <v>-6.6091954022988508E-2</v>
      </c>
      <c r="AA80" s="371">
        <f t="shared" si="19"/>
        <v>-0.18565400843881857</v>
      </c>
      <c r="AB80" s="371">
        <f t="shared" si="20"/>
        <v>9.5923261390887284E-3</v>
      </c>
      <c r="AC80" s="371" t="str">
        <f t="shared" si="21"/>
        <v/>
      </c>
      <c r="AD80" s="366">
        <f>IF(E80="","",IFERROR(INDEX(Preisliste_2025!$E:$E,MATCH(E80,Preisliste_2025!$C:$C,0)),""))</f>
        <v>348</v>
      </c>
      <c r="AE80" s="366">
        <f>IF(E80="","",IFERROR(INDEX(Preisliste_2025!$G:$G,MATCH(E80,Preisliste_2025!$C:$C,0)),""))</f>
        <v>474</v>
      </c>
      <c r="AF80" s="366">
        <f>IF(E80="","",IFERROR(INDEX(Preisliste_2025!$F:$F,MATCH(E80,Preisliste_2025!$C:$C,0)),""))</f>
        <v>417</v>
      </c>
      <c r="AG80" s="366">
        <f>IF(E80="","",IFERROR(INDEX(Preisliste_2025!$H:$H,MATCH(E80,Preisliste_2025!$C:$C,0)),""))</f>
        <v>464</v>
      </c>
      <c r="AH80" s="367">
        <f t="shared" si="32"/>
        <v>1.1982758620689655</v>
      </c>
      <c r="AI80" s="361">
        <f t="shared" si="33"/>
        <v>1.2953846153846154</v>
      </c>
      <c r="AJ80" s="368">
        <f>IF(E80="","",IFERROR(INDEX(Aktiv!$E:$E,MATCH(E80,Aktiv!$A:$A,0))*INDEX(Aktiv!$F:$F,MATCH(E80,Aktiv!$A:$A,0)),""))</f>
        <v>176400</v>
      </c>
      <c r="AK80" s="361">
        <f t="shared" si="23"/>
        <v>14.682539682539682</v>
      </c>
      <c r="AL80" s="361">
        <f t="shared" si="24"/>
        <v>18.424036281179138</v>
      </c>
    </row>
    <row r="81" spans="1:38" x14ac:dyDescent="0.25">
      <c r="A81" s="323" t="str">
        <f>'Preisliste 2012'!A101</f>
        <v>Fronten (Schubladen / HR)</v>
      </c>
      <c r="B81" s="324" t="str">
        <f>'Preisliste 2012'!B101</f>
        <v>Schubl.</v>
      </c>
      <c r="C81" s="324" t="str">
        <f>'Preisliste 2012'!D101</f>
        <v>980 / 360</v>
      </c>
      <c r="D81" s="324" t="str">
        <f>Aktiv!C249</f>
        <v>Schublade</v>
      </c>
      <c r="E81" s="324">
        <f>Aktiv!A249</f>
        <v>5307</v>
      </c>
      <c r="F81" s="325">
        <f>'Preisliste 2012'!E101</f>
        <v>319</v>
      </c>
      <c r="G81" s="325">
        <f>'Preisliste 2012'!F101</f>
        <v>439</v>
      </c>
      <c r="H81" s="325">
        <f>'Preisliste 2012'!G101</f>
        <v>0</v>
      </c>
      <c r="I81" s="325">
        <f>'Preisliste 2012'!H101</f>
        <v>0</v>
      </c>
      <c r="J81" s="325">
        <f>'Preisliste 2012'!I101</f>
        <v>404</v>
      </c>
      <c r="K81" s="325">
        <f>'Preisliste 2012'!J101</f>
        <v>420</v>
      </c>
      <c r="L81" s="325">
        <f>'Preisliste 2012'!K101</f>
        <v>489</v>
      </c>
      <c r="M81" s="325">
        <f>'Preisliste 2012'!L101</f>
        <v>630</v>
      </c>
      <c r="N81" s="365">
        <f t="shared" ca="1" si="25"/>
        <v>264.5</v>
      </c>
      <c r="O81" s="361">
        <f t="shared" ca="1" si="26"/>
        <v>313.76</v>
      </c>
      <c r="P81" s="361">
        <f t="shared" ca="1" si="27"/>
        <v>341.8</v>
      </c>
      <c r="Q81" s="361" t="e">
        <f t="shared" si="34"/>
        <v>#N/A</v>
      </c>
      <c r="R81" s="369">
        <f t="shared" ca="1" si="28"/>
        <v>-0.17084639498432602</v>
      </c>
      <c r="S81" s="370">
        <f t="shared" ca="1" si="29"/>
        <v>-0.28528473804100229</v>
      </c>
      <c r="T81" s="370">
        <f t="shared" ca="1" si="30"/>
        <v>-0.22141230068337128</v>
      </c>
      <c r="U81" s="370" t="str">
        <f t="shared" si="31"/>
        <v/>
      </c>
      <c r="V81" s="407">
        <f>IF(E81="","",IFERROR(INDEX(Aktiv!$G:$G,MATCH(E81,Aktiv!$A:$A,0)),""))</f>
        <v>349</v>
      </c>
      <c r="W81" s="407">
        <f>IF(E81="","",IFERROR(INDEX(Aktiv!$H:$H,MATCH(E81,Aktiv!$A:$A,0)),""))</f>
        <v>414</v>
      </c>
      <c r="X81" s="407">
        <f>IF(E81="","",IFERROR(INDEX(Aktiv!$I:$I,MATCH(E81,Aktiv!$A:$A,0)),""))</f>
        <v>451</v>
      </c>
      <c r="Y81" s="407" t="e">
        <v>#N/A</v>
      </c>
      <c r="Z81" s="371">
        <f t="shared" si="22"/>
        <v>-0.18648018648018649</v>
      </c>
      <c r="AA81" s="371">
        <f t="shared" si="19"/>
        <v>-0.32131147540983607</v>
      </c>
      <c r="AB81" s="371">
        <f t="shared" si="20"/>
        <v>-0.18444846292947559</v>
      </c>
      <c r="AC81" s="371" t="str">
        <f t="shared" si="21"/>
        <v/>
      </c>
      <c r="AD81" s="366">
        <f>IF(E81="","",IFERROR(INDEX(Preisliste_2025!$E:$E,MATCH(E81,Preisliste_2025!$C:$C,0)),""))</f>
        <v>429</v>
      </c>
      <c r="AE81" s="366">
        <f>IF(E81="","",IFERROR(INDEX(Preisliste_2025!$G:$G,MATCH(E81,Preisliste_2025!$C:$C,0)),""))</f>
        <v>610</v>
      </c>
      <c r="AF81" s="366">
        <f>IF(E81="","",IFERROR(INDEX(Preisliste_2025!$F:$F,MATCH(E81,Preisliste_2025!$C:$C,0)),""))</f>
        <v>553</v>
      </c>
      <c r="AG81" s="366">
        <f>IF(E81="","",IFERROR(INDEX(Preisliste_2025!$H:$H,MATCH(E81,Preisliste_2025!$C:$C,0)),""))</f>
        <v>600</v>
      </c>
      <c r="AH81" s="367">
        <f t="shared" si="32"/>
        <v>1.289044289044289</v>
      </c>
      <c r="AI81" s="361">
        <f t="shared" si="33"/>
        <v>1.2922636103151863</v>
      </c>
      <c r="AJ81" s="368">
        <f>IF(E81="","",IFERROR(INDEX(Aktiv!$E:$E,MATCH(E81,Aktiv!$A:$A,0))*INDEX(Aktiv!$F:$F,MATCH(E81,Aktiv!$A:$A,0)),""))</f>
        <v>352800</v>
      </c>
      <c r="AK81" s="361">
        <f t="shared" si="23"/>
        <v>9.0419501133786842</v>
      </c>
      <c r="AL81" s="361">
        <f t="shared" si="24"/>
        <v>9.8922902494331062</v>
      </c>
    </row>
    <row r="82" spans="1:38" x14ac:dyDescent="0.25">
      <c r="A82" s="323" t="str">
        <f>'Preisliste 2012'!A102</f>
        <v>Fronten (Schubladen / HR)</v>
      </c>
      <c r="B82" s="324" t="str">
        <f>'Preisliste 2012'!B102</f>
        <v>Schubl.</v>
      </c>
      <c r="C82" s="324" t="str">
        <f>'Preisliste 2012'!D102</f>
        <v>420 / 180</v>
      </c>
      <c r="D82" s="324" t="str">
        <f>Aktiv!C242</f>
        <v>Schublade</v>
      </c>
      <c r="E82" s="324">
        <f>Aktiv!A242</f>
        <v>5300</v>
      </c>
      <c r="F82" s="325">
        <f>'Preisliste 2012'!E102</f>
        <v>235</v>
      </c>
      <c r="G82" s="325">
        <f>'Preisliste 2012'!F102</f>
        <v>271</v>
      </c>
      <c r="H82" s="325">
        <f>'Preisliste 2012'!G102</f>
        <v>0</v>
      </c>
      <c r="I82" s="325">
        <f>'Preisliste 2012'!H102</f>
        <v>0</v>
      </c>
      <c r="J82" s="325">
        <f>'Preisliste 2012'!I102</f>
        <v>268</v>
      </c>
      <c r="K82" s="325">
        <f>'Preisliste 2012'!J102</f>
        <v>276</v>
      </c>
      <c r="L82" s="325">
        <f>'Preisliste 2012'!K102</f>
        <v>345</v>
      </c>
      <c r="M82" s="325">
        <f>'Preisliste 2012'!L102</f>
        <v>414</v>
      </c>
      <c r="N82" s="365">
        <f t="shared" ca="1" si="25"/>
        <v>226.6</v>
      </c>
      <c r="O82" s="361">
        <f t="shared" ca="1" si="26"/>
        <v>269.05</v>
      </c>
      <c r="P82" s="361">
        <f t="shared" ca="1" si="27"/>
        <v>292.54000000000002</v>
      </c>
      <c r="Q82" s="361" t="e">
        <f t="shared" si="34"/>
        <v>#N/A</v>
      </c>
      <c r="R82" s="369">
        <f t="shared" ca="1" si="28"/>
        <v>-3.5744680851063852E-2</v>
      </c>
      <c r="S82" s="370">
        <f t="shared" ca="1" si="29"/>
        <v>-7.1955719557195152E-3</v>
      </c>
      <c r="T82" s="370">
        <f t="shared" ca="1" si="30"/>
        <v>7.9483394833948409E-2</v>
      </c>
      <c r="U82" s="370" t="str">
        <f t="shared" si="31"/>
        <v/>
      </c>
      <c r="V82" s="407">
        <f>IF(E82="","",IFERROR(INDEX(Aktiv!$G:$G,MATCH(E82,Aktiv!$A:$A,0)),""))</f>
        <v>299</v>
      </c>
      <c r="W82" s="407">
        <f>IF(E82="","",IFERROR(INDEX(Aktiv!$H:$H,MATCH(E82,Aktiv!$A:$A,0)),""))</f>
        <v>355</v>
      </c>
      <c r="X82" s="407">
        <f>IF(E82="","",IFERROR(INDEX(Aktiv!$I:$I,MATCH(E82,Aktiv!$A:$A,0)),""))</f>
        <v>386</v>
      </c>
      <c r="Y82" s="407" t="e">
        <v>#N/A</v>
      </c>
      <c r="Z82" s="371">
        <f t="shared" si="22"/>
        <v>4.912280701754386E-2</v>
      </c>
      <c r="AA82" s="371">
        <f t="shared" si="19"/>
        <v>2.8985507246376812E-2</v>
      </c>
      <c r="AB82" s="371">
        <f t="shared" si="20"/>
        <v>0.17325227963525835</v>
      </c>
      <c r="AC82" s="371" t="str">
        <f t="shared" si="21"/>
        <v/>
      </c>
      <c r="AD82" s="366">
        <f>IF(E82="","",IFERROR(INDEX(Preisliste_2025!$E:$E,MATCH(E82,Preisliste_2025!$C:$C,0)),""))</f>
        <v>285</v>
      </c>
      <c r="AE82" s="366">
        <f>IF(E82="","",IFERROR(INDEX(Preisliste_2025!$G:$G,MATCH(E82,Preisliste_2025!$C:$C,0)),""))</f>
        <v>345</v>
      </c>
      <c r="AF82" s="366">
        <f>IF(E82="","",IFERROR(INDEX(Preisliste_2025!$F:$F,MATCH(E82,Preisliste_2025!$C:$C,0)),""))</f>
        <v>329</v>
      </c>
      <c r="AG82" s="366">
        <f>IF(E82="","",IFERROR(INDEX(Preisliste_2025!$H:$H,MATCH(E82,Preisliste_2025!$C:$C,0)),""))</f>
        <v>619</v>
      </c>
      <c r="AH82" s="367">
        <f t="shared" si="32"/>
        <v>1.1543859649122807</v>
      </c>
      <c r="AI82" s="361">
        <f t="shared" si="33"/>
        <v>1.2909698996655519</v>
      </c>
      <c r="AJ82" s="368">
        <f>IF(E82="","",IFERROR(INDEX(Aktiv!$E:$E,MATCH(E82,Aktiv!$A:$A,0))*INDEX(Aktiv!$F:$F,MATCH(E82,Aktiv!$A:$A,0)),""))</f>
        <v>75600</v>
      </c>
      <c r="AK82" s="361">
        <f t="shared" si="23"/>
        <v>31.084656084656086</v>
      </c>
      <c r="AL82" s="361">
        <f t="shared" si="24"/>
        <v>39.550264550264551</v>
      </c>
    </row>
    <row r="83" spans="1:38" x14ac:dyDescent="0.25">
      <c r="A83" s="323" t="str">
        <f>'Preisliste 2012'!A103</f>
        <v>Fronten (Schubladen / HR)</v>
      </c>
      <c r="B83" s="324" t="str">
        <f>'Preisliste 2012'!B103</f>
        <v>Schubl.</v>
      </c>
      <c r="C83" s="324" t="str">
        <f>'Preisliste 2012'!D103</f>
        <v>420 / 360</v>
      </c>
      <c r="D83" s="324" t="str">
        <f>Aktiv!C243</f>
        <v>Schublade</v>
      </c>
      <c r="E83" s="324">
        <f>Aktiv!A243</f>
        <v>5301</v>
      </c>
      <c r="F83" s="325">
        <f>'Preisliste 2012'!E103</f>
        <v>269</v>
      </c>
      <c r="G83" s="325">
        <f>'Preisliste 2012'!F103</f>
        <v>341</v>
      </c>
      <c r="H83" s="325">
        <f>'Preisliste 2012'!G103</f>
        <v>0</v>
      </c>
      <c r="I83" s="325">
        <f>'Preisliste 2012'!H103</f>
        <v>0</v>
      </c>
      <c r="J83" s="325">
        <f>'Preisliste 2012'!I103</f>
        <v>335</v>
      </c>
      <c r="K83" s="325">
        <f>'Preisliste 2012'!J103</f>
        <v>350</v>
      </c>
      <c r="L83" s="325">
        <f>'Preisliste 2012'!K103</f>
        <v>437</v>
      </c>
      <c r="M83" s="325">
        <f>'Preisliste 2012'!L103</f>
        <v>525</v>
      </c>
      <c r="N83" s="365">
        <f t="shared" ca="1" si="25"/>
        <v>242.52</v>
      </c>
      <c r="O83" s="361">
        <f t="shared" ca="1" si="26"/>
        <v>288.75</v>
      </c>
      <c r="P83" s="361">
        <f t="shared" ca="1" si="27"/>
        <v>313.76</v>
      </c>
      <c r="Q83" s="361" t="e">
        <f t="shared" si="34"/>
        <v>#N/A</v>
      </c>
      <c r="R83" s="369">
        <f t="shared" ca="1" si="28"/>
        <v>-9.8438661710037137E-2</v>
      </c>
      <c r="S83" s="370">
        <f t="shared" ca="1" si="29"/>
        <v>-0.15322580645161291</v>
      </c>
      <c r="T83" s="370">
        <f t="shared" ca="1" si="30"/>
        <v>-7.9882697947214101E-2</v>
      </c>
      <c r="U83" s="370" t="str">
        <f t="shared" si="31"/>
        <v/>
      </c>
      <c r="V83" s="407">
        <f>IF(E83="","",IFERROR(INDEX(Aktiv!$G:$G,MATCH(E83,Aktiv!$A:$A,0)),""))</f>
        <v>320</v>
      </c>
      <c r="W83" s="407">
        <f>IF(E83="","",IFERROR(INDEX(Aktiv!$H:$H,MATCH(E83,Aktiv!$A:$A,0)),""))</f>
        <v>381</v>
      </c>
      <c r="X83" s="407">
        <f>IF(E83="","",IFERROR(INDEX(Aktiv!$I:$I,MATCH(E83,Aktiv!$A:$A,0)),""))</f>
        <v>414</v>
      </c>
      <c r="Y83" s="407" t="e">
        <v>#N/A</v>
      </c>
      <c r="Z83" s="371">
        <f t="shared" si="22"/>
        <v>-9.0909090909090912E-2</v>
      </c>
      <c r="AA83" s="371">
        <f t="shared" si="19"/>
        <v>-0.13211845102505695</v>
      </c>
      <c r="AB83" s="371">
        <f t="shared" si="20"/>
        <v>-1.4285714285714285E-2</v>
      </c>
      <c r="AC83" s="371" t="str">
        <f t="shared" si="21"/>
        <v/>
      </c>
      <c r="AD83" s="366">
        <f>IF(E83="","",IFERROR(INDEX(Preisliste_2025!$E:$E,MATCH(E83,Preisliste_2025!$C:$C,0)),""))</f>
        <v>352</v>
      </c>
      <c r="AE83" s="366">
        <f>IF(E83="","",IFERROR(INDEX(Preisliste_2025!$G:$G,MATCH(E83,Preisliste_2025!$C:$C,0)),""))</f>
        <v>439</v>
      </c>
      <c r="AF83" s="366">
        <f>IF(E83="","",IFERROR(INDEX(Preisliste_2025!$F:$F,MATCH(E83,Preisliste_2025!$C:$C,0)),""))</f>
        <v>420</v>
      </c>
      <c r="AG83" s="366">
        <f>IF(E83="","",IFERROR(INDEX(Preisliste_2025!$H:$H,MATCH(E83,Preisliste_2025!$C:$C,0)),""))</f>
        <v>429</v>
      </c>
      <c r="AH83" s="367">
        <f t="shared" si="32"/>
        <v>1.1931818181818181</v>
      </c>
      <c r="AI83" s="361">
        <f t="shared" si="33"/>
        <v>1.29375</v>
      </c>
      <c r="AJ83" s="368">
        <f>IF(E83="","",IFERROR(INDEX(Aktiv!$E:$E,MATCH(E83,Aktiv!$A:$A,0))*INDEX(Aktiv!$F:$F,MATCH(E83,Aktiv!$A:$A,0)),""))</f>
        <v>151200</v>
      </c>
      <c r="AK83" s="361">
        <f t="shared" si="23"/>
        <v>17.791005291005291</v>
      </c>
      <c r="AL83" s="361">
        <f t="shared" si="24"/>
        <v>21.164021164021165</v>
      </c>
    </row>
    <row r="84" spans="1:38" x14ac:dyDescent="0.25">
      <c r="A84" s="323" t="str">
        <f>'Preisliste 2012'!A104</f>
        <v>Fronten (Schubladen / HR)</v>
      </c>
      <c r="B84" s="324" t="str">
        <f>'Preisliste 2012'!B104</f>
        <v>Schubl.</v>
      </c>
      <c r="C84" s="324" t="str">
        <f>'Preisliste 2012'!D104</f>
        <v>580 / 180</v>
      </c>
      <c r="D84" s="324" t="str">
        <f>Aktiv!C244</f>
        <v>Schublade</v>
      </c>
      <c r="E84" s="324">
        <f>Aktiv!A244</f>
        <v>5302</v>
      </c>
      <c r="F84" s="325">
        <f>'Preisliste 2012'!E104</f>
        <v>241</v>
      </c>
      <c r="G84" s="325">
        <f>'Preisliste 2012'!F104</f>
        <v>282</v>
      </c>
      <c r="H84" s="325">
        <f>'Preisliste 2012'!G104</f>
        <v>0</v>
      </c>
      <c r="I84" s="325">
        <f>'Preisliste 2012'!H104</f>
        <v>0</v>
      </c>
      <c r="J84" s="325">
        <f>'Preisliste 2012'!I104</f>
        <v>278</v>
      </c>
      <c r="K84" s="325">
        <f>'Preisliste 2012'!J104</f>
        <v>289</v>
      </c>
      <c r="L84" s="325">
        <f>'Preisliste 2012'!K104</f>
        <v>361</v>
      </c>
      <c r="M84" s="325">
        <f>'Preisliste 2012'!L104</f>
        <v>434</v>
      </c>
      <c r="N84" s="365">
        <f t="shared" ca="1" si="25"/>
        <v>234.18</v>
      </c>
      <c r="O84" s="361">
        <f t="shared" ca="1" si="26"/>
        <v>278.14</v>
      </c>
      <c r="P84" s="361">
        <f t="shared" ca="1" si="27"/>
        <v>302.39</v>
      </c>
      <c r="Q84" s="361" t="e">
        <f t="shared" si="34"/>
        <v>#N/A</v>
      </c>
      <c r="R84" s="369">
        <f t="shared" ca="1" si="28"/>
        <v>-2.8298755186721963E-2</v>
      </c>
      <c r="S84" s="370">
        <f t="shared" ca="1" si="29"/>
        <v>-1.3687943262411396E-2</v>
      </c>
      <c r="T84" s="370">
        <f t="shared" ca="1" si="30"/>
        <v>7.2304964539007047E-2</v>
      </c>
      <c r="U84" s="370" t="str">
        <f t="shared" si="31"/>
        <v/>
      </c>
      <c r="V84" s="407">
        <f>IF(E84="","",IFERROR(INDEX(Aktiv!$G:$G,MATCH(E84,Aktiv!$A:$A,0)),""))</f>
        <v>309</v>
      </c>
      <c r="W84" s="407">
        <f>IF(E84="","",IFERROR(INDEX(Aktiv!$H:$H,MATCH(E84,Aktiv!$A:$A,0)),""))</f>
        <v>367</v>
      </c>
      <c r="X84" s="407">
        <f>IF(E84="","",IFERROR(INDEX(Aktiv!$I:$I,MATCH(E84,Aktiv!$A:$A,0)),""))</f>
        <v>399</v>
      </c>
      <c r="Y84" s="407" t="e">
        <v>#N/A</v>
      </c>
      <c r="Z84" s="371">
        <f t="shared" si="22"/>
        <v>3.6912751677852351E-2</v>
      </c>
      <c r="AA84" s="371">
        <f t="shared" si="19"/>
        <v>-2.717391304347826E-3</v>
      </c>
      <c r="AB84" s="371">
        <f t="shared" si="20"/>
        <v>0.13675213675213677</v>
      </c>
      <c r="AC84" s="371" t="str">
        <f t="shared" si="21"/>
        <v/>
      </c>
      <c r="AD84" s="366">
        <f>IF(E84="","",IFERROR(INDEX(Preisliste_2025!$E:$E,MATCH(E84,Preisliste_2025!$C:$C,0)),""))</f>
        <v>298</v>
      </c>
      <c r="AE84" s="366">
        <f>IF(E84="","",IFERROR(INDEX(Preisliste_2025!$G:$G,MATCH(E84,Preisliste_2025!$C:$C,0)),""))</f>
        <v>368</v>
      </c>
      <c r="AF84" s="366">
        <f>IF(E84="","",IFERROR(INDEX(Preisliste_2025!$F:$F,MATCH(E84,Preisliste_2025!$C:$C,0)),""))</f>
        <v>351</v>
      </c>
      <c r="AG84" s="366">
        <f>IF(E84="","",IFERROR(INDEX(Preisliste_2025!$H:$H,MATCH(E84,Preisliste_2025!$C:$C,0)),""))</f>
        <v>358</v>
      </c>
      <c r="AH84" s="367">
        <f t="shared" si="32"/>
        <v>1.1778523489932886</v>
      </c>
      <c r="AI84" s="361">
        <f t="shared" si="33"/>
        <v>1.2912621359223302</v>
      </c>
      <c r="AJ84" s="368">
        <f>IF(E84="","",IFERROR(INDEX(Aktiv!$E:$E,MATCH(E84,Aktiv!$A:$A,0))*INDEX(Aktiv!$F:$F,MATCH(E84,Aktiv!$A:$A,0)),""))</f>
        <v>104400</v>
      </c>
      <c r="AK84" s="361">
        <f t="shared" si="23"/>
        <v>23.084291187739463</v>
      </c>
      <c r="AL84" s="361">
        <f t="shared" si="24"/>
        <v>29.597701149425287</v>
      </c>
    </row>
    <row r="85" spans="1:38" x14ac:dyDescent="0.25">
      <c r="A85" s="323" t="str">
        <f>'Preisliste 2012'!A105</f>
        <v>Fronten (Schubladen / HR)</v>
      </c>
      <c r="B85" s="324" t="str">
        <f>'Preisliste 2012'!B105</f>
        <v>Schubl.</v>
      </c>
      <c r="C85" s="324" t="str">
        <f>'Preisliste 2012'!D105</f>
        <v>580 / 360</v>
      </c>
      <c r="D85" s="324" t="str">
        <f>Aktiv!C245</f>
        <v>Schublade</v>
      </c>
      <c r="E85" s="324">
        <f>Aktiv!A245</f>
        <v>5303</v>
      </c>
      <c r="F85" s="325">
        <f>'Preisliste 2012'!E105</f>
        <v>278</v>
      </c>
      <c r="G85" s="325">
        <f>'Preisliste 2012'!F105</f>
        <v>359</v>
      </c>
      <c r="H85" s="325">
        <f>'Preisliste 2012'!G105</f>
        <v>0</v>
      </c>
      <c r="I85" s="325">
        <f>'Preisliste 2012'!H105</f>
        <v>0</v>
      </c>
      <c r="J85" s="325">
        <f>'Preisliste 2012'!I105</f>
        <v>348</v>
      </c>
      <c r="K85" s="325">
        <f>'Preisliste 2012'!J105</f>
        <v>367</v>
      </c>
      <c r="L85" s="325">
        <f>'Preisliste 2012'!K105</f>
        <v>459</v>
      </c>
      <c r="M85" s="325">
        <f>'Preisliste 2012'!L105</f>
        <v>551</v>
      </c>
      <c r="N85" s="365">
        <f t="shared" ca="1" si="25"/>
        <v>250.86</v>
      </c>
      <c r="O85" s="361">
        <f t="shared" ca="1" si="26"/>
        <v>297.83999999999997</v>
      </c>
      <c r="P85" s="361">
        <f t="shared" ca="1" si="27"/>
        <v>324.37</v>
      </c>
      <c r="Q85" s="361" t="e">
        <f t="shared" si="34"/>
        <v>#N/A</v>
      </c>
      <c r="R85" s="369">
        <f t="shared" ca="1" si="28"/>
        <v>-9.7625899280575495E-2</v>
      </c>
      <c r="S85" s="370">
        <f t="shared" ca="1" si="29"/>
        <v>-0.17036211699164353</v>
      </c>
      <c r="T85" s="370">
        <f t="shared" ca="1" si="30"/>
        <v>-9.6462395543175469E-2</v>
      </c>
      <c r="U85" s="370" t="str">
        <f t="shared" si="31"/>
        <v/>
      </c>
      <c r="V85" s="407">
        <f>IF(E85="","",IFERROR(INDEX(Aktiv!$G:$G,MATCH(E85,Aktiv!$A:$A,0)),""))</f>
        <v>331</v>
      </c>
      <c r="W85" s="407">
        <f>IF(E85="","",IFERROR(INDEX(Aktiv!$H:$H,MATCH(E85,Aktiv!$A:$A,0)),""))</f>
        <v>393</v>
      </c>
      <c r="X85" s="407">
        <f>IF(E85="","",IFERROR(INDEX(Aktiv!$I:$I,MATCH(E85,Aktiv!$A:$A,0)),""))</f>
        <v>428</v>
      </c>
      <c r="Y85" s="407" t="e">
        <v>#N/A</v>
      </c>
      <c r="Z85" s="371">
        <f t="shared" si="22"/>
        <v>-6.2322946175637391E-2</v>
      </c>
      <c r="AA85" s="371">
        <f t="shared" si="19"/>
        <v>-0.16382978723404254</v>
      </c>
      <c r="AB85" s="371">
        <f t="shared" si="20"/>
        <v>-3.8202247191011236E-2</v>
      </c>
      <c r="AC85" s="371" t="str">
        <f t="shared" si="21"/>
        <v/>
      </c>
      <c r="AD85" s="366">
        <f>IF(E85="","",IFERROR(INDEX(Preisliste_2025!$E:$E,MATCH(E85,Preisliste_2025!$C:$C,0)),""))</f>
        <v>353</v>
      </c>
      <c r="AE85" s="366">
        <f>IF(E85="","",IFERROR(INDEX(Preisliste_2025!$G:$G,MATCH(E85,Preisliste_2025!$C:$C,0)),""))</f>
        <v>470</v>
      </c>
      <c r="AF85" s="366">
        <f>IF(E85="","",IFERROR(INDEX(Preisliste_2025!$F:$F,MATCH(E85,Preisliste_2025!$C:$C,0)),""))</f>
        <v>445</v>
      </c>
      <c r="AG85" s="366">
        <f>IF(E85="","",IFERROR(INDEX(Preisliste_2025!$H:$H,MATCH(E85,Preisliste_2025!$C:$C,0)),""))</f>
        <v>460</v>
      </c>
      <c r="AH85" s="367">
        <f t="shared" si="32"/>
        <v>1.2606232294617563</v>
      </c>
      <c r="AI85" s="361">
        <f t="shared" si="33"/>
        <v>1.2930513595166162</v>
      </c>
      <c r="AJ85" s="368">
        <f>IF(E85="","",IFERROR(INDEX(Aktiv!$E:$E,MATCH(E85,Aktiv!$A:$A,0))*INDEX(Aktiv!$F:$F,MATCH(E85,Aktiv!$A:$A,0)),""))</f>
        <v>208800</v>
      </c>
      <c r="AK85" s="361">
        <f t="shared" si="23"/>
        <v>13.314176245210728</v>
      </c>
      <c r="AL85" s="361">
        <f t="shared" si="24"/>
        <v>15.85249042145594</v>
      </c>
    </row>
    <row r="86" spans="1:38" x14ac:dyDescent="0.25">
      <c r="A86" s="323" t="str">
        <f>'Preisliste 2012'!A106</f>
        <v>Fronten (Schubladen / HR)</v>
      </c>
      <c r="B86" s="324" t="str">
        <f>'Preisliste 2012'!B106</f>
        <v>Schubl.</v>
      </c>
      <c r="C86" s="324" t="str">
        <f>'Preisliste 2012'!D106</f>
        <v>780 / 180</v>
      </c>
      <c r="D86" s="324" t="str">
        <f>Aktiv!C246</f>
        <v>Schublade</v>
      </c>
      <c r="E86" s="324">
        <f>Aktiv!A246</f>
        <v>5304</v>
      </c>
      <c r="F86" s="325">
        <f>'Preisliste 2012'!E106</f>
        <v>246</v>
      </c>
      <c r="G86" s="325">
        <f>'Preisliste 2012'!F106</f>
        <v>293</v>
      </c>
      <c r="H86" s="325">
        <f>'Preisliste 2012'!G106</f>
        <v>0</v>
      </c>
      <c r="I86" s="325">
        <f>'Preisliste 2012'!H106</f>
        <v>0</v>
      </c>
      <c r="J86" s="325">
        <f>'Preisliste 2012'!I106</f>
        <v>288</v>
      </c>
      <c r="K86" s="325">
        <f>'Preisliste 2012'!J106</f>
        <v>302</v>
      </c>
      <c r="L86" s="325">
        <f>'Preisliste 2012'!K106</f>
        <v>377</v>
      </c>
      <c r="M86" s="325">
        <f>'Preisliste 2012'!L106</f>
        <v>453</v>
      </c>
      <c r="N86" s="365">
        <f t="shared" ca="1" si="25"/>
        <v>241</v>
      </c>
      <c r="O86" s="361">
        <f t="shared" ca="1" si="26"/>
        <v>286.48</v>
      </c>
      <c r="P86" s="361">
        <f t="shared" ca="1" si="27"/>
        <v>311.49</v>
      </c>
      <c r="Q86" s="361" t="e">
        <f t="shared" si="34"/>
        <v>#N/A</v>
      </c>
      <c r="R86" s="369">
        <f t="shared" ca="1" si="28"/>
        <v>-2.032520325203252E-2</v>
      </c>
      <c r="S86" s="370">
        <f t="shared" ca="1" si="29"/>
        <v>-2.2252559726962395E-2</v>
      </c>
      <c r="T86" s="370">
        <f t="shared" ca="1" si="30"/>
        <v>6.3105802047781601E-2</v>
      </c>
      <c r="U86" s="370" t="str">
        <f t="shared" si="31"/>
        <v/>
      </c>
      <c r="V86" s="407">
        <f>IF(E86="","",IFERROR(INDEX(Aktiv!$G:$G,MATCH(E86,Aktiv!$A:$A,0)),""))</f>
        <v>318</v>
      </c>
      <c r="W86" s="407">
        <f>IF(E86="","",IFERROR(INDEX(Aktiv!$H:$H,MATCH(E86,Aktiv!$A:$A,0)),""))</f>
        <v>378</v>
      </c>
      <c r="X86" s="407">
        <f>IF(E86="","",IFERROR(INDEX(Aktiv!$I:$I,MATCH(E86,Aktiv!$A:$A,0)),""))</f>
        <v>411</v>
      </c>
      <c r="Y86" s="407" t="e">
        <v>#N/A</v>
      </c>
      <c r="Z86" s="371">
        <f t="shared" si="22"/>
        <v>2.9126213592233011E-2</v>
      </c>
      <c r="AA86" s="371">
        <f t="shared" si="19"/>
        <v>-3.3248081841432228E-2</v>
      </c>
      <c r="AB86" s="371">
        <f t="shared" si="20"/>
        <v>0.10483870967741936</v>
      </c>
      <c r="AC86" s="371" t="str">
        <f t="shared" si="21"/>
        <v/>
      </c>
      <c r="AD86" s="366">
        <f>IF(E86="","",IFERROR(INDEX(Preisliste_2025!$E:$E,MATCH(E86,Preisliste_2025!$C:$C,0)),""))</f>
        <v>309</v>
      </c>
      <c r="AE86" s="366">
        <f>IF(E86="","",IFERROR(INDEX(Preisliste_2025!$G:$G,MATCH(E86,Preisliste_2025!$C:$C,0)),""))</f>
        <v>391</v>
      </c>
      <c r="AF86" s="366">
        <f>IF(E86="","",IFERROR(INDEX(Preisliste_2025!$F:$F,MATCH(E86,Preisliste_2025!$C:$C,0)),""))</f>
        <v>372</v>
      </c>
      <c r="AG86" s="366">
        <f>IF(E86="","",IFERROR(INDEX(Preisliste_2025!$H:$H,MATCH(E86,Preisliste_2025!$C:$C,0)),""))</f>
        <v>381</v>
      </c>
      <c r="AH86" s="367">
        <f t="shared" si="32"/>
        <v>1.203883495145631</v>
      </c>
      <c r="AI86" s="361">
        <f t="shared" si="33"/>
        <v>1.2924528301886793</v>
      </c>
      <c r="AJ86" s="368">
        <f>IF(E86="","",IFERROR(INDEX(Aktiv!$E:$E,MATCH(E86,Aktiv!$A:$A,0))*INDEX(Aktiv!$F:$F,MATCH(E86,Aktiv!$A:$A,0)),""))</f>
        <v>140400</v>
      </c>
      <c r="AK86" s="361">
        <f t="shared" si="23"/>
        <v>17.521367521367523</v>
      </c>
      <c r="AL86" s="361">
        <f t="shared" si="24"/>
        <v>22.649572649572651</v>
      </c>
    </row>
    <row r="87" spans="1:38" x14ac:dyDescent="0.25">
      <c r="A87" s="323" t="str">
        <f>'Preisliste 2012'!A107</f>
        <v>Fronten (Schubladen / HR)</v>
      </c>
      <c r="B87" s="324" t="str">
        <f>'Preisliste 2012'!B107</f>
        <v>Schubl.</v>
      </c>
      <c r="C87" s="324" t="str">
        <f>'Preisliste 2012'!D107</f>
        <v>780 / 360</v>
      </c>
      <c r="D87" s="324" t="str">
        <f>Aktiv!C247</f>
        <v>Schublade</v>
      </c>
      <c r="E87" s="324">
        <f>Aktiv!A247</f>
        <v>5305</v>
      </c>
      <c r="F87" s="325">
        <f>'Preisliste 2012'!E107</f>
        <v>288</v>
      </c>
      <c r="G87" s="325">
        <f>'Preisliste 2012'!F107</f>
        <v>376</v>
      </c>
      <c r="H87" s="325">
        <f>'Preisliste 2012'!G107</f>
        <v>0</v>
      </c>
      <c r="I87" s="325">
        <f>'Preisliste 2012'!H107</f>
        <v>0</v>
      </c>
      <c r="J87" s="325">
        <f>'Preisliste 2012'!I107</f>
        <v>361</v>
      </c>
      <c r="K87" s="325">
        <f>'Preisliste 2012'!J107</f>
        <v>384</v>
      </c>
      <c r="L87" s="325">
        <f>'Preisliste 2012'!K107</f>
        <v>480</v>
      </c>
      <c r="M87" s="325">
        <f>'Preisliste 2012'!L107</f>
        <v>576</v>
      </c>
      <c r="N87" s="365">
        <f t="shared" ca="1" si="25"/>
        <v>258.44</v>
      </c>
      <c r="O87" s="361">
        <f t="shared" ca="1" si="26"/>
        <v>306.94</v>
      </c>
      <c r="P87" s="361">
        <f t="shared" ca="1" si="27"/>
        <v>334.22</v>
      </c>
      <c r="Q87" s="361" t="e">
        <f t="shared" si="34"/>
        <v>#N/A</v>
      </c>
      <c r="R87" s="369">
        <f t="shared" ca="1" si="28"/>
        <v>-0.10263888888888889</v>
      </c>
      <c r="S87" s="370">
        <f t="shared" ca="1" si="29"/>
        <v>-0.18367021276595746</v>
      </c>
      <c r="T87" s="370">
        <f t="shared" ca="1" si="30"/>
        <v>-0.11111702127659567</v>
      </c>
      <c r="U87" s="370" t="str">
        <f t="shared" si="31"/>
        <v/>
      </c>
      <c r="V87" s="407">
        <f>IF(E87="","",IFERROR(INDEX(Aktiv!$G:$G,MATCH(E87,Aktiv!$A:$A,0)),""))</f>
        <v>341</v>
      </c>
      <c r="W87" s="407">
        <f>IF(E87="","",IFERROR(INDEX(Aktiv!$H:$H,MATCH(E87,Aktiv!$A:$A,0)),""))</f>
        <v>405</v>
      </c>
      <c r="X87" s="407">
        <f>IF(E87="","",IFERROR(INDEX(Aktiv!$I:$I,MATCH(E87,Aktiv!$A:$A,0)),""))</f>
        <v>441</v>
      </c>
      <c r="Y87" s="407" t="e">
        <v>#N/A</v>
      </c>
      <c r="Z87" s="371">
        <f t="shared" si="22"/>
        <v>-4.2134831460674156E-2</v>
      </c>
      <c r="AA87" s="371">
        <f t="shared" si="19"/>
        <v>-0.19161676646706588</v>
      </c>
      <c r="AB87" s="371">
        <f t="shared" si="20"/>
        <v>-6.3694267515923567E-2</v>
      </c>
      <c r="AC87" s="371" t="str">
        <f t="shared" si="21"/>
        <v/>
      </c>
      <c r="AD87" s="366">
        <f>IF(E87="","",IFERROR(INDEX(Preisliste_2025!$E:$E,MATCH(E87,Preisliste_2025!$C:$C,0)),""))</f>
        <v>356</v>
      </c>
      <c r="AE87" s="366">
        <f>IF(E87="","",IFERROR(INDEX(Preisliste_2025!$G:$G,MATCH(E87,Preisliste_2025!$C:$C,0)),""))</f>
        <v>501</v>
      </c>
      <c r="AF87" s="366">
        <f>IF(E87="","",IFERROR(INDEX(Preisliste_2025!$F:$F,MATCH(E87,Preisliste_2025!$C:$C,0)),""))</f>
        <v>471</v>
      </c>
      <c r="AG87" s="366">
        <f>IF(E87="","",IFERROR(INDEX(Preisliste_2025!$H:$H,MATCH(E87,Preisliste_2025!$C:$C,0)),""))</f>
        <v>491</v>
      </c>
      <c r="AH87" s="367">
        <f t="shared" si="32"/>
        <v>1.3230337078651686</v>
      </c>
      <c r="AI87" s="361">
        <f t="shared" si="33"/>
        <v>1.2932551319648093</v>
      </c>
      <c r="AJ87" s="368">
        <f>IF(E87="","",IFERROR(INDEX(Aktiv!$E:$E,MATCH(E87,Aktiv!$A:$A,0))*INDEX(Aktiv!$F:$F,MATCH(E87,Aktiv!$A:$A,0)),""))</f>
        <v>280800</v>
      </c>
      <c r="AK87" s="361">
        <f t="shared" si="23"/>
        <v>10.256410256410257</v>
      </c>
      <c r="AL87" s="361">
        <f t="shared" si="24"/>
        <v>12.143874643874645</v>
      </c>
    </row>
    <row r="88" spans="1:38" x14ac:dyDescent="0.25">
      <c r="A88" s="323" t="str">
        <f>'Preisliste 2012'!A108</f>
        <v>Fronten (Schubladen / HR)</v>
      </c>
      <c r="B88" s="324" t="str">
        <f>'Preisliste 2012'!B108</f>
        <v>Schubl.</v>
      </c>
      <c r="C88" s="324" t="str">
        <f>'Preisliste 2012'!D108</f>
        <v>980 / 180</v>
      </c>
      <c r="D88" s="324" t="str">
        <f>Aktiv!C248</f>
        <v>Schublade</v>
      </c>
      <c r="E88" s="324">
        <f>Aktiv!A248</f>
        <v>5306</v>
      </c>
      <c r="F88" s="325">
        <f>'Preisliste 2012'!E108</f>
        <v>0</v>
      </c>
      <c r="G88" s="325">
        <f>'Preisliste 2012'!F108</f>
        <v>0</v>
      </c>
      <c r="H88" s="325">
        <f>'Preisliste 2012'!G108</f>
        <v>0</v>
      </c>
      <c r="I88" s="325">
        <f>'Preisliste 2012'!H108</f>
        <v>0</v>
      </c>
      <c r="J88" s="325">
        <f>'Preisliste 2012'!I108</f>
        <v>0</v>
      </c>
      <c r="K88" s="325">
        <f>'Preisliste 2012'!J108</f>
        <v>0</v>
      </c>
      <c r="L88" s="325">
        <f>'Preisliste 2012'!K108</f>
        <v>0</v>
      </c>
      <c r="M88" s="325">
        <f>'Preisliste 2012'!L108</f>
        <v>0</v>
      </c>
      <c r="N88" s="365">
        <f t="shared" ca="1" si="25"/>
        <v>246.31</v>
      </c>
      <c r="O88" s="361">
        <f t="shared" ca="1" si="26"/>
        <v>292.54000000000002</v>
      </c>
      <c r="P88" s="361">
        <f t="shared" ca="1" si="27"/>
        <v>319.07</v>
      </c>
      <c r="Q88" s="361" t="e">
        <f t="shared" si="34"/>
        <v>#N/A</v>
      </c>
      <c r="R88" s="369">
        <f t="shared" ca="1" si="28"/>
        <v>0</v>
      </c>
      <c r="S88" s="370" t="str">
        <f t="shared" ca="1" si="29"/>
        <v/>
      </c>
      <c r="T88" s="370" t="str">
        <f t="shared" ca="1" si="30"/>
        <v/>
      </c>
      <c r="U88" s="370" t="str">
        <f t="shared" si="31"/>
        <v/>
      </c>
      <c r="V88" s="407">
        <f>IF(E88="","",IFERROR(INDEX(Aktiv!$G:$G,MATCH(E88,Aktiv!$A:$A,0)),""))</f>
        <v>325</v>
      </c>
      <c r="W88" s="407">
        <f>IF(E88="","",IFERROR(INDEX(Aktiv!$H:$H,MATCH(E88,Aktiv!$A:$A,0)),""))</f>
        <v>386</v>
      </c>
      <c r="X88" s="407">
        <f>IF(E88="","",IFERROR(INDEX(Aktiv!$I:$I,MATCH(E88,Aktiv!$A:$A,0)),""))</f>
        <v>421</v>
      </c>
      <c r="Y88" s="407" t="e">
        <v>#N/A</v>
      </c>
      <c r="Z88" s="371">
        <f t="shared" si="22"/>
        <v>-6.6091954022988508E-2</v>
      </c>
      <c r="AA88" s="371">
        <f t="shared" si="19"/>
        <v>-0.18565400843881857</v>
      </c>
      <c r="AB88" s="371">
        <f t="shared" si="20"/>
        <v>9.5923261390887284E-3</v>
      </c>
      <c r="AC88" s="371" t="str">
        <f t="shared" si="21"/>
        <v/>
      </c>
      <c r="AD88" s="366">
        <f>IF(E88="","",IFERROR(INDEX(Preisliste_2025!$E:$E,MATCH(E88,Preisliste_2025!$C:$C,0)),""))</f>
        <v>348</v>
      </c>
      <c r="AE88" s="366">
        <f>IF(E88="","",IFERROR(INDEX(Preisliste_2025!$G:$G,MATCH(E88,Preisliste_2025!$C:$C,0)),""))</f>
        <v>474</v>
      </c>
      <c r="AF88" s="366">
        <f>IF(E88="","",IFERROR(INDEX(Preisliste_2025!$F:$F,MATCH(E88,Preisliste_2025!$C:$C,0)),""))</f>
        <v>417</v>
      </c>
      <c r="AG88" s="366">
        <f>IF(E88="","",IFERROR(INDEX(Preisliste_2025!$H:$H,MATCH(E88,Preisliste_2025!$C:$C,0)),""))</f>
        <v>464</v>
      </c>
      <c r="AH88" s="367">
        <f t="shared" si="32"/>
        <v>1.1982758620689655</v>
      </c>
      <c r="AI88" s="361">
        <f t="shared" si="33"/>
        <v>1.2953846153846154</v>
      </c>
      <c r="AJ88" s="368">
        <f>IF(E88="","",IFERROR(INDEX(Aktiv!$E:$E,MATCH(E88,Aktiv!$A:$A,0))*INDEX(Aktiv!$F:$F,MATCH(E88,Aktiv!$A:$A,0)),""))</f>
        <v>176400</v>
      </c>
      <c r="AK88" s="361">
        <f t="shared" si="23"/>
        <v>0</v>
      </c>
      <c r="AL88" s="361">
        <f t="shared" si="24"/>
        <v>18.424036281179138</v>
      </c>
    </row>
    <row r="89" spans="1:38" x14ac:dyDescent="0.25">
      <c r="A89" s="323" t="str">
        <f>'Preisliste 2012'!A109</f>
        <v>Fronten (Schubladen / HR)</v>
      </c>
      <c r="B89" s="324" t="str">
        <f>'Preisliste 2012'!B109</f>
        <v>Schubl.</v>
      </c>
      <c r="C89" s="324" t="str">
        <f>'Preisliste 2012'!D109</f>
        <v>980 / 360</v>
      </c>
      <c r="D89" s="324" t="str">
        <f>Aktiv!C249</f>
        <v>Schublade</v>
      </c>
      <c r="E89" s="324">
        <f>Aktiv!A249</f>
        <v>5307</v>
      </c>
      <c r="F89" s="325">
        <f>'Preisliste 2012'!E109</f>
        <v>0</v>
      </c>
      <c r="G89" s="325">
        <f>'Preisliste 2012'!F109</f>
        <v>0</v>
      </c>
      <c r="H89" s="325">
        <f>'Preisliste 2012'!G109</f>
        <v>0</v>
      </c>
      <c r="I89" s="325">
        <f>'Preisliste 2012'!H109</f>
        <v>0</v>
      </c>
      <c r="J89" s="325">
        <f>'Preisliste 2012'!I109</f>
        <v>0</v>
      </c>
      <c r="K89" s="325">
        <f>'Preisliste 2012'!J109</f>
        <v>0</v>
      </c>
      <c r="L89" s="325">
        <f>'Preisliste 2012'!K109</f>
        <v>0</v>
      </c>
      <c r="M89" s="325">
        <f>'Preisliste 2012'!L109</f>
        <v>0</v>
      </c>
      <c r="N89" s="365">
        <f t="shared" ca="1" si="25"/>
        <v>264.5</v>
      </c>
      <c r="O89" s="361">
        <f t="shared" ca="1" si="26"/>
        <v>313.76</v>
      </c>
      <c r="P89" s="361">
        <f t="shared" ca="1" si="27"/>
        <v>341.8</v>
      </c>
      <c r="Q89" s="361" t="e">
        <f t="shared" si="34"/>
        <v>#N/A</v>
      </c>
      <c r="R89" s="369">
        <f t="shared" ca="1" si="28"/>
        <v>0</v>
      </c>
      <c r="S89" s="370" t="str">
        <f t="shared" ca="1" si="29"/>
        <v/>
      </c>
      <c r="T89" s="370" t="str">
        <f t="shared" ca="1" si="30"/>
        <v/>
      </c>
      <c r="U89" s="370" t="str">
        <f t="shared" si="31"/>
        <v/>
      </c>
      <c r="V89" s="407">
        <f>IF(E89="","",IFERROR(INDEX(Aktiv!$G:$G,MATCH(E89,Aktiv!$A:$A,0)),""))</f>
        <v>349</v>
      </c>
      <c r="W89" s="407">
        <f>IF(E89="","",IFERROR(INDEX(Aktiv!$H:$H,MATCH(E89,Aktiv!$A:$A,0)),""))</f>
        <v>414</v>
      </c>
      <c r="X89" s="407">
        <f>IF(E89="","",IFERROR(INDEX(Aktiv!$I:$I,MATCH(E89,Aktiv!$A:$A,0)),""))</f>
        <v>451</v>
      </c>
      <c r="Y89" s="407" t="e">
        <v>#N/A</v>
      </c>
      <c r="Z89" s="371">
        <f t="shared" si="22"/>
        <v>-0.18648018648018649</v>
      </c>
      <c r="AA89" s="371">
        <f t="shared" si="19"/>
        <v>-0.32131147540983607</v>
      </c>
      <c r="AB89" s="371">
        <f t="shared" si="20"/>
        <v>-0.18444846292947559</v>
      </c>
      <c r="AC89" s="371" t="str">
        <f t="shared" si="21"/>
        <v/>
      </c>
      <c r="AD89" s="366">
        <f>IF(E89="","",IFERROR(INDEX(Preisliste_2025!$E:$E,MATCH(E89,Preisliste_2025!$C:$C,0)),""))</f>
        <v>429</v>
      </c>
      <c r="AE89" s="366">
        <f>IF(E89="","",IFERROR(INDEX(Preisliste_2025!$G:$G,MATCH(E89,Preisliste_2025!$C:$C,0)),""))</f>
        <v>610</v>
      </c>
      <c r="AF89" s="366">
        <f>IF(E89="","",IFERROR(INDEX(Preisliste_2025!$F:$F,MATCH(E89,Preisliste_2025!$C:$C,0)),""))</f>
        <v>553</v>
      </c>
      <c r="AG89" s="366">
        <f>IF(E89="","",IFERROR(INDEX(Preisliste_2025!$H:$H,MATCH(E89,Preisliste_2025!$C:$C,0)),""))</f>
        <v>600</v>
      </c>
      <c r="AH89" s="367">
        <f t="shared" si="32"/>
        <v>1.289044289044289</v>
      </c>
      <c r="AI89" s="361">
        <f t="shared" si="33"/>
        <v>1.2922636103151863</v>
      </c>
      <c r="AJ89" s="368">
        <f>IF(E89="","",IFERROR(INDEX(Aktiv!$E:$E,MATCH(E89,Aktiv!$A:$A,0))*INDEX(Aktiv!$F:$F,MATCH(E89,Aktiv!$A:$A,0)),""))</f>
        <v>352800</v>
      </c>
      <c r="AK89" s="361">
        <f t="shared" si="23"/>
        <v>0</v>
      </c>
      <c r="AL89" s="361">
        <f t="shared" si="24"/>
        <v>9.8922902494331062</v>
      </c>
    </row>
    <row r="90" spans="1:38" x14ac:dyDescent="0.25">
      <c r="A90" s="323" t="str">
        <f>'Preisliste 2012'!A110</f>
        <v>Fronten (Schubladen / HR)</v>
      </c>
      <c r="B90" s="324" t="str">
        <f>'Preisliste 2012'!B110</f>
        <v>HR-Sc</v>
      </c>
      <c r="C90" s="324" t="str">
        <f>'Preisliste 2012'!D110</f>
        <v>420 / 360</v>
      </c>
      <c r="D90" s="324" t="str">
        <f>Aktiv!C263</f>
        <v>Schublade LB 1</v>
      </c>
      <c r="E90" s="324">
        <f>Aktiv!A263</f>
        <v>5401</v>
      </c>
      <c r="F90" s="325">
        <f>'Preisliste 2012'!E110</f>
        <v>262</v>
      </c>
      <c r="G90" s="325">
        <f>'Preisliste 2012'!F110</f>
        <v>312</v>
      </c>
      <c r="H90" s="325">
        <f>'Preisliste 2012'!G110</f>
        <v>0</v>
      </c>
      <c r="I90" s="325">
        <f>'Preisliste 2012'!H110</f>
        <v>0</v>
      </c>
      <c r="J90" s="325">
        <f>'Preisliste 2012'!I110</f>
        <v>305</v>
      </c>
      <c r="K90" s="325">
        <f>'Preisliste 2012'!J110</f>
        <v>321</v>
      </c>
      <c r="L90" s="325">
        <f>'Preisliste 2012'!K110</f>
        <v>401</v>
      </c>
      <c r="M90" s="325">
        <f>'Preisliste 2012'!L110</f>
        <v>482</v>
      </c>
      <c r="N90" s="365">
        <f t="shared" ca="1" si="25"/>
        <v>242.52</v>
      </c>
      <c r="O90" s="361">
        <f t="shared" ca="1" si="26"/>
        <v>288.75</v>
      </c>
      <c r="P90" s="361">
        <f t="shared" ca="1" si="27"/>
        <v>313.76</v>
      </c>
      <c r="Q90" s="361" t="e">
        <f t="shared" si="34"/>
        <v>#N/A</v>
      </c>
      <c r="R90" s="369">
        <f t="shared" ca="1" si="28"/>
        <v>-7.4351145038167907E-2</v>
      </c>
      <c r="S90" s="370">
        <f t="shared" ca="1" si="29"/>
        <v>-7.4519230769230768E-2</v>
      </c>
      <c r="T90" s="370">
        <f t="shared" ca="1" si="30"/>
        <v>5.641025641025612E-3</v>
      </c>
      <c r="U90" s="370" t="str">
        <f t="shared" si="31"/>
        <v/>
      </c>
      <c r="V90" s="407">
        <f>IF(E90="","",IFERROR(INDEX(Aktiv!$G:$G,MATCH(E90,Aktiv!$A:$A,0)),""))</f>
        <v>320</v>
      </c>
      <c r="W90" s="407">
        <f>IF(E90="","",IFERROR(INDEX(Aktiv!$H:$H,MATCH(E90,Aktiv!$A:$A,0)),""))</f>
        <v>381</v>
      </c>
      <c r="X90" s="407">
        <f>IF(E90="","",IFERROR(INDEX(Aktiv!$I:$I,MATCH(E90,Aktiv!$A:$A,0)),""))</f>
        <v>414</v>
      </c>
      <c r="Y90" s="407" t="e">
        <v>#N/A</v>
      </c>
      <c r="Z90" s="371" t="str">
        <f t="shared" si="22"/>
        <v/>
      </c>
      <c r="AA90" s="371" t="str">
        <f t="shared" si="19"/>
        <v/>
      </c>
      <c r="AB90" s="371" t="str">
        <f t="shared" si="20"/>
        <v/>
      </c>
      <c r="AC90" s="371" t="str">
        <f t="shared" si="21"/>
        <v/>
      </c>
      <c r="AD90" s="366" t="str">
        <f>IF(E90="","",IFERROR(INDEX(Preisliste_2025!$E:$E,MATCH(E90,Preisliste_2025!$C:$C,0)),""))</f>
        <v/>
      </c>
      <c r="AE90" s="366" t="str">
        <f>IF(E90="","",IFERROR(INDEX(Preisliste_2025!$G:$G,MATCH(E90,Preisliste_2025!$C:$C,0)),""))</f>
        <v/>
      </c>
      <c r="AF90" s="366" t="str">
        <f>IF(E90="","",IFERROR(INDEX(Preisliste_2025!$F:$F,MATCH(E90,Preisliste_2025!$C:$C,0)),""))</f>
        <v/>
      </c>
      <c r="AG90" s="366" t="str">
        <f>IF(E90="","",IFERROR(INDEX(Preisliste_2025!$H:$H,MATCH(E90,Preisliste_2025!$C:$C,0)),""))</f>
        <v/>
      </c>
      <c r="AH90" s="367" t="str">
        <f t="shared" si="32"/>
        <v/>
      </c>
      <c r="AI90" s="361">
        <f t="shared" si="33"/>
        <v>1.29375</v>
      </c>
      <c r="AJ90" s="368">
        <f>IF(E90="","",IFERROR(INDEX(Aktiv!$E:$E,MATCH(E90,Aktiv!$A:$A,0))*INDEX(Aktiv!$F:$F,MATCH(E90,Aktiv!$A:$A,0)),""))</f>
        <v>151200</v>
      </c>
      <c r="AK90" s="361">
        <f t="shared" si="23"/>
        <v>17.328042328042329</v>
      </c>
      <c r="AL90" s="361">
        <f t="shared" si="24"/>
        <v>21.164021164021165</v>
      </c>
    </row>
    <row r="91" spans="1:38" x14ac:dyDescent="0.25">
      <c r="A91" s="323" t="str">
        <f>'Preisliste 2012'!A111</f>
        <v>Fronten (Schubladen / HR)</v>
      </c>
      <c r="B91" s="324" t="str">
        <f>'Preisliste 2012'!B111</f>
        <v>HR-Sc</v>
      </c>
      <c r="C91" s="324" t="str">
        <f>'Preisliste 2012'!D111</f>
        <v>580 / 360</v>
      </c>
      <c r="D91" s="324" t="str">
        <f>Aktiv!C265</f>
        <v>Schublade LB 1</v>
      </c>
      <c r="E91" s="324">
        <f>Aktiv!A265</f>
        <v>5403</v>
      </c>
      <c r="F91" s="325">
        <f>'Preisliste 2012'!E111</f>
        <v>263</v>
      </c>
      <c r="G91" s="325">
        <f>'Preisliste 2012'!F111</f>
        <v>335</v>
      </c>
      <c r="H91" s="325">
        <f>'Preisliste 2012'!G111</f>
        <v>0</v>
      </c>
      <c r="I91" s="325">
        <f>'Preisliste 2012'!H111</f>
        <v>0</v>
      </c>
      <c r="J91" s="325">
        <f>'Preisliste 2012'!I111</f>
        <v>324</v>
      </c>
      <c r="K91" s="325">
        <f>'Preisliste 2012'!J111</f>
        <v>343</v>
      </c>
      <c r="L91" s="325">
        <f>'Preisliste 2012'!K111</f>
        <v>429</v>
      </c>
      <c r="M91" s="325">
        <f>'Preisliste 2012'!L111</f>
        <v>515</v>
      </c>
      <c r="N91" s="365">
        <f t="shared" ca="1" si="25"/>
        <v>250.86</v>
      </c>
      <c r="O91" s="361">
        <f t="shared" ca="1" si="26"/>
        <v>297.83999999999997</v>
      </c>
      <c r="P91" s="361">
        <f t="shared" ca="1" si="27"/>
        <v>324.37</v>
      </c>
      <c r="Q91" s="361" t="e">
        <f t="shared" si="34"/>
        <v>#N/A</v>
      </c>
      <c r="R91" s="369">
        <f t="shared" ca="1" si="28"/>
        <v>-4.6159695817490444E-2</v>
      </c>
      <c r="S91" s="370">
        <f t="shared" ca="1" si="29"/>
        <v>-0.11092537313432843</v>
      </c>
      <c r="T91" s="370">
        <f t="shared" ca="1" si="30"/>
        <v>-3.1731343283582077E-2</v>
      </c>
      <c r="U91" s="370" t="str">
        <f t="shared" si="31"/>
        <v/>
      </c>
      <c r="V91" s="407">
        <f>IF(E91="","",IFERROR(INDEX(Aktiv!$G:$G,MATCH(E91,Aktiv!$A:$A,0)),""))</f>
        <v>331</v>
      </c>
      <c r="W91" s="407">
        <f>IF(E91="","",IFERROR(INDEX(Aktiv!$H:$H,MATCH(E91,Aktiv!$A:$A,0)),""))</f>
        <v>393</v>
      </c>
      <c r="X91" s="407">
        <f>IF(E91="","",IFERROR(INDEX(Aktiv!$I:$I,MATCH(E91,Aktiv!$A:$A,0)),""))</f>
        <v>428</v>
      </c>
      <c r="Y91" s="407" t="e">
        <v>#N/A</v>
      </c>
      <c r="Z91" s="371" t="str">
        <f t="shared" si="22"/>
        <v/>
      </c>
      <c r="AA91" s="371" t="str">
        <f t="shared" si="19"/>
        <v/>
      </c>
      <c r="AB91" s="371" t="str">
        <f t="shared" si="20"/>
        <v/>
      </c>
      <c r="AC91" s="371" t="str">
        <f t="shared" si="21"/>
        <v/>
      </c>
      <c r="AD91" s="366" t="str">
        <f>IF(E91="","",IFERROR(INDEX(Preisliste_2025!$E:$E,MATCH(E91,Preisliste_2025!$C:$C,0)),""))</f>
        <v/>
      </c>
      <c r="AE91" s="366" t="str">
        <f>IF(E91="","",IFERROR(INDEX(Preisliste_2025!$G:$G,MATCH(E91,Preisliste_2025!$C:$C,0)),""))</f>
        <v/>
      </c>
      <c r="AF91" s="366" t="str">
        <f>IF(E91="","",IFERROR(INDEX(Preisliste_2025!$F:$F,MATCH(E91,Preisliste_2025!$C:$C,0)),""))</f>
        <v/>
      </c>
      <c r="AG91" s="366" t="str">
        <f>IF(E91="","",IFERROR(INDEX(Preisliste_2025!$H:$H,MATCH(E91,Preisliste_2025!$C:$C,0)),""))</f>
        <v/>
      </c>
      <c r="AH91" s="367" t="str">
        <f t="shared" si="32"/>
        <v/>
      </c>
      <c r="AI91" s="361">
        <f t="shared" si="33"/>
        <v>1.2930513595166162</v>
      </c>
      <c r="AJ91" s="368">
        <f>IF(E91="","",IFERROR(INDEX(Aktiv!$E:$E,MATCH(E91,Aktiv!$A:$A,0))*INDEX(Aktiv!$F:$F,MATCH(E91,Aktiv!$A:$A,0)),""))</f>
        <v>208800</v>
      </c>
      <c r="AK91" s="361">
        <f t="shared" si="23"/>
        <v>12.595785440613028</v>
      </c>
      <c r="AL91" s="361">
        <f t="shared" si="24"/>
        <v>15.85249042145594</v>
      </c>
    </row>
    <row r="92" spans="1:38" x14ac:dyDescent="0.25">
      <c r="A92" s="323" t="str">
        <f>'Preisliste 2012'!A112</f>
        <v>Fronten (Schubladen / HR)</v>
      </c>
      <c r="B92" s="324" t="str">
        <f>'Preisliste 2012'!B112</f>
        <v>HR-Sc</v>
      </c>
      <c r="C92" s="324" t="str">
        <f>'Preisliste 2012'!D112</f>
        <v>780 / 360</v>
      </c>
      <c r="D92" s="324" t="str">
        <f>Aktiv!C267</f>
        <v>Schublade LB 1</v>
      </c>
      <c r="E92" s="324">
        <f>Aktiv!A267</f>
        <v>5405</v>
      </c>
      <c r="F92" s="325">
        <f>'Preisliste 2012'!E112</f>
        <v>265</v>
      </c>
      <c r="G92" s="325">
        <f>'Preisliste 2012'!F112</f>
        <v>358</v>
      </c>
      <c r="H92" s="325">
        <f>'Preisliste 2012'!G112</f>
        <v>0</v>
      </c>
      <c r="I92" s="325">
        <f>'Preisliste 2012'!H112</f>
        <v>0</v>
      </c>
      <c r="J92" s="325">
        <f>'Preisliste 2012'!I112</f>
        <v>343</v>
      </c>
      <c r="K92" s="325">
        <f>'Preisliste 2012'!J112</f>
        <v>365</v>
      </c>
      <c r="L92" s="325">
        <f>'Preisliste 2012'!K112</f>
        <v>457</v>
      </c>
      <c r="M92" s="325">
        <f>'Preisliste 2012'!L112</f>
        <v>548</v>
      </c>
      <c r="N92" s="365">
        <f t="shared" ca="1" si="25"/>
        <v>258.44</v>
      </c>
      <c r="O92" s="361">
        <f t="shared" ca="1" si="26"/>
        <v>306.94</v>
      </c>
      <c r="P92" s="361">
        <f t="shared" ca="1" si="27"/>
        <v>334.22</v>
      </c>
      <c r="Q92" s="361" t="e">
        <f t="shared" si="34"/>
        <v>#N/A</v>
      </c>
      <c r="R92" s="369">
        <f t="shared" ca="1" si="28"/>
        <v>-2.4754716981132085E-2</v>
      </c>
      <c r="S92" s="370">
        <f t="shared" ca="1" si="29"/>
        <v>-0.14262569832402236</v>
      </c>
      <c r="T92" s="370">
        <f t="shared" ca="1" si="30"/>
        <v>-6.6424581005586514E-2</v>
      </c>
      <c r="U92" s="370" t="str">
        <f t="shared" si="31"/>
        <v/>
      </c>
      <c r="V92" s="407">
        <f>IF(E92="","",IFERROR(INDEX(Aktiv!$G:$G,MATCH(E92,Aktiv!$A:$A,0)),""))</f>
        <v>341</v>
      </c>
      <c r="W92" s="407">
        <f>IF(E92="","",IFERROR(INDEX(Aktiv!$H:$H,MATCH(E92,Aktiv!$A:$A,0)),""))</f>
        <v>405</v>
      </c>
      <c r="X92" s="407">
        <f>IF(E92="","",IFERROR(INDEX(Aktiv!$I:$I,MATCH(E92,Aktiv!$A:$A,0)),""))</f>
        <v>441</v>
      </c>
      <c r="Y92" s="407" t="e">
        <v>#N/A</v>
      </c>
      <c r="Z92" s="371" t="str">
        <f t="shared" si="22"/>
        <v/>
      </c>
      <c r="AA92" s="371" t="str">
        <f t="shared" si="19"/>
        <v/>
      </c>
      <c r="AB92" s="371" t="str">
        <f t="shared" si="20"/>
        <v/>
      </c>
      <c r="AC92" s="371" t="str">
        <f t="shared" si="21"/>
        <v/>
      </c>
      <c r="AD92" s="366" t="str">
        <f>IF(E92="","",IFERROR(INDEX(Preisliste_2025!$E:$E,MATCH(E92,Preisliste_2025!$C:$C,0)),""))</f>
        <v/>
      </c>
      <c r="AE92" s="366" t="str">
        <f>IF(E92="","",IFERROR(INDEX(Preisliste_2025!$G:$G,MATCH(E92,Preisliste_2025!$C:$C,0)),""))</f>
        <v/>
      </c>
      <c r="AF92" s="366" t="str">
        <f>IF(E92="","",IFERROR(INDEX(Preisliste_2025!$F:$F,MATCH(E92,Preisliste_2025!$C:$C,0)),""))</f>
        <v/>
      </c>
      <c r="AG92" s="366" t="str">
        <f>IF(E92="","",IFERROR(INDEX(Preisliste_2025!$H:$H,MATCH(E92,Preisliste_2025!$C:$C,0)),""))</f>
        <v/>
      </c>
      <c r="AH92" s="367" t="str">
        <f t="shared" si="32"/>
        <v/>
      </c>
      <c r="AI92" s="361">
        <f t="shared" si="33"/>
        <v>1.2932551319648093</v>
      </c>
      <c r="AJ92" s="368">
        <f>IF(E92="","",IFERROR(INDEX(Aktiv!$E:$E,MATCH(E92,Aktiv!$A:$A,0))*INDEX(Aktiv!$F:$F,MATCH(E92,Aktiv!$A:$A,0)),""))</f>
        <v>280800</v>
      </c>
      <c r="AK92" s="361">
        <f t="shared" si="23"/>
        <v>9.4373219373219381</v>
      </c>
      <c r="AL92" s="361">
        <f t="shared" si="24"/>
        <v>12.143874643874645</v>
      </c>
    </row>
    <row r="93" spans="1:38" x14ac:dyDescent="0.25">
      <c r="A93" s="323" t="str">
        <f>'Preisliste 2012'!A113</f>
        <v>Fronten (Schubladen / HR)</v>
      </c>
      <c r="B93" s="324" t="str">
        <f>'Preisliste 2012'!B113</f>
        <v>HR-Sc</v>
      </c>
      <c r="C93" s="324" t="str">
        <f>'Preisliste 2012'!D113</f>
        <v>980 / 360</v>
      </c>
      <c r="D93" s="324" t="str">
        <f>Aktiv!C269</f>
        <v>Schublade LB 1</v>
      </c>
      <c r="E93" s="324">
        <f>Aktiv!A269</f>
        <v>5407</v>
      </c>
      <c r="F93" s="325">
        <f>'Preisliste 2012'!E113</f>
        <v>319</v>
      </c>
      <c r="G93" s="325">
        <f>'Preisliste 2012'!F113</f>
        <v>439</v>
      </c>
      <c r="H93" s="325">
        <f>'Preisliste 2012'!G113</f>
        <v>0</v>
      </c>
      <c r="I93" s="325">
        <f>'Preisliste 2012'!H113</f>
        <v>0</v>
      </c>
      <c r="J93" s="325">
        <f>'Preisliste 2012'!I113</f>
        <v>404</v>
      </c>
      <c r="K93" s="325">
        <f>'Preisliste 2012'!J113</f>
        <v>420</v>
      </c>
      <c r="L93" s="325">
        <f>'Preisliste 2012'!K113</f>
        <v>489</v>
      </c>
      <c r="M93" s="325">
        <f>'Preisliste 2012'!L113</f>
        <v>630</v>
      </c>
      <c r="N93" s="365">
        <f t="shared" ca="1" si="25"/>
        <v>264.5</v>
      </c>
      <c r="O93" s="361">
        <f t="shared" ca="1" si="26"/>
        <v>313.76</v>
      </c>
      <c r="P93" s="361">
        <f t="shared" ca="1" si="27"/>
        <v>341.8</v>
      </c>
      <c r="Q93" s="361" t="e">
        <f t="shared" si="34"/>
        <v>#N/A</v>
      </c>
      <c r="R93" s="369">
        <f t="shared" ca="1" si="28"/>
        <v>-0.17084639498432602</v>
      </c>
      <c r="S93" s="370">
        <f t="shared" ca="1" si="29"/>
        <v>-0.28528473804100229</v>
      </c>
      <c r="T93" s="370">
        <f t="shared" ca="1" si="30"/>
        <v>-0.22141230068337128</v>
      </c>
      <c r="U93" s="370" t="str">
        <f t="shared" si="31"/>
        <v/>
      </c>
      <c r="V93" s="407">
        <f>IF(E93="","",IFERROR(INDEX(Aktiv!$G:$G,MATCH(E93,Aktiv!$A:$A,0)),""))</f>
        <v>349</v>
      </c>
      <c r="W93" s="407">
        <f>IF(E93="","",IFERROR(INDEX(Aktiv!$H:$H,MATCH(E93,Aktiv!$A:$A,0)),""))</f>
        <v>414</v>
      </c>
      <c r="X93" s="407">
        <f>IF(E93="","",IFERROR(INDEX(Aktiv!$I:$I,MATCH(E93,Aktiv!$A:$A,0)),""))</f>
        <v>451</v>
      </c>
      <c r="Y93" s="407" t="e">
        <v>#N/A</v>
      </c>
      <c r="Z93" s="371" t="str">
        <f t="shared" si="22"/>
        <v/>
      </c>
      <c r="AA93" s="371" t="str">
        <f t="shared" si="19"/>
        <v/>
      </c>
      <c r="AB93" s="371" t="str">
        <f t="shared" si="20"/>
        <v/>
      </c>
      <c r="AC93" s="371" t="str">
        <f t="shared" si="21"/>
        <v/>
      </c>
      <c r="AD93" s="366" t="str">
        <f>IF(E93="","",IFERROR(INDEX(Preisliste_2025!$E:$E,MATCH(E93,Preisliste_2025!$C:$C,0)),""))</f>
        <v/>
      </c>
      <c r="AE93" s="366" t="str">
        <f>IF(E93="","",IFERROR(INDEX(Preisliste_2025!$G:$G,MATCH(E93,Preisliste_2025!$C:$C,0)),""))</f>
        <v/>
      </c>
      <c r="AF93" s="366" t="str">
        <f>IF(E93="","",IFERROR(INDEX(Preisliste_2025!$F:$F,MATCH(E93,Preisliste_2025!$C:$C,0)),""))</f>
        <v/>
      </c>
      <c r="AG93" s="366" t="str">
        <f>IF(E93="","",IFERROR(INDEX(Preisliste_2025!$H:$H,MATCH(E93,Preisliste_2025!$C:$C,0)),""))</f>
        <v/>
      </c>
      <c r="AH93" s="367" t="str">
        <f t="shared" si="32"/>
        <v/>
      </c>
      <c r="AI93" s="361">
        <f t="shared" si="33"/>
        <v>1.2922636103151863</v>
      </c>
      <c r="AJ93" s="368">
        <f>IF(E93="","",IFERROR(INDEX(Aktiv!$E:$E,MATCH(E93,Aktiv!$A:$A,0))*INDEX(Aktiv!$F:$F,MATCH(E93,Aktiv!$A:$A,0)),""))</f>
        <v>352800</v>
      </c>
      <c r="AK93" s="361">
        <f t="shared" si="23"/>
        <v>9.0419501133786842</v>
      </c>
      <c r="AL93" s="361">
        <f t="shared" si="24"/>
        <v>9.8922902494331062</v>
      </c>
    </row>
    <row r="94" spans="1:38" x14ac:dyDescent="0.25">
      <c r="A94" s="323" t="str">
        <f>'Preisliste 2012'!A114</f>
        <v>Fronten (Schubladen / HR)</v>
      </c>
      <c r="B94" s="324" t="str">
        <f>'Preisliste 2012'!B114</f>
        <v>HR-Sc</v>
      </c>
      <c r="C94" s="324" t="str">
        <f>'Preisliste 2012'!D114</f>
        <v>420 / 360</v>
      </c>
      <c r="D94" s="324" t="str">
        <f>Aktiv!C272</f>
        <v>Schublade LB 2</v>
      </c>
      <c r="E94" s="324">
        <f>Aktiv!A272</f>
        <v>5501</v>
      </c>
      <c r="F94" s="325">
        <f>'Preisliste 2012'!E114</f>
        <v>269</v>
      </c>
      <c r="G94" s="325">
        <f>'Preisliste 2012'!F114</f>
        <v>341</v>
      </c>
      <c r="H94" s="325">
        <f>'Preisliste 2012'!G114</f>
        <v>0</v>
      </c>
      <c r="I94" s="325">
        <f>'Preisliste 2012'!H114</f>
        <v>0</v>
      </c>
      <c r="J94" s="325">
        <f>'Preisliste 2012'!I114</f>
        <v>335</v>
      </c>
      <c r="K94" s="325">
        <f>'Preisliste 2012'!J114</f>
        <v>350</v>
      </c>
      <c r="L94" s="325">
        <f>'Preisliste 2012'!K114</f>
        <v>437</v>
      </c>
      <c r="M94" s="325">
        <f>'Preisliste 2012'!L114</f>
        <v>525</v>
      </c>
      <c r="N94" s="365">
        <f t="shared" ca="1" si="25"/>
        <v>242.52</v>
      </c>
      <c r="O94" s="361">
        <f t="shared" ca="1" si="26"/>
        <v>288.75</v>
      </c>
      <c r="P94" s="361">
        <f t="shared" ca="1" si="27"/>
        <v>313.76</v>
      </c>
      <c r="Q94" s="361" t="e">
        <f t="shared" si="34"/>
        <v>#N/A</v>
      </c>
      <c r="R94" s="369">
        <f t="shared" ca="1" si="28"/>
        <v>-9.8438661710037137E-2</v>
      </c>
      <c r="S94" s="370">
        <f t="shared" ca="1" si="29"/>
        <v>-0.15322580645161291</v>
      </c>
      <c r="T94" s="370">
        <f t="shared" ca="1" si="30"/>
        <v>-7.9882697947214101E-2</v>
      </c>
      <c r="U94" s="370" t="str">
        <f t="shared" si="31"/>
        <v/>
      </c>
      <c r="V94" s="407">
        <f>IF(E94="","",IFERROR(INDEX(Aktiv!$G:$G,MATCH(E94,Aktiv!$A:$A,0)),""))</f>
        <v>320</v>
      </c>
      <c r="W94" s="407">
        <f>IF(E94="","",IFERROR(INDEX(Aktiv!$H:$H,MATCH(E94,Aktiv!$A:$A,0)),""))</f>
        <v>381</v>
      </c>
      <c r="X94" s="407">
        <f>IF(E94="","",IFERROR(INDEX(Aktiv!$I:$I,MATCH(E94,Aktiv!$A:$A,0)),""))</f>
        <v>414</v>
      </c>
      <c r="Y94" s="407" t="e">
        <v>#N/A</v>
      </c>
      <c r="Z94" s="371" t="str">
        <f t="shared" si="22"/>
        <v/>
      </c>
      <c r="AA94" s="371" t="str">
        <f t="shared" si="19"/>
        <v/>
      </c>
      <c r="AB94" s="371" t="str">
        <f t="shared" si="20"/>
        <v/>
      </c>
      <c r="AC94" s="371" t="str">
        <f t="shared" si="21"/>
        <v/>
      </c>
      <c r="AD94" s="366" t="str">
        <f>IF(E94="","",IFERROR(INDEX(Preisliste_2025!$E:$E,MATCH(E94,Preisliste_2025!$C:$C,0)),""))</f>
        <v/>
      </c>
      <c r="AE94" s="366" t="str">
        <f>IF(E94="","",IFERROR(INDEX(Preisliste_2025!$G:$G,MATCH(E94,Preisliste_2025!$C:$C,0)),""))</f>
        <v/>
      </c>
      <c r="AF94" s="366" t="str">
        <f>IF(E94="","",IFERROR(INDEX(Preisliste_2025!$F:$F,MATCH(E94,Preisliste_2025!$C:$C,0)),""))</f>
        <v/>
      </c>
      <c r="AG94" s="366" t="str">
        <f>IF(E94="","",IFERROR(INDEX(Preisliste_2025!$H:$H,MATCH(E94,Preisliste_2025!$C:$C,0)),""))</f>
        <v/>
      </c>
      <c r="AH94" s="367" t="str">
        <f t="shared" si="32"/>
        <v/>
      </c>
      <c r="AI94" s="361">
        <f t="shared" si="33"/>
        <v>1.29375</v>
      </c>
      <c r="AJ94" s="368">
        <f>IF(E94="","",IFERROR(INDEX(Aktiv!$E:$E,MATCH(E94,Aktiv!$A:$A,0))*INDEX(Aktiv!$F:$F,MATCH(E94,Aktiv!$A:$A,0)),""))</f>
        <v>151200</v>
      </c>
      <c r="AK94" s="361">
        <f t="shared" si="23"/>
        <v>17.791005291005291</v>
      </c>
      <c r="AL94" s="361">
        <f t="shared" si="24"/>
        <v>21.164021164021165</v>
      </c>
    </row>
    <row r="95" spans="1:38" x14ac:dyDescent="0.25">
      <c r="A95" s="323" t="str">
        <f>'Preisliste 2012'!A115</f>
        <v>Fronten (Schubladen / HR)</v>
      </c>
      <c r="B95" s="324" t="str">
        <f>'Preisliste 2012'!B115</f>
        <v>HR-Sc</v>
      </c>
      <c r="C95" s="324" t="str">
        <f>'Preisliste 2012'!D115</f>
        <v>580 / 360</v>
      </c>
      <c r="D95" s="324" t="str">
        <f>Aktiv!C274</f>
        <v>Schublade LB 2</v>
      </c>
      <c r="E95" s="324">
        <f>Aktiv!A274</f>
        <v>5503</v>
      </c>
      <c r="F95" s="325">
        <f>'Preisliste 2012'!E115</f>
        <v>278</v>
      </c>
      <c r="G95" s="325">
        <f>'Preisliste 2012'!F115</f>
        <v>359</v>
      </c>
      <c r="H95" s="325">
        <f>'Preisliste 2012'!G115</f>
        <v>0</v>
      </c>
      <c r="I95" s="325">
        <f>'Preisliste 2012'!H115</f>
        <v>0</v>
      </c>
      <c r="J95" s="325">
        <f>'Preisliste 2012'!I115</f>
        <v>348</v>
      </c>
      <c r="K95" s="325">
        <f>'Preisliste 2012'!J115</f>
        <v>367</v>
      </c>
      <c r="L95" s="325">
        <f>'Preisliste 2012'!K115</f>
        <v>459</v>
      </c>
      <c r="M95" s="325">
        <f>'Preisliste 2012'!L115</f>
        <v>551</v>
      </c>
      <c r="N95" s="365">
        <f t="shared" ca="1" si="25"/>
        <v>250.86</v>
      </c>
      <c r="O95" s="361">
        <f t="shared" ca="1" si="26"/>
        <v>297.83999999999997</v>
      </c>
      <c r="P95" s="361">
        <f t="shared" ca="1" si="27"/>
        <v>324.37</v>
      </c>
      <c r="Q95" s="361" t="e">
        <f t="shared" si="34"/>
        <v>#N/A</v>
      </c>
      <c r="R95" s="369">
        <f t="shared" ca="1" si="28"/>
        <v>-9.7625899280575495E-2</v>
      </c>
      <c r="S95" s="370">
        <f t="shared" ca="1" si="29"/>
        <v>-0.17036211699164353</v>
      </c>
      <c r="T95" s="370">
        <f t="shared" ca="1" si="30"/>
        <v>-9.6462395543175469E-2</v>
      </c>
      <c r="U95" s="370" t="str">
        <f t="shared" si="31"/>
        <v/>
      </c>
      <c r="V95" s="407">
        <f>IF(E95="","",IFERROR(INDEX(Aktiv!$G:$G,MATCH(E95,Aktiv!$A:$A,0)),""))</f>
        <v>331</v>
      </c>
      <c r="W95" s="407">
        <f>IF(E95="","",IFERROR(INDEX(Aktiv!$H:$H,MATCH(E95,Aktiv!$A:$A,0)),""))</f>
        <v>393</v>
      </c>
      <c r="X95" s="407">
        <f>IF(E95="","",IFERROR(INDEX(Aktiv!$I:$I,MATCH(E95,Aktiv!$A:$A,0)),""))</f>
        <v>428</v>
      </c>
      <c r="Y95" s="407" t="e">
        <v>#N/A</v>
      </c>
      <c r="Z95" s="371" t="str">
        <f t="shared" si="22"/>
        <v/>
      </c>
      <c r="AA95" s="371" t="str">
        <f t="shared" si="19"/>
        <v/>
      </c>
      <c r="AB95" s="371" t="str">
        <f t="shared" si="20"/>
        <v/>
      </c>
      <c r="AC95" s="371" t="str">
        <f t="shared" si="21"/>
        <v/>
      </c>
      <c r="AD95" s="366" t="str">
        <f>IF(E95="","",IFERROR(INDEX(Preisliste_2025!$E:$E,MATCH(E95,Preisliste_2025!$C:$C,0)),""))</f>
        <v/>
      </c>
      <c r="AE95" s="366" t="str">
        <f>IF(E95="","",IFERROR(INDEX(Preisliste_2025!$G:$G,MATCH(E95,Preisliste_2025!$C:$C,0)),""))</f>
        <v/>
      </c>
      <c r="AF95" s="366" t="str">
        <f>IF(E95="","",IFERROR(INDEX(Preisliste_2025!$F:$F,MATCH(E95,Preisliste_2025!$C:$C,0)),""))</f>
        <v/>
      </c>
      <c r="AG95" s="366" t="str">
        <f>IF(E95="","",IFERROR(INDEX(Preisliste_2025!$H:$H,MATCH(E95,Preisliste_2025!$C:$C,0)),""))</f>
        <v/>
      </c>
      <c r="AH95" s="367" t="str">
        <f t="shared" si="32"/>
        <v/>
      </c>
      <c r="AI95" s="361">
        <f t="shared" si="33"/>
        <v>1.2930513595166162</v>
      </c>
      <c r="AJ95" s="368">
        <f>IF(E95="","",IFERROR(INDEX(Aktiv!$E:$E,MATCH(E95,Aktiv!$A:$A,0))*INDEX(Aktiv!$F:$F,MATCH(E95,Aktiv!$A:$A,0)),""))</f>
        <v>208800</v>
      </c>
      <c r="AK95" s="361">
        <f t="shared" si="23"/>
        <v>13.314176245210728</v>
      </c>
      <c r="AL95" s="361">
        <f t="shared" si="24"/>
        <v>15.85249042145594</v>
      </c>
    </row>
    <row r="96" spans="1:38" x14ac:dyDescent="0.25">
      <c r="A96" s="323" t="str">
        <f>'Preisliste 2012'!A116</f>
        <v>Fronten (Schubladen / HR)</v>
      </c>
      <c r="B96" s="324" t="str">
        <f>'Preisliste 2012'!B116</f>
        <v>HR-Sc</v>
      </c>
      <c r="C96" s="324" t="str">
        <f>'Preisliste 2012'!D116</f>
        <v>780 / 360</v>
      </c>
      <c r="D96" s="324" t="str">
        <f>Aktiv!C276</f>
        <v>Schublade LB 2</v>
      </c>
      <c r="E96" s="324">
        <f>Aktiv!A276</f>
        <v>5505</v>
      </c>
      <c r="F96" s="325">
        <f>'Preisliste 2012'!E116</f>
        <v>288</v>
      </c>
      <c r="G96" s="325">
        <f>'Preisliste 2012'!F116</f>
        <v>376</v>
      </c>
      <c r="H96" s="325">
        <f>'Preisliste 2012'!G116</f>
        <v>0</v>
      </c>
      <c r="I96" s="325">
        <f>'Preisliste 2012'!H116</f>
        <v>0</v>
      </c>
      <c r="J96" s="325">
        <f>'Preisliste 2012'!I116</f>
        <v>361</v>
      </c>
      <c r="K96" s="325">
        <f>'Preisliste 2012'!J116</f>
        <v>384</v>
      </c>
      <c r="L96" s="325">
        <f>'Preisliste 2012'!K116</f>
        <v>480</v>
      </c>
      <c r="M96" s="325">
        <f>'Preisliste 2012'!L116</f>
        <v>576</v>
      </c>
      <c r="N96" s="365">
        <f t="shared" ca="1" si="25"/>
        <v>258.44</v>
      </c>
      <c r="O96" s="361">
        <f t="shared" ca="1" si="26"/>
        <v>306.94</v>
      </c>
      <c r="P96" s="361">
        <f t="shared" ca="1" si="27"/>
        <v>334.22</v>
      </c>
      <c r="Q96" s="361" t="e">
        <f t="shared" si="34"/>
        <v>#N/A</v>
      </c>
      <c r="R96" s="369">
        <f t="shared" ca="1" si="28"/>
        <v>-0.10263888888888889</v>
      </c>
      <c r="S96" s="370">
        <f t="shared" ca="1" si="29"/>
        <v>-0.18367021276595746</v>
      </c>
      <c r="T96" s="370">
        <f t="shared" ca="1" si="30"/>
        <v>-0.11111702127659567</v>
      </c>
      <c r="U96" s="370" t="str">
        <f t="shared" si="31"/>
        <v/>
      </c>
      <c r="V96" s="407">
        <f>IF(E96="","",IFERROR(INDEX(Aktiv!$G:$G,MATCH(E96,Aktiv!$A:$A,0)),""))</f>
        <v>341</v>
      </c>
      <c r="W96" s="407">
        <f>IF(E96="","",IFERROR(INDEX(Aktiv!$H:$H,MATCH(E96,Aktiv!$A:$A,0)),""))</f>
        <v>405</v>
      </c>
      <c r="X96" s="407">
        <f>IF(E96="","",IFERROR(INDEX(Aktiv!$I:$I,MATCH(E96,Aktiv!$A:$A,0)),""))</f>
        <v>441</v>
      </c>
      <c r="Y96" s="407" t="e">
        <v>#N/A</v>
      </c>
      <c r="Z96" s="371" t="str">
        <f t="shared" si="22"/>
        <v/>
      </c>
      <c r="AA96" s="371" t="str">
        <f t="shared" si="19"/>
        <v/>
      </c>
      <c r="AB96" s="371" t="str">
        <f t="shared" si="20"/>
        <v/>
      </c>
      <c r="AC96" s="371" t="str">
        <f t="shared" si="21"/>
        <v/>
      </c>
      <c r="AD96" s="366" t="str">
        <f>IF(E96="","",IFERROR(INDEX(Preisliste_2025!$E:$E,MATCH(E96,Preisliste_2025!$C:$C,0)),""))</f>
        <v/>
      </c>
      <c r="AE96" s="366" t="str">
        <f>IF(E96="","",IFERROR(INDEX(Preisliste_2025!$G:$G,MATCH(E96,Preisliste_2025!$C:$C,0)),""))</f>
        <v/>
      </c>
      <c r="AF96" s="366" t="str">
        <f>IF(E96="","",IFERROR(INDEX(Preisliste_2025!$F:$F,MATCH(E96,Preisliste_2025!$C:$C,0)),""))</f>
        <v/>
      </c>
      <c r="AG96" s="366" t="str">
        <f>IF(E96="","",IFERROR(INDEX(Preisliste_2025!$H:$H,MATCH(E96,Preisliste_2025!$C:$C,0)),""))</f>
        <v/>
      </c>
      <c r="AH96" s="367" t="str">
        <f t="shared" si="32"/>
        <v/>
      </c>
      <c r="AI96" s="361">
        <f t="shared" si="33"/>
        <v>1.2932551319648093</v>
      </c>
      <c r="AJ96" s="368">
        <f>IF(E96="","",IFERROR(INDEX(Aktiv!$E:$E,MATCH(E96,Aktiv!$A:$A,0))*INDEX(Aktiv!$F:$F,MATCH(E96,Aktiv!$A:$A,0)),""))</f>
        <v>280800</v>
      </c>
      <c r="AK96" s="361">
        <f t="shared" si="23"/>
        <v>10.256410256410257</v>
      </c>
      <c r="AL96" s="361">
        <f t="shared" si="24"/>
        <v>12.143874643874645</v>
      </c>
    </row>
    <row r="97" spans="1:38" x14ac:dyDescent="0.25">
      <c r="A97" s="323" t="str">
        <f>'Preisliste 2012'!A117</f>
        <v>Fronten (Schubladen / HR)</v>
      </c>
      <c r="B97" s="324" t="str">
        <f>'Preisliste 2012'!B117</f>
        <v>HR-Sc</v>
      </c>
      <c r="C97" s="324" t="str">
        <f>'Preisliste 2012'!D117</f>
        <v>980 / 360</v>
      </c>
      <c r="D97" s="324" t="str">
        <f>Aktiv!C278</f>
        <v>Schublade LB 2</v>
      </c>
      <c r="E97" s="324">
        <f>Aktiv!A278</f>
        <v>5507</v>
      </c>
      <c r="F97" s="325">
        <f>'Preisliste 2012'!E117</f>
        <v>0</v>
      </c>
      <c r="G97" s="325">
        <f>'Preisliste 2012'!F117</f>
        <v>0</v>
      </c>
      <c r="H97" s="325">
        <f>'Preisliste 2012'!G117</f>
        <v>0</v>
      </c>
      <c r="I97" s="325">
        <f>'Preisliste 2012'!H117</f>
        <v>0</v>
      </c>
      <c r="J97" s="325">
        <f>'Preisliste 2012'!I117</f>
        <v>0</v>
      </c>
      <c r="K97" s="325">
        <f>'Preisliste 2012'!J117</f>
        <v>0</v>
      </c>
      <c r="L97" s="325">
        <f>'Preisliste 2012'!K117</f>
        <v>0</v>
      </c>
      <c r="M97" s="325">
        <f>'Preisliste 2012'!L117</f>
        <v>0</v>
      </c>
      <c r="N97" s="365">
        <f t="shared" ca="1" si="25"/>
        <v>264.5</v>
      </c>
      <c r="O97" s="361">
        <f t="shared" ca="1" si="26"/>
        <v>313.76</v>
      </c>
      <c r="P97" s="361">
        <f t="shared" ca="1" si="27"/>
        <v>341.8</v>
      </c>
      <c r="Q97" s="361" t="e">
        <f t="shared" si="34"/>
        <v>#N/A</v>
      </c>
      <c r="R97" s="369">
        <f t="shared" ca="1" si="28"/>
        <v>0</v>
      </c>
      <c r="S97" s="370" t="str">
        <f t="shared" ca="1" si="29"/>
        <v/>
      </c>
      <c r="T97" s="370" t="str">
        <f t="shared" ca="1" si="30"/>
        <v/>
      </c>
      <c r="U97" s="370" t="str">
        <f t="shared" si="31"/>
        <v/>
      </c>
      <c r="V97" s="407">
        <f>IF(E97="","",IFERROR(INDEX(Aktiv!$G:$G,MATCH(E97,Aktiv!$A:$A,0)),""))</f>
        <v>349</v>
      </c>
      <c r="W97" s="407">
        <f>IF(E97="","",IFERROR(INDEX(Aktiv!$H:$H,MATCH(E97,Aktiv!$A:$A,0)),""))</f>
        <v>414</v>
      </c>
      <c r="X97" s="407">
        <f>IF(E97="","",IFERROR(INDEX(Aktiv!$I:$I,MATCH(E97,Aktiv!$A:$A,0)),""))</f>
        <v>451</v>
      </c>
      <c r="Y97" s="407" t="e">
        <v>#N/A</v>
      </c>
      <c r="Z97" s="371" t="str">
        <f t="shared" si="22"/>
        <v/>
      </c>
      <c r="AA97" s="371" t="str">
        <f t="shared" si="19"/>
        <v/>
      </c>
      <c r="AB97" s="371" t="str">
        <f t="shared" si="20"/>
        <v/>
      </c>
      <c r="AC97" s="371" t="str">
        <f t="shared" si="21"/>
        <v/>
      </c>
      <c r="AD97" s="366" t="str">
        <f>IF(E97="","",IFERROR(INDEX(Preisliste_2025!$E:$E,MATCH(E97,Preisliste_2025!$C:$C,0)),""))</f>
        <v/>
      </c>
      <c r="AE97" s="366" t="str">
        <f>IF(E97="","",IFERROR(INDEX(Preisliste_2025!$G:$G,MATCH(E97,Preisliste_2025!$C:$C,0)),""))</f>
        <v/>
      </c>
      <c r="AF97" s="366" t="str">
        <f>IF(E97="","",IFERROR(INDEX(Preisliste_2025!$F:$F,MATCH(E97,Preisliste_2025!$C:$C,0)),""))</f>
        <v/>
      </c>
      <c r="AG97" s="366" t="str">
        <f>IF(E97="","",IFERROR(INDEX(Preisliste_2025!$H:$H,MATCH(E97,Preisliste_2025!$C:$C,0)),""))</f>
        <v/>
      </c>
      <c r="AH97" s="367" t="str">
        <f t="shared" si="32"/>
        <v/>
      </c>
      <c r="AI97" s="361">
        <f t="shared" si="33"/>
        <v>1.2922636103151863</v>
      </c>
      <c r="AJ97" s="368">
        <f>IF(E97="","",IFERROR(INDEX(Aktiv!$E:$E,MATCH(E97,Aktiv!$A:$A,0))*INDEX(Aktiv!$F:$F,MATCH(E97,Aktiv!$A:$A,0)),""))</f>
        <v>352800</v>
      </c>
      <c r="AK97" s="361">
        <f t="shared" si="23"/>
        <v>0</v>
      </c>
      <c r="AL97" s="361">
        <f t="shared" si="24"/>
        <v>9.8922902494331062</v>
      </c>
    </row>
    <row r="98" spans="1:38" x14ac:dyDescent="0.25">
      <c r="A98" s="326" t="s">
        <v>737</v>
      </c>
      <c r="B98" s="326"/>
      <c r="C98" s="326"/>
      <c r="D98" s="326"/>
      <c r="E98" s="326"/>
      <c r="F98" s="327"/>
      <c r="G98" s="327"/>
      <c r="H98" s="327"/>
      <c r="I98" s="327"/>
      <c r="J98" s="327"/>
      <c r="K98" s="327"/>
      <c r="L98" s="327"/>
      <c r="M98" s="327"/>
      <c r="N98" s="365" t="str">
        <f t="shared" si="25"/>
        <v/>
      </c>
      <c r="O98" s="361" t="str">
        <f t="shared" si="26"/>
        <v/>
      </c>
      <c r="P98" s="361" t="str">
        <f t="shared" si="27"/>
        <v/>
      </c>
      <c r="Q98" s="361" t="str">
        <f t="shared" si="34"/>
        <v/>
      </c>
      <c r="R98" s="369" t="str">
        <f t="shared" ref="R98:R136" si="35">IF(OR(F98="",F98=0,N98="",N98=0),"",(N98-F98)/F98)</f>
        <v/>
      </c>
      <c r="S98" s="370" t="str">
        <f t="shared" si="29"/>
        <v/>
      </c>
      <c r="T98" s="370" t="str">
        <f t="shared" si="30"/>
        <v/>
      </c>
      <c r="U98" s="370" t="str">
        <f t="shared" si="31"/>
        <v/>
      </c>
      <c r="V98" s="407" t="str">
        <f>IF(E98="","",IFERROR(INDEX(Aktiv!$G:$G,MATCH(E98,Aktiv!$A:$A,0)),""))</f>
        <v/>
      </c>
      <c r="W98" s="407" t="str">
        <f>IF(E98="","",IFERROR(INDEX(Aktiv!$H:$H,MATCH(E98,Aktiv!$A:$A,0)),""))</f>
        <v/>
      </c>
      <c r="X98" s="407" t="str">
        <f>IF(E98="","",IFERROR(INDEX(Aktiv!$I:$I,MATCH(E98,Aktiv!$A:$A,0)),""))</f>
        <v/>
      </c>
      <c r="Y98" s="407" t="str">
        <f>IF(E98="","",IFERROR(INDEX(Aktiv!$J:$J,MATCH(E98,Aktiv!$A:$A,0)),""))</f>
        <v/>
      </c>
      <c r="Z98" s="371" t="str">
        <f t="shared" ref="Z72:Z103" si="36">IF(OR(AD98="",AD98=0,V98="",V98=0),"",(V98-AD98)/AD98)</f>
        <v/>
      </c>
      <c r="AA98" s="371" t="str">
        <f t="shared" ref="AA72:AA103" si="37">IF(OR(AE98="",AE98=0,W98="",W98=0),"",(W98-AE98)/AE98)</f>
        <v/>
      </c>
      <c r="AB98" s="371" t="str">
        <f t="shared" ref="AB72:AB103" si="38">IF(OR(AF98="",AF98=0,X98="",X98=0),"",(X98-AF98)/AF98)</f>
        <v/>
      </c>
      <c r="AC98" s="371" t="str">
        <f t="shared" ref="AC72:AC103" si="39">IF(OR(AG98="",AG98=0,Y98="",Y98=0),"",(Y98-AG98)/AG98)</f>
        <v/>
      </c>
      <c r="AD98" s="366" t="str">
        <f>IF(E98="","",IFERROR(INDEX(Preisliste_2025!$E:$E,MATCH(E98,Preisliste_2025!$C:$C,0)),""))</f>
        <v/>
      </c>
      <c r="AE98" s="366" t="str">
        <f>IF(E98="","",IFERROR(INDEX(Preisliste_2025!$G:$G,MATCH(E98,Preisliste_2025!$C:$C,0)),""))</f>
        <v/>
      </c>
      <c r="AF98" s="366" t="str">
        <f>IF(E98="","",IFERROR(INDEX(Preisliste_2025!$F:$F,MATCH(E98,Preisliste_2025!$C:$C,0)),""))</f>
        <v/>
      </c>
      <c r="AG98" s="366" t="str">
        <f>IF(E98="","",IFERROR(INDEX(Preisliste_2025!$H:$H,MATCH(E98,Preisliste_2025!$C:$C,0)),""))</f>
        <v/>
      </c>
      <c r="AH98" s="367" t="str">
        <f t="shared" si="32"/>
        <v/>
      </c>
      <c r="AI98" s="361" t="str">
        <f t="shared" si="33"/>
        <v/>
      </c>
      <c r="AJ98" s="368" t="str">
        <f>IF(E98="","",IFERROR(INDEX(Aktiv!$E:$E,MATCH(E98,Aktiv!$A:$A,0))*INDEX(Aktiv!$F:$F,MATCH(E98,Aktiv!$A:$A,0)),""))</f>
        <v/>
      </c>
      <c r="AK98" s="361" t="str">
        <f t="shared" si="23"/>
        <v/>
      </c>
      <c r="AL98" s="361" t="str">
        <f t="shared" si="24"/>
        <v/>
      </c>
    </row>
    <row r="99" spans="1:38" x14ac:dyDescent="0.25">
      <c r="A99" s="328" t="s">
        <v>312</v>
      </c>
      <c r="B99" s="328" t="s">
        <v>487</v>
      </c>
      <c r="C99" s="328" t="s">
        <v>488</v>
      </c>
      <c r="D99" s="328" t="s">
        <v>699</v>
      </c>
      <c r="E99" s="328" t="s">
        <v>760</v>
      </c>
      <c r="F99" s="329">
        <v>71</v>
      </c>
      <c r="G99" s="329"/>
      <c r="H99" s="329"/>
      <c r="I99" s="329"/>
      <c r="J99" s="329"/>
      <c r="K99" s="329">
        <f>Aktiv!K330</f>
        <v>121</v>
      </c>
      <c r="L99" s="329">
        <v>105</v>
      </c>
      <c r="M99" s="329"/>
      <c r="N99" s="365" t="str">
        <f t="shared" si="25"/>
        <v/>
      </c>
      <c r="O99" s="361" t="str">
        <f t="shared" si="26"/>
        <v/>
      </c>
      <c r="P99" s="361" t="str">
        <f t="shared" si="27"/>
        <v/>
      </c>
      <c r="Q99" s="361" t="str">
        <f t="shared" si="34"/>
        <v/>
      </c>
      <c r="R99" s="369" t="str">
        <f t="shared" si="35"/>
        <v/>
      </c>
      <c r="S99" s="370" t="str">
        <f t="shared" si="29"/>
        <v/>
      </c>
      <c r="T99" s="370" t="str">
        <f t="shared" si="30"/>
        <v/>
      </c>
      <c r="U99" s="370" t="str">
        <f t="shared" si="31"/>
        <v/>
      </c>
      <c r="V99" s="407" t="str">
        <f>IF(E99="","",IFERROR(INDEX(Aktiv!$G:$G,MATCH(E99,Aktiv!$A:$A,0)),""))</f>
        <v/>
      </c>
      <c r="W99" s="407" t="str">
        <f>IF(E99="","",IFERROR(INDEX(Aktiv!$H:$H,MATCH(E99,Aktiv!$A:$A,0)),""))</f>
        <v/>
      </c>
      <c r="X99" s="407" t="str">
        <f>IF(E99="","",IFERROR(INDEX(Aktiv!$I:$I,MATCH(E99,Aktiv!$A:$A,0)),""))</f>
        <v/>
      </c>
      <c r="Y99" s="407" t="str">
        <f>IF(E99="","",IFERROR(INDEX(Aktiv!$J:$J,MATCH(E99,Aktiv!$A:$A,0)),""))</f>
        <v/>
      </c>
      <c r="Z99" s="371" t="str">
        <f t="shared" si="36"/>
        <v/>
      </c>
      <c r="AA99" s="371" t="str">
        <f t="shared" si="37"/>
        <v/>
      </c>
      <c r="AB99" s="371" t="str">
        <f t="shared" si="38"/>
        <v/>
      </c>
      <c r="AC99" s="371" t="str">
        <f t="shared" si="39"/>
        <v/>
      </c>
      <c r="AD99" s="366" t="str">
        <f>IF(E99="","",IFERROR(INDEX(Preisliste_2025!$E:$E,MATCH(E99,Preisliste_2025!$C:$C,0)),""))</f>
        <v/>
      </c>
      <c r="AE99" s="366" t="str">
        <f>IF(E99="","",IFERROR(INDEX(Preisliste_2025!$G:$G,MATCH(E99,Preisliste_2025!$C:$C,0)),""))</f>
        <v/>
      </c>
      <c r="AF99" s="366" t="str">
        <f>IF(E99="","",IFERROR(INDEX(Preisliste_2025!$F:$F,MATCH(E99,Preisliste_2025!$C:$C,0)),""))</f>
        <v/>
      </c>
      <c r="AG99" s="366" t="str">
        <f>IF(E99="","",IFERROR(INDEX(Preisliste_2025!$H:$H,MATCH(E99,Preisliste_2025!$C:$C,0)),""))</f>
        <v/>
      </c>
      <c r="AH99" s="367" t="str">
        <f t="shared" si="32"/>
        <v/>
      </c>
      <c r="AI99" s="361" t="str">
        <f t="shared" si="33"/>
        <v/>
      </c>
      <c r="AJ99" s="368" t="str">
        <f>IF(E99="","",IFERROR(INDEX(Aktiv!$E:$E,MATCH(E99,Aktiv!$A:$A,0))*INDEX(Aktiv!$F:$F,MATCH(E99,Aktiv!$A:$A,0)),""))</f>
        <v/>
      </c>
      <c r="AK99" s="361" t="str">
        <f t="shared" si="23"/>
        <v/>
      </c>
      <c r="AL99" s="361" t="str">
        <f t="shared" si="24"/>
        <v/>
      </c>
    </row>
    <row r="100" spans="1:38" x14ac:dyDescent="0.25">
      <c r="A100" s="328" t="s">
        <v>312</v>
      </c>
      <c r="B100" s="328" t="s">
        <v>487</v>
      </c>
      <c r="C100" s="328" t="s">
        <v>489</v>
      </c>
      <c r="D100" s="328" t="s">
        <v>699</v>
      </c>
      <c r="E100" s="328" t="s">
        <v>761</v>
      </c>
      <c r="F100" s="329">
        <v>71</v>
      </c>
      <c r="G100" s="329"/>
      <c r="H100" s="329"/>
      <c r="I100" s="329"/>
      <c r="J100" s="329"/>
      <c r="K100" s="329">
        <f>Aktiv!K329</f>
        <v>121</v>
      </c>
      <c r="L100" s="329">
        <v>105</v>
      </c>
      <c r="M100" s="329"/>
      <c r="N100" s="365" t="str">
        <f t="shared" si="25"/>
        <v/>
      </c>
      <c r="O100" s="361" t="str">
        <f t="shared" si="26"/>
        <v/>
      </c>
      <c r="P100" s="361" t="str">
        <f t="shared" si="27"/>
        <v/>
      </c>
      <c r="Q100" s="361" t="str">
        <f t="shared" si="34"/>
        <v/>
      </c>
      <c r="R100" s="369" t="str">
        <f t="shared" si="35"/>
        <v/>
      </c>
      <c r="S100" s="370" t="str">
        <f t="shared" si="29"/>
        <v/>
      </c>
      <c r="T100" s="370" t="str">
        <f t="shared" si="30"/>
        <v/>
      </c>
      <c r="U100" s="370" t="str">
        <f t="shared" si="31"/>
        <v/>
      </c>
      <c r="V100" s="407" t="str">
        <f>IF(E100="","",IFERROR(INDEX(Aktiv!$G:$G,MATCH(E100,Aktiv!$A:$A,0)),""))</f>
        <v/>
      </c>
      <c r="W100" s="407" t="str">
        <f>IF(E100="","",IFERROR(INDEX(Aktiv!$H:$H,MATCH(E100,Aktiv!$A:$A,0)),""))</f>
        <v/>
      </c>
      <c r="X100" s="407" t="str">
        <f>IF(E100="","",IFERROR(INDEX(Aktiv!$I:$I,MATCH(E100,Aktiv!$A:$A,0)),""))</f>
        <v/>
      </c>
      <c r="Y100" s="407" t="str">
        <f>IF(E100="","",IFERROR(INDEX(Aktiv!$J:$J,MATCH(E100,Aktiv!$A:$A,0)),""))</f>
        <v/>
      </c>
      <c r="Z100" s="371" t="str">
        <f t="shared" si="36"/>
        <v/>
      </c>
      <c r="AA100" s="371" t="str">
        <f t="shared" si="37"/>
        <v/>
      </c>
      <c r="AB100" s="371" t="str">
        <f t="shared" si="38"/>
        <v/>
      </c>
      <c r="AC100" s="371" t="str">
        <f t="shared" si="39"/>
        <v/>
      </c>
      <c r="AD100" s="366" t="str">
        <f>IF(E100="","",IFERROR(INDEX(Preisliste_2025!$E:$E,MATCH(E100,Preisliste_2025!$C:$C,0)),""))</f>
        <v/>
      </c>
      <c r="AE100" s="366" t="str">
        <f>IF(E100="","",IFERROR(INDEX(Preisliste_2025!$G:$G,MATCH(E100,Preisliste_2025!$C:$C,0)),""))</f>
        <v/>
      </c>
      <c r="AF100" s="366" t="str">
        <f>IF(E100="","",IFERROR(INDEX(Preisliste_2025!$F:$F,MATCH(E100,Preisliste_2025!$C:$C,0)),""))</f>
        <v/>
      </c>
      <c r="AG100" s="366" t="str">
        <f>IF(E100="","",IFERROR(INDEX(Preisliste_2025!$H:$H,MATCH(E100,Preisliste_2025!$C:$C,0)),""))</f>
        <v/>
      </c>
      <c r="AH100" s="367" t="str">
        <f t="shared" si="32"/>
        <v/>
      </c>
      <c r="AI100" s="361" t="str">
        <f t="shared" si="33"/>
        <v/>
      </c>
      <c r="AJ100" s="368" t="str">
        <f>IF(E100="","",IFERROR(INDEX(Aktiv!$E:$E,MATCH(E100,Aktiv!$A:$A,0))*INDEX(Aktiv!$F:$F,MATCH(E100,Aktiv!$A:$A,0)),""))</f>
        <v/>
      </c>
      <c r="AK100" s="361" t="str">
        <f t="shared" si="23"/>
        <v/>
      </c>
      <c r="AL100" s="361" t="str">
        <f t="shared" si="24"/>
        <v/>
      </c>
    </row>
    <row r="101" spans="1:38" x14ac:dyDescent="0.25">
      <c r="A101" s="328" t="s">
        <v>312</v>
      </c>
      <c r="B101" s="328" t="s">
        <v>490</v>
      </c>
      <c r="C101" s="328" t="s">
        <v>738</v>
      </c>
      <c r="D101" s="328" t="s">
        <v>699</v>
      </c>
      <c r="E101" s="328" t="s">
        <v>762</v>
      </c>
      <c r="F101" s="329">
        <v>95</v>
      </c>
      <c r="G101" s="329"/>
      <c r="H101" s="329"/>
      <c r="I101" s="329"/>
      <c r="J101" s="329"/>
      <c r="K101" s="329">
        <f>Aktiv!K337</f>
        <v>159</v>
      </c>
      <c r="L101" s="329">
        <v>140</v>
      </c>
      <c r="M101" s="329"/>
      <c r="N101" s="365" t="str">
        <f t="shared" si="25"/>
        <v/>
      </c>
      <c r="O101" s="361" t="str">
        <f t="shared" si="26"/>
        <v/>
      </c>
      <c r="P101" s="361" t="str">
        <f t="shared" si="27"/>
        <v/>
      </c>
      <c r="Q101" s="361" t="str">
        <f t="shared" si="34"/>
        <v/>
      </c>
      <c r="R101" s="369" t="str">
        <f t="shared" si="35"/>
        <v/>
      </c>
      <c r="S101" s="370" t="str">
        <f t="shared" si="29"/>
        <v/>
      </c>
      <c r="T101" s="370" t="str">
        <f t="shared" si="30"/>
        <v/>
      </c>
      <c r="U101" s="370" t="str">
        <f t="shared" si="31"/>
        <v/>
      </c>
      <c r="V101" s="407" t="str">
        <f>IF(E101="","",IFERROR(INDEX(Aktiv!$G:$G,MATCH(E101,Aktiv!$A:$A,0)),""))</f>
        <v/>
      </c>
      <c r="W101" s="407" t="str">
        <f>IF(E101="","",IFERROR(INDEX(Aktiv!$H:$H,MATCH(E101,Aktiv!$A:$A,0)),""))</f>
        <v/>
      </c>
      <c r="X101" s="407" t="str">
        <f>IF(E101="","",IFERROR(INDEX(Aktiv!$I:$I,MATCH(E101,Aktiv!$A:$A,0)),""))</f>
        <v/>
      </c>
      <c r="Y101" s="407" t="str">
        <f>IF(E101="","",IFERROR(INDEX(Aktiv!$J:$J,MATCH(E101,Aktiv!$A:$A,0)),""))</f>
        <v/>
      </c>
      <c r="Z101" s="371" t="str">
        <f t="shared" si="36"/>
        <v/>
      </c>
      <c r="AA101" s="371" t="str">
        <f t="shared" si="37"/>
        <v/>
      </c>
      <c r="AB101" s="371" t="str">
        <f t="shared" si="38"/>
        <v/>
      </c>
      <c r="AC101" s="371" t="str">
        <f t="shared" si="39"/>
        <v/>
      </c>
      <c r="AD101" s="366" t="str">
        <f>IF(E101="","",IFERROR(INDEX(Preisliste_2025!$E:$E,MATCH(E101,Preisliste_2025!$C:$C,0)),""))</f>
        <v/>
      </c>
      <c r="AE101" s="366" t="str">
        <f>IF(E101="","",IFERROR(INDEX(Preisliste_2025!$G:$G,MATCH(E101,Preisliste_2025!$C:$C,0)),""))</f>
        <v/>
      </c>
      <c r="AF101" s="366" t="str">
        <f>IF(E101="","",IFERROR(INDEX(Preisliste_2025!$F:$F,MATCH(E101,Preisliste_2025!$C:$C,0)),""))</f>
        <v/>
      </c>
      <c r="AG101" s="366" t="str">
        <f>IF(E101="","",IFERROR(INDEX(Preisliste_2025!$H:$H,MATCH(E101,Preisliste_2025!$C:$C,0)),""))</f>
        <v/>
      </c>
      <c r="AH101" s="367" t="str">
        <f t="shared" si="32"/>
        <v/>
      </c>
      <c r="AI101" s="361" t="str">
        <f t="shared" si="33"/>
        <v/>
      </c>
      <c r="AJ101" s="368" t="str">
        <f>IF(E101="","",IFERROR(INDEX(Aktiv!$E:$E,MATCH(E101,Aktiv!$A:$A,0))*INDEX(Aktiv!$F:$F,MATCH(E101,Aktiv!$A:$A,0)),""))</f>
        <v/>
      </c>
      <c r="AK101" s="361" t="str">
        <f t="shared" si="23"/>
        <v/>
      </c>
      <c r="AL101" s="361" t="str">
        <f t="shared" si="24"/>
        <v/>
      </c>
    </row>
    <row r="102" spans="1:38" x14ac:dyDescent="0.25">
      <c r="A102" s="328" t="s">
        <v>312</v>
      </c>
      <c r="B102" s="328" t="s">
        <v>490</v>
      </c>
      <c r="C102" s="328" t="s">
        <v>739</v>
      </c>
      <c r="D102" s="328" t="s">
        <v>699</v>
      </c>
      <c r="E102" s="328" t="s">
        <v>763</v>
      </c>
      <c r="F102" s="329">
        <v>89</v>
      </c>
      <c r="G102" s="329"/>
      <c r="H102" s="329"/>
      <c r="I102" s="329"/>
      <c r="J102" s="329"/>
      <c r="K102" s="329">
        <f>Aktiv!K336</f>
        <v>150</v>
      </c>
      <c r="L102" s="329">
        <v>132</v>
      </c>
      <c r="M102" s="329"/>
      <c r="N102" s="365" t="str">
        <f t="shared" si="25"/>
        <v/>
      </c>
      <c r="O102" s="361" t="str">
        <f t="shared" si="26"/>
        <v/>
      </c>
      <c r="P102" s="361" t="str">
        <f t="shared" si="27"/>
        <v/>
      </c>
      <c r="Q102" s="361" t="str">
        <f t="shared" si="34"/>
        <v/>
      </c>
      <c r="R102" s="369" t="str">
        <f t="shared" si="35"/>
        <v/>
      </c>
      <c r="S102" s="370" t="str">
        <f t="shared" si="29"/>
        <v/>
      </c>
      <c r="T102" s="370" t="str">
        <f t="shared" si="30"/>
        <v/>
      </c>
      <c r="U102" s="370" t="str">
        <f t="shared" si="31"/>
        <v/>
      </c>
      <c r="V102" s="407" t="str">
        <f>IF(E102="","",IFERROR(INDEX(Aktiv!$G:$G,MATCH(E102,Aktiv!$A:$A,0)),""))</f>
        <v/>
      </c>
      <c r="W102" s="407" t="str">
        <f>IF(E102="","",IFERROR(INDEX(Aktiv!$H:$H,MATCH(E102,Aktiv!$A:$A,0)),""))</f>
        <v/>
      </c>
      <c r="X102" s="407" t="str">
        <f>IF(E102="","",IFERROR(INDEX(Aktiv!$I:$I,MATCH(E102,Aktiv!$A:$A,0)),""))</f>
        <v/>
      </c>
      <c r="Y102" s="407" t="str">
        <f>IF(E102="","",IFERROR(INDEX(Aktiv!$J:$J,MATCH(E102,Aktiv!$A:$A,0)),""))</f>
        <v/>
      </c>
      <c r="Z102" s="371" t="str">
        <f t="shared" si="36"/>
        <v/>
      </c>
      <c r="AA102" s="371" t="str">
        <f t="shared" si="37"/>
        <v/>
      </c>
      <c r="AB102" s="371" t="str">
        <f t="shared" si="38"/>
        <v/>
      </c>
      <c r="AC102" s="371" t="str">
        <f t="shared" si="39"/>
        <v/>
      </c>
      <c r="AD102" s="366" t="str">
        <f>IF(E102="","",IFERROR(INDEX(Preisliste_2025!$E:$E,MATCH(E102,Preisliste_2025!$C:$C,0)),""))</f>
        <v/>
      </c>
      <c r="AE102" s="366" t="str">
        <f>IF(E102="","",IFERROR(INDEX(Preisliste_2025!$G:$G,MATCH(E102,Preisliste_2025!$C:$C,0)),""))</f>
        <v/>
      </c>
      <c r="AF102" s="366" t="str">
        <f>IF(E102="","",IFERROR(INDEX(Preisliste_2025!$F:$F,MATCH(E102,Preisliste_2025!$C:$C,0)),""))</f>
        <v/>
      </c>
      <c r="AG102" s="366" t="str">
        <f>IF(E102="","",IFERROR(INDEX(Preisliste_2025!$H:$H,MATCH(E102,Preisliste_2025!$C:$C,0)),""))</f>
        <v/>
      </c>
      <c r="AH102" s="367" t="str">
        <f t="shared" si="32"/>
        <v/>
      </c>
      <c r="AI102" s="361" t="str">
        <f t="shared" si="33"/>
        <v/>
      </c>
      <c r="AJ102" s="368" t="str">
        <f>IF(E102="","",IFERROR(INDEX(Aktiv!$E:$E,MATCH(E102,Aktiv!$A:$A,0))*INDEX(Aktiv!$F:$F,MATCH(E102,Aktiv!$A:$A,0)),""))</f>
        <v/>
      </c>
      <c r="AK102" s="361" t="str">
        <f t="shared" si="23"/>
        <v/>
      </c>
      <c r="AL102" s="361" t="str">
        <f t="shared" si="24"/>
        <v/>
      </c>
    </row>
    <row r="103" spans="1:38" x14ac:dyDescent="0.25">
      <c r="A103" s="328" t="s">
        <v>312</v>
      </c>
      <c r="B103" s="328" t="s">
        <v>490</v>
      </c>
      <c r="C103" s="328" t="s">
        <v>740</v>
      </c>
      <c r="D103" s="328" t="s">
        <v>699</v>
      </c>
      <c r="E103" s="328" t="s">
        <v>764</v>
      </c>
      <c r="F103" s="329">
        <v>83</v>
      </c>
      <c r="G103" s="329"/>
      <c r="H103" s="329"/>
      <c r="I103" s="329"/>
      <c r="J103" s="329"/>
      <c r="K103" s="329">
        <f>Aktiv!K335</f>
        <v>140</v>
      </c>
      <c r="L103" s="329">
        <v>123</v>
      </c>
      <c r="M103" s="329"/>
      <c r="N103" s="365" t="str">
        <f t="shared" si="25"/>
        <v/>
      </c>
      <c r="O103" s="361" t="str">
        <f t="shared" si="26"/>
        <v/>
      </c>
      <c r="P103" s="361" t="str">
        <f t="shared" si="27"/>
        <v/>
      </c>
      <c r="Q103" s="361" t="str">
        <f t="shared" si="34"/>
        <v/>
      </c>
      <c r="R103" s="369" t="str">
        <f t="shared" si="35"/>
        <v/>
      </c>
      <c r="S103" s="370" t="str">
        <f t="shared" si="29"/>
        <v/>
      </c>
      <c r="T103" s="370" t="str">
        <f t="shared" si="30"/>
        <v/>
      </c>
      <c r="U103" s="370" t="str">
        <f t="shared" si="31"/>
        <v/>
      </c>
      <c r="V103" s="407" t="str">
        <f>IF(E103="","",IFERROR(INDEX(Aktiv!$G:$G,MATCH(E103,Aktiv!$A:$A,0)),""))</f>
        <v/>
      </c>
      <c r="W103" s="407" t="str">
        <f>IF(E103="","",IFERROR(INDEX(Aktiv!$H:$H,MATCH(E103,Aktiv!$A:$A,0)),""))</f>
        <v/>
      </c>
      <c r="X103" s="407" t="str">
        <f>IF(E103="","",IFERROR(INDEX(Aktiv!$I:$I,MATCH(E103,Aktiv!$A:$A,0)),""))</f>
        <v/>
      </c>
      <c r="Y103" s="407" t="str">
        <f>IF(E103="","",IFERROR(INDEX(Aktiv!$J:$J,MATCH(E103,Aktiv!$A:$A,0)),""))</f>
        <v/>
      </c>
      <c r="Z103" s="371" t="str">
        <f t="shared" si="36"/>
        <v/>
      </c>
      <c r="AA103" s="371" t="str">
        <f t="shared" si="37"/>
        <v/>
      </c>
      <c r="AB103" s="371" t="str">
        <f t="shared" si="38"/>
        <v/>
      </c>
      <c r="AC103" s="371" t="str">
        <f t="shared" si="39"/>
        <v/>
      </c>
      <c r="AD103" s="366" t="str">
        <f>IF(E103="","",IFERROR(INDEX(Preisliste_2025!$E:$E,MATCH(E103,Preisliste_2025!$C:$C,0)),""))</f>
        <v/>
      </c>
      <c r="AE103" s="366" t="str">
        <f>IF(E103="","",IFERROR(INDEX(Preisliste_2025!$G:$G,MATCH(E103,Preisliste_2025!$C:$C,0)),""))</f>
        <v/>
      </c>
      <c r="AF103" s="366" t="str">
        <f>IF(E103="","",IFERROR(INDEX(Preisliste_2025!$F:$F,MATCH(E103,Preisliste_2025!$C:$C,0)),""))</f>
        <v/>
      </c>
      <c r="AG103" s="366" t="str">
        <f>IF(E103="","",IFERROR(INDEX(Preisliste_2025!$H:$H,MATCH(E103,Preisliste_2025!$C:$C,0)),""))</f>
        <v/>
      </c>
      <c r="AH103" s="367" t="str">
        <f t="shared" si="32"/>
        <v/>
      </c>
      <c r="AI103" s="361" t="str">
        <f t="shared" si="33"/>
        <v/>
      </c>
      <c r="AJ103" s="368" t="str">
        <f>IF(E103="","",IFERROR(INDEX(Aktiv!$E:$E,MATCH(E103,Aktiv!$A:$A,0))*INDEX(Aktiv!$F:$F,MATCH(E103,Aktiv!$A:$A,0)),""))</f>
        <v/>
      </c>
      <c r="AK103" s="361" t="str">
        <f t="shared" si="23"/>
        <v/>
      </c>
      <c r="AL103" s="361" t="str">
        <f t="shared" si="24"/>
        <v/>
      </c>
    </row>
    <row r="104" spans="1:38" x14ac:dyDescent="0.25">
      <c r="A104" s="328" t="s">
        <v>312</v>
      </c>
      <c r="B104" s="328" t="s">
        <v>490</v>
      </c>
      <c r="C104" s="328" t="s">
        <v>741</v>
      </c>
      <c r="D104" s="328" t="s">
        <v>699</v>
      </c>
      <c r="E104" s="328" t="s">
        <v>765</v>
      </c>
      <c r="F104" s="329">
        <v>78</v>
      </c>
      <c r="G104" s="329"/>
      <c r="H104" s="329"/>
      <c r="I104" s="329"/>
      <c r="J104" s="329"/>
      <c r="K104" s="329">
        <f>Aktiv!K334</f>
        <v>132</v>
      </c>
      <c r="L104" s="329">
        <v>115</v>
      </c>
      <c r="M104" s="329"/>
      <c r="N104" s="365" t="str">
        <f t="shared" si="25"/>
        <v/>
      </c>
      <c r="O104" s="361" t="str">
        <f t="shared" si="26"/>
        <v/>
      </c>
      <c r="P104" s="361" t="str">
        <f t="shared" si="27"/>
        <v/>
      </c>
      <c r="Q104" s="361" t="str">
        <f t="shared" si="34"/>
        <v/>
      </c>
      <c r="R104" s="369" t="str">
        <f t="shared" si="35"/>
        <v/>
      </c>
      <c r="S104" s="370" t="str">
        <f t="shared" si="29"/>
        <v/>
      </c>
      <c r="T104" s="370" t="str">
        <f t="shared" si="30"/>
        <v/>
      </c>
      <c r="U104" s="370" t="str">
        <f t="shared" si="31"/>
        <v/>
      </c>
      <c r="V104" s="407" t="str">
        <f>IF(E104="","",IFERROR(INDEX(Aktiv!$G:$G,MATCH(E104,Aktiv!$A:$A,0)),""))</f>
        <v/>
      </c>
      <c r="W104" s="407" t="str">
        <f>IF(E104="","",IFERROR(INDEX(Aktiv!$H:$H,MATCH(E104,Aktiv!$A:$A,0)),""))</f>
        <v/>
      </c>
      <c r="X104" s="407" t="str">
        <f>IF(E104="","",IFERROR(INDEX(Aktiv!$I:$I,MATCH(E104,Aktiv!$A:$A,0)),""))</f>
        <v/>
      </c>
      <c r="Y104" s="407" t="str">
        <f>IF(E104="","",IFERROR(INDEX(Aktiv!$J:$J,MATCH(E104,Aktiv!$A:$A,0)),""))</f>
        <v/>
      </c>
      <c r="Z104" s="371" t="str">
        <f t="shared" ref="Z104:Z135" si="40">IF(OR(AD104="",AD104=0,V104="",V104=0),"",(V104-AD104)/AD104)</f>
        <v/>
      </c>
      <c r="AA104" s="371" t="str">
        <f t="shared" ref="AA104:AA135" si="41">IF(OR(AE104="",AE104=0,W104="",W104=0),"",(W104-AE104)/AE104)</f>
        <v/>
      </c>
      <c r="AB104" s="371" t="str">
        <f t="shared" ref="AB104:AB135" si="42">IF(OR(AF104="",AF104=0,X104="",X104=0),"",(X104-AF104)/AF104)</f>
        <v/>
      </c>
      <c r="AC104" s="371" t="str">
        <f t="shared" ref="AC104:AC135" si="43">IF(OR(AG104="",AG104=0,Y104="",Y104=0),"",(Y104-AG104)/AG104)</f>
        <v/>
      </c>
      <c r="AD104" s="366" t="str">
        <f>IF(E104="","",IFERROR(INDEX(Preisliste_2025!$E:$E,MATCH(E104,Preisliste_2025!$C:$C,0)),""))</f>
        <v/>
      </c>
      <c r="AE104" s="366" t="str">
        <f>IF(E104="","",IFERROR(INDEX(Preisliste_2025!$G:$G,MATCH(E104,Preisliste_2025!$C:$C,0)),""))</f>
        <v/>
      </c>
      <c r="AF104" s="366" t="str">
        <f>IF(E104="","",IFERROR(INDEX(Preisliste_2025!$F:$F,MATCH(E104,Preisliste_2025!$C:$C,0)),""))</f>
        <v/>
      </c>
      <c r="AG104" s="366" t="str">
        <f>IF(E104="","",IFERROR(INDEX(Preisliste_2025!$H:$H,MATCH(E104,Preisliste_2025!$C:$C,0)),""))</f>
        <v/>
      </c>
      <c r="AH104" s="367" t="str">
        <f t="shared" si="32"/>
        <v/>
      </c>
      <c r="AI104" s="361" t="str">
        <f t="shared" si="33"/>
        <v/>
      </c>
      <c r="AJ104" s="368" t="str">
        <f>IF(E104="","",IFERROR(INDEX(Aktiv!$E:$E,MATCH(E104,Aktiv!$A:$A,0))*INDEX(Aktiv!$F:$F,MATCH(E104,Aktiv!$A:$A,0)),""))</f>
        <v/>
      </c>
      <c r="AK104" s="361" t="str">
        <f t="shared" ref="AK104:AK135" si="44">IF(OR(AJ104="",AJ104=0,F104=""),"",F104/(AJ104/10000))</f>
        <v/>
      </c>
      <c r="AL104" s="361" t="str">
        <f t="shared" ref="AL104:AL135" si="45">IF(OR(AJ104="",AJ104=0,V104=""),"",V104/(AJ104/10000))</f>
        <v/>
      </c>
    </row>
    <row r="105" spans="1:38" x14ac:dyDescent="0.25">
      <c r="A105" s="328" t="s">
        <v>312</v>
      </c>
      <c r="B105" s="328" t="s">
        <v>490</v>
      </c>
      <c r="C105" s="328" t="s">
        <v>742</v>
      </c>
      <c r="D105" s="328" t="s">
        <v>699</v>
      </c>
      <c r="E105" s="328" t="s">
        <v>766</v>
      </c>
      <c r="F105" s="329">
        <v>72</v>
      </c>
      <c r="G105" s="329"/>
      <c r="H105" s="329"/>
      <c r="I105" s="329"/>
      <c r="J105" s="329"/>
      <c r="K105" s="329">
        <f>Aktiv!K333</f>
        <v>123</v>
      </c>
      <c r="L105" s="329">
        <v>106</v>
      </c>
      <c r="M105" s="329"/>
      <c r="N105" s="365" t="str">
        <f t="shared" si="25"/>
        <v/>
      </c>
      <c r="O105" s="361" t="str">
        <f t="shared" si="26"/>
        <v/>
      </c>
      <c r="P105" s="361" t="str">
        <f t="shared" si="27"/>
        <v/>
      </c>
      <c r="Q105" s="361" t="str">
        <f t="shared" si="34"/>
        <v/>
      </c>
      <c r="R105" s="369" t="str">
        <f t="shared" si="35"/>
        <v/>
      </c>
      <c r="S105" s="370" t="str">
        <f t="shared" si="29"/>
        <v/>
      </c>
      <c r="T105" s="370" t="str">
        <f t="shared" si="30"/>
        <v/>
      </c>
      <c r="U105" s="370" t="str">
        <f t="shared" si="31"/>
        <v/>
      </c>
      <c r="V105" s="407" t="str">
        <f>IF(E105="","",IFERROR(INDEX(Aktiv!$G:$G,MATCH(E105,Aktiv!$A:$A,0)),""))</f>
        <v/>
      </c>
      <c r="W105" s="407" t="str">
        <f>IF(E105="","",IFERROR(INDEX(Aktiv!$H:$H,MATCH(E105,Aktiv!$A:$A,0)),""))</f>
        <v/>
      </c>
      <c r="X105" s="407" t="str">
        <f>IF(E105="","",IFERROR(INDEX(Aktiv!$I:$I,MATCH(E105,Aktiv!$A:$A,0)),""))</f>
        <v/>
      </c>
      <c r="Y105" s="407" t="str">
        <f>IF(E105="","",IFERROR(INDEX(Aktiv!$J:$J,MATCH(E105,Aktiv!$A:$A,0)),""))</f>
        <v/>
      </c>
      <c r="Z105" s="371" t="str">
        <f t="shared" si="40"/>
        <v/>
      </c>
      <c r="AA105" s="371" t="str">
        <f t="shared" si="41"/>
        <v/>
      </c>
      <c r="AB105" s="371" t="str">
        <f t="shared" si="42"/>
        <v/>
      </c>
      <c r="AC105" s="371" t="str">
        <f t="shared" si="43"/>
        <v/>
      </c>
      <c r="AD105" s="366" t="str">
        <f>IF(E105="","",IFERROR(INDEX(Preisliste_2025!$E:$E,MATCH(E105,Preisliste_2025!$C:$C,0)),""))</f>
        <v/>
      </c>
      <c r="AE105" s="366" t="str">
        <f>IF(E105="","",IFERROR(INDEX(Preisliste_2025!$G:$G,MATCH(E105,Preisliste_2025!$C:$C,0)),""))</f>
        <v/>
      </c>
      <c r="AF105" s="366" t="str">
        <f>IF(E105="","",IFERROR(INDEX(Preisliste_2025!$F:$F,MATCH(E105,Preisliste_2025!$C:$C,0)),""))</f>
        <v/>
      </c>
      <c r="AG105" s="366" t="str">
        <f>IF(E105="","",IFERROR(INDEX(Preisliste_2025!$H:$H,MATCH(E105,Preisliste_2025!$C:$C,0)),""))</f>
        <v/>
      </c>
      <c r="AH105" s="367" t="str">
        <f t="shared" si="32"/>
        <v/>
      </c>
      <c r="AI105" s="361" t="str">
        <f t="shared" si="33"/>
        <v/>
      </c>
      <c r="AJ105" s="368" t="str">
        <f>IF(E105="","",IFERROR(INDEX(Aktiv!$E:$E,MATCH(E105,Aktiv!$A:$A,0))*INDEX(Aktiv!$F:$F,MATCH(E105,Aktiv!$A:$A,0)),""))</f>
        <v/>
      </c>
      <c r="AK105" s="361" t="str">
        <f t="shared" si="44"/>
        <v/>
      </c>
      <c r="AL105" s="361" t="str">
        <f t="shared" si="45"/>
        <v/>
      </c>
    </row>
    <row r="106" spans="1:38" x14ac:dyDescent="0.25">
      <c r="A106" s="328" t="s">
        <v>312</v>
      </c>
      <c r="B106" s="328" t="s">
        <v>490</v>
      </c>
      <c r="C106" s="328" t="s">
        <v>743</v>
      </c>
      <c r="D106" s="328" t="s">
        <v>699</v>
      </c>
      <c r="E106" s="328" t="s">
        <v>767</v>
      </c>
      <c r="F106" s="329">
        <v>66</v>
      </c>
      <c r="G106" s="329"/>
      <c r="H106" s="329"/>
      <c r="I106" s="329"/>
      <c r="J106" s="329"/>
      <c r="K106" s="329">
        <f>Aktiv!K332</f>
        <v>114</v>
      </c>
      <c r="L106" s="329">
        <v>98</v>
      </c>
      <c r="M106" s="329"/>
      <c r="N106" s="365" t="str">
        <f t="shared" si="25"/>
        <v/>
      </c>
      <c r="O106" s="361" t="str">
        <f t="shared" si="26"/>
        <v/>
      </c>
      <c r="P106" s="361" t="str">
        <f t="shared" si="27"/>
        <v/>
      </c>
      <c r="Q106" s="361" t="str">
        <f t="shared" si="34"/>
        <v/>
      </c>
      <c r="R106" s="369" t="str">
        <f t="shared" si="35"/>
        <v/>
      </c>
      <c r="S106" s="370" t="str">
        <f t="shared" si="29"/>
        <v/>
      </c>
      <c r="T106" s="370" t="str">
        <f t="shared" si="30"/>
        <v/>
      </c>
      <c r="U106" s="370" t="str">
        <f t="shared" si="31"/>
        <v/>
      </c>
      <c r="V106" s="407" t="str">
        <f>IF(E106="","",IFERROR(INDEX(Aktiv!$G:$G,MATCH(E106,Aktiv!$A:$A,0)),""))</f>
        <v/>
      </c>
      <c r="W106" s="407" t="str">
        <f>IF(E106="","",IFERROR(INDEX(Aktiv!$H:$H,MATCH(E106,Aktiv!$A:$A,0)),""))</f>
        <v/>
      </c>
      <c r="X106" s="407" t="str">
        <f>IF(E106="","",IFERROR(INDEX(Aktiv!$I:$I,MATCH(E106,Aktiv!$A:$A,0)),""))</f>
        <v/>
      </c>
      <c r="Y106" s="407" t="str">
        <f>IF(E106="","",IFERROR(INDEX(Aktiv!$J:$J,MATCH(E106,Aktiv!$A:$A,0)),""))</f>
        <v/>
      </c>
      <c r="Z106" s="371" t="str">
        <f t="shared" si="40"/>
        <v/>
      </c>
      <c r="AA106" s="371" t="str">
        <f t="shared" si="41"/>
        <v/>
      </c>
      <c r="AB106" s="371" t="str">
        <f t="shared" si="42"/>
        <v/>
      </c>
      <c r="AC106" s="371" t="str">
        <f t="shared" si="43"/>
        <v/>
      </c>
      <c r="AD106" s="366" t="str">
        <f>IF(E106="","",IFERROR(INDEX(Preisliste_2025!$E:$E,MATCH(E106,Preisliste_2025!$C:$C,0)),""))</f>
        <v/>
      </c>
      <c r="AE106" s="366" t="str">
        <f>IF(E106="","",IFERROR(INDEX(Preisliste_2025!$G:$G,MATCH(E106,Preisliste_2025!$C:$C,0)),""))</f>
        <v/>
      </c>
      <c r="AF106" s="366" t="str">
        <f>IF(E106="","",IFERROR(INDEX(Preisliste_2025!$F:$F,MATCH(E106,Preisliste_2025!$C:$C,0)),""))</f>
        <v/>
      </c>
      <c r="AG106" s="366" t="str">
        <f>IF(E106="","",IFERROR(INDEX(Preisliste_2025!$H:$H,MATCH(E106,Preisliste_2025!$C:$C,0)),""))</f>
        <v/>
      </c>
      <c r="AH106" s="367" t="str">
        <f t="shared" si="32"/>
        <v/>
      </c>
      <c r="AI106" s="361" t="str">
        <f t="shared" si="33"/>
        <v/>
      </c>
      <c r="AJ106" s="368" t="str">
        <f>IF(E106="","",IFERROR(INDEX(Aktiv!$E:$E,MATCH(E106,Aktiv!$A:$A,0))*INDEX(Aktiv!$F:$F,MATCH(E106,Aktiv!$A:$A,0)),""))</f>
        <v/>
      </c>
      <c r="AK106" s="361" t="str">
        <f t="shared" si="44"/>
        <v/>
      </c>
      <c r="AL106" s="361" t="str">
        <f t="shared" si="45"/>
        <v/>
      </c>
    </row>
    <row r="107" spans="1:38" x14ac:dyDescent="0.25">
      <c r="A107" s="328" t="s">
        <v>312</v>
      </c>
      <c r="B107" s="328" t="s">
        <v>490</v>
      </c>
      <c r="C107" s="328" t="s">
        <v>744</v>
      </c>
      <c r="D107" s="328" t="s">
        <v>699</v>
      </c>
      <c r="E107" s="328" t="s">
        <v>768</v>
      </c>
      <c r="F107" s="329">
        <v>61</v>
      </c>
      <c r="G107" s="329"/>
      <c r="H107" s="329"/>
      <c r="I107" s="329"/>
      <c r="J107" s="329"/>
      <c r="K107" s="329">
        <f>Aktiv!K331</f>
        <v>106</v>
      </c>
      <c r="L107" s="329">
        <v>90</v>
      </c>
      <c r="M107" s="329"/>
      <c r="N107" s="365" t="str">
        <f t="shared" si="25"/>
        <v/>
      </c>
      <c r="O107" s="361" t="str">
        <f t="shared" si="26"/>
        <v/>
      </c>
      <c r="P107" s="361" t="str">
        <f t="shared" si="27"/>
        <v/>
      </c>
      <c r="Q107" s="361" t="str">
        <f t="shared" si="34"/>
        <v/>
      </c>
      <c r="R107" s="369" t="str">
        <f t="shared" si="35"/>
        <v/>
      </c>
      <c r="S107" s="370" t="str">
        <f t="shared" si="29"/>
        <v/>
      </c>
      <c r="T107" s="370" t="str">
        <f t="shared" si="30"/>
        <v/>
      </c>
      <c r="U107" s="370" t="str">
        <f t="shared" si="31"/>
        <v/>
      </c>
      <c r="V107" s="407" t="str">
        <f>IF(E107="","",IFERROR(INDEX(Aktiv!$G:$G,MATCH(E107,Aktiv!$A:$A,0)),""))</f>
        <v/>
      </c>
      <c r="W107" s="407" t="str">
        <f>IF(E107="","",IFERROR(INDEX(Aktiv!$H:$H,MATCH(E107,Aktiv!$A:$A,0)),""))</f>
        <v/>
      </c>
      <c r="X107" s="407" t="str">
        <f>IF(E107="","",IFERROR(INDEX(Aktiv!$I:$I,MATCH(E107,Aktiv!$A:$A,0)),""))</f>
        <v/>
      </c>
      <c r="Y107" s="407" t="str">
        <f>IF(E107="","",IFERROR(INDEX(Aktiv!$J:$J,MATCH(E107,Aktiv!$A:$A,0)),""))</f>
        <v/>
      </c>
      <c r="Z107" s="371" t="str">
        <f t="shared" si="40"/>
        <v/>
      </c>
      <c r="AA107" s="371" t="str">
        <f t="shared" si="41"/>
        <v/>
      </c>
      <c r="AB107" s="371" t="str">
        <f t="shared" si="42"/>
        <v/>
      </c>
      <c r="AC107" s="371" t="str">
        <f t="shared" si="43"/>
        <v/>
      </c>
      <c r="AD107" s="366" t="str">
        <f>IF(E107="","",IFERROR(INDEX(Preisliste_2025!$E:$E,MATCH(E107,Preisliste_2025!$C:$C,0)),""))</f>
        <v/>
      </c>
      <c r="AE107" s="366" t="str">
        <f>IF(E107="","",IFERROR(INDEX(Preisliste_2025!$G:$G,MATCH(E107,Preisliste_2025!$C:$C,0)),""))</f>
        <v/>
      </c>
      <c r="AF107" s="366" t="str">
        <f>IF(E107="","",IFERROR(INDEX(Preisliste_2025!$F:$F,MATCH(E107,Preisliste_2025!$C:$C,0)),""))</f>
        <v/>
      </c>
      <c r="AG107" s="366" t="str">
        <f>IF(E107="","",IFERROR(INDEX(Preisliste_2025!$H:$H,MATCH(E107,Preisliste_2025!$C:$C,0)),""))</f>
        <v/>
      </c>
      <c r="AH107" s="367" t="str">
        <f t="shared" si="32"/>
        <v/>
      </c>
      <c r="AI107" s="361" t="str">
        <f t="shared" si="33"/>
        <v/>
      </c>
      <c r="AJ107" s="368" t="str">
        <f>IF(E107="","",IFERROR(INDEX(Aktiv!$E:$E,MATCH(E107,Aktiv!$A:$A,0))*INDEX(Aktiv!$F:$F,MATCH(E107,Aktiv!$A:$A,0)),""))</f>
        <v/>
      </c>
      <c r="AK107" s="361" t="str">
        <f t="shared" si="44"/>
        <v/>
      </c>
      <c r="AL107" s="361" t="str">
        <f t="shared" si="45"/>
        <v/>
      </c>
    </row>
    <row r="108" spans="1:38" x14ac:dyDescent="0.25">
      <c r="A108" s="328" t="s">
        <v>312</v>
      </c>
      <c r="B108" s="328" t="s">
        <v>490</v>
      </c>
      <c r="C108" s="328" t="s">
        <v>745</v>
      </c>
      <c r="D108" s="328" t="s">
        <v>699</v>
      </c>
      <c r="E108" s="328" t="s">
        <v>769</v>
      </c>
      <c r="F108" s="329">
        <v>55</v>
      </c>
      <c r="G108" s="329"/>
      <c r="H108" s="329"/>
      <c r="I108" s="329"/>
      <c r="J108" s="329"/>
      <c r="K108" s="329">
        <f>Aktiv!K328</f>
        <v>97</v>
      </c>
      <c r="L108" s="329">
        <v>81</v>
      </c>
      <c r="M108" s="329"/>
      <c r="N108" s="365" t="str">
        <f t="shared" si="25"/>
        <v/>
      </c>
      <c r="O108" s="361" t="str">
        <f t="shared" si="26"/>
        <v/>
      </c>
      <c r="P108" s="361" t="str">
        <f t="shared" si="27"/>
        <v/>
      </c>
      <c r="Q108" s="361" t="str">
        <f t="shared" si="34"/>
        <v/>
      </c>
      <c r="R108" s="369" t="str">
        <f t="shared" si="35"/>
        <v/>
      </c>
      <c r="S108" s="370" t="str">
        <f t="shared" si="29"/>
        <v/>
      </c>
      <c r="T108" s="370" t="str">
        <f t="shared" si="30"/>
        <v/>
      </c>
      <c r="U108" s="370" t="str">
        <f t="shared" si="31"/>
        <v/>
      </c>
      <c r="V108" s="407" t="str">
        <f>IF(E108="","",IFERROR(INDEX(Aktiv!$G:$G,MATCH(E108,Aktiv!$A:$A,0)),""))</f>
        <v/>
      </c>
      <c r="W108" s="407" t="str">
        <f>IF(E108="","",IFERROR(INDEX(Aktiv!$H:$H,MATCH(E108,Aktiv!$A:$A,0)),""))</f>
        <v/>
      </c>
      <c r="X108" s="407" t="str">
        <f>IF(E108="","",IFERROR(INDEX(Aktiv!$I:$I,MATCH(E108,Aktiv!$A:$A,0)),""))</f>
        <v/>
      </c>
      <c r="Y108" s="407" t="str">
        <f>IF(E108="","",IFERROR(INDEX(Aktiv!$J:$J,MATCH(E108,Aktiv!$A:$A,0)),""))</f>
        <v/>
      </c>
      <c r="Z108" s="371" t="str">
        <f t="shared" si="40"/>
        <v/>
      </c>
      <c r="AA108" s="371" t="str">
        <f t="shared" si="41"/>
        <v/>
      </c>
      <c r="AB108" s="371" t="str">
        <f t="shared" si="42"/>
        <v/>
      </c>
      <c r="AC108" s="371" t="str">
        <f t="shared" si="43"/>
        <v/>
      </c>
      <c r="AD108" s="366" t="str">
        <f>IF(E108="","",IFERROR(INDEX(Preisliste_2025!$E:$E,MATCH(E108,Preisliste_2025!$C:$C,0)),""))</f>
        <v/>
      </c>
      <c r="AE108" s="366" t="str">
        <f>IF(E108="","",IFERROR(INDEX(Preisliste_2025!$G:$G,MATCH(E108,Preisliste_2025!$C:$C,0)),""))</f>
        <v/>
      </c>
      <c r="AF108" s="366" t="str">
        <f>IF(E108="","",IFERROR(INDEX(Preisliste_2025!$F:$F,MATCH(E108,Preisliste_2025!$C:$C,0)),""))</f>
        <v/>
      </c>
      <c r="AG108" s="366" t="str">
        <f>IF(E108="","",IFERROR(INDEX(Preisliste_2025!$H:$H,MATCH(E108,Preisliste_2025!$C:$C,0)),""))</f>
        <v/>
      </c>
      <c r="AH108" s="367" t="str">
        <f t="shared" si="32"/>
        <v/>
      </c>
      <c r="AI108" s="361" t="str">
        <f t="shared" si="33"/>
        <v/>
      </c>
      <c r="AJ108" s="368" t="str">
        <f>IF(E108="","",IFERROR(INDEX(Aktiv!$E:$E,MATCH(E108,Aktiv!$A:$A,0))*INDEX(Aktiv!$F:$F,MATCH(E108,Aktiv!$A:$A,0)),""))</f>
        <v/>
      </c>
      <c r="AK108" s="361" t="str">
        <f t="shared" si="44"/>
        <v/>
      </c>
      <c r="AL108" s="361" t="str">
        <f t="shared" si="45"/>
        <v/>
      </c>
    </row>
    <row r="109" spans="1:38" x14ac:dyDescent="0.25">
      <c r="A109" s="328" t="s">
        <v>312</v>
      </c>
      <c r="B109" s="328" t="s">
        <v>298</v>
      </c>
      <c r="C109" s="328" t="s">
        <v>746</v>
      </c>
      <c r="D109" s="328" t="s">
        <v>699</v>
      </c>
      <c r="E109" s="328" t="s">
        <v>724</v>
      </c>
      <c r="F109" s="329">
        <v>30</v>
      </c>
      <c r="G109" s="329"/>
      <c r="H109" s="329"/>
      <c r="I109" s="329"/>
      <c r="J109" s="329"/>
      <c r="K109" s="329">
        <f>Aktiv!K338</f>
        <v>58</v>
      </c>
      <c r="L109" s="329">
        <v>39</v>
      </c>
      <c r="M109" s="329"/>
      <c r="N109" s="365">
        <f t="shared" ca="1" si="25"/>
        <v>37.89</v>
      </c>
      <c r="O109" s="361">
        <f t="shared" ca="1" si="26"/>
        <v>37.89</v>
      </c>
      <c r="P109" s="361">
        <f t="shared" ca="1" si="27"/>
        <v>37.89</v>
      </c>
      <c r="Q109" s="361">
        <f t="shared" ca="1" si="34"/>
        <v>37.89</v>
      </c>
      <c r="R109" s="369">
        <f t="shared" ca="1" si="35"/>
        <v>0.26300000000000001</v>
      </c>
      <c r="S109" s="370" t="str">
        <f t="shared" ca="1" si="29"/>
        <v/>
      </c>
      <c r="T109" s="370" t="str">
        <f t="shared" ca="1" si="30"/>
        <v/>
      </c>
      <c r="U109" s="370" t="str">
        <f t="shared" ca="1" si="31"/>
        <v/>
      </c>
      <c r="V109" s="407">
        <f>IF(E109="","",IFERROR(INDEX(Aktiv!$G:$G,MATCH(E109,Aktiv!$A:$A,0)),""))</f>
        <v>50</v>
      </c>
      <c r="W109" s="407">
        <f>IF(E109="","",IFERROR(INDEX(Aktiv!$H:$H,MATCH(E109,Aktiv!$A:$A,0)),""))</f>
        <v>50</v>
      </c>
      <c r="X109" s="407">
        <f>IF(E109="","",IFERROR(INDEX(Aktiv!$I:$I,MATCH(E109,Aktiv!$A:$A,0)),""))</f>
        <v>50</v>
      </c>
      <c r="Y109" s="407">
        <f>IF(E109="","",IFERROR(INDEX(Aktiv!$J:$J,MATCH(E109,Aktiv!$A:$A,0)),""))</f>
        <v>50</v>
      </c>
      <c r="Z109" s="371" t="str">
        <f t="shared" si="40"/>
        <v/>
      </c>
      <c r="AA109" s="371" t="str">
        <f t="shared" si="41"/>
        <v/>
      </c>
      <c r="AB109" s="371" t="str">
        <f t="shared" si="42"/>
        <v/>
      </c>
      <c r="AC109" s="371" t="str">
        <f t="shared" si="43"/>
        <v/>
      </c>
      <c r="AD109" s="366" t="str">
        <f>IF(E109="","",IFERROR(INDEX(Preisliste_2025!$E:$E,MATCH(E109,Preisliste_2025!$C:$C,0)),""))</f>
        <v/>
      </c>
      <c r="AE109" s="366" t="str">
        <f>IF(E109="","",IFERROR(INDEX(Preisliste_2025!$G:$G,MATCH(E109,Preisliste_2025!$C:$C,0)),""))</f>
        <v/>
      </c>
      <c r="AF109" s="366" t="str">
        <f>IF(E109="","",IFERROR(INDEX(Preisliste_2025!$F:$F,MATCH(E109,Preisliste_2025!$C:$C,0)),""))</f>
        <v/>
      </c>
      <c r="AG109" s="366" t="str">
        <f>IF(E109="","",IFERROR(INDEX(Preisliste_2025!$H:$H,MATCH(E109,Preisliste_2025!$C:$C,0)),""))</f>
        <v/>
      </c>
      <c r="AH109" s="367" t="str">
        <f t="shared" si="32"/>
        <v/>
      </c>
      <c r="AI109" s="361">
        <f t="shared" si="33"/>
        <v>1</v>
      </c>
      <c r="AJ109" s="368">
        <f>IF(E109="","",IFERROR(INDEX(Aktiv!$E:$E,MATCH(E109,Aktiv!$A:$A,0))*INDEX(Aktiv!$F:$F,MATCH(E109,Aktiv!$A:$A,0)),""))</f>
        <v>0</v>
      </c>
      <c r="AK109" s="361" t="str">
        <f t="shared" si="44"/>
        <v/>
      </c>
      <c r="AL109" s="361" t="str">
        <f t="shared" si="45"/>
        <v/>
      </c>
    </row>
    <row r="110" spans="1:38" x14ac:dyDescent="0.25">
      <c r="A110" s="328" t="s">
        <v>312</v>
      </c>
      <c r="B110" s="328" t="s">
        <v>747</v>
      </c>
      <c r="C110" s="328" t="s">
        <v>748</v>
      </c>
      <c r="D110" s="328" t="s">
        <v>699</v>
      </c>
      <c r="E110" s="328" t="s">
        <v>725</v>
      </c>
      <c r="F110" s="329">
        <v>20</v>
      </c>
      <c r="G110" s="329"/>
      <c r="H110" s="329"/>
      <c r="I110" s="329"/>
      <c r="J110" s="329"/>
      <c r="K110" s="329">
        <f>Aktiv!K339</f>
        <v>43</v>
      </c>
      <c r="L110" s="329">
        <v>25</v>
      </c>
      <c r="M110" s="329"/>
      <c r="N110" s="365">
        <f t="shared" ca="1" si="25"/>
        <v>28.04</v>
      </c>
      <c r="O110" s="361">
        <f t="shared" ca="1" si="26"/>
        <v>28.04</v>
      </c>
      <c r="P110" s="361">
        <f t="shared" ca="1" si="27"/>
        <v>28.04</v>
      </c>
      <c r="Q110" s="361">
        <f t="shared" ca="1" si="34"/>
        <v>28.04</v>
      </c>
      <c r="R110" s="369">
        <f t="shared" ca="1" si="35"/>
        <v>0.40199999999999997</v>
      </c>
      <c r="S110" s="370" t="str">
        <f t="shared" ca="1" si="29"/>
        <v/>
      </c>
      <c r="T110" s="370" t="str">
        <f t="shared" ca="1" si="30"/>
        <v/>
      </c>
      <c r="U110" s="370" t="str">
        <f t="shared" ca="1" si="31"/>
        <v/>
      </c>
      <c r="V110" s="407">
        <f>IF(E110="","",IFERROR(INDEX(Aktiv!$G:$G,MATCH(E110,Aktiv!$A:$A,0)),""))</f>
        <v>37</v>
      </c>
      <c r="W110" s="407">
        <f>IF(E110="","",IFERROR(INDEX(Aktiv!$H:$H,MATCH(E110,Aktiv!$A:$A,0)),""))</f>
        <v>37</v>
      </c>
      <c r="X110" s="407">
        <f>IF(E110="","",IFERROR(INDEX(Aktiv!$I:$I,MATCH(E110,Aktiv!$A:$A,0)),""))</f>
        <v>37</v>
      </c>
      <c r="Y110" s="407">
        <f>IF(E110="","",IFERROR(INDEX(Aktiv!$J:$J,MATCH(E110,Aktiv!$A:$A,0)),""))</f>
        <v>37</v>
      </c>
      <c r="Z110" s="371" t="str">
        <f t="shared" si="40"/>
        <v/>
      </c>
      <c r="AA110" s="371" t="str">
        <f t="shared" si="41"/>
        <v/>
      </c>
      <c r="AB110" s="371" t="str">
        <f t="shared" si="42"/>
        <v/>
      </c>
      <c r="AC110" s="371" t="str">
        <f t="shared" si="43"/>
        <v/>
      </c>
      <c r="AD110" s="366" t="str">
        <f>IF(E110="","",IFERROR(INDEX(Preisliste_2025!$E:$E,MATCH(E110,Preisliste_2025!$C:$C,0)),""))</f>
        <v/>
      </c>
      <c r="AE110" s="366" t="str">
        <f>IF(E110="","",IFERROR(INDEX(Preisliste_2025!$G:$G,MATCH(E110,Preisliste_2025!$C:$C,0)),""))</f>
        <v/>
      </c>
      <c r="AF110" s="366" t="str">
        <f>IF(E110="","",IFERROR(INDEX(Preisliste_2025!$F:$F,MATCH(E110,Preisliste_2025!$C:$C,0)),""))</f>
        <v/>
      </c>
      <c r="AG110" s="366" t="str">
        <f>IF(E110="","",IFERROR(INDEX(Preisliste_2025!$H:$H,MATCH(E110,Preisliste_2025!$C:$C,0)),""))</f>
        <v/>
      </c>
      <c r="AH110" s="367" t="str">
        <f t="shared" si="32"/>
        <v/>
      </c>
      <c r="AI110" s="361">
        <f t="shared" si="33"/>
        <v>1</v>
      </c>
      <c r="AJ110" s="368">
        <f>IF(E110="","",IFERROR(INDEX(Aktiv!$E:$E,MATCH(E110,Aktiv!$A:$A,0))*INDEX(Aktiv!$F:$F,MATCH(E110,Aktiv!$A:$A,0)),""))</f>
        <v>0</v>
      </c>
      <c r="AK110" s="361" t="str">
        <f t="shared" si="44"/>
        <v/>
      </c>
      <c r="AL110" s="361" t="str">
        <f t="shared" si="45"/>
        <v/>
      </c>
    </row>
    <row r="111" spans="1:38" x14ac:dyDescent="0.25">
      <c r="A111" s="326" t="s">
        <v>701</v>
      </c>
      <c r="B111" s="326"/>
      <c r="C111" s="326"/>
      <c r="D111" s="326"/>
      <c r="E111" s="326"/>
      <c r="F111" s="327"/>
      <c r="G111" s="327"/>
      <c r="H111" s="327"/>
      <c r="I111" s="327"/>
      <c r="J111" s="327"/>
      <c r="K111" s="327"/>
      <c r="L111" s="327"/>
      <c r="M111" s="327"/>
      <c r="N111" s="365" t="str">
        <f t="shared" si="25"/>
        <v/>
      </c>
      <c r="O111" s="361" t="str">
        <f t="shared" si="26"/>
        <v/>
      </c>
      <c r="P111" s="361" t="str">
        <f t="shared" si="27"/>
        <v/>
      </c>
      <c r="Q111" s="361" t="str">
        <f t="shared" si="34"/>
        <v/>
      </c>
      <c r="R111" s="369" t="str">
        <f t="shared" si="35"/>
        <v/>
      </c>
      <c r="S111" s="370" t="str">
        <f t="shared" si="29"/>
        <v/>
      </c>
      <c r="T111" s="370" t="str">
        <f t="shared" si="30"/>
        <v/>
      </c>
      <c r="U111" s="370" t="str">
        <f t="shared" si="31"/>
        <v/>
      </c>
      <c r="V111" s="407" t="str">
        <f>IF(E111="","",IFERROR(INDEX(Aktiv!$G:$G,MATCH(E111,Aktiv!$A:$A,0)),""))</f>
        <v/>
      </c>
      <c r="W111" s="407" t="str">
        <f>IF(E111="","",IFERROR(INDEX(Aktiv!$H:$H,MATCH(E111,Aktiv!$A:$A,0)),""))</f>
        <v/>
      </c>
      <c r="X111" s="407" t="str">
        <f>IF(E111="","",IFERROR(INDEX(Aktiv!$I:$I,MATCH(E111,Aktiv!$A:$A,0)),""))</f>
        <v/>
      </c>
      <c r="Y111" s="407" t="str">
        <f>IF(E111="","",IFERROR(INDEX(Aktiv!$J:$J,MATCH(E111,Aktiv!$A:$A,0)),""))</f>
        <v/>
      </c>
      <c r="Z111" s="371" t="str">
        <f t="shared" si="40"/>
        <v/>
      </c>
      <c r="AA111" s="371" t="str">
        <f t="shared" si="41"/>
        <v/>
      </c>
      <c r="AB111" s="371" t="str">
        <f t="shared" si="42"/>
        <v/>
      </c>
      <c r="AC111" s="371" t="str">
        <f t="shared" si="43"/>
        <v/>
      </c>
      <c r="AD111" s="366" t="str">
        <f>IF(E111="","",IFERROR(INDEX(Preisliste_2025!$E:$E,MATCH(E111,Preisliste_2025!$C:$C,0)),""))</f>
        <v/>
      </c>
      <c r="AE111" s="366" t="str">
        <f>IF(E111="","",IFERROR(INDEX(Preisliste_2025!$G:$G,MATCH(E111,Preisliste_2025!$C:$C,0)),""))</f>
        <v/>
      </c>
      <c r="AF111" s="366" t="str">
        <f>IF(E111="","",IFERROR(INDEX(Preisliste_2025!$F:$F,MATCH(E111,Preisliste_2025!$C:$C,0)),""))</f>
        <v/>
      </c>
      <c r="AG111" s="366" t="str">
        <f>IF(E111="","",IFERROR(INDEX(Preisliste_2025!$H:$H,MATCH(E111,Preisliste_2025!$C:$C,0)),""))</f>
        <v/>
      </c>
      <c r="AH111" s="367" t="str">
        <f t="shared" si="32"/>
        <v/>
      </c>
      <c r="AI111" s="361" t="str">
        <f t="shared" si="33"/>
        <v/>
      </c>
      <c r="AJ111" s="368" t="str">
        <f>IF(E111="","",IFERROR(INDEX(Aktiv!$E:$E,MATCH(E111,Aktiv!$A:$A,0))*INDEX(Aktiv!$F:$F,MATCH(E111,Aktiv!$A:$A,0)),""))</f>
        <v/>
      </c>
      <c r="AK111" s="361" t="str">
        <f t="shared" si="44"/>
        <v/>
      </c>
      <c r="AL111" s="361" t="str">
        <f t="shared" si="45"/>
        <v/>
      </c>
    </row>
    <row r="112" spans="1:38" x14ac:dyDescent="0.25">
      <c r="A112" s="328" t="s">
        <v>701</v>
      </c>
      <c r="B112" s="328" t="s">
        <v>749</v>
      </c>
      <c r="C112" s="328" t="s">
        <v>468</v>
      </c>
      <c r="D112" s="328" t="s">
        <v>522</v>
      </c>
      <c r="E112" s="328" t="s">
        <v>499</v>
      </c>
      <c r="F112" s="329">
        <v>265</v>
      </c>
      <c r="G112" s="329"/>
      <c r="H112" s="329">
        <v>755</v>
      </c>
      <c r="I112" s="329">
        <v>831</v>
      </c>
      <c r="J112" s="329">
        <v>444</v>
      </c>
      <c r="K112" s="329"/>
      <c r="L112" s="329">
        <v>1230</v>
      </c>
      <c r="M112" s="329"/>
      <c r="N112" s="365" t="str">
        <f t="shared" si="25"/>
        <v/>
      </c>
      <c r="O112" s="361" t="str">
        <f t="shared" si="26"/>
        <v/>
      </c>
      <c r="P112" s="361" t="str">
        <f t="shared" si="27"/>
        <v/>
      </c>
      <c r="Q112" s="361" t="str">
        <f t="shared" si="34"/>
        <v/>
      </c>
      <c r="R112" s="369" t="str">
        <f t="shared" si="35"/>
        <v/>
      </c>
      <c r="S112" s="370" t="str">
        <f t="shared" si="29"/>
        <v/>
      </c>
      <c r="T112" s="370" t="str">
        <f t="shared" si="30"/>
        <v/>
      </c>
      <c r="U112" s="370" t="str">
        <f t="shared" si="31"/>
        <v/>
      </c>
      <c r="V112" s="407" t="str">
        <f>IF(E112="","",IFERROR(INDEX(Aktiv!$G:$G,MATCH(E112,Aktiv!$A:$A,0)),""))</f>
        <v/>
      </c>
      <c r="W112" s="407" t="str">
        <f>IF(E112="","",IFERROR(INDEX(Aktiv!$H:$H,MATCH(E112,Aktiv!$A:$A,0)),""))</f>
        <v/>
      </c>
      <c r="X112" s="407" t="str">
        <f>IF(E112="","",IFERROR(INDEX(Aktiv!$I:$I,MATCH(E112,Aktiv!$A:$A,0)),""))</f>
        <v/>
      </c>
      <c r="Y112" s="407" t="str">
        <f>IF(E112="","",IFERROR(INDEX(Aktiv!$J:$J,MATCH(E112,Aktiv!$A:$A,0)),""))</f>
        <v/>
      </c>
      <c r="Z112" s="371" t="str">
        <f t="shared" si="40"/>
        <v/>
      </c>
      <c r="AA112" s="371" t="str">
        <f t="shared" si="41"/>
        <v/>
      </c>
      <c r="AB112" s="371" t="str">
        <f t="shared" si="42"/>
        <v/>
      </c>
      <c r="AC112" s="371" t="str">
        <f t="shared" si="43"/>
        <v/>
      </c>
      <c r="AD112" s="366" t="str">
        <f>IF(E112="","",IFERROR(INDEX(Preisliste_2025!$E:$E,MATCH(E112,Preisliste_2025!$C:$C,0)),""))</f>
        <v/>
      </c>
      <c r="AE112" s="366" t="str">
        <f>IF(E112="","",IFERROR(INDEX(Preisliste_2025!$G:$G,MATCH(E112,Preisliste_2025!$C:$C,0)),""))</f>
        <v/>
      </c>
      <c r="AF112" s="366" t="str">
        <f>IF(E112="","",IFERROR(INDEX(Preisliste_2025!$F:$F,MATCH(E112,Preisliste_2025!$C:$C,0)),""))</f>
        <v/>
      </c>
      <c r="AG112" s="366" t="str">
        <f>IF(E112="","",IFERROR(INDEX(Preisliste_2025!$H:$H,MATCH(E112,Preisliste_2025!$C:$C,0)),""))</f>
        <v/>
      </c>
      <c r="AH112" s="367" t="str">
        <f t="shared" si="32"/>
        <v/>
      </c>
      <c r="AI112" s="361" t="str">
        <f t="shared" si="33"/>
        <v/>
      </c>
      <c r="AJ112" s="368" t="str">
        <f>IF(E112="","",IFERROR(INDEX(Aktiv!$E:$E,MATCH(E112,Aktiv!$A:$A,0))*INDEX(Aktiv!$F:$F,MATCH(E112,Aktiv!$A:$A,0)),""))</f>
        <v/>
      </c>
      <c r="AK112" s="361" t="str">
        <f t="shared" si="44"/>
        <v/>
      </c>
      <c r="AL112" s="361" t="str">
        <f t="shared" si="45"/>
        <v/>
      </c>
    </row>
    <row r="113" spans="1:38" x14ac:dyDescent="0.25">
      <c r="A113" s="328" t="s">
        <v>701</v>
      </c>
      <c r="B113" s="328" t="s">
        <v>750</v>
      </c>
      <c r="C113" s="328" t="s">
        <v>470</v>
      </c>
      <c r="D113" s="328" t="s">
        <v>522</v>
      </c>
      <c r="E113" s="328" t="s">
        <v>500</v>
      </c>
      <c r="F113" s="329">
        <v>166</v>
      </c>
      <c r="G113" s="329"/>
      <c r="H113" s="329">
        <v>499</v>
      </c>
      <c r="I113" s="329">
        <v>549</v>
      </c>
      <c r="J113" s="329">
        <v>252</v>
      </c>
      <c r="K113" s="329"/>
      <c r="L113" s="329">
        <v>812</v>
      </c>
      <c r="M113" s="329"/>
      <c r="N113" s="365" t="str">
        <f t="shared" si="25"/>
        <v/>
      </c>
      <c r="O113" s="361" t="str">
        <f t="shared" si="26"/>
        <v/>
      </c>
      <c r="P113" s="361" t="str">
        <f t="shared" si="27"/>
        <v/>
      </c>
      <c r="Q113" s="361" t="str">
        <f t="shared" si="34"/>
        <v/>
      </c>
      <c r="R113" s="369" t="str">
        <f t="shared" si="35"/>
        <v/>
      </c>
      <c r="S113" s="370" t="str">
        <f t="shared" si="29"/>
        <v/>
      </c>
      <c r="T113" s="370" t="str">
        <f t="shared" si="30"/>
        <v/>
      </c>
      <c r="U113" s="370" t="str">
        <f t="shared" si="31"/>
        <v/>
      </c>
      <c r="V113" s="407" t="str">
        <f>IF(E113="","",IFERROR(INDEX(Aktiv!$G:$G,MATCH(E113,Aktiv!$A:$A,0)),""))</f>
        <v/>
      </c>
      <c r="W113" s="407" t="str">
        <f>IF(E113="","",IFERROR(INDEX(Aktiv!$H:$H,MATCH(E113,Aktiv!$A:$A,0)),""))</f>
        <v/>
      </c>
      <c r="X113" s="407" t="str">
        <f>IF(E113="","",IFERROR(INDEX(Aktiv!$I:$I,MATCH(E113,Aktiv!$A:$A,0)),""))</f>
        <v/>
      </c>
      <c r="Y113" s="407" t="str">
        <f>IF(E113="","",IFERROR(INDEX(Aktiv!$J:$J,MATCH(E113,Aktiv!$A:$A,0)),""))</f>
        <v/>
      </c>
      <c r="Z113" s="371" t="str">
        <f t="shared" si="40"/>
        <v/>
      </c>
      <c r="AA113" s="371" t="str">
        <f t="shared" si="41"/>
        <v/>
      </c>
      <c r="AB113" s="371" t="str">
        <f t="shared" si="42"/>
        <v/>
      </c>
      <c r="AC113" s="371" t="str">
        <f t="shared" si="43"/>
        <v/>
      </c>
      <c r="AD113" s="366" t="str">
        <f>IF(E113="","",IFERROR(INDEX(Preisliste_2025!$E:$E,MATCH(E113,Preisliste_2025!$C:$C,0)),""))</f>
        <v/>
      </c>
      <c r="AE113" s="366" t="str">
        <f>IF(E113="","",IFERROR(INDEX(Preisliste_2025!$G:$G,MATCH(E113,Preisliste_2025!$C:$C,0)),""))</f>
        <v/>
      </c>
      <c r="AF113" s="366" t="str">
        <f>IF(E113="","",IFERROR(INDEX(Preisliste_2025!$F:$F,MATCH(E113,Preisliste_2025!$C:$C,0)),""))</f>
        <v/>
      </c>
      <c r="AG113" s="366" t="str">
        <f>IF(E113="","",IFERROR(INDEX(Preisliste_2025!$H:$H,MATCH(E113,Preisliste_2025!$C:$C,0)),""))</f>
        <v/>
      </c>
      <c r="AH113" s="367" t="str">
        <f t="shared" si="32"/>
        <v/>
      </c>
      <c r="AI113" s="361" t="str">
        <f t="shared" si="33"/>
        <v/>
      </c>
      <c r="AJ113" s="368" t="str">
        <f>IF(E113="","",IFERROR(INDEX(Aktiv!$E:$E,MATCH(E113,Aktiv!$A:$A,0))*INDEX(Aktiv!$F:$F,MATCH(E113,Aktiv!$A:$A,0)),""))</f>
        <v/>
      </c>
      <c r="AK113" s="361" t="str">
        <f t="shared" si="44"/>
        <v/>
      </c>
      <c r="AL113" s="361" t="str">
        <f t="shared" si="45"/>
        <v/>
      </c>
    </row>
    <row r="114" spans="1:38" x14ac:dyDescent="0.25">
      <c r="A114" s="328" t="s">
        <v>701</v>
      </c>
      <c r="B114" s="328" t="s">
        <v>751</v>
      </c>
      <c r="C114" s="328" t="s">
        <v>472</v>
      </c>
      <c r="D114" s="328" t="s">
        <v>522</v>
      </c>
      <c r="E114" s="328" t="s">
        <v>501</v>
      </c>
      <c r="F114" s="329">
        <v>174</v>
      </c>
      <c r="G114" s="329"/>
      <c r="H114" s="329">
        <v>622</v>
      </c>
      <c r="I114" s="329">
        <v>684</v>
      </c>
      <c r="J114" s="329">
        <v>309</v>
      </c>
      <c r="K114" s="329"/>
      <c r="L114" s="329">
        <v>1012</v>
      </c>
      <c r="M114" s="329"/>
      <c r="N114" s="365" t="str">
        <f t="shared" si="25"/>
        <v/>
      </c>
      <c r="O114" s="361" t="str">
        <f t="shared" si="26"/>
        <v/>
      </c>
      <c r="P114" s="361" t="str">
        <f t="shared" si="27"/>
        <v/>
      </c>
      <c r="Q114" s="361" t="str">
        <f t="shared" si="34"/>
        <v/>
      </c>
      <c r="R114" s="369" t="str">
        <f t="shared" si="35"/>
        <v/>
      </c>
      <c r="S114" s="370" t="str">
        <f t="shared" si="29"/>
        <v/>
      </c>
      <c r="T114" s="370" t="str">
        <f t="shared" si="30"/>
        <v/>
      </c>
      <c r="U114" s="370" t="str">
        <f t="shared" si="31"/>
        <v/>
      </c>
      <c r="V114" s="407" t="str">
        <f>IF(E114="","",IFERROR(INDEX(Aktiv!$G:$G,MATCH(E114,Aktiv!$A:$A,0)),""))</f>
        <v/>
      </c>
      <c r="W114" s="407" t="str">
        <f>IF(E114="","",IFERROR(INDEX(Aktiv!$H:$H,MATCH(E114,Aktiv!$A:$A,0)),""))</f>
        <v/>
      </c>
      <c r="X114" s="407" t="str">
        <f>IF(E114="","",IFERROR(INDEX(Aktiv!$I:$I,MATCH(E114,Aktiv!$A:$A,0)),""))</f>
        <v/>
      </c>
      <c r="Y114" s="407" t="str">
        <f>IF(E114="","",IFERROR(INDEX(Aktiv!$J:$J,MATCH(E114,Aktiv!$A:$A,0)),""))</f>
        <v/>
      </c>
      <c r="Z114" s="371" t="str">
        <f t="shared" si="40"/>
        <v/>
      </c>
      <c r="AA114" s="371" t="str">
        <f t="shared" si="41"/>
        <v/>
      </c>
      <c r="AB114" s="371" t="str">
        <f t="shared" si="42"/>
        <v/>
      </c>
      <c r="AC114" s="371" t="str">
        <f t="shared" si="43"/>
        <v/>
      </c>
      <c r="AD114" s="366" t="str">
        <f>IF(E114="","",IFERROR(INDEX(Preisliste_2025!$E:$E,MATCH(E114,Preisliste_2025!$C:$C,0)),""))</f>
        <v/>
      </c>
      <c r="AE114" s="366" t="str">
        <f>IF(E114="","",IFERROR(INDEX(Preisliste_2025!$G:$G,MATCH(E114,Preisliste_2025!$C:$C,0)),""))</f>
        <v/>
      </c>
      <c r="AF114" s="366" t="str">
        <f>IF(E114="","",IFERROR(INDEX(Preisliste_2025!$F:$F,MATCH(E114,Preisliste_2025!$C:$C,0)),""))</f>
        <v/>
      </c>
      <c r="AG114" s="366" t="str">
        <f>IF(E114="","",IFERROR(INDEX(Preisliste_2025!$H:$H,MATCH(E114,Preisliste_2025!$C:$C,0)),""))</f>
        <v/>
      </c>
      <c r="AH114" s="367" t="str">
        <f t="shared" si="32"/>
        <v/>
      </c>
      <c r="AI114" s="361" t="str">
        <f t="shared" si="33"/>
        <v/>
      </c>
      <c r="AJ114" s="368" t="str">
        <f>IF(E114="","",IFERROR(INDEX(Aktiv!$E:$E,MATCH(E114,Aktiv!$A:$A,0))*INDEX(Aktiv!$F:$F,MATCH(E114,Aktiv!$A:$A,0)),""))</f>
        <v/>
      </c>
      <c r="AK114" s="361" t="str">
        <f t="shared" si="44"/>
        <v/>
      </c>
      <c r="AL114" s="361" t="str">
        <f t="shared" si="45"/>
        <v/>
      </c>
    </row>
    <row r="115" spans="1:38" x14ac:dyDescent="0.25">
      <c r="A115" s="328" t="s">
        <v>701</v>
      </c>
      <c r="B115" s="328" t="s">
        <v>752</v>
      </c>
      <c r="C115" s="328" t="s">
        <v>474</v>
      </c>
      <c r="D115" s="328" t="s">
        <v>522</v>
      </c>
      <c r="E115" s="328" t="s">
        <v>502</v>
      </c>
      <c r="F115" s="329">
        <v>157</v>
      </c>
      <c r="G115" s="329"/>
      <c r="H115" s="329">
        <v>577</v>
      </c>
      <c r="I115" s="329">
        <v>635</v>
      </c>
      <c r="J115" s="329">
        <v>303</v>
      </c>
      <c r="K115" s="329"/>
      <c r="L115" s="329">
        <v>939</v>
      </c>
      <c r="M115" s="329"/>
      <c r="N115" s="365" t="str">
        <f t="shared" si="25"/>
        <v/>
      </c>
      <c r="O115" s="361" t="str">
        <f t="shared" si="26"/>
        <v/>
      </c>
      <c r="P115" s="361" t="str">
        <f t="shared" si="27"/>
        <v/>
      </c>
      <c r="Q115" s="361" t="str">
        <f t="shared" si="34"/>
        <v/>
      </c>
      <c r="R115" s="369" t="str">
        <f t="shared" si="35"/>
        <v/>
      </c>
      <c r="S115" s="370" t="str">
        <f t="shared" si="29"/>
        <v/>
      </c>
      <c r="T115" s="370" t="str">
        <f t="shared" si="30"/>
        <v/>
      </c>
      <c r="U115" s="370" t="str">
        <f t="shared" si="31"/>
        <v/>
      </c>
      <c r="V115" s="407" t="str">
        <f>IF(E115="","",IFERROR(INDEX(Aktiv!$G:$G,MATCH(E115,Aktiv!$A:$A,0)),""))</f>
        <v/>
      </c>
      <c r="W115" s="407" t="str">
        <f>IF(E115="","",IFERROR(INDEX(Aktiv!$H:$H,MATCH(E115,Aktiv!$A:$A,0)),""))</f>
        <v/>
      </c>
      <c r="X115" s="407" t="str">
        <f>IF(E115="","",IFERROR(INDEX(Aktiv!$I:$I,MATCH(E115,Aktiv!$A:$A,0)),""))</f>
        <v/>
      </c>
      <c r="Y115" s="407" t="str">
        <f>IF(E115="","",IFERROR(INDEX(Aktiv!$J:$J,MATCH(E115,Aktiv!$A:$A,0)),""))</f>
        <v/>
      </c>
      <c r="Z115" s="371" t="str">
        <f t="shared" si="40"/>
        <v/>
      </c>
      <c r="AA115" s="371" t="str">
        <f t="shared" si="41"/>
        <v/>
      </c>
      <c r="AB115" s="371" t="str">
        <f t="shared" si="42"/>
        <v/>
      </c>
      <c r="AC115" s="371" t="str">
        <f t="shared" si="43"/>
        <v/>
      </c>
      <c r="AD115" s="366" t="str">
        <f>IF(E115="","",IFERROR(INDEX(Preisliste_2025!$E:$E,MATCH(E115,Preisliste_2025!$C:$C,0)),""))</f>
        <v/>
      </c>
      <c r="AE115" s="366" t="str">
        <f>IF(E115="","",IFERROR(INDEX(Preisliste_2025!$G:$G,MATCH(E115,Preisliste_2025!$C:$C,0)),""))</f>
        <v/>
      </c>
      <c r="AF115" s="366" t="str">
        <f>IF(E115="","",IFERROR(INDEX(Preisliste_2025!$F:$F,MATCH(E115,Preisliste_2025!$C:$C,0)),""))</f>
        <v/>
      </c>
      <c r="AG115" s="366" t="str">
        <f>IF(E115="","",IFERROR(INDEX(Preisliste_2025!$H:$H,MATCH(E115,Preisliste_2025!$C:$C,0)),""))</f>
        <v/>
      </c>
      <c r="AH115" s="367" t="str">
        <f t="shared" si="32"/>
        <v/>
      </c>
      <c r="AI115" s="361" t="str">
        <f t="shared" si="33"/>
        <v/>
      </c>
      <c r="AJ115" s="368" t="str">
        <f>IF(E115="","",IFERROR(INDEX(Aktiv!$E:$E,MATCH(E115,Aktiv!$A:$A,0))*INDEX(Aktiv!$F:$F,MATCH(E115,Aktiv!$A:$A,0)),""))</f>
        <v/>
      </c>
      <c r="AK115" s="361" t="str">
        <f t="shared" si="44"/>
        <v/>
      </c>
      <c r="AL115" s="361" t="str">
        <f t="shared" si="45"/>
        <v/>
      </c>
    </row>
    <row r="116" spans="1:38" x14ac:dyDescent="0.25">
      <c r="A116" s="328" t="s">
        <v>701</v>
      </c>
      <c r="B116" s="328" t="s">
        <v>753</v>
      </c>
      <c r="C116" s="328" t="s">
        <v>476</v>
      </c>
      <c r="D116" s="328" t="s">
        <v>522</v>
      </c>
      <c r="E116" s="328" t="s">
        <v>503</v>
      </c>
      <c r="F116" s="329">
        <v>131</v>
      </c>
      <c r="G116" s="329"/>
      <c r="H116" s="329">
        <v>532</v>
      </c>
      <c r="I116" s="329">
        <v>586</v>
      </c>
      <c r="J116" s="329">
        <v>278</v>
      </c>
      <c r="K116" s="329"/>
      <c r="L116" s="329">
        <v>867</v>
      </c>
      <c r="M116" s="329"/>
      <c r="N116" s="365" t="str">
        <f t="shared" si="25"/>
        <v/>
      </c>
      <c r="O116" s="361" t="str">
        <f t="shared" si="26"/>
        <v/>
      </c>
      <c r="P116" s="361" t="str">
        <f t="shared" si="27"/>
        <v/>
      </c>
      <c r="Q116" s="361" t="str">
        <f t="shared" si="34"/>
        <v/>
      </c>
      <c r="R116" s="369" t="str">
        <f t="shared" si="35"/>
        <v/>
      </c>
      <c r="S116" s="370" t="str">
        <f t="shared" si="29"/>
        <v/>
      </c>
      <c r="T116" s="370" t="str">
        <f t="shared" si="30"/>
        <v/>
      </c>
      <c r="U116" s="370" t="str">
        <f t="shared" si="31"/>
        <v/>
      </c>
      <c r="V116" s="407" t="str">
        <f>IF(E116="","",IFERROR(INDEX(Aktiv!$G:$G,MATCH(E116,Aktiv!$A:$A,0)),""))</f>
        <v/>
      </c>
      <c r="W116" s="407" t="str">
        <f>IF(E116="","",IFERROR(INDEX(Aktiv!$H:$H,MATCH(E116,Aktiv!$A:$A,0)),""))</f>
        <v/>
      </c>
      <c r="X116" s="407" t="str">
        <f>IF(E116="","",IFERROR(INDEX(Aktiv!$I:$I,MATCH(E116,Aktiv!$A:$A,0)),""))</f>
        <v/>
      </c>
      <c r="Y116" s="407" t="str">
        <f>IF(E116="","",IFERROR(INDEX(Aktiv!$J:$J,MATCH(E116,Aktiv!$A:$A,0)),""))</f>
        <v/>
      </c>
      <c r="Z116" s="371" t="str">
        <f t="shared" si="40"/>
        <v/>
      </c>
      <c r="AA116" s="371" t="str">
        <f t="shared" si="41"/>
        <v/>
      </c>
      <c r="AB116" s="371" t="str">
        <f t="shared" si="42"/>
        <v/>
      </c>
      <c r="AC116" s="371" t="str">
        <f t="shared" si="43"/>
        <v/>
      </c>
      <c r="AD116" s="366" t="str">
        <f>IF(E116="","",IFERROR(INDEX(Preisliste_2025!$E:$E,MATCH(E116,Preisliste_2025!$C:$C,0)),""))</f>
        <v/>
      </c>
      <c r="AE116" s="366" t="str">
        <f>IF(E116="","",IFERROR(INDEX(Preisliste_2025!$G:$G,MATCH(E116,Preisliste_2025!$C:$C,0)),""))</f>
        <v/>
      </c>
      <c r="AF116" s="366" t="str">
        <f>IF(E116="","",IFERROR(INDEX(Preisliste_2025!$F:$F,MATCH(E116,Preisliste_2025!$C:$C,0)),""))</f>
        <v/>
      </c>
      <c r="AG116" s="366" t="str">
        <f>IF(E116="","",IFERROR(INDEX(Preisliste_2025!$H:$H,MATCH(E116,Preisliste_2025!$C:$C,0)),""))</f>
        <v/>
      </c>
      <c r="AH116" s="367" t="str">
        <f t="shared" si="32"/>
        <v/>
      </c>
      <c r="AI116" s="361" t="str">
        <f t="shared" si="33"/>
        <v/>
      </c>
      <c r="AJ116" s="368" t="str">
        <f>IF(E116="","",IFERROR(INDEX(Aktiv!$E:$E,MATCH(E116,Aktiv!$A:$A,0))*INDEX(Aktiv!$F:$F,MATCH(E116,Aktiv!$A:$A,0)),""))</f>
        <v/>
      </c>
      <c r="AK116" s="361" t="str">
        <f t="shared" si="44"/>
        <v/>
      </c>
      <c r="AL116" s="361" t="str">
        <f t="shared" si="45"/>
        <v/>
      </c>
    </row>
    <row r="117" spans="1:38" x14ac:dyDescent="0.25">
      <c r="A117" s="328" t="s">
        <v>701</v>
      </c>
      <c r="B117" s="328" t="s">
        <v>754</v>
      </c>
      <c r="C117" s="328" t="s">
        <v>478</v>
      </c>
      <c r="D117" s="328" t="s">
        <v>522</v>
      </c>
      <c r="E117" s="328" t="s">
        <v>504</v>
      </c>
      <c r="F117" s="329">
        <v>126</v>
      </c>
      <c r="G117" s="329"/>
      <c r="H117" s="329">
        <v>497</v>
      </c>
      <c r="I117" s="329">
        <v>546</v>
      </c>
      <c r="J117" s="329">
        <v>230</v>
      </c>
      <c r="K117" s="329"/>
      <c r="L117" s="329">
        <v>809</v>
      </c>
      <c r="M117" s="329"/>
      <c r="N117" s="365" t="str">
        <f t="shared" si="25"/>
        <v/>
      </c>
      <c r="O117" s="361" t="str">
        <f t="shared" si="26"/>
        <v/>
      </c>
      <c r="P117" s="361" t="str">
        <f t="shared" si="27"/>
        <v/>
      </c>
      <c r="Q117" s="361" t="str">
        <f t="shared" si="34"/>
        <v/>
      </c>
      <c r="R117" s="369" t="str">
        <f t="shared" si="35"/>
        <v/>
      </c>
      <c r="S117" s="370" t="str">
        <f t="shared" si="29"/>
        <v/>
      </c>
      <c r="T117" s="370" t="str">
        <f t="shared" si="30"/>
        <v/>
      </c>
      <c r="U117" s="370" t="str">
        <f t="shared" si="31"/>
        <v/>
      </c>
      <c r="V117" s="407" t="str">
        <f>IF(E117="","",IFERROR(INDEX(Aktiv!$G:$G,MATCH(E117,Aktiv!$A:$A,0)),""))</f>
        <v/>
      </c>
      <c r="W117" s="407" t="str">
        <f>IF(E117="","",IFERROR(INDEX(Aktiv!$H:$H,MATCH(E117,Aktiv!$A:$A,0)),""))</f>
        <v/>
      </c>
      <c r="X117" s="407" t="str">
        <f>IF(E117="","",IFERROR(INDEX(Aktiv!$I:$I,MATCH(E117,Aktiv!$A:$A,0)),""))</f>
        <v/>
      </c>
      <c r="Y117" s="407" t="str">
        <f>IF(E117="","",IFERROR(INDEX(Aktiv!$J:$J,MATCH(E117,Aktiv!$A:$A,0)),""))</f>
        <v/>
      </c>
      <c r="Z117" s="371" t="str">
        <f t="shared" si="40"/>
        <v/>
      </c>
      <c r="AA117" s="371" t="str">
        <f t="shared" si="41"/>
        <v/>
      </c>
      <c r="AB117" s="371" t="str">
        <f t="shared" si="42"/>
        <v/>
      </c>
      <c r="AC117" s="371" t="str">
        <f t="shared" si="43"/>
        <v/>
      </c>
      <c r="AD117" s="366" t="str">
        <f>IF(E117="","",IFERROR(INDEX(Preisliste_2025!$E:$E,MATCH(E117,Preisliste_2025!$C:$C,0)),""))</f>
        <v/>
      </c>
      <c r="AE117" s="366" t="str">
        <f>IF(E117="","",IFERROR(INDEX(Preisliste_2025!$G:$G,MATCH(E117,Preisliste_2025!$C:$C,0)),""))</f>
        <v/>
      </c>
      <c r="AF117" s="366" t="str">
        <f>IF(E117="","",IFERROR(INDEX(Preisliste_2025!$F:$F,MATCH(E117,Preisliste_2025!$C:$C,0)),""))</f>
        <v/>
      </c>
      <c r="AG117" s="366" t="str">
        <f>IF(E117="","",IFERROR(INDEX(Preisliste_2025!$H:$H,MATCH(E117,Preisliste_2025!$C:$C,0)),""))</f>
        <v/>
      </c>
      <c r="AH117" s="367" t="str">
        <f t="shared" si="32"/>
        <v/>
      </c>
      <c r="AI117" s="361" t="str">
        <f t="shared" si="33"/>
        <v/>
      </c>
      <c r="AJ117" s="368" t="str">
        <f>IF(E117="","",IFERROR(INDEX(Aktiv!$E:$E,MATCH(E117,Aktiv!$A:$A,0))*INDEX(Aktiv!$F:$F,MATCH(E117,Aktiv!$A:$A,0)),""))</f>
        <v/>
      </c>
      <c r="AK117" s="361" t="str">
        <f t="shared" si="44"/>
        <v/>
      </c>
      <c r="AL117" s="361" t="str">
        <f t="shared" si="45"/>
        <v/>
      </c>
    </row>
    <row r="118" spans="1:38" x14ac:dyDescent="0.25">
      <c r="A118" s="328" t="s">
        <v>701</v>
      </c>
      <c r="B118" s="328" t="s">
        <v>755</v>
      </c>
      <c r="C118" s="328" t="s">
        <v>480</v>
      </c>
      <c r="D118" s="328" t="s">
        <v>522</v>
      </c>
      <c r="E118" s="328" t="s">
        <v>505</v>
      </c>
      <c r="F118" s="329">
        <v>73</v>
      </c>
      <c r="G118" s="329"/>
      <c r="H118" s="329">
        <v>446</v>
      </c>
      <c r="I118" s="329">
        <v>491</v>
      </c>
      <c r="J118" s="329">
        <v>200</v>
      </c>
      <c r="K118" s="329"/>
      <c r="L118" s="329">
        <v>726</v>
      </c>
      <c r="M118" s="329"/>
      <c r="N118" s="365" t="str">
        <f t="shared" si="25"/>
        <v/>
      </c>
      <c r="O118" s="361" t="str">
        <f t="shared" si="26"/>
        <v/>
      </c>
      <c r="P118" s="361" t="str">
        <f t="shared" si="27"/>
        <v/>
      </c>
      <c r="Q118" s="361" t="str">
        <f t="shared" si="34"/>
        <v/>
      </c>
      <c r="R118" s="369" t="str">
        <f t="shared" si="35"/>
        <v/>
      </c>
      <c r="S118" s="370" t="str">
        <f t="shared" si="29"/>
        <v/>
      </c>
      <c r="T118" s="370" t="str">
        <f t="shared" si="30"/>
        <v/>
      </c>
      <c r="U118" s="370" t="str">
        <f t="shared" si="31"/>
        <v/>
      </c>
      <c r="V118" s="407" t="str">
        <f>IF(E118="","",IFERROR(INDEX(Aktiv!$G:$G,MATCH(E118,Aktiv!$A:$A,0)),""))</f>
        <v/>
      </c>
      <c r="W118" s="407" t="str">
        <f>IF(E118="","",IFERROR(INDEX(Aktiv!$H:$H,MATCH(E118,Aktiv!$A:$A,0)),""))</f>
        <v/>
      </c>
      <c r="X118" s="407" t="str">
        <f>IF(E118="","",IFERROR(INDEX(Aktiv!$I:$I,MATCH(E118,Aktiv!$A:$A,0)),""))</f>
        <v/>
      </c>
      <c r="Y118" s="407" t="str">
        <f>IF(E118="","",IFERROR(INDEX(Aktiv!$J:$J,MATCH(E118,Aktiv!$A:$A,0)),""))</f>
        <v/>
      </c>
      <c r="Z118" s="371" t="str">
        <f t="shared" si="40"/>
        <v/>
      </c>
      <c r="AA118" s="371" t="str">
        <f t="shared" si="41"/>
        <v/>
      </c>
      <c r="AB118" s="371" t="str">
        <f t="shared" si="42"/>
        <v/>
      </c>
      <c r="AC118" s="371" t="str">
        <f t="shared" si="43"/>
        <v/>
      </c>
      <c r="AD118" s="366" t="str">
        <f>IF(E118="","",IFERROR(INDEX(Preisliste_2025!$E:$E,MATCH(E118,Preisliste_2025!$C:$C,0)),""))</f>
        <v/>
      </c>
      <c r="AE118" s="366" t="str">
        <f>IF(E118="","",IFERROR(INDEX(Preisliste_2025!$G:$G,MATCH(E118,Preisliste_2025!$C:$C,0)),""))</f>
        <v/>
      </c>
      <c r="AF118" s="366" t="str">
        <f>IF(E118="","",IFERROR(INDEX(Preisliste_2025!$F:$F,MATCH(E118,Preisliste_2025!$C:$C,0)),""))</f>
        <v/>
      </c>
      <c r="AG118" s="366" t="str">
        <f>IF(E118="","",IFERROR(INDEX(Preisliste_2025!$H:$H,MATCH(E118,Preisliste_2025!$C:$C,0)),""))</f>
        <v/>
      </c>
      <c r="AH118" s="367" t="str">
        <f t="shared" si="32"/>
        <v/>
      </c>
      <c r="AI118" s="361" t="str">
        <f t="shared" si="33"/>
        <v/>
      </c>
      <c r="AJ118" s="368" t="str">
        <f>IF(E118="","",IFERROR(INDEX(Aktiv!$E:$E,MATCH(E118,Aktiv!$A:$A,0))*INDEX(Aktiv!$F:$F,MATCH(E118,Aktiv!$A:$A,0)),""))</f>
        <v/>
      </c>
      <c r="AK118" s="361" t="str">
        <f t="shared" si="44"/>
        <v/>
      </c>
      <c r="AL118" s="361" t="str">
        <f t="shared" si="45"/>
        <v/>
      </c>
    </row>
    <row r="119" spans="1:38" x14ac:dyDescent="0.25">
      <c r="A119" s="328" t="s">
        <v>701</v>
      </c>
      <c r="B119" s="328" t="s">
        <v>756</v>
      </c>
      <c r="C119" s="328" t="s">
        <v>482</v>
      </c>
      <c r="D119" s="328" t="s">
        <v>522</v>
      </c>
      <c r="E119" s="328" t="s">
        <v>506</v>
      </c>
      <c r="F119" s="329">
        <v>72</v>
      </c>
      <c r="G119" s="329"/>
      <c r="H119" s="329">
        <v>402</v>
      </c>
      <c r="I119" s="329">
        <v>442</v>
      </c>
      <c r="J119" s="329">
        <v>159</v>
      </c>
      <c r="K119" s="329"/>
      <c r="L119" s="329">
        <v>655</v>
      </c>
      <c r="M119" s="329"/>
      <c r="N119" s="365" t="str">
        <f t="shared" si="25"/>
        <v/>
      </c>
      <c r="O119" s="361" t="str">
        <f t="shared" si="26"/>
        <v/>
      </c>
      <c r="P119" s="361" t="str">
        <f t="shared" si="27"/>
        <v/>
      </c>
      <c r="Q119" s="361" t="str">
        <f t="shared" si="34"/>
        <v/>
      </c>
      <c r="R119" s="369" t="str">
        <f t="shared" si="35"/>
        <v/>
      </c>
      <c r="S119" s="370" t="str">
        <f t="shared" si="29"/>
        <v/>
      </c>
      <c r="T119" s="370" t="str">
        <f t="shared" si="30"/>
        <v/>
      </c>
      <c r="U119" s="370" t="str">
        <f t="shared" si="31"/>
        <v/>
      </c>
      <c r="V119" s="407" t="str">
        <f>IF(E119="","",IFERROR(INDEX(Aktiv!$G:$G,MATCH(E119,Aktiv!$A:$A,0)),""))</f>
        <v/>
      </c>
      <c r="W119" s="407" t="str">
        <f>IF(E119="","",IFERROR(INDEX(Aktiv!$H:$H,MATCH(E119,Aktiv!$A:$A,0)),""))</f>
        <v/>
      </c>
      <c r="X119" s="407" t="str">
        <f>IF(E119="","",IFERROR(INDEX(Aktiv!$I:$I,MATCH(E119,Aktiv!$A:$A,0)),""))</f>
        <v/>
      </c>
      <c r="Y119" s="407" t="str">
        <f>IF(E119="","",IFERROR(INDEX(Aktiv!$J:$J,MATCH(E119,Aktiv!$A:$A,0)),""))</f>
        <v/>
      </c>
      <c r="Z119" s="371" t="str">
        <f t="shared" si="40"/>
        <v/>
      </c>
      <c r="AA119" s="371" t="str">
        <f t="shared" si="41"/>
        <v/>
      </c>
      <c r="AB119" s="371" t="str">
        <f t="shared" si="42"/>
        <v/>
      </c>
      <c r="AC119" s="371" t="str">
        <f t="shared" si="43"/>
        <v/>
      </c>
      <c r="AD119" s="366" t="str">
        <f>IF(E119="","",IFERROR(INDEX(Preisliste_2025!$E:$E,MATCH(E119,Preisliste_2025!$C:$C,0)),""))</f>
        <v/>
      </c>
      <c r="AE119" s="366" t="str">
        <f>IF(E119="","",IFERROR(INDEX(Preisliste_2025!$G:$G,MATCH(E119,Preisliste_2025!$C:$C,0)),""))</f>
        <v/>
      </c>
      <c r="AF119" s="366" t="str">
        <f>IF(E119="","",IFERROR(INDEX(Preisliste_2025!$F:$F,MATCH(E119,Preisliste_2025!$C:$C,0)),""))</f>
        <v/>
      </c>
      <c r="AG119" s="366" t="str">
        <f>IF(E119="","",IFERROR(INDEX(Preisliste_2025!$H:$H,MATCH(E119,Preisliste_2025!$C:$C,0)),""))</f>
        <v/>
      </c>
      <c r="AH119" s="367" t="str">
        <f t="shared" si="32"/>
        <v/>
      </c>
      <c r="AI119" s="361" t="str">
        <f t="shared" si="33"/>
        <v/>
      </c>
      <c r="AJ119" s="368" t="str">
        <f>IF(E119="","",IFERROR(INDEX(Aktiv!$E:$E,MATCH(E119,Aktiv!$A:$A,0))*INDEX(Aktiv!$F:$F,MATCH(E119,Aktiv!$A:$A,0)),""))</f>
        <v/>
      </c>
      <c r="AK119" s="361" t="str">
        <f t="shared" si="44"/>
        <v/>
      </c>
      <c r="AL119" s="361" t="str">
        <f t="shared" si="45"/>
        <v/>
      </c>
    </row>
    <row r="120" spans="1:38" x14ac:dyDescent="0.25">
      <c r="A120" s="328" t="s">
        <v>701</v>
      </c>
      <c r="B120" s="328" t="s">
        <v>757</v>
      </c>
      <c r="C120" s="328" t="s">
        <v>484</v>
      </c>
      <c r="D120" s="328" t="s">
        <v>522</v>
      </c>
      <c r="E120" s="328" t="s">
        <v>507</v>
      </c>
      <c r="F120" s="329">
        <v>104</v>
      </c>
      <c r="G120" s="329"/>
      <c r="H120" s="329">
        <v>436</v>
      </c>
      <c r="I120" s="329">
        <v>479</v>
      </c>
      <c r="J120" s="329">
        <v>171</v>
      </c>
      <c r="K120" s="329"/>
      <c r="L120" s="329">
        <v>710</v>
      </c>
      <c r="M120" s="329"/>
      <c r="N120" s="365" t="str">
        <f t="shared" si="25"/>
        <v/>
      </c>
      <c r="O120" s="361" t="str">
        <f t="shared" si="26"/>
        <v/>
      </c>
      <c r="P120" s="361" t="str">
        <f t="shared" si="27"/>
        <v/>
      </c>
      <c r="Q120" s="361" t="str">
        <f t="shared" si="34"/>
        <v/>
      </c>
      <c r="R120" s="369" t="str">
        <f t="shared" si="35"/>
        <v/>
      </c>
      <c r="S120" s="370" t="str">
        <f t="shared" si="29"/>
        <v/>
      </c>
      <c r="T120" s="370" t="str">
        <f t="shared" si="30"/>
        <v/>
      </c>
      <c r="U120" s="370" t="str">
        <f t="shared" si="31"/>
        <v/>
      </c>
      <c r="V120" s="407" t="str">
        <f>IF(E120="","",IFERROR(INDEX(Aktiv!$G:$G,MATCH(E120,Aktiv!$A:$A,0)),""))</f>
        <v/>
      </c>
      <c r="W120" s="407" t="str">
        <f>IF(E120="","",IFERROR(INDEX(Aktiv!$H:$H,MATCH(E120,Aktiv!$A:$A,0)),""))</f>
        <v/>
      </c>
      <c r="X120" s="407" t="str">
        <f>IF(E120="","",IFERROR(INDEX(Aktiv!$I:$I,MATCH(E120,Aktiv!$A:$A,0)),""))</f>
        <v/>
      </c>
      <c r="Y120" s="407" t="str">
        <f>IF(E120="","",IFERROR(INDEX(Aktiv!$J:$J,MATCH(E120,Aktiv!$A:$A,0)),""))</f>
        <v/>
      </c>
      <c r="Z120" s="371" t="str">
        <f t="shared" si="40"/>
        <v/>
      </c>
      <c r="AA120" s="371" t="str">
        <f t="shared" si="41"/>
        <v/>
      </c>
      <c r="AB120" s="371" t="str">
        <f t="shared" si="42"/>
        <v/>
      </c>
      <c r="AC120" s="371" t="str">
        <f t="shared" si="43"/>
        <v/>
      </c>
      <c r="AD120" s="366" t="str">
        <f>IF(E120="","",IFERROR(INDEX(Preisliste_2025!$E:$E,MATCH(E120,Preisliste_2025!$C:$C,0)),""))</f>
        <v/>
      </c>
      <c r="AE120" s="366" t="str">
        <f>IF(E120="","",IFERROR(INDEX(Preisliste_2025!$G:$G,MATCH(E120,Preisliste_2025!$C:$C,0)),""))</f>
        <v/>
      </c>
      <c r="AF120" s="366" t="str">
        <f>IF(E120="","",IFERROR(INDEX(Preisliste_2025!$F:$F,MATCH(E120,Preisliste_2025!$C:$C,0)),""))</f>
        <v/>
      </c>
      <c r="AG120" s="366" t="str">
        <f>IF(E120="","",IFERROR(INDEX(Preisliste_2025!$H:$H,MATCH(E120,Preisliste_2025!$C:$C,0)),""))</f>
        <v/>
      </c>
      <c r="AH120" s="367" t="str">
        <f t="shared" si="32"/>
        <v/>
      </c>
      <c r="AI120" s="361" t="str">
        <f t="shared" si="33"/>
        <v/>
      </c>
      <c r="AJ120" s="368" t="str">
        <f>IF(E120="","",IFERROR(INDEX(Aktiv!$E:$E,MATCH(E120,Aktiv!$A:$A,0))*INDEX(Aktiv!$F:$F,MATCH(E120,Aktiv!$A:$A,0)),""))</f>
        <v/>
      </c>
      <c r="AK120" s="361" t="str">
        <f t="shared" si="44"/>
        <v/>
      </c>
      <c r="AL120" s="361" t="str">
        <f t="shared" si="45"/>
        <v/>
      </c>
    </row>
    <row r="121" spans="1:38" x14ac:dyDescent="0.25">
      <c r="A121" s="328" t="s">
        <v>701</v>
      </c>
      <c r="B121" s="328" t="s">
        <v>758</v>
      </c>
      <c r="C121" s="328" t="s">
        <v>431</v>
      </c>
      <c r="D121" s="328" t="s">
        <v>522</v>
      </c>
      <c r="E121" s="328" t="s">
        <v>508</v>
      </c>
      <c r="F121" s="329">
        <v>71</v>
      </c>
      <c r="G121" s="329"/>
      <c r="H121" s="329">
        <v>395</v>
      </c>
      <c r="I121" s="329">
        <v>434</v>
      </c>
      <c r="J121" s="329">
        <v>150</v>
      </c>
      <c r="K121" s="329"/>
      <c r="L121" s="329">
        <v>642</v>
      </c>
      <c r="M121" s="329"/>
      <c r="N121" s="365" t="str">
        <f t="shared" si="25"/>
        <v/>
      </c>
      <c r="O121" s="361" t="str">
        <f t="shared" si="26"/>
        <v/>
      </c>
      <c r="P121" s="361" t="str">
        <f t="shared" si="27"/>
        <v/>
      </c>
      <c r="Q121" s="361" t="str">
        <f t="shared" si="34"/>
        <v/>
      </c>
      <c r="R121" s="369" t="str">
        <f t="shared" si="35"/>
        <v/>
      </c>
      <c r="S121" s="370" t="str">
        <f t="shared" si="29"/>
        <v/>
      </c>
      <c r="T121" s="370" t="str">
        <f t="shared" si="30"/>
        <v/>
      </c>
      <c r="U121" s="370" t="str">
        <f t="shared" si="31"/>
        <v/>
      </c>
      <c r="V121" s="407" t="str">
        <f>IF(E121="","",IFERROR(INDEX(Aktiv!$G:$G,MATCH(E121,Aktiv!$A:$A,0)),""))</f>
        <v/>
      </c>
      <c r="W121" s="407" t="str">
        <f>IF(E121="","",IFERROR(INDEX(Aktiv!$H:$H,MATCH(E121,Aktiv!$A:$A,0)),""))</f>
        <v/>
      </c>
      <c r="X121" s="407" t="str">
        <f>IF(E121="","",IFERROR(INDEX(Aktiv!$I:$I,MATCH(E121,Aktiv!$A:$A,0)),""))</f>
        <v/>
      </c>
      <c r="Y121" s="407" t="str">
        <f>IF(E121="","",IFERROR(INDEX(Aktiv!$J:$J,MATCH(E121,Aktiv!$A:$A,0)),""))</f>
        <v/>
      </c>
      <c r="Z121" s="371" t="str">
        <f t="shared" si="40"/>
        <v/>
      </c>
      <c r="AA121" s="371" t="str">
        <f t="shared" si="41"/>
        <v/>
      </c>
      <c r="AB121" s="371" t="str">
        <f t="shared" si="42"/>
        <v/>
      </c>
      <c r="AC121" s="371" t="str">
        <f t="shared" si="43"/>
        <v/>
      </c>
      <c r="AD121" s="366" t="str">
        <f>IF(E121="","",IFERROR(INDEX(Preisliste_2025!$E:$E,MATCH(E121,Preisliste_2025!$C:$C,0)),""))</f>
        <v/>
      </c>
      <c r="AE121" s="366" t="str">
        <f>IF(E121="","",IFERROR(INDEX(Preisliste_2025!$G:$G,MATCH(E121,Preisliste_2025!$C:$C,0)),""))</f>
        <v/>
      </c>
      <c r="AF121" s="366" t="str">
        <f>IF(E121="","",IFERROR(INDEX(Preisliste_2025!$F:$F,MATCH(E121,Preisliste_2025!$C:$C,0)),""))</f>
        <v/>
      </c>
      <c r="AG121" s="366" t="str">
        <f>IF(E121="","",IFERROR(INDEX(Preisliste_2025!$H:$H,MATCH(E121,Preisliste_2025!$C:$C,0)),""))</f>
        <v/>
      </c>
      <c r="AH121" s="367" t="str">
        <f t="shared" si="32"/>
        <v/>
      </c>
      <c r="AI121" s="361" t="str">
        <f t="shared" si="33"/>
        <v/>
      </c>
      <c r="AJ121" s="368" t="str">
        <f>IF(E121="","",IFERROR(INDEX(Aktiv!$E:$E,MATCH(E121,Aktiv!$A:$A,0))*INDEX(Aktiv!$F:$F,MATCH(E121,Aktiv!$A:$A,0)),""))</f>
        <v/>
      </c>
      <c r="AK121" s="361" t="str">
        <f t="shared" si="44"/>
        <v/>
      </c>
      <c r="AL121" s="361" t="str">
        <f t="shared" si="45"/>
        <v/>
      </c>
    </row>
    <row r="122" spans="1:38" x14ac:dyDescent="0.25">
      <c r="A122" s="328" t="s">
        <v>701</v>
      </c>
      <c r="B122" s="328" t="s">
        <v>759</v>
      </c>
      <c r="C122" s="328" t="s">
        <v>427</v>
      </c>
      <c r="D122" s="328" t="s">
        <v>522</v>
      </c>
      <c r="E122" s="328" t="s">
        <v>509</v>
      </c>
      <c r="F122" s="329">
        <v>55</v>
      </c>
      <c r="G122" s="329"/>
      <c r="H122" s="329">
        <v>320</v>
      </c>
      <c r="I122" s="329">
        <v>352</v>
      </c>
      <c r="J122" s="329">
        <v>89</v>
      </c>
      <c r="K122" s="329"/>
      <c r="L122" s="329">
        <v>521</v>
      </c>
      <c r="M122" s="329"/>
      <c r="N122" s="365" t="str">
        <f t="shared" si="25"/>
        <v/>
      </c>
      <c r="O122" s="361" t="str">
        <f t="shared" si="26"/>
        <v/>
      </c>
      <c r="P122" s="361" t="str">
        <f t="shared" si="27"/>
        <v/>
      </c>
      <c r="Q122" s="361" t="str">
        <f t="shared" si="34"/>
        <v/>
      </c>
      <c r="R122" s="369" t="str">
        <f t="shared" si="35"/>
        <v/>
      </c>
      <c r="S122" s="370" t="str">
        <f t="shared" si="29"/>
        <v/>
      </c>
      <c r="T122" s="370" t="str">
        <f t="shared" si="30"/>
        <v/>
      </c>
      <c r="U122" s="370" t="str">
        <f t="shared" si="31"/>
        <v/>
      </c>
      <c r="V122" s="407" t="str">
        <f>IF(E122="","",IFERROR(INDEX(Aktiv!$G:$G,MATCH(E122,Aktiv!$A:$A,0)),""))</f>
        <v/>
      </c>
      <c r="W122" s="407" t="str">
        <f>IF(E122="","",IFERROR(INDEX(Aktiv!$H:$H,MATCH(E122,Aktiv!$A:$A,0)),""))</f>
        <v/>
      </c>
      <c r="X122" s="407" t="str">
        <f>IF(E122="","",IFERROR(INDEX(Aktiv!$I:$I,MATCH(E122,Aktiv!$A:$A,0)),""))</f>
        <v/>
      </c>
      <c r="Y122" s="407" t="str">
        <f>IF(E122="","",IFERROR(INDEX(Aktiv!$J:$J,MATCH(E122,Aktiv!$A:$A,0)),""))</f>
        <v/>
      </c>
      <c r="Z122" s="371" t="str">
        <f t="shared" si="40"/>
        <v/>
      </c>
      <c r="AA122" s="371" t="str">
        <f t="shared" si="41"/>
        <v/>
      </c>
      <c r="AB122" s="371" t="str">
        <f t="shared" si="42"/>
        <v/>
      </c>
      <c r="AC122" s="371" t="str">
        <f t="shared" si="43"/>
        <v/>
      </c>
      <c r="AD122" s="366" t="str">
        <f>IF(E122="","",IFERROR(INDEX(Preisliste_2025!$E:$E,MATCH(E122,Preisliste_2025!$C:$C,0)),""))</f>
        <v/>
      </c>
      <c r="AE122" s="366" t="str">
        <f>IF(E122="","",IFERROR(INDEX(Preisliste_2025!$G:$G,MATCH(E122,Preisliste_2025!$C:$C,0)),""))</f>
        <v/>
      </c>
      <c r="AF122" s="366" t="str">
        <f>IF(E122="","",IFERROR(INDEX(Preisliste_2025!$F:$F,MATCH(E122,Preisliste_2025!$C:$C,0)),""))</f>
        <v/>
      </c>
      <c r="AG122" s="366" t="str">
        <f>IF(E122="","",IFERROR(INDEX(Preisliste_2025!$H:$H,MATCH(E122,Preisliste_2025!$C:$C,0)),""))</f>
        <v/>
      </c>
      <c r="AH122" s="367" t="str">
        <f t="shared" si="32"/>
        <v/>
      </c>
      <c r="AI122" s="361" t="str">
        <f t="shared" si="33"/>
        <v/>
      </c>
      <c r="AJ122" s="368" t="str">
        <f>IF(E122="","",IFERROR(INDEX(Aktiv!$E:$E,MATCH(E122,Aktiv!$A:$A,0))*INDEX(Aktiv!$F:$F,MATCH(E122,Aktiv!$A:$A,0)),""))</f>
        <v/>
      </c>
      <c r="AK122" s="361" t="str">
        <f t="shared" si="44"/>
        <v/>
      </c>
      <c r="AL122" s="361" t="str">
        <f t="shared" si="45"/>
        <v/>
      </c>
    </row>
    <row r="123" spans="1:38" x14ac:dyDescent="0.25">
      <c r="A123" s="328"/>
      <c r="B123" s="328"/>
      <c r="C123" s="328"/>
      <c r="D123" s="328"/>
      <c r="E123" s="328"/>
      <c r="F123" s="329"/>
      <c r="G123" s="329"/>
      <c r="H123" s="329"/>
      <c r="I123" s="329"/>
      <c r="J123" s="329"/>
      <c r="K123" s="329"/>
      <c r="L123" s="329"/>
      <c r="M123" s="329"/>
      <c r="N123" s="365" t="str">
        <f t="shared" si="25"/>
        <v/>
      </c>
      <c r="O123" s="361" t="str">
        <f t="shared" si="26"/>
        <v/>
      </c>
      <c r="P123" s="361" t="str">
        <f t="shared" si="27"/>
        <v/>
      </c>
      <c r="Q123" s="361" t="str">
        <f t="shared" si="34"/>
        <v/>
      </c>
      <c r="R123" s="369" t="str">
        <f t="shared" si="35"/>
        <v/>
      </c>
      <c r="S123" s="370" t="str">
        <f t="shared" si="29"/>
        <v/>
      </c>
      <c r="T123" s="370" t="str">
        <f t="shared" si="30"/>
        <v/>
      </c>
      <c r="U123" s="370" t="str">
        <f t="shared" si="31"/>
        <v/>
      </c>
      <c r="V123" s="407" t="str">
        <f>IF(E123="","",IFERROR(INDEX(Aktiv!$G:$G,MATCH(E123,Aktiv!$A:$A,0)),""))</f>
        <v/>
      </c>
      <c r="W123" s="407" t="str">
        <f>IF(E123="","",IFERROR(INDEX(Aktiv!$H:$H,MATCH(E123,Aktiv!$A:$A,0)),""))</f>
        <v/>
      </c>
      <c r="X123" s="407" t="str">
        <f>IF(E123="","",IFERROR(INDEX(Aktiv!$I:$I,MATCH(E123,Aktiv!$A:$A,0)),""))</f>
        <v/>
      </c>
      <c r="Y123" s="407" t="str">
        <f>IF(E123="","",IFERROR(INDEX(Aktiv!$J:$J,MATCH(E123,Aktiv!$A:$A,0)),""))</f>
        <v/>
      </c>
      <c r="Z123" s="371" t="str">
        <f t="shared" si="40"/>
        <v/>
      </c>
      <c r="AA123" s="371" t="str">
        <f t="shared" si="41"/>
        <v/>
      </c>
      <c r="AB123" s="371" t="str">
        <f t="shared" si="42"/>
        <v/>
      </c>
      <c r="AC123" s="371" t="str">
        <f t="shared" si="43"/>
        <v/>
      </c>
      <c r="AD123" s="366" t="str">
        <f>IF(E123="","",IFERROR(INDEX(Preisliste_2025!$E:$E,MATCH(E123,Preisliste_2025!$C:$C,0)),""))</f>
        <v/>
      </c>
      <c r="AE123" s="366" t="str">
        <f>IF(E123="","",IFERROR(INDEX(Preisliste_2025!$G:$G,MATCH(E123,Preisliste_2025!$C:$C,0)),""))</f>
        <v/>
      </c>
      <c r="AF123" s="366" t="str">
        <f>IF(E123="","",IFERROR(INDEX(Preisliste_2025!$F:$F,MATCH(E123,Preisliste_2025!$C:$C,0)),""))</f>
        <v/>
      </c>
      <c r="AG123" s="366" t="str">
        <f>IF(E123="","",IFERROR(INDEX(Preisliste_2025!$H:$H,MATCH(E123,Preisliste_2025!$C:$C,0)),""))</f>
        <v/>
      </c>
      <c r="AH123" s="367" t="str">
        <f t="shared" si="32"/>
        <v/>
      </c>
      <c r="AI123" s="361" t="str">
        <f t="shared" si="33"/>
        <v/>
      </c>
      <c r="AJ123" s="368" t="str">
        <f>IF(E123="","",IFERROR(INDEX(Aktiv!$E:$E,MATCH(E123,Aktiv!$A:$A,0))*INDEX(Aktiv!$F:$F,MATCH(E123,Aktiv!$A:$A,0)),""))</f>
        <v/>
      </c>
      <c r="AK123" s="361" t="str">
        <f t="shared" si="44"/>
        <v/>
      </c>
      <c r="AL123" s="361" t="str">
        <f t="shared" si="45"/>
        <v/>
      </c>
    </row>
    <row r="124" spans="1:38" x14ac:dyDescent="0.25">
      <c r="A124" s="326" t="s">
        <v>582</v>
      </c>
      <c r="B124" s="326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65" t="str">
        <f t="shared" si="25"/>
        <v/>
      </c>
      <c r="O124" s="361" t="str">
        <f t="shared" si="26"/>
        <v/>
      </c>
      <c r="P124" s="361" t="str">
        <f t="shared" si="27"/>
        <v/>
      </c>
      <c r="Q124" s="361" t="str">
        <f t="shared" si="34"/>
        <v/>
      </c>
      <c r="R124" s="369" t="str">
        <f t="shared" si="35"/>
        <v/>
      </c>
      <c r="S124" s="370" t="str">
        <f t="shared" si="29"/>
        <v/>
      </c>
      <c r="T124" s="370" t="str">
        <f t="shared" si="30"/>
        <v/>
      </c>
      <c r="U124" s="370" t="str">
        <f t="shared" si="31"/>
        <v/>
      </c>
      <c r="V124" s="407" t="str">
        <f>IF(E124="","",IFERROR(INDEX(Aktiv!$G:$G,MATCH(E124,Aktiv!$A:$A,0)),""))</f>
        <v/>
      </c>
      <c r="W124" s="407" t="str">
        <f>IF(E124="","",IFERROR(INDEX(Aktiv!$H:$H,MATCH(E124,Aktiv!$A:$A,0)),""))</f>
        <v/>
      </c>
      <c r="X124" s="407" t="str">
        <f>IF(E124="","",IFERROR(INDEX(Aktiv!$I:$I,MATCH(E124,Aktiv!$A:$A,0)),""))</f>
        <v/>
      </c>
      <c r="Y124" s="407" t="str">
        <f>IF(E124="","",IFERROR(INDEX(Aktiv!$J:$J,MATCH(E124,Aktiv!$A:$A,0)),""))</f>
        <v/>
      </c>
      <c r="Z124" s="371" t="str">
        <f t="shared" si="40"/>
        <v/>
      </c>
      <c r="AA124" s="371" t="str">
        <f t="shared" si="41"/>
        <v/>
      </c>
      <c r="AB124" s="371" t="str">
        <f t="shared" si="42"/>
        <v/>
      </c>
      <c r="AC124" s="371" t="str">
        <f t="shared" si="43"/>
        <v/>
      </c>
      <c r="AD124" s="366" t="str">
        <f>IF(E124="","",IFERROR(INDEX(Preisliste_2025!$E:$E,MATCH(E124,Preisliste_2025!$C:$C,0)),""))</f>
        <v/>
      </c>
      <c r="AE124" s="366" t="str">
        <f>IF(E124="","",IFERROR(INDEX(Preisliste_2025!$G:$G,MATCH(E124,Preisliste_2025!$C:$C,0)),""))</f>
        <v/>
      </c>
      <c r="AF124" s="366" t="str">
        <f>IF(E124="","",IFERROR(INDEX(Preisliste_2025!$F:$F,MATCH(E124,Preisliste_2025!$C:$C,0)),""))</f>
        <v/>
      </c>
      <c r="AG124" s="366" t="str">
        <f>IF(E124="","",IFERROR(INDEX(Preisliste_2025!$H:$H,MATCH(E124,Preisliste_2025!$C:$C,0)),""))</f>
        <v/>
      </c>
      <c r="AH124" s="367" t="str">
        <f t="shared" si="32"/>
        <v/>
      </c>
      <c r="AI124" s="361" t="str">
        <f t="shared" si="33"/>
        <v/>
      </c>
      <c r="AJ124" s="368" t="str">
        <f>IF(E124="","",IFERROR(INDEX(Aktiv!$E:$E,MATCH(E124,Aktiv!$A:$A,0))*INDEX(Aktiv!$F:$F,MATCH(E124,Aktiv!$A:$A,0)),""))</f>
        <v/>
      </c>
      <c r="AK124" s="361" t="str">
        <f t="shared" si="44"/>
        <v/>
      </c>
      <c r="AL124" s="361" t="str">
        <f t="shared" si="45"/>
        <v/>
      </c>
    </row>
    <row r="125" spans="1:38" x14ac:dyDescent="0.25">
      <c r="A125" s="330" t="s">
        <v>582</v>
      </c>
      <c r="B125" s="330" t="s">
        <v>390</v>
      </c>
      <c r="C125" s="330" t="s">
        <v>392</v>
      </c>
      <c r="D125" s="330" t="s">
        <v>296</v>
      </c>
      <c r="E125" s="330"/>
      <c r="F125" s="331">
        <f>'Preisliste 2012'!E6</f>
        <v>4</v>
      </c>
      <c r="G125" s="331"/>
      <c r="H125" s="331"/>
      <c r="I125" s="331"/>
      <c r="J125" s="331"/>
      <c r="K125" s="331"/>
      <c r="L125" s="331"/>
      <c r="M125" s="331"/>
      <c r="N125" s="365" t="str">
        <f t="shared" si="25"/>
        <v/>
      </c>
      <c r="O125" s="361" t="str">
        <f t="shared" si="26"/>
        <v/>
      </c>
      <c r="P125" s="361" t="str">
        <f t="shared" si="27"/>
        <v/>
      </c>
      <c r="Q125" s="361" t="str">
        <f t="shared" si="34"/>
        <v/>
      </c>
      <c r="R125" s="369" t="str">
        <f t="shared" si="35"/>
        <v/>
      </c>
      <c r="S125" s="370" t="str">
        <f t="shared" si="29"/>
        <v/>
      </c>
      <c r="T125" s="370" t="str">
        <f t="shared" si="30"/>
        <v/>
      </c>
      <c r="U125" s="370" t="str">
        <f t="shared" si="31"/>
        <v/>
      </c>
      <c r="V125" s="407" t="str">
        <f>IF(E125="","",IFERROR(INDEX(Aktiv!$G:$G,MATCH(E125,Aktiv!$A:$A,0)),""))</f>
        <v/>
      </c>
      <c r="W125" s="407" t="str">
        <f>IF(E125="","",IFERROR(INDEX(Aktiv!$H:$H,MATCH(E125,Aktiv!$A:$A,0)),""))</f>
        <v/>
      </c>
      <c r="X125" s="407" t="str">
        <f>IF(E125="","",IFERROR(INDEX(Aktiv!$I:$I,MATCH(E125,Aktiv!$A:$A,0)),""))</f>
        <v/>
      </c>
      <c r="Y125" s="407" t="str">
        <f>IF(E125="","",IFERROR(INDEX(Aktiv!$J:$J,MATCH(E125,Aktiv!$A:$A,0)),""))</f>
        <v/>
      </c>
      <c r="Z125" s="371" t="str">
        <f t="shared" si="40"/>
        <v/>
      </c>
      <c r="AA125" s="371" t="str">
        <f t="shared" si="41"/>
        <v/>
      </c>
      <c r="AB125" s="371" t="str">
        <f t="shared" si="42"/>
        <v/>
      </c>
      <c r="AC125" s="371" t="str">
        <f t="shared" si="43"/>
        <v/>
      </c>
      <c r="AD125" s="366" t="str">
        <f>IF(E125="","",IFERROR(INDEX(Preisliste_2025!$E:$E,MATCH(E125,Preisliste_2025!$C:$C,0)),""))</f>
        <v/>
      </c>
      <c r="AE125" s="366" t="str">
        <f>IF(E125="","",IFERROR(INDEX(Preisliste_2025!$G:$G,MATCH(E125,Preisliste_2025!$C:$C,0)),""))</f>
        <v/>
      </c>
      <c r="AF125" s="366" t="str">
        <f>IF(E125="","",IFERROR(INDEX(Preisliste_2025!$F:$F,MATCH(E125,Preisliste_2025!$C:$C,0)),""))</f>
        <v/>
      </c>
      <c r="AG125" s="366" t="str">
        <f>IF(E125="","",IFERROR(INDEX(Preisliste_2025!$H:$H,MATCH(E125,Preisliste_2025!$C:$C,0)),""))</f>
        <v/>
      </c>
      <c r="AH125" s="367" t="str">
        <f t="shared" si="32"/>
        <v/>
      </c>
      <c r="AI125" s="361" t="str">
        <f t="shared" si="33"/>
        <v/>
      </c>
      <c r="AJ125" s="368" t="str">
        <f>IF(E125="","",IFERROR(INDEX(Aktiv!$E:$E,MATCH(E125,Aktiv!$A:$A,0))*INDEX(Aktiv!$F:$F,MATCH(E125,Aktiv!$A:$A,0)),""))</f>
        <v/>
      </c>
      <c r="AK125" s="361" t="str">
        <f t="shared" si="44"/>
        <v/>
      </c>
      <c r="AL125" s="361" t="str">
        <f t="shared" si="45"/>
        <v/>
      </c>
    </row>
    <row r="126" spans="1:38" x14ac:dyDescent="0.25">
      <c r="A126" s="330" t="s">
        <v>582</v>
      </c>
      <c r="B126" s="330" t="s">
        <v>393</v>
      </c>
      <c r="C126" s="330" t="s">
        <v>394</v>
      </c>
      <c r="D126" s="330" t="s">
        <v>296</v>
      </c>
      <c r="E126" s="330"/>
      <c r="F126" s="331">
        <f>'Preisliste 2012'!E7</f>
        <v>67</v>
      </c>
      <c r="G126" s="331"/>
      <c r="H126" s="331"/>
      <c r="I126" s="331"/>
      <c r="J126" s="331"/>
      <c r="K126" s="331"/>
      <c r="L126" s="331"/>
      <c r="M126" s="331"/>
      <c r="N126" s="365" t="str">
        <f t="shared" si="25"/>
        <v/>
      </c>
      <c r="O126" s="361" t="str">
        <f t="shared" si="26"/>
        <v/>
      </c>
      <c r="P126" s="361" t="str">
        <f t="shared" si="27"/>
        <v/>
      </c>
      <c r="Q126" s="361" t="str">
        <f t="shared" si="34"/>
        <v/>
      </c>
      <c r="R126" s="369" t="str">
        <f t="shared" si="35"/>
        <v/>
      </c>
      <c r="S126" s="370" t="str">
        <f t="shared" si="29"/>
        <v/>
      </c>
      <c r="T126" s="370" t="str">
        <f t="shared" si="30"/>
        <v/>
      </c>
      <c r="U126" s="370" t="str">
        <f t="shared" si="31"/>
        <v/>
      </c>
      <c r="V126" s="407" t="str">
        <f>IF(E126="","",IFERROR(INDEX(Aktiv!$G:$G,MATCH(E126,Aktiv!$A:$A,0)),""))</f>
        <v/>
      </c>
      <c r="W126" s="407" t="str">
        <f>IF(E126="","",IFERROR(INDEX(Aktiv!$H:$H,MATCH(E126,Aktiv!$A:$A,0)),""))</f>
        <v/>
      </c>
      <c r="X126" s="407" t="str">
        <f>IF(E126="","",IFERROR(INDEX(Aktiv!$I:$I,MATCH(E126,Aktiv!$A:$A,0)),""))</f>
        <v/>
      </c>
      <c r="Y126" s="407" t="str">
        <f>IF(E126="","",IFERROR(INDEX(Aktiv!$J:$J,MATCH(E126,Aktiv!$A:$A,0)),""))</f>
        <v/>
      </c>
      <c r="Z126" s="371" t="str">
        <f t="shared" si="40"/>
        <v/>
      </c>
      <c r="AA126" s="371" t="str">
        <f t="shared" si="41"/>
        <v/>
      </c>
      <c r="AB126" s="371" t="str">
        <f t="shared" si="42"/>
        <v/>
      </c>
      <c r="AC126" s="371" t="str">
        <f t="shared" si="43"/>
        <v/>
      </c>
      <c r="AD126" s="366" t="str">
        <f>IF(E126="","",IFERROR(INDEX(Preisliste_2025!$E:$E,MATCH(E126,Preisliste_2025!$C:$C,0)),""))</f>
        <v/>
      </c>
      <c r="AE126" s="366" t="str">
        <f>IF(E126="","",IFERROR(INDEX(Preisliste_2025!$G:$G,MATCH(E126,Preisliste_2025!$C:$C,0)),""))</f>
        <v/>
      </c>
      <c r="AF126" s="366" t="str">
        <f>IF(E126="","",IFERROR(INDEX(Preisliste_2025!$F:$F,MATCH(E126,Preisliste_2025!$C:$C,0)),""))</f>
        <v/>
      </c>
      <c r="AG126" s="366" t="str">
        <f>IF(E126="","",IFERROR(INDEX(Preisliste_2025!$H:$H,MATCH(E126,Preisliste_2025!$C:$C,0)),""))</f>
        <v/>
      </c>
      <c r="AH126" s="367" t="str">
        <f t="shared" si="32"/>
        <v/>
      </c>
      <c r="AI126" s="361" t="str">
        <f t="shared" si="33"/>
        <v/>
      </c>
      <c r="AJ126" s="368" t="str">
        <f>IF(E126="","",IFERROR(INDEX(Aktiv!$E:$E,MATCH(E126,Aktiv!$A:$A,0))*INDEX(Aktiv!$F:$F,MATCH(E126,Aktiv!$A:$A,0)),""))</f>
        <v/>
      </c>
      <c r="AK126" s="361" t="str">
        <f t="shared" si="44"/>
        <v/>
      </c>
      <c r="AL126" s="361" t="str">
        <f t="shared" si="45"/>
        <v/>
      </c>
    </row>
    <row r="127" spans="1:38" x14ac:dyDescent="0.25">
      <c r="A127" s="330" t="s">
        <v>582</v>
      </c>
      <c r="B127" s="330" t="s">
        <v>393</v>
      </c>
      <c r="C127" s="330" t="s">
        <v>395</v>
      </c>
      <c r="D127" s="330" t="s">
        <v>296</v>
      </c>
      <c r="E127" s="330"/>
      <c r="F127" s="331">
        <f>'Preisliste 2012'!E8</f>
        <v>67</v>
      </c>
      <c r="G127" s="331"/>
      <c r="H127" s="331"/>
      <c r="I127" s="331"/>
      <c r="J127" s="331"/>
      <c r="K127" s="331"/>
      <c r="L127" s="331"/>
      <c r="M127" s="331"/>
      <c r="N127" s="365" t="str">
        <f t="shared" si="25"/>
        <v/>
      </c>
      <c r="O127" s="361" t="str">
        <f t="shared" si="26"/>
        <v/>
      </c>
      <c r="P127" s="361" t="str">
        <f t="shared" si="27"/>
        <v/>
      </c>
      <c r="Q127" s="361" t="str">
        <f t="shared" si="34"/>
        <v/>
      </c>
      <c r="R127" s="369" t="str">
        <f t="shared" si="35"/>
        <v/>
      </c>
      <c r="S127" s="370" t="str">
        <f t="shared" si="29"/>
        <v/>
      </c>
      <c r="T127" s="370" t="str">
        <f t="shared" si="30"/>
        <v/>
      </c>
      <c r="U127" s="370" t="str">
        <f t="shared" si="31"/>
        <v/>
      </c>
      <c r="V127" s="407" t="str">
        <f>IF(E127="","",IFERROR(INDEX(Aktiv!$G:$G,MATCH(E127,Aktiv!$A:$A,0)),""))</f>
        <v/>
      </c>
      <c r="W127" s="407" t="str">
        <f>IF(E127="","",IFERROR(INDEX(Aktiv!$H:$H,MATCH(E127,Aktiv!$A:$A,0)),""))</f>
        <v/>
      </c>
      <c r="X127" s="407" t="str">
        <f>IF(E127="","",IFERROR(INDEX(Aktiv!$I:$I,MATCH(E127,Aktiv!$A:$A,0)),""))</f>
        <v/>
      </c>
      <c r="Y127" s="407" t="str">
        <f>IF(E127="","",IFERROR(INDEX(Aktiv!$J:$J,MATCH(E127,Aktiv!$A:$A,0)),""))</f>
        <v/>
      </c>
      <c r="Z127" s="371" t="str">
        <f t="shared" si="40"/>
        <v/>
      </c>
      <c r="AA127" s="371" t="str">
        <f t="shared" si="41"/>
        <v/>
      </c>
      <c r="AB127" s="371" t="str">
        <f t="shared" si="42"/>
        <v/>
      </c>
      <c r="AC127" s="371" t="str">
        <f t="shared" si="43"/>
        <v/>
      </c>
      <c r="AD127" s="366" t="str">
        <f>IF(E127="","",IFERROR(INDEX(Preisliste_2025!$E:$E,MATCH(E127,Preisliste_2025!$C:$C,0)),""))</f>
        <v/>
      </c>
      <c r="AE127" s="366" t="str">
        <f>IF(E127="","",IFERROR(INDEX(Preisliste_2025!$G:$G,MATCH(E127,Preisliste_2025!$C:$C,0)),""))</f>
        <v/>
      </c>
      <c r="AF127" s="366" t="str">
        <f>IF(E127="","",IFERROR(INDEX(Preisliste_2025!$F:$F,MATCH(E127,Preisliste_2025!$C:$C,0)),""))</f>
        <v/>
      </c>
      <c r="AG127" s="366" t="str">
        <f>IF(E127="","",IFERROR(INDEX(Preisliste_2025!$H:$H,MATCH(E127,Preisliste_2025!$C:$C,0)),""))</f>
        <v/>
      </c>
      <c r="AH127" s="367" t="str">
        <f t="shared" si="32"/>
        <v/>
      </c>
      <c r="AI127" s="361" t="str">
        <f t="shared" si="33"/>
        <v/>
      </c>
      <c r="AJ127" s="368" t="str">
        <f>IF(E127="","",IFERROR(INDEX(Aktiv!$E:$E,MATCH(E127,Aktiv!$A:$A,0))*INDEX(Aktiv!$F:$F,MATCH(E127,Aktiv!$A:$A,0)),""))</f>
        <v/>
      </c>
      <c r="AK127" s="361" t="str">
        <f t="shared" si="44"/>
        <v/>
      </c>
      <c r="AL127" s="361" t="str">
        <f t="shared" si="45"/>
        <v/>
      </c>
    </row>
    <row r="128" spans="1:38" x14ac:dyDescent="0.25">
      <c r="A128" s="330" t="s">
        <v>582</v>
      </c>
      <c r="B128" s="330" t="s">
        <v>396</v>
      </c>
      <c r="C128" s="330" t="s">
        <v>583</v>
      </c>
      <c r="D128" s="330" t="s">
        <v>296</v>
      </c>
      <c r="E128" s="330"/>
      <c r="F128" s="331">
        <f>'Preisliste 2012'!E9</f>
        <v>15</v>
      </c>
      <c r="G128" s="331"/>
      <c r="H128" s="331"/>
      <c r="I128" s="331"/>
      <c r="J128" s="331"/>
      <c r="K128" s="331"/>
      <c r="L128" s="331"/>
      <c r="M128" s="331"/>
      <c r="N128" s="365" t="str">
        <f t="shared" si="25"/>
        <v/>
      </c>
      <c r="O128" s="361" t="str">
        <f t="shared" si="26"/>
        <v/>
      </c>
      <c r="P128" s="361" t="str">
        <f t="shared" si="27"/>
        <v/>
      </c>
      <c r="Q128" s="361" t="str">
        <f t="shared" si="34"/>
        <v/>
      </c>
      <c r="R128" s="369" t="str">
        <f t="shared" si="35"/>
        <v/>
      </c>
      <c r="S128" s="370" t="str">
        <f t="shared" si="29"/>
        <v/>
      </c>
      <c r="T128" s="370" t="str">
        <f t="shared" si="30"/>
        <v/>
      </c>
      <c r="U128" s="370" t="str">
        <f t="shared" si="31"/>
        <v/>
      </c>
      <c r="V128" s="407" t="str">
        <f>IF(E128="","",IFERROR(INDEX(Aktiv!$G:$G,MATCH(E128,Aktiv!$A:$A,0)),""))</f>
        <v/>
      </c>
      <c r="W128" s="407" t="str">
        <f>IF(E128="","",IFERROR(INDEX(Aktiv!$H:$H,MATCH(E128,Aktiv!$A:$A,0)),""))</f>
        <v/>
      </c>
      <c r="X128" s="407" t="str">
        <f>IF(E128="","",IFERROR(INDEX(Aktiv!$I:$I,MATCH(E128,Aktiv!$A:$A,0)),""))</f>
        <v/>
      </c>
      <c r="Y128" s="407" t="str">
        <f>IF(E128="","",IFERROR(INDEX(Aktiv!$J:$J,MATCH(E128,Aktiv!$A:$A,0)),""))</f>
        <v/>
      </c>
      <c r="Z128" s="371" t="str">
        <f t="shared" si="40"/>
        <v/>
      </c>
      <c r="AA128" s="371" t="str">
        <f t="shared" si="41"/>
        <v/>
      </c>
      <c r="AB128" s="371" t="str">
        <f t="shared" si="42"/>
        <v/>
      </c>
      <c r="AC128" s="371" t="str">
        <f t="shared" si="43"/>
        <v/>
      </c>
      <c r="AD128" s="366" t="str">
        <f>IF(E128="","",IFERROR(INDEX(Preisliste_2025!$E:$E,MATCH(E128,Preisliste_2025!$C:$C,0)),""))</f>
        <v/>
      </c>
      <c r="AE128" s="366" t="str">
        <f>IF(E128="","",IFERROR(INDEX(Preisliste_2025!$G:$G,MATCH(E128,Preisliste_2025!$C:$C,0)),""))</f>
        <v/>
      </c>
      <c r="AF128" s="366" t="str">
        <f>IF(E128="","",IFERROR(INDEX(Preisliste_2025!$F:$F,MATCH(E128,Preisliste_2025!$C:$C,0)),""))</f>
        <v/>
      </c>
      <c r="AG128" s="366" t="str">
        <f>IF(E128="","",IFERROR(INDEX(Preisliste_2025!$H:$H,MATCH(E128,Preisliste_2025!$C:$C,0)),""))</f>
        <v/>
      </c>
      <c r="AH128" s="367" t="str">
        <f t="shared" si="32"/>
        <v/>
      </c>
      <c r="AI128" s="361" t="str">
        <f t="shared" si="33"/>
        <v/>
      </c>
      <c r="AJ128" s="368" t="str">
        <f>IF(E128="","",IFERROR(INDEX(Aktiv!$E:$E,MATCH(E128,Aktiv!$A:$A,0))*INDEX(Aktiv!$F:$F,MATCH(E128,Aktiv!$A:$A,0)),""))</f>
        <v/>
      </c>
      <c r="AK128" s="361" t="str">
        <f t="shared" si="44"/>
        <v/>
      </c>
      <c r="AL128" s="361" t="str">
        <f t="shared" si="45"/>
        <v/>
      </c>
    </row>
    <row r="129" spans="1:38" x14ac:dyDescent="0.25">
      <c r="A129" s="332" t="s">
        <v>582</v>
      </c>
      <c r="B129" s="330" t="s">
        <v>398</v>
      </c>
      <c r="C129" s="330" t="s">
        <v>584</v>
      </c>
      <c r="D129" s="330" t="s">
        <v>296</v>
      </c>
      <c r="E129" s="330"/>
      <c r="F129" s="331">
        <f>'Preisliste 2012'!E10</f>
        <v>15</v>
      </c>
      <c r="G129" s="331"/>
      <c r="H129" s="331"/>
      <c r="I129" s="331"/>
      <c r="J129" s="331"/>
      <c r="K129" s="331"/>
      <c r="L129" s="331"/>
      <c r="M129" s="331"/>
      <c r="N129" s="365" t="str">
        <f t="shared" si="25"/>
        <v/>
      </c>
      <c r="O129" s="361" t="str">
        <f t="shared" si="26"/>
        <v/>
      </c>
      <c r="P129" s="361" t="str">
        <f t="shared" si="27"/>
        <v/>
      </c>
      <c r="Q129" s="361" t="str">
        <f t="shared" si="34"/>
        <v/>
      </c>
      <c r="R129" s="369" t="str">
        <f t="shared" si="35"/>
        <v/>
      </c>
      <c r="S129" s="370" t="str">
        <f t="shared" si="29"/>
        <v/>
      </c>
      <c r="T129" s="370" t="str">
        <f t="shared" si="30"/>
        <v/>
      </c>
      <c r="U129" s="370" t="str">
        <f t="shared" si="31"/>
        <v/>
      </c>
      <c r="V129" s="407" t="str">
        <f>IF(E129="","",IFERROR(INDEX(Aktiv!$G:$G,MATCH(E129,Aktiv!$A:$A,0)),""))</f>
        <v/>
      </c>
      <c r="W129" s="407" t="str">
        <f>IF(E129="","",IFERROR(INDEX(Aktiv!$H:$H,MATCH(E129,Aktiv!$A:$A,0)),""))</f>
        <v/>
      </c>
      <c r="X129" s="407" t="str">
        <f>IF(E129="","",IFERROR(INDEX(Aktiv!$I:$I,MATCH(E129,Aktiv!$A:$A,0)),""))</f>
        <v/>
      </c>
      <c r="Y129" s="407" t="str">
        <f>IF(E129="","",IFERROR(INDEX(Aktiv!$J:$J,MATCH(E129,Aktiv!$A:$A,0)),""))</f>
        <v/>
      </c>
      <c r="Z129" s="371" t="str">
        <f t="shared" si="40"/>
        <v/>
      </c>
      <c r="AA129" s="371" t="str">
        <f t="shared" si="41"/>
        <v/>
      </c>
      <c r="AB129" s="371" t="str">
        <f t="shared" si="42"/>
        <v/>
      </c>
      <c r="AC129" s="371" t="str">
        <f t="shared" si="43"/>
        <v/>
      </c>
      <c r="AD129" s="366" t="str">
        <f>IF(E129="","",IFERROR(INDEX(Preisliste_2025!$E:$E,MATCH(E129,Preisliste_2025!$C:$C,0)),""))</f>
        <v/>
      </c>
      <c r="AE129" s="366" t="str">
        <f>IF(E129="","",IFERROR(INDEX(Preisliste_2025!$G:$G,MATCH(E129,Preisliste_2025!$C:$C,0)),""))</f>
        <v/>
      </c>
      <c r="AF129" s="366" t="str">
        <f>IF(E129="","",IFERROR(INDEX(Preisliste_2025!$F:$F,MATCH(E129,Preisliste_2025!$C:$C,0)),""))</f>
        <v/>
      </c>
      <c r="AG129" s="366" t="str">
        <f>IF(E129="","",IFERROR(INDEX(Preisliste_2025!$H:$H,MATCH(E129,Preisliste_2025!$C:$C,0)),""))</f>
        <v/>
      </c>
      <c r="AH129" s="367" t="str">
        <f t="shared" si="32"/>
        <v/>
      </c>
      <c r="AI129" s="361" t="str">
        <f t="shared" si="33"/>
        <v/>
      </c>
      <c r="AJ129" s="368" t="str">
        <f>IF(E129="","",IFERROR(INDEX(Aktiv!$E:$E,MATCH(E129,Aktiv!$A:$A,0))*INDEX(Aktiv!$F:$F,MATCH(E129,Aktiv!$A:$A,0)),""))</f>
        <v/>
      </c>
      <c r="AK129" s="361" t="str">
        <f t="shared" si="44"/>
        <v/>
      </c>
      <c r="AL129" s="361" t="str">
        <f t="shared" si="45"/>
        <v/>
      </c>
    </row>
    <row r="130" spans="1:38" x14ac:dyDescent="0.25">
      <c r="A130" s="330" t="s">
        <v>582</v>
      </c>
      <c r="B130" s="330" t="s">
        <v>402</v>
      </c>
      <c r="C130" s="330" t="s">
        <v>585</v>
      </c>
      <c r="D130" s="333" t="s">
        <v>296</v>
      </c>
      <c r="E130" s="333">
        <f ca="1">IFERROR(AVERAGE(Q7:Q25),"-")</f>
        <v>223.45368421052635</v>
      </c>
      <c r="F130" s="331">
        <f>'Preisliste 2012'!E12</f>
        <v>17</v>
      </c>
      <c r="G130" s="331"/>
      <c r="H130" s="331"/>
      <c r="I130" s="331"/>
      <c r="J130" s="331"/>
      <c r="K130" s="331"/>
      <c r="L130" s="331"/>
      <c r="M130" s="331"/>
      <c r="N130" s="365" t="str">
        <f t="shared" ca="1" si="25"/>
        <v/>
      </c>
      <c r="O130" s="361" t="str">
        <f t="shared" ca="1" si="26"/>
        <v/>
      </c>
      <c r="P130" s="361" t="str">
        <f t="shared" ca="1" si="27"/>
        <v/>
      </c>
      <c r="Q130" s="361" t="str">
        <f t="shared" ca="1" si="34"/>
        <v/>
      </c>
      <c r="R130" s="369" t="str">
        <f t="shared" ca="1" si="35"/>
        <v/>
      </c>
      <c r="S130" s="370" t="str">
        <f t="shared" ca="1" si="29"/>
        <v/>
      </c>
      <c r="T130" s="370" t="str">
        <f t="shared" ca="1" si="30"/>
        <v/>
      </c>
      <c r="U130" s="370" t="str">
        <f t="shared" ca="1" si="31"/>
        <v/>
      </c>
      <c r="V130" s="407" t="str">
        <f ca="1">IF(E130="","",IFERROR(INDEX(Aktiv!$G:$G,MATCH(E130,Aktiv!$A:$A,0)),""))</f>
        <v/>
      </c>
      <c r="W130" s="407" t="str">
        <f ca="1">IF(E130="","",IFERROR(INDEX(Aktiv!$H:$H,MATCH(E130,Aktiv!$A:$A,0)),""))</f>
        <v/>
      </c>
      <c r="X130" s="407" t="str">
        <f ca="1">IF(E130="","",IFERROR(INDEX(Aktiv!$I:$I,MATCH(E130,Aktiv!$A:$A,0)),""))</f>
        <v/>
      </c>
      <c r="Y130" s="407" t="str">
        <f ca="1">IF(E130="","",IFERROR(INDEX(Aktiv!$J:$J,MATCH(E130,Aktiv!$A:$A,0)),""))</f>
        <v/>
      </c>
      <c r="Z130" s="371" t="str">
        <f t="shared" ca="1" si="40"/>
        <v/>
      </c>
      <c r="AA130" s="371" t="str">
        <f t="shared" ca="1" si="41"/>
        <v/>
      </c>
      <c r="AB130" s="371" t="str">
        <f t="shared" ca="1" si="42"/>
        <v/>
      </c>
      <c r="AC130" s="371" t="str">
        <f t="shared" ca="1" si="43"/>
        <v/>
      </c>
      <c r="AD130" s="366" t="str">
        <f ca="1">IF(E130="","",IFERROR(INDEX(Preisliste_2025!$E:$E,MATCH(E130,Preisliste_2025!$C:$C,0)),""))</f>
        <v/>
      </c>
      <c r="AE130" s="366" t="str">
        <f ca="1">IF(E130="","",IFERROR(INDEX(Preisliste_2025!$G:$G,MATCH(E130,Preisliste_2025!$C:$C,0)),""))</f>
        <v/>
      </c>
      <c r="AF130" s="366" t="str">
        <f ca="1">IF(E130="","",IFERROR(INDEX(Preisliste_2025!$F:$F,MATCH(E130,Preisliste_2025!$C:$C,0)),""))</f>
        <v/>
      </c>
      <c r="AG130" s="366" t="str">
        <f ca="1">IF(E130="","",IFERROR(INDEX(Preisliste_2025!$H:$H,MATCH(E130,Preisliste_2025!$C:$C,0)),""))</f>
        <v/>
      </c>
      <c r="AH130" s="367" t="str">
        <f t="shared" ca="1" si="32"/>
        <v/>
      </c>
      <c r="AI130" s="361" t="str">
        <f t="shared" ca="1" si="33"/>
        <v/>
      </c>
      <c r="AJ130" s="368" t="str">
        <f ca="1">IF(E130="","",IFERROR(INDEX(Aktiv!$E:$E,MATCH(E130,Aktiv!$A:$A,0))*INDEX(Aktiv!$F:$F,MATCH(E130,Aktiv!$A:$A,0)),""))</f>
        <v/>
      </c>
      <c r="AK130" s="361" t="str">
        <f t="shared" ca="1" si="44"/>
        <v/>
      </c>
      <c r="AL130" s="361" t="str">
        <f t="shared" ca="1" si="45"/>
        <v/>
      </c>
    </row>
    <row r="131" spans="1:38" x14ac:dyDescent="0.25">
      <c r="A131" s="330" t="s">
        <v>582</v>
      </c>
      <c r="B131" s="330" t="s">
        <v>404</v>
      </c>
      <c r="C131" s="330" t="s">
        <v>586</v>
      </c>
      <c r="D131" s="333" t="s">
        <v>296</v>
      </c>
      <c r="E131" s="333" t="str">
        <f ca="1">IFERROR(AVERAGE(Q26:Q45),"-")</f>
        <v>-</v>
      </c>
      <c r="F131" s="331">
        <f>'Preisliste 2012'!E13</f>
        <v>20</v>
      </c>
      <c r="G131" s="331"/>
      <c r="H131" s="331"/>
      <c r="I131" s="331"/>
      <c r="J131" s="331"/>
      <c r="K131" s="331"/>
      <c r="L131" s="331"/>
      <c r="M131" s="331"/>
      <c r="N131" s="365" t="str">
        <f t="shared" ca="1" si="25"/>
        <v/>
      </c>
      <c r="O131" s="361" t="str">
        <f t="shared" ca="1" si="26"/>
        <v/>
      </c>
      <c r="P131" s="361" t="str">
        <f t="shared" ca="1" si="27"/>
        <v/>
      </c>
      <c r="Q131" s="361" t="str">
        <f t="shared" ca="1" si="34"/>
        <v/>
      </c>
      <c r="R131" s="369" t="str">
        <f t="shared" ca="1" si="35"/>
        <v/>
      </c>
      <c r="S131" s="370" t="str">
        <f t="shared" ca="1" si="29"/>
        <v/>
      </c>
      <c r="T131" s="370" t="str">
        <f t="shared" ca="1" si="30"/>
        <v/>
      </c>
      <c r="U131" s="370" t="str">
        <f t="shared" ca="1" si="31"/>
        <v/>
      </c>
      <c r="V131" s="407" t="str">
        <f ca="1">IF(E131="","",IFERROR(INDEX(Aktiv!$G:$G,MATCH(E131,Aktiv!$A:$A,0)),""))</f>
        <v/>
      </c>
      <c r="W131" s="407" t="str">
        <f ca="1">IF(E131="","",IFERROR(INDEX(Aktiv!$H:$H,MATCH(E131,Aktiv!$A:$A,0)),""))</f>
        <v/>
      </c>
      <c r="X131" s="407" t="str">
        <f ca="1">IF(E131="","",IFERROR(INDEX(Aktiv!$I:$I,MATCH(E131,Aktiv!$A:$A,0)),""))</f>
        <v/>
      </c>
      <c r="Y131" s="407" t="str">
        <f ca="1">IF(E131="","",IFERROR(INDEX(Aktiv!$J:$J,MATCH(E131,Aktiv!$A:$A,0)),""))</f>
        <v/>
      </c>
      <c r="Z131" s="371" t="str">
        <f t="shared" ca="1" si="40"/>
        <v/>
      </c>
      <c r="AA131" s="371" t="str">
        <f t="shared" ca="1" si="41"/>
        <v/>
      </c>
      <c r="AB131" s="371" t="str">
        <f t="shared" ca="1" si="42"/>
        <v/>
      </c>
      <c r="AC131" s="371" t="str">
        <f t="shared" ca="1" si="43"/>
        <v/>
      </c>
      <c r="AD131" s="366" t="str">
        <f ca="1">IF(E131="","",IFERROR(INDEX(Preisliste_2025!$E:$E,MATCH(E131,Preisliste_2025!$C:$C,0)),""))</f>
        <v/>
      </c>
      <c r="AE131" s="366" t="str">
        <f ca="1">IF(E131="","",IFERROR(INDEX(Preisliste_2025!$G:$G,MATCH(E131,Preisliste_2025!$C:$C,0)),""))</f>
        <v/>
      </c>
      <c r="AF131" s="366" t="str">
        <f ca="1">IF(E131="","",IFERROR(INDEX(Preisliste_2025!$F:$F,MATCH(E131,Preisliste_2025!$C:$C,0)),""))</f>
        <v/>
      </c>
      <c r="AG131" s="366" t="str">
        <f ca="1">IF(E131="","",IFERROR(INDEX(Preisliste_2025!$H:$H,MATCH(E131,Preisliste_2025!$C:$C,0)),""))</f>
        <v/>
      </c>
      <c r="AH131" s="367" t="str">
        <f t="shared" ca="1" si="32"/>
        <v/>
      </c>
      <c r="AI131" s="361" t="str">
        <f t="shared" ca="1" si="33"/>
        <v/>
      </c>
      <c r="AJ131" s="368" t="str">
        <f ca="1">IF(E131="","",IFERROR(INDEX(Aktiv!$E:$E,MATCH(E131,Aktiv!$A:$A,0))*INDEX(Aktiv!$F:$F,MATCH(E131,Aktiv!$A:$A,0)),""))</f>
        <v/>
      </c>
      <c r="AK131" s="361" t="str">
        <f t="shared" ca="1" si="44"/>
        <v/>
      </c>
      <c r="AL131" s="361" t="str">
        <f t="shared" ca="1" si="45"/>
        <v/>
      </c>
    </row>
    <row r="132" spans="1:38" x14ac:dyDescent="0.25">
      <c r="A132" s="330" t="s">
        <v>582</v>
      </c>
      <c r="B132" s="330" t="s">
        <v>406</v>
      </c>
      <c r="C132" s="330" t="s">
        <v>587</v>
      </c>
      <c r="D132" s="333" t="s">
        <v>296</v>
      </c>
      <c r="E132" s="333" t="str">
        <f>IFERROR(AVERAGE(Q47:Q72),"-")</f>
        <v>-</v>
      </c>
      <c r="F132" s="331">
        <f>'Preisliste 2012'!E14</f>
        <v>20</v>
      </c>
      <c r="G132" s="331"/>
      <c r="H132" s="331"/>
      <c r="I132" s="331"/>
      <c r="J132" s="331"/>
      <c r="K132" s="331"/>
      <c r="L132" s="331"/>
      <c r="M132" s="331"/>
      <c r="N132" s="365" t="str">
        <f t="shared" si="25"/>
        <v/>
      </c>
      <c r="O132" s="361" t="str">
        <f t="shared" si="26"/>
        <v/>
      </c>
      <c r="P132" s="361" t="str">
        <f t="shared" si="27"/>
        <v/>
      </c>
      <c r="Q132" s="361" t="str">
        <f t="shared" si="34"/>
        <v/>
      </c>
      <c r="R132" s="369" t="str">
        <f t="shared" si="35"/>
        <v/>
      </c>
      <c r="S132" s="370" t="str">
        <f t="shared" si="29"/>
        <v/>
      </c>
      <c r="T132" s="370" t="str">
        <f t="shared" si="30"/>
        <v/>
      </c>
      <c r="U132" s="370" t="str">
        <f t="shared" si="31"/>
        <v/>
      </c>
      <c r="V132" s="407" t="str">
        <f>IF(E132="","",IFERROR(INDEX(Aktiv!$G:$G,MATCH(E132,Aktiv!$A:$A,0)),""))</f>
        <v/>
      </c>
      <c r="W132" s="407" t="str">
        <f>IF(E132="","",IFERROR(INDEX(Aktiv!$H:$H,MATCH(E132,Aktiv!$A:$A,0)),""))</f>
        <v/>
      </c>
      <c r="X132" s="407" t="str">
        <f>IF(E132="","",IFERROR(INDEX(Aktiv!$I:$I,MATCH(E132,Aktiv!$A:$A,0)),""))</f>
        <v/>
      </c>
      <c r="Y132" s="407" t="str">
        <f>IF(E132="","",IFERROR(INDEX(Aktiv!$J:$J,MATCH(E132,Aktiv!$A:$A,0)),""))</f>
        <v/>
      </c>
      <c r="Z132" s="371" t="str">
        <f t="shared" si="40"/>
        <v/>
      </c>
      <c r="AA132" s="371" t="str">
        <f t="shared" si="41"/>
        <v/>
      </c>
      <c r="AB132" s="371" t="str">
        <f t="shared" si="42"/>
        <v/>
      </c>
      <c r="AC132" s="371" t="str">
        <f t="shared" si="43"/>
        <v/>
      </c>
      <c r="AD132" s="366" t="str">
        <f>IF(E132="","",IFERROR(INDEX(Preisliste_2025!$E:$E,MATCH(E132,Preisliste_2025!$C:$C,0)),""))</f>
        <v/>
      </c>
      <c r="AE132" s="366" t="str">
        <f>IF(E132="","",IFERROR(INDEX(Preisliste_2025!$G:$G,MATCH(E132,Preisliste_2025!$C:$C,0)),""))</f>
        <v/>
      </c>
      <c r="AF132" s="366" t="str">
        <f>IF(E132="","",IFERROR(INDEX(Preisliste_2025!$F:$F,MATCH(E132,Preisliste_2025!$C:$C,0)),""))</f>
        <v/>
      </c>
      <c r="AG132" s="366" t="str">
        <f>IF(E132="","",IFERROR(INDEX(Preisliste_2025!$H:$H,MATCH(E132,Preisliste_2025!$C:$C,0)),""))</f>
        <v/>
      </c>
      <c r="AH132" s="367" t="str">
        <f t="shared" si="32"/>
        <v/>
      </c>
      <c r="AI132" s="361" t="str">
        <f t="shared" si="33"/>
        <v/>
      </c>
      <c r="AJ132" s="368" t="str">
        <f>IF(E132="","",IFERROR(INDEX(Aktiv!$E:$E,MATCH(E132,Aktiv!$A:$A,0))*INDEX(Aktiv!$F:$F,MATCH(E132,Aktiv!$A:$A,0)),""))</f>
        <v/>
      </c>
      <c r="AK132" s="361" t="str">
        <f t="shared" si="44"/>
        <v/>
      </c>
      <c r="AL132" s="361" t="str">
        <f t="shared" si="45"/>
        <v/>
      </c>
    </row>
    <row r="133" spans="1:38" x14ac:dyDescent="0.25">
      <c r="A133" s="330" t="s">
        <v>582</v>
      </c>
      <c r="B133" s="330" t="s">
        <v>408</v>
      </c>
      <c r="C133" s="330" t="s">
        <v>588</v>
      </c>
      <c r="D133" s="333" t="s">
        <v>296</v>
      </c>
      <c r="E133" s="333" t="str">
        <f>IFERROR(AVERAGE(Q74:Q97),"-")</f>
        <v>-</v>
      </c>
      <c r="F133" s="331">
        <f>'Preisliste 2012'!E15</f>
        <v>23</v>
      </c>
      <c r="G133" s="331"/>
      <c r="H133" s="331"/>
      <c r="I133" s="331"/>
      <c r="J133" s="331"/>
      <c r="K133" s="331"/>
      <c r="L133" s="331"/>
      <c r="M133" s="331"/>
      <c r="N133" s="365" t="str">
        <f t="shared" si="25"/>
        <v/>
      </c>
      <c r="O133" s="361" t="str">
        <f t="shared" si="26"/>
        <v/>
      </c>
      <c r="P133" s="361" t="str">
        <f t="shared" si="27"/>
        <v/>
      </c>
      <c r="Q133" s="361" t="str">
        <f t="shared" si="34"/>
        <v/>
      </c>
      <c r="R133" s="369" t="str">
        <f t="shared" si="35"/>
        <v/>
      </c>
      <c r="S133" s="370" t="str">
        <f t="shared" si="29"/>
        <v/>
      </c>
      <c r="T133" s="370" t="str">
        <f t="shared" si="30"/>
        <v/>
      </c>
      <c r="U133" s="370" t="str">
        <f t="shared" si="31"/>
        <v/>
      </c>
      <c r="V133" s="407" t="str">
        <f>IF(E133="","",IFERROR(INDEX(Aktiv!$G:$G,MATCH(E133,Aktiv!$A:$A,0)),""))</f>
        <v/>
      </c>
      <c r="W133" s="407" t="str">
        <f>IF(E133="","",IFERROR(INDEX(Aktiv!$H:$H,MATCH(E133,Aktiv!$A:$A,0)),""))</f>
        <v/>
      </c>
      <c r="X133" s="407" t="str">
        <f>IF(E133="","",IFERROR(INDEX(Aktiv!$I:$I,MATCH(E133,Aktiv!$A:$A,0)),""))</f>
        <v/>
      </c>
      <c r="Y133" s="407" t="str">
        <f>IF(E133="","",IFERROR(INDEX(Aktiv!$J:$J,MATCH(E133,Aktiv!$A:$A,0)),""))</f>
        <v/>
      </c>
      <c r="Z133" s="371" t="str">
        <f t="shared" si="40"/>
        <v/>
      </c>
      <c r="AA133" s="371" t="str">
        <f t="shared" si="41"/>
        <v/>
      </c>
      <c r="AB133" s="371" t="str">
        <f t="shared" si="42"/>
        <v/>
      </c>
      <c r="AC133" s="371" t="str">
        <f t="shared" si="43"/>
        <v/>
      </c>
      <c r="AD133" s="366" t="str">
        <f>IF(E133="","",IFERROR(INDEX(Preisliste_2025!$E:$E,MATCH(E133,Preisliste_2025!$C:$C,0)),""))</f>
        <v/>
      </c>
      <c r="AE133" s="366" t="str">
        <f>IF(E133="","",IFERROR(INDEX(Preisliste_2025!$G:$G,MATCH(E133,Preisliste_2025!$C:$C,0)),""))</f>
        <v/>
      </c>
      <c r="AF133" s="366" t="str">
        <f>IF(E133="","",IFERROR(INDEX(Preisliste_2025!$F:$F,MATCH(E133,Preisliste_2025!$C:$C,0)),""))</f>
        <v/>
      </c>
      <c r="AG133" s="366" t="str">
        <f>IF(E133="","",IFERROR(INDEX(Preisliste_2025!$H:$H,MATCH(E133,Preisliste_2025!$C:$C,0)),""))</f>
        <v/>
      </c>
      <c r="AH133" s="367" t="str">
        <f t="shared" si="32"/>
        <v/>
      </c>
      <c r="AI133" s="361" t="str">
        <f t="shared" si="33"/>
        <v/>
      </c>
      <c r="AJ133" s="368" t="str">
        <f>IF(E133="","",IFERROR(INDEX(Aktiv!$E:$E,MATCH(E133,Aktiv!$A:$A,0))*INDEX(Aktiv!$F:$F,MATCH(E133,Aktiv!$A:$A,0)),""))</f>
        <v/>
      </c>
      <c r="AK133" s="361" t="str">
        <f t="shared" si="44"/>
        <v/>
      </c>
      <c r="AL133" s="361" t="str">
        <f t="shared" si="45"/>
        <v/>
      </c>
    </row>
    <row r="134" spans="1:38" x14ac:dyDescent="0.25">
      <c r="A134" s="330" t="s">
        <v>582</v>
      </c>
      <c r="B134" s="330" t="s">
        <v>410</v>
      </c>
      <c r="C134" s="330" t="s">
        <v>589</v>
      </c>
      <c r="D134" s="333" t="s">
        <v>296</v>
      </c>
      <c r="E134" s="333" t="str">
        <f>IFERROR(AVERAGE(#REF!),"-")</f>
        <v>-</v>
      </c>
      <c r="F134" s="331">
        <f>'Preisliste 2012'!E16</f>
        <v>24</v>
      </c>
      <c r="G134" s="331"/>
      <c r="H134" s="331"/>
      <c r="I134" s="331"/>
      <c r="J134" s="331"/>
      <c r="K134" s="331"/>
      <c r="L134" s="331"/>
      <c r="M134" s="331"/>
      <c r="N134" s="365" t="str">
        <f t="shared" si="25"/>
        <v/>
      </c>
      <c r="O134" s="361" t="str">
        <f t="shared" si="26"/>
        <v/>
      </c>
      <c r="P134" s="361" t="str">
        <f t="shared" si="27"/>
        <v/>
      </c>
      <c r="Q134" s="361" t="str">
        <f t="shared" si="34"/>
        <v/>
      </c>
      <c r="R134" s="369" t="str">
        <f t="shared" si="35"/>
        <v/>
      </c>
      <c r="S134" s="370" t="str">
        <f t="shared" si="29"/>
        <v/>
      </c>
      <c r="T134" s="370" t="str">
        <f t="shared" si="30"/>
        <v/>
      </c>
      <c r="U134" s="370" t="str">
        <f t="shared" si="31"/>
        <v/>
      </c>
      <c r="V134" s="407" t="str">
        <f>IF(E134="","",IFERROR(INDEX(Aktiv!$G:$G,MATCH(E134,Aktiv!$A:$A,0)),""))</f>
        <v/>
      </c>
      <c r="W134" s="407" t="str">
        <f>IF(E134="","",IFERROR(INDEX(Aktiv!$H:$H,MATCH(E134,Aktiv!$A:$A,0)),""))</f>
        <v/>
      </c>
      <c r="X134" s="407" t="str">
        <f>IF(E134="","",IFERROR(INDEX(Aktiv!$I:$I,MATCH(E134,Aktiv!$A:$A,0)),""))</f>
        <v/>
      </c>
      <c r="Y134" s="407" t="str">
        <f>IF(E134="","",IFERROR(INDEX(Aktiv!$J:$J,MATCH(E134,Aktiv!$A:$A,0)),""))</f>
        <v/>
      </c>
      <c r="Z134" s="371" t="str">
        <f t="shared" si="40"/>
        <v/>
      </c>
      <c r="AA134" s="371" t="str">
        <f t="shared" si="41"/>
        <v/>
      </c>
      <c r="AB134" s="371" t="str">
        <f t="shared" si="42"/>
        <v/>
      </c>
      <c r="AC134" s="371" t="str">
        <f t="shared" si="43"/>
        <v/>
      </c>
      <c r="AD134" s="366" t="str">
        <f>IF(E134="","",IFERROR(INDEX(Preisliste_2025!$E:$E,MATCH(E134,Preisliste_2025!$C:$C,0)),""))</f>
        <v/>
      </c>
      <c r="AE134" s="366" t="str">
        <f>IF(E134="","",IFERROR(INDEX(Preisliste_2025!$G:$G,MATCH(E134,Preisliste_2025!$C:$C,0)),""))</f>
        <v/>
      </c>
      <c r="AF134" s="366" t="str">
        <f>IF(E134="","",IFERROR(INDEX(Preisliste_2025!$F:$F,MATCH(E134,Preisliste_2025!$C:$C,0)),""))</f>
        <v/>
      </c>
      <c r="AG134" s="366" t="str">
        <f>IF(E134="","",IFERROR(INDEX(Preisliste_2025!$H:$H,MATCH(E134,Preisliste_2025!$C:$C,0)),""))</f>
        <v/>
      </c>
      <c r="AH134" s="367" t="str">
        <f t="shared" si="32"/>
        <v/>
      </c>
      <c r="AI134" s="361" t="str">
        <f t="shared" si="33"/>
        <v/>
      </c>
      <c r="AJ134" s="368" t="str">
        <f>IF(E134="","",IFERROR(INDEX(Aktiv!$E:$E,MATCH(E134,Aktiv!$A:$A,0))*INDEX(Aktiv!$F:$F,MATCH(E134,Aktiv!$A:$A,0)),""))</f>
        <v/>
      </c>
      <c r="AK134" s="361" t="str">
        <f t="shared" si="44"/>
        <v/>
      </c>
      <c r="AL134" s="361" t="str">
        <f t="shared" si="45"/>
        <v/>
      </c>
    </row>
    <row r="135" spans="1:38" x14ac:dyDescent="0.25">
      <c r="A135" s="330" t="s">
        <v>582</v>
      </c>
      <c r="B135" s="330" t="s">
        <v>412</v>
      </c>
      <c r="C135" s="330" t="s">
        <v>590</v>
      </c>
      <c r="D135" s="333" t="s">
        <v>296</v>
      </c>
      <c r="E135" s="333" t="str">
        <f>IFERROR(AVERAGE(#REF!),"-")</f>
        <v>-</v>
      </c>
      <c r="F135" s="331">
        <f>'Preisliste 2012'!E17</f>
        <v>30</v>
      </c>
      <c r="G135" s="331"/>
      <c r="H135" s="331"/>
      <c r="I135" s="331"/>
      <c r="J135" s="331"/>
      <c r="K135" s="331"/>
      <c r="L135" s="331"/>
      <c r="M135" s="331"/>
      <c r="N135" s="365" t="str">
        <f t="shared" si="25"/>
        <v/>
      </c>
      <c r="O135" s="361" t="str">
        <f t="shared" si="26"/>
        <v/>
      </c>
      <c r="P135" s="361" t="str">
        <f t="shared" si="27"/>
        <v/>
      </c>
      <c r="Q135" s="361" t="str">
        <f t="shared" si="34"/>
        <v/>
      </c>
      <c r="R135" s="369" t="str">
        <f t="shared" si="35"/>
        <v/>
      </c>
      <c r="S135" s="370" t="str">
        <f t="shared" si="29"/>
        <v/>
      </c>
      <c r="T135" s="370" t="str">
        <f t="shared" si="30"/>
        <v/>
      </c>
      <c r="U135" s="370" t="str">
        <f t="shared" si="31"/>
        <v/>
      </c>
      <c r="V135" s="407" t="str">
        <f>IF(E135="","",IFERROR(INDEX(Aktiv!$G:$G,MATCH(E135,Aktiv!$A:$A,0)),""))</f>
        <v/>
      </c>
      <c r="W135" s="407" t="str">
        <f>IF(E135="","",IFERROR(INDEX(Aktiv!$H:$H,MATCH(E135,Aktiv!$A:$A,0)),""))</f>
        <v/>
      </c>
      <c r="X135" s="407" t="str">
        <f>IF(E135="","",IFERROR(INDEX(Aktiv!$I:$I,MATCH(E135,Aktiv!$A:$A,0)),""))</f>
        <v/>
      </c>
      <c r="Y135" s="407" t="str">
        <f>IF(E135="","",IFERROR(INDEX(Aktiv!$J:$J,MATCH(E135,Aktiv!$A:$A,0)),""))</f>
        <v/>
      </c>
      <c r="Z135" s="371" t="str">
        <f t="shared" si="40"/>
        <v/>
      </c>
      <c r="AA135" s="371" t="str">
        <f t="shared" si="41"/>
        <v/>
      </c>
      <c r="AB135" s="371" t="str">
        <f t="shared" si="42"/>
        <v/>
      </c>
      <c r="AC135" s="371" t="str">
        <f t="shared" si="43"/>
        <v/>
      </c>
      <c r="AD135" s="366" t="str">
        <f>IF(E135="","",IFERROR(INDEX(Preisliste_2025!$E:$E,MATCH(E135,Preisliste_2025!$C:$C,0)),""))</f>
        <v/>
      </c>
      <c r="AE135" s="366" t="str">
        <f>IF(E135="","",IFERROR(INDEX(Preisliste_2025!$G:$G,MATCH(E135,Preisliste_2025!$C:$C,0)),""))</f>
        <v/>
      </c>
      <c r="AF135" s="366" t="str">
        <f>IF(E135="","",IFERROR(INDEX(Preisliste_2025!$F:$F,MATCH(E135,Preisliste_2025!$C:$C,0)),""))</f>
        <v/>
      </c>
      <c r="AG135" s="366" t="str">
        <f>IF(E135="","",IFERROR(INDEX(Preisliste_2025!$H:$H,MATCH(E135,Preisliste_2025!$C:$C,0)),""))</f>
        <v/>
      </c>
      <c r="AH135" s="367" t="str">
        <f t="shared" si="32"/>
        <v/>
      </c>
      <c r="AI135" s="361" t="str">
        <f t="shared" si="33"/>
        <v/>
      </c>
      <c r="AJ135" s="368" t="str">
        <f>IF(E135="","",IFERROR(INDEX(Aktiv!$E:$E,MATCH(E135,Aktiv!$A:$A,0))*INDEX(Aktiv!$F:$F,MATCH(E135,Aktiv!$A:$A,0)),""))</f>
        <v/>
      </c>
      <c r="AK135" s="361" t="str">
        <f t="shared" si="44"/>
        <v/>
      </c>
      <c r="AL135" s="361" t="str">
        <f t="shared" si="45"/>
        <v/>
      </c>
    </row>
    <row r="136" spans="1:38" x14ac:dyDescent="0.25">
      <c r="A136" s="330" t="s">
        <v>582</v>
      </c>
      <c r="B136" s="330" t="s">
        <v>414</v>
      </c>
      <c r="C136" s="330" t="s">
        <v>591</v>
      </c>
      <c r="D136" s="334" t="s">
        <v>296</v>
      </c>
      <c r="E136" s="334" t="str">
        <f ca="1">IFERROR(AVERAGE(Q7:Q97),"-")</f>
        <v>-</v>
      </c>
      <c r="F136" s="335">
        <f>'Preisliste 2012'!E18</f>
        <v>34</v>
      </c>
      <c r="G136" s="335"/>
      <c r="H136" s="335"/>
      <c r="I136" s="331"/>
      <c r="J136" s="331"/>
      <c r="K136" s="331"/>
      <c r="L136" s="331"/>
      <c r="M136" s="331"/>
      <c r="N136" s="365" t="str">
        <f t="shared" ca="1" si="25"/>
        <v/>
      </c>
      <c r="O136" s="361" t="str">
        <f t="shared" ca="1" si="26"/>
        <v/>
      </c>
      <c r="P136" s="361" t="str">
        <f t="shared" ca="1" si="27"/>
        <v/>
      </c>
      <c r="Q136" s="361" t="str">
        <f t="shared" ca="1" si="34"/>
        <v/>
      </c>
      <c r="R136" s="369" t="str">
        <f t="shared" ca="1" si="35"/>
        <v/>
      </c>
      <c r="S136" s="370" t="str">
        <f t="shared" ca="1" si="29"/>
        <v/>
      </c>
      <c r="T136" s="370" t="str">
        <f t="shared" ca="1" si="30"/>
        <v/>
      </c>
      <c r="U136" s="370" t="str">
        <f t="shared" ca="1" si="31"/>
        <v/>
      </c>
      <c r="V136" s="407" t="str">
        <f ca="1">IF(E136="","",IFERROR(INDEX(Aktiv!$G:$G,MATCH(E136,Aktiv!$A:$A,0)),""))</f>
        <v/>
      </c>
      <c r="W136" s="407" t="str">
        <f ca="1">IF(E136="","",IFERROR(INDEX(Aktiv!$H:$H,MATCH(E136,Aktiv!$A:$A,0)),""))</f>
        <v/>
      </c>
      <c r="X136" s="407" t="str">
        <f ca="1">IF(E136="","",IFERROR(INDEX(Aktiv!$I:$I,MATCH(E136,Aktiv!$A:$A,0)),""))</f>
        <v/>
      </c>
      <c r="Y136" s="407" t="str">
        <f ca="1">IF(E136="","",IFERROR(INDEX(Aktiv!$J:$J,MATCH(E136,Aktiv!$A:$A,0)),""))</f>
        <v/>
      </c>
      <c r="Z136" s="371" t="str">
        <f t="shared" ref="Z136:Z167" ca="1" si="46">IF(OR(AD136="",AD136=0,V136="",V136=0),"",(V136-AD136)/AD136)</f>
        <v/>
      </c>
      <c r="AA136" s="371" t="str">
        <f t="shared" ref="AA136:AA167" ca="1" si="47">IF(OR(AE136="",AE136=0,W136="",W136=0),"",(W136-AE136)/AE136)</f>
        <v/>
      </c>
      <c r="AB136" s="371" t="str">
        <f t="shared" ref="AB136:AB167" ca="1" si="48">IF(OR(AF136="",AF136=0,X136="",X136=0),"",(X136-AF136)/AF136)</f>
        <v/>
      </c>
      <c r="AC136" s="371" t="str">
        <f t="shared" ref="AC136:AC167" ca="1" si="49">IF(OR(AG136="",AG136=0,Y136="",Y136=0),"",(Y136-AG136)/AG136)</f>
        <v/>
      </c>
      <c r="AD136" s="366" t="str">
        <f ca="1">IF(E136="","",IFERROR(INDEX(Preisliste_2025!$E:$E,MATCH(E136,Preisliste_2025!$C:$C,0)),""))</f>
        <v/>
      </c>
      <c r="AE136" s="366" t="str">
        <f ca="1">IF(E136="","",IFERROR(INDEX(Preisliste_2025!$G:$G,MATCH(E136,Preisliste_2025!$C:$C,0)),""))</f>
        <v/>
      </c>
      <c r="AF136" s="366" t="str">
        <f ca="1">IF(E136="","",IFERROR(INDEX(Preisliste_2025!$F:$F,MATCH(E136,Preisliste_2025!$C:$C,0)),""))</f>
        <v/>
      </c>
      <c r="AG136" s="366" t="str">
        <f ca="1">IF(E136="","",IFERROR(INDEX(Preisliste_2025!$H:$H,MATCH(E136,Preisliste_2025!$C:$C,0)),""))</f>
        <v/>
      </c>
      <c r="AH136" s="367" t="str">
        <f t="shared" ca="1" si="32"/>
        <v/>
      </c>
      <c r="AI136" s="361" t="str">
        <f t="shared" ca="1" si="33"/>
        <v/>
      </c>
      <c r="AJ136" s="368" t="str">
        <f ca="1">IF(E136="","",IFERROR(INDEX(Aktiv!$E:$E,MATCH(E136,Aktiv!$A:$A,0))*INDEX(Aktiv!$F:$F,MATCH(E136,Aktiv!$A:$A,0)),""))</f>
        <v/>
      </c>
      <c r="AK136" s="361" t="str">
        <f t="shared" ref="AK136:AK167" ca="1" si="50">IF(OR(AJ136="",AJ136=0,F136=""),"",F136/(AJ136/10000))</f>
        <v/>
      </c>
      <c r="AL136" s="361" t="str">
        <f t="shared" ref="AL136:AL167" ca="1" si="51">IF(OR(AJ136="",AJ136=0,V136=""),"",V136/(AJ136/10000))</f>
        <v/>
      </c>
    </row>
    <row r="137" spans="1:38" x14ac:dyDescent="0.25">
      <c r="A137" s="330" t="s">
        <v>582</v>
      </c>
      <c r="B137" s="330" t="s">
        <v>337</v>
      </c>
      <c r="C137" s="330" t="s">
        <v>416</v>
      </c>
      <c r="D137" s="330" t="s">
        <v>296</v>
      </c>
      <c r="E137" s="330"/>
      <c r="F137" s="331">
        <f>'Preisliste 2012'!E19</f>
        <v>4</v>
      </c>
      <c r="G137" s="331"/>
      <c r="H137" s="331"/>
      <c r="I137" s="331"/>
      <c r="J137" s="331"/>
      <c r="K137" s="331"/>
      <c r="L137" s="331"/>
      <c r="M137" s="331"/>
      <c r="N137" s="365" t="str">
        <f t="shared" ref="N137:N181" si="52">IF(V137="","",ROUND(V137/(1+$AI$3)^($AM$3-$AK$3),2))</f>
        <v/>
      </c>
      <c r="O137" s="361" t="str">
        <f t="shared" ref="O137:O200" si="53">IF(W137="","",ROUND(W137/(1+$AI$3)^($AM$3-$AK$3),2))</f>
        <v/>
      </c>
      <c r="P137" s="361" t="str">
        <f t="shared" ref="P137:P200" si="54">IF(X137="","",ROUND(X137/(1+$AI$3)^($AM$3-$AK$3),2))</f>
        <v/>
      </c>
      <c r="Q137" s="361" t="str">
        <f t="shared" si="34"/>
        <v/>
      </c>
      <c r="R137" s="369" t="str">
        <f t="shared" ref="R137:R181" si="55">IF(OR(F137="",F137=0,N137="",N137=0),"",(N137-F137)/F137)</f>
        <v/>
      </c>
      <c r="S137" s="370" t="str">
        <f t="shared" ref="S137:S200" si="56">IFERROR((O137-G137)/G137,"")</f>
        <v/>
      </c>
      <c r="T137" s="370" t="str">
        <f t="shared" ref="T137:T200" si="57">IFERROR((P137-G137)/G137,"")</f>
        <v/>
      </c>
      <c r="U137" s="370" t="str">
        <f t="shared" ref="U137:U200" si="58">IFERROR((Q137-I137)/I137,"")</f>
        <v/>
      </c>
      <c r="V137" s="407" t="str">
        <f>IF(E137="","",IFERROR(INDEX(Aktiv!$G:$G,MATCH(E137,Aktiv!$A:$A,0)),""))</f>
        <v/>
      </c>
      <c r="W137" s="407" t="str">
        <f>IF(E137="","",IFERROR(INDEX(Aktiv!$H:$H,MATCH(E137,Aktiv!$A:$A,0)),""))</f>
        <v/>
      </c>
      <c r="X137" s="407" t="str">
        <f>IF(E137="","",IFERROR(INDEX(Aktiv!$I:$I,MATCH(E137,Aktiv!$A:$A,0)),""))</f>
        <v/>
      </c>
      <c r="Y137" s="407" t="str">
        <f>IF(E137="","",IFERROR(INDEX(Aktiv!$J:$J,MATCH(E137,Aktiv!$A:$A,0)),""))</f>
        <v/>
      </c>
      <c r="Z137" s="371" t="str">
        <f t="shared" si="46"/>
        <v/>
      </c>
      <c r="AA137" s="371" t="str">
        <f t="shared" si="47"/>
        <v/>
      </c>
      <c r="AB137" s="371" t="str">
        <f t="shared" si="48"/>
        <v/>
      </c>
      <c r="AC137" s="371" t="str">
        <f t="shared" si="49"/>
        <v/>
      </c>
      <c r="AD137" s="366" t="str">
        <f>IF(E137="","",IFERROR(INDEX(Preisliste_2025!$E:$E,MATCH(E137,Preisliste_2025!$C:$C,0)),""))</f>
        <v/>
      </c>
      <c r="AE137" s="366" t="str">
        <f>IF(E137="","",IFERROR(INDEX(Preisliste_2025!$G:$G,MATCH(E137,Preisliste_2025!$C:$C,0)),""))</f>
        <v/>
      </c>
      <c r="AF137" s="366" t="str">
        <f>IF(E137="","",IFERROR(INDEX(Preisliste_2025!$F:$F,MATCH(E137,Preisliste_2025!$C:$C,0)),""))</f>
        <v/>
      </c>
      <c r="AG137" s="366" t="str">
        <f>IF(E137="","",IFERROR(INDEX(Preisliste_2025!$H:$H,MATCH(E137,Preisliste_2025!$C:$C,0)),""))</f>
        <v/>
      </c>
      <c r="AH137" s="367" t="str">
        <f t="shared" ref="AH137:AH181" si="59">IF(OR(AD137="",AD137=0,AF137=""),"",(AF137/AD137))</f>
        <v/>
      </c>
      <c r="AI137" s="361" t="str">
        <f t="shared" ref="AI137:AI181" si="60">IF(OR(V137="",V137=0,X137=""),"",(X137/V137))</f>
        <v/>
      </c>
      <c r="AJ137" s="368" t="str">
        <f>IF(E137="","",IFERROR(INDEX(Aktiv!$E:$E,MATCH(E137,Aktiv!$A:$A,0))*INDEX(Aktiv!$F:$F,MATCH(E137,Aktiv!$A:$A,0)),""))</f>
        <v/>
      </c>
      <c r="AK137" s="361" t="str">
        <f t="shared" si="50"/>
        <v/>
      </c>
      <c r="AL137" s="361" t="str">
        <f t="shared" si="51"/>
        <v/>
      </c>
    </row>
    <row r="138" spans="1:38" x14ac:dyDescent="0.25">
      <c r="A138" s="330" t="s">
        <v>582</v>
      </c>
      <c r="B138" s="330" t="s">
        <v>417</v>
      </c>
      <c r="C138" s="330" t="s">
        <v>592</v>
      </c>
      <c r="D138" s="330" t="s">
        <v>296</v>
      </c>
      <c r="E138" s="330"/>
      <c r="F138" s="331">
        <f>'Preisliste 2012'!E20</f>
        <v>7</v>
      </c>
      <c r="G138" s="331"/>
      <c r="H138" s="331"/>
      <c r="I138" s="331"/>
      <c r="J138" s="331"/>
      <c r="K138" s="331"/>
      <c r="L138" s="331"/>
      <c r="M138" s="331"/>
      <c r="N138" s="365" t="str">
        <f t="shared" si="52"/>
        <v/>
      </c>
      <c r="O138" s="361" t="str">
        <f t="shared" si="53"/>
        <v/>
      </c>
      <c r="P138" s="361" t="str">
        <f t="shared" si="54"/>
        <v/>
      </c>
      <c r="Q138" s="361" t="str">
        <f t="shared" si="34"/>
        <v/>
      </c>
      <c r="R138" s="369" t="str">
        <f t="shared" si="55"/>
        <v/>
      </c>
      <c r="S138" s="370" t="str">
        <f t="shared" si="56"/>
        <v/>
      </c>
      <c r="T138" s="370" t="str">
        <f t="shared" si="57"/>
        <v/>
      </c>
      <c r="U138" s="370" t="str">
        <f t="shared" si="58"/>
        <v/>
      </c>
      <c r="V138" s="407" t="str">
        <f>IF(E138="","",IFERROR(INDEX(Aktiv!$G:$G,MATCH(E138,Aktiv!$A:$A,0)),""))</f>
        <v/>
      </c>
      <c r="W138" s="407" t="str">
        <f>IF(E138="","",IFERROR(INDEX(Aktiv!$H:$H,MATCH(E138,Aktiv!$A:$A,0)),""))</f>
        <v/>
      </c>
      <c r="X138" s="407" t="str">
        <f>IF(E138="","",IFERROR(INDEX(Aktiv!$I:$I,MATCH(E138,Aktiv!$A:$A,0)),""))</f>
        <v/>
      </c>
      <c r="Y138" s="407" t="str">
        <f>IF(E138="","",IFERROR(INDEX(Aktiv!$J:$J,MATCH(E138,Aktiv!$A:$A,0)),""))</f>
        <v/>
      </c>
      <c r="Z138" s="371" t="str">
        <f t="shared" si="46"/>
        <v/>
      </c>
      <c r="AA138" s="371" t="str">
        <f t="shared" si="47"/>
        <v/>
      </c>
      <c r="AB138" s="371" t="str">
        <f t="shared" si="48"/>
        <v/>
      </c>
      <c r="AC138" s="371" t="str">
        <f t="shared" si="49"/>
        <v/>
      </c>
      <c r="AD138" s="366" t="str">
        <f>IF(E138="","",IFERROR(INDEX(Preisliste_2025!$E:$E,MATCH(E138,Preisliste_2025!$C:$C,0)),""))</f>
        <v/>
      </c>
      <c r="AE138" s="366" t="str">
        <f>IF(E138="","",IFERROR(INDEX(Preisliste_2025!$G:$G,MATCH(E138,Preisliste_2025!$C:$C,0)),""))</f>
        <v/>
      </c>
      <c r="AF138" s="366" t="str">
        <f>IF(E138="","",IFERROR(INDEX(Preisliste_2025!$F:$F,MATCH(E138,Preisliste_2025!$C:$C,0)),""))</f>
        <v/>
      </c>
      <c r="AG138" s="366" t="str">
        <f>IF(E138="","",IFERROR(INDEX(Preisliste_2025!$H:$H,MATCH(E138,Preisliste_2025!$C:$C,0)),""))</f>
        <v/>
      </c>
      <c r="AH138" s="367" t="str">
        <f t="shared" si="59"/>
        <v/>
      </c>
      <c r="AI138" s="361" t="str">
        <f t="shared" si="60"/>
        <v/>
      </c>
      <c r="AJ138" s="368" t="str">
        <f>IF(E138="","",IFERROR(INDEX(Aktiv!$E:$E,MATCH(E138,Aktiv!$A:$A,0))*INDEX(Aktiv!$F:$F,MATCH(E138,Aktiv!$A:$A,0)),""))</f>
        <v/>
      </c>
      <c r="AK138" s="361" t="str">
        <f t="shared" si="50"/>
        <v/>
      </c>
      <c r="AL138" s="361" t="str">
        <f t="shared" si="51"/>
        <v/>
      </c>
    </row>
    <row r="139" spans="1:38" x14ac:dyDescent="0.25">
      <c r="A139" s="330" t="s">
        <v>582</v>
      </c>
      <c r="B139" s="330" t="s">
        <v>419</v>
      </c>
      <c r="C139" s="330" t="s">
        <v>593</v>
      </c>
      <c r="D139" s="330" t="s">
        <v>296</v>
      </c>
      <c r="E139" s="330"/>
      <c r="F139" s="331">
        <f>'Preisliste 2012'!E21</f>
        <v>11</v>
      </c>
      <c r="G139" s="331"/>
      <c r="H139" s="331"/>
      <c r="I139" s="331"/>
      <c r="J139" s="331"/>
      <c r="K139" s="331"/>
      <c r="L139" s="331"/>
      <c r="M139" s="331"/>
      <c r="N139" s="365" t="str">
        <f t="shared" si="52"/>
        <v/>
      </c>
      <c r="O139" s="361" t="str">
        <f t="shared" si="53"/>
        <v/>
      </c>
      <c r="P139" s="361" t="str">
        <f t="shared" si="54"/>
        <v/>
      </c>
      <c r="Q139" s="361" t="str">
        <f t="shared" si="34"/>
        <v/>
      </c>
      <c r="R139" s="369" t="str">
        <f t="shared" si="55"/>
        <v/>
      </c>
      <c r="S139" s="370" t="str">
        <f t="shared" si="56"/>
        <v/>
      </c>
      <c r="T139" s="370" t="str">
        <f t="shared" si="57"/>
        <v/>
      </c>
      <c r="U139" s="370" t="str">
        <f t="shared" si="58"/>
        <v/>
      </c>
      <c r="V139" s="407" t="str">
        <f>IF(E139="","",IFERROR(INDEX(Aktiv!$G:$G,MATCH(E139,Aktiv!$A:$A,0)),""))</f>
        <v/>
      </c>
      <c r="W139" s="407" t="str">
        <f>IF(E139="","",IFERROR(INDEX(Aktiv!$H:$H,MATCH(E139,Aktiv!$A:$A,0)),""))</f>
        <v/>
      </c>
      <c r="X139" s="407" t="str">
        <f>IF(E139="","",IFERROR(INDEX(Aktiv!$I:$I,MATCH(E139,Aktiv!$A:$A,0)),""))</f>
        <v/>
      </c>
      <c r="Y139" s="407" t="str">
        <f>IF(E139="","",IFERROR(INDEX(Aktiv!$J:$J,MATCH(E139,Aktiv!$A:$A,0)),""))</f>
        <v/>
      </c>
      <c r="Z139" s="371" t="str">
        <f t="shared" si="46"/>
        <v/>
      </c>
      <c r="AA139" s="371" t="str">
        <f t="shared" si="47"/>
        <v/>
      </c>
      <c r="AB139" s="371" t="str">
        <f t="shared" si="48"/>
        <v/>
      </c>
      <c r="AC139" s="371" t="str">
        <f t="shared" si="49"/>
        <v/>
      </c>
      <c r="AD139" s="366" t="str">
        <f>IF(E139="","",IFERROR(INDEX(Preisliste_2025!$E:$E,MATCH(E139,Preisliste_2025!$C:$C,0)),""))</f>
        <v/>
      </c>
      <c r="AE139" s="366" t="str">
        <f>IF(E139="","",IFERROR(INDEX(Preisliste_2025!$G:$G,MATCH(E139,Preisliste_2025!$C:$C,0)),""))</f>
        <v/>
      </c>
      <c r="AF139" s="366" t="str">
        <f>IF(E139="","",IFERROR(INDEX(Preisliste_2025!$F:$F,MATCH(E139,Preisliste_2025!$C:$C,0)),""))</f>
        <v/>
      </c>
      <c r="AG139" s="366" t="str">
        <f>IF(E139="","",IFERROR(INDEX(Preisliste_2025!$H:$H,MATCH(E139,Preisliste_2025!$C:$C,0)),""))</f>
        <v/>
      </c>
      <c r="AH139" s="367" t="str">
        <f t="shared" si="59"/>
        <v/>
      </c>
      <c r="AI139" s="361" t="str">
        <f t="shared" si="60"/>
        <v/>
      </c>
      <c r="AJ139" s="368" t="str">
        <f>IF(E139="","",IFERROR(INDEX(Aktiv!$E:$E,MATCH(E139,Aktiv!$A:$A,0))*INDEX(Aktiv!$F:$F,MATCH(E139,Aktiv!$A:$A,0)),""))</f>
        <v/>
      </c>
      <c r="AK139" s="361" t="str">
        <f t="shared" si="50"/>
        <v/>
      </c>
      <c r="AL139" s="361" t="str">
        <f t="shared" si="51"/>
        <v/>
      </c>
    </row>
    <row r="140" spans="1:38" x14ac:dyDescent="0.25">
      <c r="A140" s="336" t="s">
        <v>582</v>
      </c>
      <c r="B140" s="336" t="s">
        <v>421</v>
      </c>
      <c r="C140" s="336" t="s">
        <v>416</v>
      </c>
      <c r="D140" s="336" t="s">
        <v>296</v>
      </c>
      <c r="E140" s="336"/>
      <c r="F140" s="329">
        <f>'Preisliste 2012'!E22</f>
        <v>1</v>
      </c>
      <c r="G140" s="329"/>
      <c r="H140" s="329"/>
      <c r="I140" s="329"/>
      <c r="J140" s="329"/>
      <c r="K140" s="329"/>
      <c r="L140" s="329"/>
      <c r="M140" s="329"/>
      <c r="N140" s="365" t="str">
        <f t="shared" si="52"/>
        <v/>
      </c>
      <c r="O140" s="361" t="str">
        <f t="shared" si="53"/>
        <v/>
      </c>
      <c r="P140" s="361" t="str">
        <f t="shared" si="54"/>
        <v/>
      </c>
      <c r="Q140" s="361" t="str">
        <f t="shared" si="34"/>
        <v/>
      </c>
      <c r="R140" s="369" t="str">
        <f t="shared" si="55"/>
        <v/>
      </c>
      <c r="S140" s="370" t="str">
        <f t="shared" si="56"/>
        <v/>
      </c>
      <c r="T140" s="370" t="str">
        <f t="shared" si="57"/>
        <v/>
      </c>
      <c r="U140" s="370" t="str">
        <f t="shared" si="58"/>
        <v/>
      </c>
      <c r="V140" s="407" t="str">
        <f>IF(E140="","",IFERROR(INDEX(Aktiv!$G:$G,MATCH(E140,Aktiv!$A:$A,0)),""))</f>
        <v/>
      </c>
      <c r="W140" s="407" t="str">
        <f>IF(E140="","",IFERROR(INDEX(Aktiv!$H:$H,MATCH(E140,Aktiv!$A:$A,0)),""))</f>
        <v/>
      </c>
      <c r="X140" s="407" t="str">
        <f>IF(E140="","",IFERROR(INDEX(Aktiv!$I:$I,MATCH(E140,Aktiv!$A:$A,0)),""))</f>
        <v/>
      </c>
      <c r="Y140" s="407" t="str">
        <f>IF(E140="","",IFERROR(INDEX(Aktiv!$J:$J,MATCH(E140,Aktiv!$A:$A,0)),""))</f>
        <v/>
      </c>
      <c r="Z140" s="371" t="str">
        <f t="shared" si="46"/>
        <v/>
      </c>
      <c r="AA140" s="371" t="str">
        <f t="shared" si="47"/>
        <v/>
      </c>
      <c r="AB140" s="371" t="str">
        <f t="shared" si="48"/>
        <v/>
      </c>
      <c r="AC140" s="371" t="str">
        <f t="shared" si="49"/>
        <v/>
      </c>
      <c r="AD140" s="366" t="str">
        <f>IF(E140="","",IFERROR(INDEX(Preisliste_2025!$E:$E,MATCH(E140,Preisliste_2025!$C:$C,0)),""))</f>
        <v/>
      </c>
      <c r="AE140" s="366" t="str">
        <f>IF(E140="","",IFERROR(INDEX(Preisliste_2025!$G:$G,MATCH(E140,Preisliste_2025!$C:$C,0)),""))</f>
        <v/>
      </c>
      <c r="AF140" s="366" t="str">
        <f>IF(E140="","",IFERROR(INDEX(Preisliste_2025!$F:$F,MATCH(E140,Preisliste_2025!$C:$C,0)),""))</f>
        <v/>
      </c>
      <c r="AG140" s="366" t="str">
        <f>IF(E140="","",IFERROR(INDEX(Preisliste_2025!$H:$H,MATCH(E140,Preisliste_2025!$C:$C,0)),""))</f>
        <v/>
      </c>
      <c r="AH140" s="367" t="str">
        <f t="shared" si="59"/>
        <v/>
      </c>
      <c r="AI140" s="361" t="str">
        <f t="shared" si="60"/>
        <v/>
      </c>
      <c r="AJ140" s="368" t="str">
        <f>IF(E140="","",IFERROR(INDEX(Aktiv!$E:$E,MATCH(E140,Aktiv!$A:$A,0))*INDEX(Aktiv!$F:$F,MATCH(E140,Aktiv!$A:$A,0)),""))</f>
        <v/>
      </c>
      <c r="AK140" s="361" t="str">
        <f t="shared" si="50"/>
        <v/>
      </c>
      <c r="AL140" s="361" t="str">
        <f t="shared" si="51"/>
        <v/>
      </c>
    </row>
    <row r="141" spans="1:38" ht="32.1" customHeight="1" x14ac:dyDescent="0.25">
      <c r="A141" s="337" t="s">
        <v>370</v>
      </c>
      <c r="B141" s="338" t="s">
        <v>547</v>
      </c>
      <c r="C141" s="338" t="s">
        <v>549</v>
      </c>
      <c r="D141" s="338" t="s">
        <v>576</v>
      </c>
      <c r="E141" s="338" t="s">
        <v>548</v>
      </c>
      <c r="F141" s="338" t="s">
        <v>551</v>
      </c>
      <c r="G141" s="338" t="s">
        <v>550</v>
      </c>
      <c r="H141" s="339" t="s">
        <v>556</v>
      </c>
      <c r="N141" s="365" t="str">
        <f t="shared" si="52"/>
        <v/>
      </c>
      <c r="O141" s="361" t="str">
        <f t="shared" si="53"/>
        <v/>
      </c>
      <c r="P141" s="361" t="str">
        <f t="shared" si="54"/>
        <v/>
      </c>
      <c r="Q141" s="361" t="str">
        <f t="shared" ref="Q141:Q181" si="61">IF(Y141="","",ROUND(Y141/(1+$AI$3)^($AM$3-$AK$3),2))</f>
        <v/>
      </c>
      <c r="R141" s="369" t="str">
        <f t="shared" si="55"/>
        <v/>
      </c>
      <c r="S141" s="370" t="str">
        <f t="shared" si="56"/>
        <v/>
      </c>
      <c r="T141" s="370" t="str">
        <f t="shared" si="57"/>
        <v/>
      </c>
      <c r="U141" s="370" t="str">
        <f t="shared" si="58"/>
        <v/>
      </c>
      <c r="V141" s="407" t="str">
        <f>IF(E141="","",IFERROR(INDEX(Aktiv!$G:$G,MATCH(E141,Aktiv!$A:$A,0)),""))</f>
        <v/>
      </c>
      <c r="W141" s="407" t="str">
        <f>IF(E141="","",IFERROR(INDEX(Aktiv!$H:$H,MATCH(E141,Aktiv!$A:$A,0)),""))</f>
        <v/>
      </c>
      <c r="X141" s="407" t="str">
        <f>IF(E141="","",IFERROR(INDEX(Aktiv!$I:$I,MATCH(E141,Aktiv!$A:$A,0)),""))</f>
        <v/>
      </c>
      <c r="Y141" s="407" t="str">
        <f>IF(E141="","",IFERROR(INDEX(Aktiv!$J:$J,MATCH(E141,Aktiv!$A:$A,0)),""))</f>
        <v/>
      </c>
      <c r="Z141" s="371" t="str">
        <f t="shared" si="46"/>
        <v/>
      </c>
      <c r="AA141" s="371" t="str">
        <f t="shared" si="47"/>
        <v/>
      </c>
      <c r="AB141" s="371" t="str">
        <f t="shared" si="48"/>
        <v/>
      </c>
      <c r="AC141" s="371" t="str">
        <f t="shared" si="49"/>
        <v/>
      </c>
      <c r="AD141" s="366" t="str">
        <f>IF(E141="","",IFERROR(INDEX(Preisliste_2025!$E:$E,MATCH(E141,Preisliste_2025!$C:$C,0)),""))</f>
        <v/>
      </c>
      <c r="AE141" s="366" t="str">
        <f>IF(E141="","",IFERROR(INDEX(Preisliste_2025!$G:$G,MATCH(E141,Preisliste_2025!$C:$C,0)),""))</f>
        <v/>
      </c>
      <c r="AF141" s="366" t="str">
        <f>IF(E141="","",IFERROR(INDEX(Preisliste_2025!$F:$F,MATCH(E141,Preisliste_2025!$C:$C,0)),""))</f>
        <v/>
      </c>
      <c r="AG141" s="366" t="str">
        <f>IF(E141="","",IFERROR(INDEX(Preisliste_2025!$H:$H,MATCH(E141,Preisliste_2025!$C:$C,0)),""))</f>
        <v/>
      </c>
      <c r="AH141" s="367" t="str">
        <f t="shared" si="59"/>
        <v/>
      </c>
      <c r="AI141" s="361" t="str">
        <f t="shared" si="60"/>
        <v/>
      </c>
      <c r="AJ141" s="368" t="str">
        <f>IF(E141="","",IFERROR(INDEX(Aktiv!$E:$E,MATCH(E141,Aktiv!$A:$A,0))*INDEX(Aktiv!$F:$F,MATCH(E141,Aktiv!$A:$A,0)),""))</f>
        <v/>
      </c>
      <c r="AK141" s="361" t="str">
        <f t="shared" si="50"/>
        <v/>
      </c>
      <c r="AL141" s="361" t="str">
        <f t="shared" si="51"/>
        <v/>
      </c>
    </row>
    <row r="142" spans="1:38" x14ac:dyDescent="0.25">
      <c r="A142" s="340" t="s">
        <v>422</v>
      </c>
      <c r="B142" s="341">
        <f>IFERROR(AVERAGE(Z7:Z25),"-")</f>
        <v>-0.12560603415192589</v>
      </c>
      <c r="C142" s="341" cm="1">
        <f t="array" ref="C142">IFERROR(AVERAGE(IF((E7:E25&lt;&gt;"")*($F7:$F25&lt;&gt;"")*($F7:$F25&lt;&gt;0)*($I7:$I25&lt;&gt;""),$I7:$I25/$F7:$F25)),"-")</f>
        <v>3.6028065724910006</v>
      </c>
      <c r="D142" s="341" cm="1">
        <f t="array" ref="D142">IFERROR(AVERAGE(IF((E7:E25&lt;&gt;"")*($F7:$F25&lt;&gt;"")*($F7:$F25&lt;&gt;0)*($K7:$K25&lt;&gt;""),$K7:$K25/$F7:$F25)),"-")</f>
        <v>3.7735875322527792</v>
      </c>
      <c r="E142" s="341">
        <f>IFERROR(AVERAGE(AA7:AA25),"-")</f>
        <v>-1.8626309880485286E-2</v>
      </c>
      <c r="F142" s="341" cm="1">
        <f t="array" aca="1" ref="F142" ca="1">IFERROR(AVERAGE(IF((E7:E25&lt;&gt;"")*($R7:$R25&lt;&gt;"")*($R7:$R25&lt;&gt;0)*($U7:$U25&lt;&gt;""),$U7:$U25/$R7:$R25)),"-")</f>
        <v>-28.884676996159055</v>
      </c>
      <c r="G142" s="341" cm="1">
        <f t="array" aca="1" ref="G142" ca="1">IFERROR(AVERAGE(IF((E7:E25&lt;&gt;"")*($R7:$R25&lt;&gt;"")*($R7:$R25&lt;&gt;0)*($T7:$T25&lt;&gt;""),$T7:$T25/$R7:$R25)),"-")</f>
        <v>-7.4154720727373684</v>
      </c>
      <c r="H142" s="342" t="str">
        <f t="shared" ref="H142:H147" si="62">IF(AND(ISNUMBER(B142),ISNUMBER(E142)),IF(ABS(E142-B142)&gt;0.5,"Unterschiedlich","Ähnlich"),"-")</f>
        <v>Ähnlich</v>
      </c>
      <c r="N142" s="365" t="str">
        <f t="shared" si="52"/>
        <v/>
      </c>
      <c r="O142" s="361" t="str">
        <f t="shared" si="53"/>
        <v/>
      </c>
      <c r="P142" s="361" t="str">
        <f t="shared" si="54"/>
        <v/>
      </c>
      <c r="Q142" s="361" t="str">
        <f t="shared" si="61"/>
        <v/>
      </c>
      <c r="R142" s="369" t="str">
        <f t="shared" ca="1" si="55"/>
        <v/>
      </c>
      <c r="S142" s="370" t="str">
        <f t="shared" ca="1" si="56"/>
        <v/>
      </c>
      <c r="T142" s="370" t="str">
        <f t="shared" ca="1" si="57"/>
        <v/>
      </c>
      <c r="U142" s="370" t="str">
        <f t="shared" si="58"/>
        <v/>
      </c>
      <c r="V142" s="407" t="str">
        <f>IF(E142="","",IFERROR(INDEX(Aktiv!$G:$G,MATCH(E142,Aktiv!$A:$A,0)),""))</f>
        <v/>
      </c>
      <c r="W142" s="407" t="str">
        <f>IF(E142="","",IFERROR(INDEX(Aktiv!$H:$H,MATCH(E142,Aktiv!$A:$A,0)),""))</f>
        <v/>
      </c>
      <c r="X142" s="407" t="str">
        <f>IF(E142="","",IFERROR(INDEX(Aktiv!$I:$I,MATCH(E142,Aktiv!$A:$A,0)),""))</f>
        <v/>
      </c>
      <c r="Y142" s="407" t="str">
        <f>IF(E142="","",IFERROR(INDEX(Aktiv!$J:$J,MATCH(E142,Aktiv!$A:$A,0)),""))</f>
        <v/>
      </c>
      <c r="Z142" s="371" t="str">
        <f t="shared" si="46"/>
        <v/>
      </c>
      <c r="AA142" s="371" t="str">
        <f t="shared" si="47"/>
        <v/>
      </c>
      <c r="AB142" s="371" t="str">
        <f t="shared" si="48"/>
        <v/>
      </c>
      <c r="AC142" s="371" t="str">
        <f t="shared" si="49"/>
        <v/>
      </c>
      <c r="AD142" s="366" t="str">
        <f>IF(E142="","",IFERROR(INDEX(Preisliste_2025!$E:$E,MATCH(E142,Preisliste_2025!$C:$C,0)),""))</f>
        <v/>
      </c>
      <c r="AE142" s="366" t="str">
        <f>IF(E142="","",IFERROR(INDEX(Preisliste_2025!$G:$G,MATCH(E142,Preisliste_2025!$C:$C,0)),""))</f>
        <v/>
      </c>
      <c r="AF142" s="366" t="str">
        <f>IF(E142="","",IFERROR(INDEX(Preisliste_2025!$F:$F,MATCH(E142,Preisliste_2025!$C:$C,0)),""))</f>
        <v/>
      </c>
      <c r="AG142" s="366" t="str">
        <f>IF(E142="","",IFERROR(INDEX(Preisliste_2025!$H:$H,MATCH(E142,Preisliste_2025!$C:$C,0)),""))</f>
        <v/>
      </c>
      <c r="AH142" s="367" t="str">
        <f t="shared" si="59"/>
        <v/>
      </c>
      <c r="AI142" s="361" t="str">
        <f t="shared" si="60"/>
        <v/>
      </c>
      <c r="AJ142" s="368" t="str">
        <f>IF(E142="","",IFERROR(INDEX(Aktiv!$E:$E,MATCH(E142,Aktiv!$A:$A,0))*INDEX(Aktiv!$F:$F,MATCH(E142,Aktiv!$A:$A,0)),""))</f>
        <v/>
      </c>
      <c r="AK142" s="361" t="str">
        <f t="shared" ca="1" si="50"/>
        <v/>
      </c>
      <c r="AL142" s="361" t="str">
        <f t="shared" si="51"/>
        <v/>
      </c>
    </row>
    <row r="143" spans="1:38" x14ac:dyDescent="0.25">
      <c r="A143" s="340" t="s">
        <v>78</v>
      </c>
      <c r="B143" s="341">
        <f>IFERROR(AVERAGE(Z26:Z45),"-")</f>
        <v>-9.3545672000075228E-2</v>
      </c>
      <c r="C143" s="341" cm="1">
        <f t="array" ref="C143">IFERROR(AVERAGE(IF((E26:E45&lt;&gt;"")*($F26:$F45&lt;&gt;"")*($F26:$F45&lt;&gt;0)*($I26:$I45&lt;&gt;""),$I26:$I45/$F26:$F45)),"-")</f>
        <v>2.4410452830655123</v>
      </c>
      <c r="D143" s="341" cm="1">
        <f t="array" ref="D143">IFERROR(AVERAGE(IF((E26:E45&lt;&gt;"")*($F26:$F45&lt;&gt;"")*($F26:$F45&lt;&gt;0)*($K26:$K45&lt;&gt;""),$K26:$K45/$F26:$F45)),"-")</f>
        <v>3.5590572652202268</v>
      </c>
      <c r="E143" s="341">
        <f>IFERROR(AVERAGE(AA26:AA45),"-")</f>
        <v>3.8526371594790859E-2</v>
      </c>
      <c r="F143" s="341" cm="1">
        <f t="array" aca="1" ref="F143" ca="1">IFERROR(AVERAGE(IF((E26:E45&lt;&gt;"")*($R26:$R45&lt;&gt;"")*($R26:$R45&lt;&gt;0)*($U26:$U45&lt;&gt;""),$U26:$U45/$R26:$R45)),"-")</f>
        <v>-26.460504800554869</v>
      </c>
      <c r="G143" s="341" cm="1">
        <f t="array" aca="1" ref="G143" ca="1">IFERROR(AVERAGE(IF((E26:E45&lt;&gt;"")*($R26:$R45&lt;&gt;"")*($R26:$R45&lt;&gt;0)*($T26:$T45&lt;&gt;""),$T26:$T45/$R26:$R45)),"-")</f>
        <v>-7.2916928691879441</v>
      </c>
      <c r="H143" s="342" t="str">
        <f t="shared" si="62"/>
        <v>Ähnlich</v>
      </c>
      <c r="N143" s="365" t="str">
        <f t="shared" si="52"/>
        <v/>
      </c>
      <c r="O143" s="361" t="str">
        <f t="shared" si="53"/>
        <v/>
      </c>
      <c r="P143" s="361" t="str">
        <f t="shared" si="54"/>
        <v/>
      </c>
      <c r="Q143" s="361" t="str">
        <f t="shared" si="61"/>
        <v/>
      </c>
      <c r="R143" s="369" t="str">
        <f t="shared" ca="1" si="55"/>
        <v/>
      </c>
      <c r="S143" s="370" t="str">
        <f t="shared" ca="1" si="56"/>
        <v/>
      </c>
      <c r="T143" s="370" t="str">
        <f t="shared" ca="1" si="57"/>
        <v/>
      </c>
      <c r="U143" s="370" t="str">
        <f t="shared" si="58"/>
        <v/>
      </c>
      <c r="V143" s="407" t="str">
        <f>IF(E143="","",IFERROR(INDEX(Aktiv!$G:$G,MATCH(E143,Aktiv!$A:$A,0)),""))</f>
        <v/>
      </c>
      <c r="W143" s="407" t="str">
        <f>IF(E143="","",IFERROR(INDEX(Aktiv!$H:$H,MATCH(E143,Aktiv!$A:$A,0)),""))</f>
        <v/>
      </c>
      <c r="X143" s="407" t="str">
        <f>IF(E143="","",IFERROR(INDEX(Aktiv!$I:$I,MATCH(E143,Aktiv!$A:$A,0)),""))</f>
        <v/>
      </c>
      <c r="Y143" s="407" t="str">
        <f>IF(E143="","",IFERROR(INDEX(Aktiv!$J:$J,MATCH(E143,Aktiv!$A:$A,0)),""))</f>
        <v/>
      </c>
      <c r="Z143" s="371" t="str">
        <f t="shared" si="46"/>
        <v/>
      </c>
      <c r="AA143" s="371" t="str">
        <f t="shared" si="47"/>
        <v/>
      </c>
      <c r="AB143" s="371" t="str">
        <f t="shared" si="48"/>
        <v/>
      </c>
      <c r="AC143" s="371" t="str">
        <f t="shared" si="49"/>
        <v/>
      </c>
      <c r="AD143" s="366" t="str">
        <f>IF(E143="","",IFERROR(INDEX(Preisliste_2025!$E:$E,MATCH(E143,Preisliste_2025!$C:$C,0)),""))</f>
        <v/>
      </c>
      <c r="AE143" s="366" t="str">
        <f>IF(E143="","",IFERROR(INDEX(Preisliste_2025!$G:$G,MATCH(E143,Preisliste_2025!$C:$C,0)),""))</f>
        <v/>
      </c>
      <c r="AF143" s="366" t="str">
        <f>IF(E143="","",IFERROR(INDEX(Preisliste_2025!$F:$F,MATCH(E143,Preisliste_2025!$C:$C,0)),""))</f>
        <v/>
      </c>
      <c r="AG143" s="366" t="str">
        <f>IF(E143="","",IFERROR(INDEX(Preisliste_2025!$H:$H,MATCH(E143,Preisliste_2025!$C:$C,0)),""))</f>
        <v/>
      </c>
      <c r="AH143" s="367" t="str">
        <f t="shared" si="59"/>
        <v/>
      </c>
      <c r="AI143" s="361" t="str">
        <f t="shared" si="60"/>
        <v/>
      </c>
      <c r="AJ143" s="368" t="str">
        <f>IF(E143="","",IFERROR(INDEX(Aktiv!$E:$E,MATCH(E143,Aktiv!$A:$A,0))*INDEX(Aktiv!$F:$F,MATCH(E143,Aktiv!$A:$A,0)),""))</f>
        <v/>
      </c>
      <c r="AK143" s="361" t="str">
        <f t="shared" ca="1" si="50"/>
        <v/>
      </c>
      <c r="AL143" s="361" t="str">
        <f t="shared" si="51"/>
        <v/>
      </c>
    </row>
    <row r="144" spans="1:38" x14ac:dyDescent="0.25">
      <c r="A144" s="340" t="s">
        <v>459</v>
      </c>
      <c r="B144" s="341">
        <f>IFERROR(AVERAGE(Z47:Z72),"-")</f>
        <v>-4.2201261495196568E-2</v>
      </c>
      <c r="C144" s="341" cm="1">
        <f t="array" ref="C144">IFERROR(AVERAGE(IF((E47:E72&lt;&gt;"")*($F47:$F72&lt;&gt;"")*($F47:$F72&lt;&gt;0)*($I47:$I72&lt;&gt;""),$I47:$I72/$F47:$F72)),"-")</f>
        <v>1.7544390283983524</v>
      </c>
      <c r="D144" s="341" cm="1">
        <f t="array" ref="D144">IFERROR(AVERAGE(IF((E47:E72&lt;&gt;"")*($F47:$F72&lt;&gt;"")*($F47:$F72&lt;&gt;0)*($K47:$K72&lt;&gt;""),$K47:$K72/$F47:$F72)),"-")</f>
        <v>1.650549370933204</v>
      </c>
      <c r="E144" s="341">
        <f>IFERROR(AVERAGE(AA47:AA72),"-")</f>
        <v>5.5705951824391885E-2</v>
      </c>
      <c r="F144" s="341" cm="1">
        <f t="array" aca="1" ref="F144" ca="1">IFERROR(AVERAGE(IF((E47:E72&lt;&gt;"")*($R47:$R72&lt;&gt;"")*($R47:$R72&lt;&gt;0)*($U47:$U72&lt;&gt;""),$U47:$U72/$R47:$R72)),"-")</f>
        <v>9.1426576125616847</v>
      </c>
      <c r="G144" s="341" cm="1">
        <f t="array" aca="1" ref="G144" ca="1">IFERROR(AVERAGE(IF((E47:E72&lt;&gt;"")*($R47:$R72&lt;&gt;"")*($R47:$R72&lt;&gt;0)*($T47:$T72&lt;&gt;""),$T47:$T72/$R47:$R72)),"-")</f>
        <v>-9.4515725694994845</v>
      </c>
      <c r="H144" s="342" t="str">
        <f t="shared" si="62"/>
        <v>Ähnlich</v>
      </c>
      <c r="N144" s="365" t="str">
        <f t="shared" si="52"/>
        <v/>
      </c>
      <c r="O144" s="361" t="str">
        <f t="shared" si="53"/>
        <v/>
      </c>
      <c r="P144" s="361" t="str">
        <f t="shared" si="54"/>
        <v/>
      </c>
      <c r="Q144" s="361" t="str">
        <f t="shared" si="61"/>
        <v/>
      </c>
      <c r="R144" s="369" t="str">
        <f t="shared" ca="1" si="55"/>
        <v/>
      </c>
      <c r="S144" s="370" t="str">
        <f t="shared" ca="1" si="56"/>
        <v/>
      </c>
      <c r="T144" s="370" t="str">
        <f t="shared" ca="1" si="57"/>
        <v/>
      </c>
      <c r="U144" s="370" t="str">
        <f t="shared" si="58"/>
        <v/>
      </c>
      <c r="V144" s="407" t="str">
        <f>IF(E144="","",IFERROR(INDEX(Aktiv!$G:$G,MATCH(E144,Aktiv!$A:$A,0)),""))</f>
        <v/>
      </c>
      <c r="W144" s="407" t="str">
        <f>IF(E144="","",IFERROR(INDEX(Aktiv!$H:$H,MATCH(E144,Aktiv!$A:$A,0)),""))</f>
        <v/>
      </c>
      <c r="X144" s="407" t="str">
        <f>IF(E144="","",IFERROR(INDEX(Aktiv!$I:$I,MATCH(E144,Aktiv!$A:$A,0)),""))</f>
        <v/>
      </c>
      <c r="Y144" s="407" t="str">
        <f>IF(E144="","",IFERROR(INDEX(Aktiv!$J:$J,MATCH(E144,Aktiv!$A:$A,0)),""))</f>
        <v/>
      </c>
      <c r="Z144" s="371" t="str">
        <f t="shared" si="46"/>
        <v/>
      </c>
      <c r="AA144" s="371" t="str">
        <f t="shared" si="47"/>
        <v/>
      </c>
      <c r="AB144" s="371" t="str">
        <f t="shared" si="48"/>
        <v/>
      </c>
      <c r="AC144" s="371" t="str">
        <f t="shared" si="49"/>
        <v/>
      </c>
      <c r="AD144" s="366" t="str">
        <f>IF(E144="","",IFERROR(INDEX(Preisliste_2025!$E:$E,MATCH(E144,Preisliste_2025!$C:$C,0)),""))</f>
        <v/>
      </c>
      <c r="AE144" s="366" t="str">
        <f>IF(E144="","",IFERROR(INDEX(Preisliste_2025!$G:$G,MATCH(E144,Preisliste_2025!$C:$C,0)),""))</f>
        <v/>
      </c>
      <c r="AF144" s="366" t="str">
        <f>IF(E144="","",IFERROR(INDEX(Preisliste_2025!$F:$F,MATCH(E144,Preisliste_2025!$C:$C,0)),""))</f>
        <v/>
      </c>
      <c r="AG144" s="366" t="str">
        <f>IF(E144="","",IFERROR(INDEX(Preisliste_2025!$H:$H,MATCH(E144,Preisliste_2025!$C:$C,0)),""))</f>
        <v/>
      </c>
      <c r="AH144" s="367" t="str">
        <f t="shared" si="59"/>
        <v/>
      </c>
      <c r="AI144" s="361" t="str">
        <f t="shared" si="60"/>
        <v/>
      </c>
      <c r="AJ144" s="368" t="str">
        <f>IF(E144="","",IFERROR(INDEX(Aktiv!$E:$E,MATCH(E144,Aktiv!$A:$A,0))*INDEX(Aktiv!$F:$F,MATCH(E144,Aktiv!$A:$A,0)),""))</f>
        <v/>
      </c>
      <c r="AK144" s="361" t="str">
        <f t="shared" ca="1" si="50"/>
        <v/>
      </c>
      <c r="AL144" s="361" t="str">
        <f t="shared" si="51"/>
        <v/>
      </c>
    </row>
    <row r="145" spans="1:38" x14ac:dyDescent="0.25">
      <c r="A145" s="340" t="s">
        <v>460</v>
      </c>
      <c r="B145" s="341">
        <f>IFERROR(AVERAGE(Z74:Z97),"-")</f>
        <v>-4.1597154595118535E-2</v>
      </c>
      <c r="C145" s="341" cm="1">
        <f t="array" ref="C145">IFERROR(AVERAGE(IF((E74:E97&lt;&gt;"")*($F74:$F97&lt;&gt;"")*($F74:$F97&lt;&gt;0)*($I74:$I97&lt;&gt;""),$I74:$I97/$F74:$F97)),"-")</f>
        <v>0</v>
      </c>
      <c r="D145" s="341" cm="1">
        <f t="array" ref="D145">IFERROR(AVERAGE(IF((E74:E97&lt;&gt;"")*($F74:$F97&lt;&gt;"")*($F74:$F97&lt;&gt;0)*($K74:$K97&lt;&gt;""),$K74:$K97/$F74:$F97)),"-")</f>
        <v>1.2749433720985721</v>
      </c>
      <c r="E145" s="341">
        <f>IFERROR(AVERAGE(AA74:AA97),"-")</f>
        <v>-0.12518880680927791</v>
      </c>
      <c r="F145" s="341" t="str" cm="1">
        <f t="array" aca="1" ref="F145" ca="1">IFERROR(AVERAGE(IF((E74:E97&lt;&gt;"")*($R74:$R97&lt;&gt;"")*($R74:$R97&lt;&gt;0)*($U74:$U97&lt;&gt;""),$U74:$U97/$R74:$R97)),"-")</f>
        <v>-</v>
      </c>
      <c r="G145" s="341" cm="1">
        <f t="array" aca="1" ref="G145" ca="1">IFERROR(AVERAGE(IF((E74:E97&lt;&gt;"")*($R74:$R97&lt;&gt;"")*($R74:$R97&lt;&gt;0)*($T74:$T97&lt;&gt;""),$T74:$T97/$R74:$R97)),"-")</f>
        <v>0.80858257361236408</v>
      </c>
      <c r="H145" s="342" t="str">
        <f t="shared" si="62"/>
        <v>Ähnlich</v>
      </c>
      <c r="N145" s="365" t="str">
        <f t="shared" si="52"/>
        <v/>
      </c>
      <c r="O145" s="361" t="str">
        <f t="shared" si="53"/>
        <v/>
      </c>
      <c r="P145" s="361" t="str">
        <f t="shared" si="54"/>
        <v/>
      </c>
      <c r="Q145" s="361" t="str">
        <f t="shared" si="61"/>
        <v/>
      </c>
      <c r="R145" s="369" t="str">
        <f t="shared" ca="1" si="55"/>
        <v/>
      </c>
      <c r="S145" s="370" t="str">
        <f t="shared" ca="1" si="56"/>
        <v/>
      </c>
      <c r="T145" s="370" t="str">
        <f t="shared" ca="1" si="57"/>
        <v/>
      </c>
      <c r="U145" s="370" t="str">
        <f t="shared" si="58"/>
        <v/>
      </c>
      <c r="V145" s="407" t="str">
        <f>IF(E145="","",IFERROR(INDEX(Aktiv!$G:$G,MATCH(E145,Aktiv!$A:$A,0)),""))</f>
        <v/>
      </c>
      <c r="W145" s="407" t="str">
        <f>IF(E145="","",IFERROR(INDEX(Aktiv!$H:$H,MATCH(E145,Aktiv!$A:$A,0)),""))</f>
        <v/>
      </c>
      <c r="X145" s="407" t="str">
        <f>IF(E145="","",IFERROR(INDEX(Aktiv!$I:$I,MATCH(E145,Aktiv!$A:$A,0)),""))</f>
        <v/>
      </c>
      <c r="Y145" s="407" t="str">
        <f>IF(E145="","",IFERROR(INDEX(Aktiv!$J:$J,MATCH(E145,Aktiv!$A:$A,0)),""))</f>
        <v/>
      </c>
      <c r="Z145" s="371" t="str">
        <f t="shared" si="46"/>
        <v/>
      </c>
      <c r="AA145" s="371" t="str">
        <f t="shared" si="47"/>
        <v/>
      </c>
      <c r="AB145" s="371" t="str">
        <f t="shared" si="48"/>
        <v/>
      </c>
      <c r="AC145" s="371" t="str">
        <f t="shared" si="49"/>
        <v/>
      </c>
      <c r="AD145" s="366" t="str">
        <f>IF(E145="","",IFERROR(INDEX(Preisliste_2025!$E:$E,MATCH(E145,Preisliste_2025!$C:$C,0)),""))</f>
        <v/>
      </c>
      <c r="AE145" s="366" t="str">
        <f>IF(E145="","",IFERROR(INDEX(Preisliste_2025!$G:$G,MATCH(E145,Preisliste_2025!$C:$C,0)),""))</f>
        <v/>
      </c>
      <c r="AF145" s="366" t="str">
        <f>IF(E145="","",IFERROR(INDEX(Preisliste_2025!$F:$F,MATCH(E145,Preisliste_2025!$C:$C,0)),""))</f>
        <v/>
      </c>
      <c r="AG145" s="366" t="str">
        <f>IF(E145="","",IFERROR(INDEX(Preisliste_2025!$H:$H,MATCH(E145,Preisliste_2025!$C:$C,0)),""))</f>
        <v/>
      </c>
      <c r="AH145" s="367" t="str">
        <f t="shared" si="59"/>
        <v/>
      </c>
      <c r="AI145" s="361" t="str">
        <f t="shared" si="60"/>
        <v/>
      </c>
      <c r="AJ145" s="368" t="str">
        <f>IF(E145="","",IFERROR(INDEX(Aktiv!$E:$E,MATCH(E145,Aktiv!$A:$A,0))*INDEX(Aktiv!$F:$F,MATCH(E145,Aktiv!$A:$A,0)),""))</f>
        <v/>
      </c>
      <c r="AK145" s="361" t="str">
        <f t="shared" ca="1" si="50"/>
        <v/>
      </c>
      <c r="AL145" s="361" t="str">
        <f t="shared" si="51"/>
        <v/>
      </c>
    </row>
    <row r="146" spans="1:38" x14ac:dyDescent="0.25">
      <c r="A146" s="340" t="s">
        <v>466</v>
      </c>
      <c r="B146" s="341" t="str">
        <f>IFERROR(AVERAGE(#REF!),"-")</f>
        <v>-</v>
      </c>
      <c r="C146" s="341" t="str" cm="1">
        <f t="array" ref="C146">IFERROR(AVERAGE(IF((#REF!&lt;&gt;"")*(#REF!&lt;&gt;"")*(#REF!&lt;&gt;0)*(#REF!&lt;&gt;""),#REF!/#REF!)),"-")</f>
        <v>-</v>
      </c>
      <c r="D146" s="341" t="str" cm="1">
        <f t="array" ref="D146">IFERROR(AVERAGE(IF((#REF!&lt;&gt;"")*(#REF!&lt;&gt;"")*(#REF!&lt;&gt;0)*(#REF!&lt;&gt;""),#REF!/#REF!)),"-")</f>
        <v>-</v>
      </c>
      <c r="E146" s="341" t="str">
        <f>IFERROR(AVERAGE(#REF!),"-")</f>
        <v>-</v>
      </c>
      <c r="F146" s="341" t="str" cm="1">
        <f t="array" ref="F146">IFERROR(AVERAGE(IF((#REF!&lt;&gt;"")*(#REF!&lt;&gt;"")*(#REF!&lt;&gt;0)*(#REF!&lt;&gt;""),#REF!/#REF!)),"-")</f>
        <v>-</v>
      </c>
      <c r="G146" s="341" t="str" cm="1">
        <f t="array" ref="G146">IFERROR(AVERAGE(IF((#REF!&lt;&gt;"")*(#REF!&lt;&gt;"")*(#REF!&lt;&gt;0)*(#REF!&lt;&gt;""),#REF!/#REF!)),"-")</f>
        <v>-</v>
      </c>
      <c r="H146" s="342" t="str">
        <f t="shared" si="62"/>
        <v>-</v>
      </c>
      <c r="N146" s="365" t="str">
        <f t="shared" si="52"/>
        <v/>
      </c>
      <c r="O146" s="361" t="str">
        <f t="shared" si="53"/>
        <v/>
      </c>
      <c r="P146" s="361" t="str">
        <f t="shared" si="54"/>
        <v/>
      </c>
      <c r="Q146" s="361" t="str">
        <f t="shared" si="61"/>
        <v/>
      </c>
      <c r="R146" s="369" t="str">
        <f t="shared" si="55"/>
        <v/>
      </c>
      <c r="S146" s="370" t="str">
        <f t="shared" si="56"/>
        <v/>
      </c>
      <c r="T146" s="370" t="str">
        <f t="shared" si="57"/>
        <v/>
      </c>
      <c r="U146" s="370" t="str">
        <f t="shared" si="58"/>
        <v/>
      </c>
      <c r="V146" s="407" t="str">
        <f>IF(E146="","",IFERROR(INDEX(Aktiv!$G:$G,MATCH(E146,Aktiv!$A:$A,0)),""))</f>
        <v/>
      </c>
      <c r="W146" s="407" t="str">
        <f>IF(E146="","",IFERROR(INDEX(Aktiv!$H:$H,MATCH(E146,Aktiv!$A:$A,0)),""))</f>
        <v/>
      </c>
      <c r="X146" s="407" t="str">
        <f>IF(E146="","",IFERROR(INDEX(Aktiv!$I:$I,MATCH(E146,Aktiv!$A:$A,0)),""))</f>
        <v/>
      </c>
      <c r="Y146" s="407" t="str">
        <f>IF(E146="","",IFERROR(INDEX(Aktiv!$J:$J,MATCH(E146,Aktiv!$A:$A,0)),""))</f>
        <v/>
      </c>
      <c r="Z146" s="371" t="str">
        <f t="shared" si="46"/>
        <v/>
      </c>
      <c r="AA146" s="371" t="str">
        <f t="shared" si="47"/>
        <v/>
      </c>
      <c r="AB146" s="371" t="str">
        <f t="shared" si="48"/>
        <v/>
      </c>
      <c r="AC146" s="371" t="str">
        <f t="shared" si="49"/>
        <v/>
      </c>
      <c r="AD146" s="366" t="str">
        <f>IF(E146="","",IFERROR(INDEX(Preisliste_2025!$E:$E,MATCH(E146,Preisliste_2025!$C:$C,0)),""))</f>
        <v/>
      </c>
      <c r="AE146" s="366" t="str">
        <f>IF(E146="","",IFERROR(INDEX(Preisliste_2025!$G:$G,MATCH(E146,Preisliste_2025!$C:$C,0)),""))</f>
        <v/>
      </c>
      <c r="AF146" s="366" t="str">
        <f>IF(E146="","",IFERROR(INDEX(Preisliste_2025!$F:$F,MATCH(E146,Preisliste_2025!$C:$C,0)),""))</f>
        <v/>
      </c>
      <c r="AG146" s="366" t="str">
        <f>IF(E146="","",IFERROR(INDEX(Preisliste_2025!$H:$H,MATCH(E146,Preisliste_2025!$C:$C,0)),""))</f>
        <v/>
      </c>
      <c r="AH146" s="367" t="str">
        <f t="shared" si="59"/>
        <v/>
      </c>
      <c r="AI146" s="361" t="str">
        <f t="shared" si="60"/>
        <v/>
      </c>
      <c r="AJ146" s="368" t="str">
        <f>IF(E146="","",IFERROR(INDEX(Aktiv!$E:$E,MATCH(E146,Aktiv!$A:$A,0))*INDEX(Aktiv!$F:$F,MATCH(E146,Aktiv!$A:$A,0)),""))</f>
        <v/>
      </c>
      <c r="AK146" s="361" t="str">
        <f t="shared" si="50"/>
        <v/>
      </c>
      <c r="AL146" s="361" t="str">
        <f t="shared" si="51"/>
        <v/>
      </c>
    </row>
    <row r="147" spans="1:38" x14ac:dyDescent="0.25">
      <c r="A147" s="343" t="s">
        <v>521</v>
      </c>
      <c r="B147" s="344" t="str">
        <f>IFERROR(AVERAGE(#REF!),"-")</f>
        <v>-</v>
      </c>
      <c r="C147" s="344" t="str" cm="1">
        <f t="array" ref="C147">IFERROR(AVERAGE(IF((#REF!&lt;&gt;"")*(#REF!&lt;&gt;"")*(#REF!&lt;&gt;0)*(#REF!&lt;&gt;""),#REF!/#REF!)),"-")</f>
        <v>-</v>
      </c>
      <c r="D147" s="344" t="str" cm="1">
        <f t="array" ref="D147">IFERROR(AVERAGE(IF((#REF!&lt;&gt;"")*(#REF!&lt;&gt;"")*(#REF!&lt;&gt;0)*(#REF!&lt;&gt;""),#REF!/#REF!)),"-")</f>
        <v>-</v>
      </c>
      <c r="E147" s="344" t="str">
        <f>IFERROR(AVERAGE(#REF!),"-")</f>
        <v>-</v>
      </c>
      <c r="F147" s="344" t="str" cm="1">
        <f t="array" ref="F147">IFERROR(AVERAGE(IF((#REF!&lt;&gt;"")*(#REF!&lt;&gt;"")*(#REF!&lt;&gt;0)*(#REF!&lt;&gt;""),#REF!/#REF!)),"-")</f>
        <v>-</v>
      </c>
      <c r="G147" s="344" t="str" cm="1">
        <f t="array" ref="G147">IFERROR(AVERAGE(IF((#REF!&lt;&gt;"")*(#REF!&lt;&gt;"")*(#REF!&lt;&gt;0)*(#REF!&lt;&gt;""),#REF!/#REF!)),"-")</f>
        <v>-</v>
      </c>
      <c r="H147" s="345" t="str">
        <f t="shared" si="62"/>
        <v>-</v>
      </c>
      <c r="N147" s="365" t="str">
        <f t="shared" si="52"/>
        <v/>
      </c>
      <c r="O147" s="361" t="str">
        <f t="shared" si="53"/>
        <v/>
      </c>
      <c r="P147" s="361" t="str">
        <f t="shared" si="54"/>
        <v/>
      </c>
      <c r="Q147" s="361" t="str">
        <f t="shared" si="61"/>
        <v/>
      </c>
      <c r="R147" s="369" t="str">
        <f t="shared" si="55"/>
        <v/>
      </c>
      <c r="S147" s="370" t="str">
        <f t="shared" si="56"/>
        <v/>
      </c>
      <c r="T147" s="370" t="str">
        <f t="shared" si="57"/>
        <v/>
      </c>
      <c r="U147" s="370" t="str">
        <f t="shared" si="58"/>
        <v/>
      </c>
      <c r="V147" s="407" t="str">
        <f>IF(E147="","",IFERROR(INDEX(Aktiv!$G:$G,MATCH(E147,Aktiv!$A:$A,0)),""))</f>
        <v/>
      </c>
      <c r="W147" s="407" t="str">
        <f>IF(E147="","",IFERROR(INDEX(Aktiv!$H:$H,MATCH(E147,Aktiv!$A:$A,0)),""))</f>
        <v/>
      </c>
      <c r="X147" s="407" t="str">
        <f>IF(E147="","",IFERROR(INDEX(Aktiv!$I:$I,MATCH(E147,Aktiv!$A:$A,0)),""))</f>
        <v/>
      </c>
      <c r="Y147" s="407" t="str">
        <f>IF(E147="","",IFERROR(INDEX(Aktiv!$J:$J,MATCH(E147,Aktiv!$A:$A,0)),""))</f>
        <v/>
      </c>
      <c r="Z147" s="371" t="str">
        <f t="shared" si="46"/>
        <v/>
      </c>
      <c r="AA147" s="371" t="str">
        <f t="shared" si="47"/>
        <v/>
      </c>
      <c r="AB147" s="371" t="str">
        <f t="shared" si="48"/>
        <v/>
      </c>
      <c r="AC147" s="371" t="str">
        <f t="shared" si="49"/>
        <v/>
      </c>
      <c r="AD147" s="366" t="str">
        <f>IF(E147="","",IFERROR(INDEX(Preisliste_2025!$E:$E,MATCH(E147,Preisliste_2025!$C:$C,0)),""))</f>
        <v/>
      </c>
      <c r="AE147" s="366" t="str">
        <f>IF(E147="","",IFERROR(INDEX(Preisliste_2025!$G:$G,MATCH(E147,Preisliste_2025!$C:$C,0)),""))</f>
        <v/>
      </c>
      <c r="AF147" s="366" t="str">
        <f>IF(E147="","",IFERROR(INDEX(Preisliste_2025!$F:$F,MATCH(E147,Preisliste_2025!$C:$C,0)),""))</f>
        <v/>
      </c>
      <c r="AG147" s="366" t="str">
        <f>IF(E147="","",IFERROR(INDEX(Preisliste_2025!$H:$H,MATCH(E147,Preisliste_2025!$C:$C,0)),""))</f>
        <v/>
      </c>
      <c r="AH147" s="367" t="str">
        <f t="shared" si="59"/>
        <v/>
      </c>
      <c r="AI147" s="361" t="str">
        <f t="shared" si="60"/>
        <v/>
      </c>
      <c r="AJ147" s="368" t="str">
        <f>IF(E147="","",IFERROR(INDEX(Aktiv!$E:$E,MATCH(E147,Aktiv!$A:$A,0))*INDEX(Aktiv!$F:$F,MATCH(E147,Aktiv!$A:$A,0)),""))</f>
        <v/>
      </c>
      <c r="AK147" s="361" t="str">
        <f t="shared" si="50"/>
        <v/>
      </c>
      <c r="AL147" s="361" t="str">
        <f t="shared" si="51"/>
        <v/>
      </c>
    </row>
    <row r="148" spans="1:38" x14ac:dyDescent="0.25">
      <c r="N148" s="365" t="str">
        <f t="shared" si="52"/>
        <v/>
      </c>
      <c r="O148" s="361" t="str">
        <f t="shared" si="53"/>
        <v/>
      </c>
      <c r="P148" s="361" t="str">
        <f t="shared" si="54"/>
        <v/>
      </c>
      <c r="Q148" s="361" t="str">
        <f t="shared" si="61"/>
        <v/>
      </c>
      <c r="R148" s="369" t="str">
        <f t="shared" si="55"/>
        <v/>
      </c>
      <c r="S148" s="370" t="str">
        <f t="shared" si="56"/>
        <v/>
      </c>
      <c r="T148" s="370" t="str">
        <f t="shared" si="57"/>
        <v/>
      </c>
      <c r="U148" s="370" t="str">
        <f t="shared" si="58"/>
        <v/>
      </c>
      <c r="V148" s="407" t="str">
        <f>IF(E148="","",IFERROR(INDEX(Aktiv!$G:$G,MATCH(E148,Aktiv!$A:$A,0)),""))</f>
        <v/>
      </c>
      <c r="W148" s="407" t="str">
        <f>IF(E148="","",IFERROR(INDEX(Aktiv!$H:$H,MATCH(E148,Aktiv!$A:$A,0)),""))</f>
        <v/>
      </c>
      <c r="X148" s="407" t="str">
        <f>IF(E148="","",IFERROR(INDEX(Aktiv!$I:$I,MATCH(E148,Aktiv!$A:$A,0)),""))</f>
        <v/>
      </c>
      <c r="Y148" s="407" t="str">
        <f>IF(E148="","",IFERROR(INDEX(Aktiv!$J:$J,MATCH(E148,Aktiv!$A:$A,0)),""))</f>
        <v/>
      </c>
      <c r="Z148" s="371" t="str">
        <f t="shared" si="46"/>
        <v/>
      </c>
      <c r="AA148" s="371" t="str">
        <f t="shared" si="47"/>
        <v/>
      </c>
      <c r="AB148" s="371" t="str">
        <f t="shared" si="48"/>
        <v/>
      </c>
      <c r="AC148" s="371" t="str">
        <f t="shared" si="49"/>
        <v/>
      </c>
      <c r="AD148" s="366" t="str">
        <f>IF(E148="","",IFERROR(INDEX(Preisliste_2025!$E:$E,MATCH(E148,Preisliste_2025!$C:$C,0)),""))</f>
        <v/>
      </c>
      <c r="AE148" s="366" t="str">
        <f>IF(E148="","",IFERROR(INDEX(Preisliste_2025!$G:$G,MATCH(E148,Preisliste_2025!$C:$C,0)),""))</f>
        <v/>
      </c>
      <c r="AF148" s="366" t="str">
        <f>IF(E148="","",IFERROR(INDEX(Preisliste_2025!$F:$F,MATCH(E148,Preisliste_2025!$C:$C,0)),""))</f>
        <v/>
      </c>
      <c r="AG148" s="366" t="str">
        <f>IF(E148="","",IFERROR(INDEX(Preisliste_2025!$H:$H,MATCH(E148,Preisliste_2025!$C:$C,0)),""))</f>
        <v/>
      </c>
      <c r="AH148" s="367" t="str">
        <f t="shared" si="59"/>
        <v/>
      </c>
      <c r="AI148" s="361" t="str">
        <f t="shared" si="60"/>
        <v/>
      </c>
      <c r="AJ148" s="368" t="str">
        <f>IF(E148="","",IFERROR(INDEX(Aktiv!$E:$E,MATCH(E148,Aktiv!$A:$A,0))*INDEX(Aktiv!$F:$F,MATCH(E148,Aktiv!$A:$A,0)),""))</f>
        <v/>
      </c>
      <c r="AK148" s="361" t="str">
        <f t="shared" si="50"/>
        <v/>
      </c>
      <c r="AL148" s="361" t="str">
        <f t="shared" si="51"/>
        <v/>
      </c>
    </row>
    <row r="149" spans="1:38" x14ac:dyDescent="0.25">
      <c r="N149" s="365" t="str">
        <f t="shared" si="52"/>
        <v/>
      </c>
      <c r="O149" s="361" t="str">
        <f t="shared" si="53"/>
        <v/>
      </c>
      <c r="P149" s="361" t="str">
        <f t="shared" si="54"/>
        <v/>
      </c>
      <c r="Q149" s="361" t="str">
        <f t="shared" si="61"/>
        <v/>
      </c>
      <c r="R149" s="369" t="str">
        <f t="shared" si="55"/>
        <v/>
      </c>
      <c r="S149" s="370" t="str">
        <f t="shared" si="56"/>
        <v/>
      </c>
      <c r="T149" s="370" t="str">
        <f t="shared" si="57"/>
        <v/>
      </c>
      <c r="U149" s="370" t="str">
        <f t="shared" si="58"/>
        <v/>
      </c>
      <c r="V149" s="407" t="str">
        <f>IF(E149="","",IFERROR(INDEX(Aktiv!$G:$G,MATCH(E149,Aktiv!$A:$A,0)),""))</f>
        <v/>
      </c>
      <c r="W149" s="407" t="str">
        <f>IF(E149="","",IFERROR(INDEX(Aktiv!$H:$H,MATCH(E149,Aktiv!$A:$A,0)),""))</f>
        <v/>
      </c>
      <c r="X149" s="407" t="str">
        <f>IF(E149="","",IFERROR(INDEX(Aktiv!$I:$I,MATCH(E149,Aktiv!$A:$A,0)),""))</f>
        <v/>
      </c>
      <c r="Y149" s="407" t="str">
        <f>IF(E149="","",IFERROR(INDEX(Aktiv!$J:$J,MATCH(E149,Aktiv!$A:$A,0)),""))</f>
        <v/>
      </c>
      <c r="Z149" s="371" t="str">
        <f t="shared" si="46"/>
        <v/>
      </c>
      <c r="AA149" s="371" t="str">
        <f t="shared" si="47"/>
        <v/>
      </c>
      <c r="AB149" s="371" t="str">
        <f t="shared" si="48"/>
        <v/>
      </c>
      <c r="AC149" s="371" t="str">
        <f t="shared" si="49"/>
        <v/>
      </c>
      <c r="AD149" s="366" t="str">
        <f>IF(E149="","",IFERROR(INDEX(Preisliste_2025!$E:$E,MATCH(E149,Preisliste_2025!$C:$C,0)),""))</f>
        <v/>
      </c>
      <c r="AE149" s="366" t="str">
        <f>IF(E149="","",IFERROR(INDEX(Preisliste_2025!$G:$G,MATCH(E149,Preisliste_2025!$C:$C,0)),""))</f>
        <v/>
      </c>
      <c r="AF149" s="366" t="str">
        <f>IF(E149="","",IFERROR(INDEX(Preisliste_2025!$F:$F,MATCH(E149,Preisliste_2025!$C:$C,0)),""))</f>
        <v/>
      </c>
      <c r="AG149" s="366" t="str">
        <f>IF(E149="","",IFERROR(INDEX(Preisliste_2025!$H:$H,MATCH(E149,Preisliste_2025!$C:$C,0)),""))</f>
        <v/>
      </c>
      <c r="AH149" s="367" t="str">
        <f t="shared" si="59"/>
        <v/>
      </c>
      <c r="AI149" s="361" t="str">
        <f t="shared" si="60"/>
        <v/>
      </c>
      <c r="AJ149" s="368" t="str">
        <f>IF(E149="","",IFERROR(INDEX(Aktiv!$E:$E,MATCH(E149,Aktiv!$A:$A,0))*INDEX(Aktiv!$F:$F,MATCH(E149,Aktiv!$A:$A,0)),""))</f>
        <v/>
      </c>
      <c r="AK149" s="361" t="str">
        <f t="shared" si="50"/>
        <v/>
      </c>
      <c r="AL149" s="361" t="str">
        <f t="shared" si="51"/>
        <v/>
      </c>
    </row>
    <row r="150" spans="1:38" x14ac:dyDescent="0.25">
      <c r="A150" s="449" t="s">
        <v>552</v>
      </c>
      <c r="B150" s="448"/>
      <c r="C150" s="448"/>
      <c r="D150" s="448"/>
      <c r="E150" s="448"/>
      <c r="F150" s="448"/>
      <c r="N150" s="365" t="str">
        <f t="shared" si="52"/>
        <v/>
      </c>
      <c r="O150" s="361" t="str">
        <f t="shared" si="53"/>
        <v/>
      </c>
      <c r="P150" s="361" t="str">
        <f t="shared" si="54"/>
        <v/>
      </c>
      <c r="Q150" s="361" t="str">
        <f t="shared" si="61"/>
        <v/>
      </c>
      <c r="R150" s="369" t="str">
        <f t="shared" si="55"/>
        <v/>
      </c>
      <c r="S150" s="370" t="str">
        <f t="shared" si="56"/>
        <v/>
      </c>
      <c r="T150" s="370" t="str">
        <f t="shared" si="57"/>
        <v/>
      </c>
      <c r="U150" s="370" t="str">
        <f t="shared" si="58"/>
        <v/>
      </c>
      <c r="V150" s="407" t="str">
        <f>IF(E150="","",IFERROR(INDEX(Aktiv!$G:$G,MATCH(E150,Aktiv!$A:$A,0)),""))</f>
        <v/>
      </c>
      <c r="W150" s="407" t="str">
        <f>IF(E150="","",IFERROR(INDEX(Aktiv!$H:$H,MATCH(E150,Aktiv!$A:$A,0)),""))</f>
        <v/>
      </c>
      <c r="X150" s="407" t="str">
        <f>IF(E150="","",IFERROR(INDEX(Aktiv!$I:$I,MATCH(E150,Aktiv!$A:$A,0)),""))</f>
        <v/>
      </c>
      <c r="Y150" s="407" t="str">
        <f>IF(E150="","",IFERROR(INDEX(Aktiv!$J:$J,MATCH(E150,Aktiv!$A:$A,0)),""))</f>
        <v/>
      </c>
      <c r="Z150" s="371" t="str">
        <f t="shared" si="46"/>
        <v/>
      </c>
      <c r="AA150" s="371" t="str">
        <f t="shared" si="47"/>
        <v/>
      </c>
      <c r="AB150" s="371" t="str">
        <f t="shared" si="48"/>
        <v/>
      </c>
      <c r="AC150" s="371" t="str">
        <f t="shared" si="49"/>
        <v/>
      </c>
      <c r="AD150" s="366" t="str">
        <f>IF(E150="","",IFERROR(INDEX(Preisliste_2025!$E:$E,MATCH(E150,Preisliste_2025!$C:$C,0)),""))</f>
        <v/>
      </c>
      <c r="AE150" s="366" t="str">
        <f>IF(E150="","",IFERROR(INDEX(Preisliste_2025!$G:$G,MATCH(E150,Preisliste_2025!$C:$C,0)),""))</f>
        <v/>
      </c>
      <c r="AF150" s="366" t="str">
        <f>IF(E150="","",IFERROR(INDEX(Preisliste_2025!$F:$F,MATCH(E150,Preisliste_2025!$C:$C,0)),""))</f>
        <v/>
      </c>
      <c r="AG150" s="366" t="str">
        <f>IF(E150="","",IFERROR(INDEX(Preisliste_2025!$H:$H,MATCH(E150,Preisliste_2025!$C:$C,0)),""))</f>
        <v/>
      </c>
      <c r="AH150" s="367" t="str">
        <f t="shared" si="59"/>
        <v/>
      </c>
      <c r="AI150" s="361" t="str">
        <f t="shared" si="60"/>
        <v/>
      </c>
      <c r="AJ150" s="368" t="str">
        <f>IF(E150="","",IFERROR(INDEX(Aktiv!$E:$E,MATCH(E150,Aktiv!$A:$A,0))*INDEX(Aktiv!$F:$F,MATCH(E150,Aktiv!$A:$A,0)),""))</f>
        <v/>
      </c>
      <c r="AK150" s="361" t="str">
        <f t="shared" si="50"/>
        <v/>
      </c>
      <c r="AL150" s="361" t="str">
        <f t="shared" si="51"/>
        <v/>
      </c>
    </row>
    <row r="151" spans="1:38" x14ac:dyDescent="0.25">
      <c r="A151" s="472" t="s">
        <v>557</v>
      </c>
      <c r="B151" s="448"/>
      <c r="C151" s="448"/>
      <c r="D151" s="448"/>
      <c r="E151" s="448"/>
      <c r="F151" s="448"/>
      <c r="N151" s="365" t="str">
        <f t="shared" si="52"/>
        <v/>
      </c>
      <c r="O151" s="361" t="str">
        <f t="shared" si="53"/>
        <v/>
      </c>
      <c r="P151" s="361" t="str">
        <f t="shared" si="54"/>
        <v/>
      </c>
      <c r="Q151" s="361" t="str">
        <f t="shared" si="61"/>
        <v/>
      </c>
      <c r="R151" s="369" t="str">
        <f t="shared" si="55"/>
        <v/>
      </c>
      <c r="S151" s="370" t="str">
        <f t="shared" si="56"/>
        <v/>
      </c>
      <c r="T151" s="370" t="str">
        <f t="shared" si="57"/>
        <v/>
      </c>
      <c r="U151" s="370" t="str">
        <f t="shared" si="58"/>
        <v/>
      </c>
      <c r="V151" s="407" t="str">
        <f>IF(E151="","",IFERROR(INDEX(Aktiv!$G:$G,MATCH(E151,Aktiv!$A:$A,0)),""))</f>
        <v/>
      </c>
      <c r="W151" s="407" t="str">
        <f>IF(E151="","",IFERROR(INDEX(Aktiv!$H:$H,MATCH(E151,Aktiv!$A:$A,0)),""))</f>
        <v/>
      </c>
      <c r="X151" s="407" t="str">
        <f>IF(E151="","",IFERROR(INDEX(Aktiv!$I:$I,MATCH(E151,Aktiv!$A:$A,0)),""))</f>
        <v/>
      </c>
      <c r="Y151" s="407" t="str">
        <f>IF(E151="","",IFERROR(INDEX(Aktiv!$J:$J,MATCH(E151,Aktiv!$A:$A,0)),""))</f>
        <v/>
      </c>
      <c r="Z151" s="371" t="str">
        <f t="shared" si="46"/>
        <v/>
      </c>
      <c r="AA151" s="371" t="str">
        <f t="shared" si="47"/>
        <v/>
      </c>
      <c r="AB151" s="371" t="str">
        <f t="shared" si="48"/>
        <v/>
      </c>
      <c r="AC151" s="371" t="str">
        <f t="shared" si="49"/>
        <v/>
      </c>
      <c r="AD151" s="366" t="str">
        <f>IF(E151="","",IFERROR(INDEX(Preisliste_2025!$E:$E,MATCH(E151,Preisliste_2025!$C:$C,0)),""))</f>
        <v/>
      </c>
      <c r="AE151" s="366" t="str">
        <f>IF(E151="","",IFERROR(INDEX(Preisliste_2025!$G:$G,MATCH(E151,Preisliste_2025!$C:$C,0)),""))</f>
        <v/>
      </c>
      <c r="AF151" s="366" t="str">
        <f>IF(E151="","",IFERROR(INDEX(Preisliste_2025!$F:$F,MATCH(E151,Preisliste_2025!$C:$C,0)),""))</f>
        <v/>
      </c>
      <c r="AG151" s="366" t="str">
        <f>IF(E151="","",IFERROR(INDEX(Preisliste_2025!$H:$H,MATCH(E151,Preisliste_2025!$C:$C,0)),""))</f>
        <v/>
      </c>
      <c r="AH151" s="367" t="str">
        <f t="shared" si="59"/>
        <v/>
      </c>
      <c r="AI151" s="361" t="str">
        <f t="shared" si="60"/>
        <v/>
      </c>
      <c r="AJ151" s="368" t="str">
        <f>IF(E151="","",IFERROR(INDEX(Aktiv!$E:$E,MATCH(E151,Aktiv!$A:$A,0))*INDEX(Aktiv!$F:$F,MATCH(E151,Aktiv!$A:$A,0)),""))</f>
        <v/>
      </c>
      <c r="AK151" s="361" t="str">
        <f t="shared" si="50"/>
        <v/>
      </c>
      <c r="AL151" s="361" t="str">
        <f t="shared" si="51"/>
        <v/>
      </c>
    </row>
    <row r="152" spans="1:38" x14ac:dyDescent="0.25">
      <c r="A152" s="346" t="s">
        <v>370</v>
      </c>
      <c r="B152" s="347" t="s">
        <v>553</v>
      </c>
      <c r="C152" s="347" t="s">
        <v>554</v>
      </c>
      <c r="D152" s="347" t="s">
        <v>555</v>
      </c>
      <c r="E152" s="347" t="s">
        <v>558</v>
      </c>
      <c r="F152" s="348" t="s">
        <v>559</v>
      </c>
      <c r="N152" s="365" t="str">
        <f t="shared" si="52"/>
        <v/>
      </c>
      <c r="O152" s="361" t="str">
        <f t="shared" si="53"/>
        <v/>
      </c>
      <c r="P152" s="361" t="str">
        <f t="shared" si="54"/>
        <v/>
      </c>
      <c r="Q152" s="361" t="str">
        <f t="shared" si="61"/>
        <v/>
      </c>
      <c r="R152" s="369" t="str">
        <f t="shared" si="55"/>
        <v/>
      </c>
      <c r="S152" s="370" t="str">
        <f t="shared" si="56"/>
        <v/>
      </c>
      <c r="T152" s="370" t="str">
        <f t="shared" si="57"/>
        <v/>
      </c>
      <c r="U152" s="370" t="str">
        <f t="shared" si="58"/>
        <v/>
      </c>
      <c r="V152" s="407" t="str">
        <f>IF(E152="","",IFERROR(INDEX(Aktiv!$G:$G,MATCH(E152,Aktiv!$A:$A,0)),""))</f>
        <v/>
      </c>
      <c r="W152" s="407" t="str">
        <f>IF(E152="","",IFERROR(INDEX(Aktiv!$H:$H,MATCH(E152,Aktiv!$A:$A,0)),""))</f>
        <v/>
      </c>
      <c r="X152" s="407" t="str">
        <f>IF(E152="","",IFERROR(INDEX(Aktiv!$I:$I,MATCH(E152,Aktiv!$A:$A,0)),""))</f>
        <v/>
      </c>
      <c r="Y152" s="407" t="str">
        <f>IF(E152="","",IFERROR(INDEX(Aktiv!$J:$J,MATCH(E152,Aktiv!$A:$A,0)),""))</f>
        <v/>
      </c>
      <c r="Z152" s="371" t="str">
        <f t="shared" si="46"/>
        <v/>
      </c>
      <c r="AA152" s="371" t="str">
        <f t="shared" si="47"/>
        <v/>
      </c>
      <c r="AB152" s="371" t="str">
        <f t="shared" si="48"/>
        <v/>
      </c>
      <c r="AC152" s="371" t="str">
        <f t="shared" si="49"/>
        <v/>
      </c>
      <c r="AD152" s="366" t="str">
        <f>IF(E152="","",IFERROR(INDEX(Preisliste_2025!$E:$E,MATCH(E152,Preisliste_2025!$C:$C,0)),""))</f>
        <v/>
      </c>
      <c r="AE152" s="366" t="str">
        <f>IF(E152="","",IFERROR(INDEX(Preisliste_2025!$G:$G,MATCH(E152,Preisliste_2025!$C:$C,0)),""))</f>
        <v/>
      </c>
      <c r="AF152" s="366" t="str">
        <f>IF(E152="","",IFERROR(INDEX(Preisliste_2025!$F:$F,MATCH(E152,Preisliste_2025!$C:$C,0)),""))</f>
        <v/>
      </c>
      <c r="AG152" s="366" t="str">
        <f>IF(E152="","",IFERROR(INDEX(Preisliste_2025!$H:$H,MATCH(E152,Preisliste_2025!$C:$C,0)),""))</f>
        <v/>
      </c>
      <c r="AH152" s="367" t="str">
        <f t="shared" si="59"/>
        <v/>
      </c>
      <c r="AI152" s="361" t="str">
        <f t="shared" si="60"/>
        <v/>
      </c>
      <c r="AJ152" s="368" t="str">
        <f>IF(E152="","",IFERROR(INDEX(Aktiv!$E:$E,MATCH(E152,Aktiv!$A:$A,0))*INDEX(Aktiv!$F:$F,MATCH(E152,Aktiv!$A:$A,0)),""))</f>
        <v/>
      </c>
      <c r="AK152" s="361" t="str">
        <f t="shared" si="50"/>
        <v/>
      </c>
      <c r="AL152" s="361" t="str">
        <f t="shared" si="51"/>
        <v/>
      </c>
    </row>
    <row r="153" spans="1:38" x14ac:dyDescent="0.25">
      <c r="A153" s="340" t="s">
        <v>422</v>
      </c>
      <c r="B153" s="349">
        <f>IFERROR(AVERAGE(AC7:AC25),"-")</f>
        <v>-1.2327774688968235E-2</v>
      </c>
      <c r="C153" s="349">
        <f>IFERROR(AVERAGE(AH7:AH25),"-")</f>
        <v>2.6970943398647562</v>
      </c>
      <c r="D153" s="350">
        <f t="shared" ref="D153:D158" si="63">IFERROR(C153/B153-1,"-")</f>
        <v>-219.78193006547298</v>
      </c>
      <c r="E153" s="351">
        <f>IFERROR(MIN(AB7:AB25),"-")</f>
        <v>7.6923076923076927E-3</v>
      </c>
      <c r="F153" s="352">
        <f>IFERROR(MAX(AB7:AB25),"-")</f>
        <v>0.40471092077087795</v>
      </c>
      <c r="N153" s="365" t="str">
        <f t="shared" si="52"/>
        <v/>
      </c>
      <c r="O153" s="361" t="str">
        <f t="shared" si="53"/>
        <v/>
      </c>
      <c r="P153" s="361" t="str">
        <f t="shared" si="54"/>
        <v/>
      </c>
      <c r="Q153" s="361" t="str">
        <f t="shared" si="61"/>
        <v/>
      </c>
      <c r="R153" s="369" t="str">
        <f t="shared" si="55"/>
        <v/>
      </c>
      <c r="S153" s="370" t="str">
        <f t="shared" si="56"/>
        <v/>
      </c>
      <c r="T153" s="370" t="str">
        <f t="shared" si="57"/>
        <v/>
      </c>
      <c r="U153" s="370" t="str">
        <f t="shared" si="58"/>
        <v/>
      </c>
      <c r="V153" s="407" t="str">
        <f>IF(E153="","",IFERROR(INDEX(Aktiv!$G:$G,MATCH(E153,Aktiv!$A:$A,0)),""))</f>
        <v/>
      </c>
      <c r="W153" s="407" t="str">
        <f>IF(E153="","",IFERROR(INDEX(Aktiv!$H:$H,MATCH(E153,Aktiv!$A:$A,0)),""))</f>
        <v/>
      </c>
      <c r="X153" s="407" t="str">
        <f>IF(E153="","",IFERROR(INDEX(Aktiv!$I:$I,MATCH(E153,Aktiv!$A:$A,0)),""))</f>
        <v/>
      </c>
      <c r="Y153" s="407" t="str">
        <f>IF(E153="","",IFERROR(INDEX(Aktiv!$J:$J,MATCH(E153,Aktiv!$A:$A,0)),""))</f>
        <v/>
      </c>
      <c r="Z153" s="371" t="str">
        <f t="shared" si="46"/>
        <v/>
      </c>
      <c r="AA153" s="371" t="str">
        <f t="shared" si="47"/>
        <v/>
      </c>
      <c r="AB153" s="371" t="str">
        <f t="shared" si="48"/>
        <v/>
      </c>
      <c r="AC153" s="371" t="str">
        <f t="shared" si="49"/>
        <v/>
      </c>
      <c r="AD153" s="366" t="str">
        <f>IF(E153="","",IFERROR(INDEX(Preisliste_2025!$E:$E,MATCH(E153,Preisliste_2025!$C:$C,0)),""))</f>
        <v/>
      </c>
      <c r="AE153" s="366" t="str">
        <f>IF(E153="","",IFERROR(INDEX(Preisliste_2025!$G:$G,MATCH(E153,Preisliste_2025!$C:$C,0)),""))</f>
        <v/>
      </c>
      <c r="AF153" s="366" t="str">
        <f>IF(E153="","",IFERROR(INDEX(Preisliste_2025!$F:$F,MATCH(E153,Preisliste_2025!$C:$C,0)),""))</f>
        <v/>
      </c>
      <c r="AG153" s="366" t="str">
        <f>IF(E153="","",IFERROR(INDEX(Preisliste_2025!$H:$H,MATCH(E153,Preisliste_2025!$C:$C,0)),""))</f>
        <v/>
      </c>
      <c r="AH153" s="367" t="str">
        <f t="shared" si="59"/>
        <v/>
      </c>
      <c r="AI153" s="361" t="str">
        <f t="shared" si="60"/>
        <v/>
      </c>
      <c r="AJ153" s="368" t="str">
        <f>IF(E153="","",IFERROR(INDEX(Aktiv!$E:$E,MATCH(E153,Aktiv!$A:$A,0))*INDEX(Aktiv!$F:$F,MATCH(E153,Aktiv!$A:$A,0)),""))</f>
        <v/>
      </c>
      <c r="AK153" s="361" t="str">
        <f t="shared" si="50"/>
        <v/>
      </c>
      <c r="AL153" s="361" t="str">
        <f t="shared" si="51"/>
        <v/>
      </c>
    </row>
    <row r="154" spans="1:38" x14ac:dyDescent="0.25">
      <c r="A154" s="340" t="s">
        <v>78</v>
      </c>
      <c r="B154" s="349">
        <f>IFERROR(AVERAGE(AC26:AC45),"-")</f>
        <v>9.7079190979089791E-2</v>
      </c>
      <c r="C154" s="349">
        <f>IFERROR(AVERAGE(AH26:AH45),"-")</f>
        <v>2.5259672627235021</v>
      </c>
      <c r="D154" s="350">
        <f t="shared" si="63"/>
        <v>25.019657119594029</v>
      </c>
      <c r="E154" s="351">
        <f>IFERROR(MIN(AB26:AB45),"-")</f>
        <v>7.6923076923076927E-3</v>
      </c>
      <c r="F154" s="352">
        <f>IFERROR(MAX(AB26:AB45),"-")</f>
        <v>0.43993506493506496</v>
      </c>
      <c r="N154" s="365" t="str">
        <f t="shared" si="52"/>
        <v/>
      </c>
      <c r="O154" s="361" t="str">
        <f t="shared" si="53"/>
        <v/>
      </c>
      <c r="P154" s="361" t="str">
        <f t="shared" si="54"/>
        <v/>
      </c>
      <c r="Q154" s="361" t="str">
        <f t="shared" si="61"/>
        <v/>
      </c>
      <c r="R154" s="369" t="str">
        <f t="shared" si="55"/>
        <v/>
      </c>
      <c r="S154" s="370" t="str">
        <f t="shared" si="56"/>
        <v/>
      </c>
      <c r="T154" s="370" t="str">
        <f t="shared" si="57"/>
        <v/>
      </c>
      <c r="U154" s="370" t="str">
        <f t="shared" si="58"/>
        <v/>
      </c>
      <c r="V154" s="407" t="str">
        <f>IF(E154="","",IFERROR(INDEX(Aktiv!$G:$G,MATCH(E154,Aktiv!$A:$A,0)),""))</f>
        <v/>
      </c>
      <c r="W154" s="407" t="str">
        <f>IF(E154="","",IFERROR(INDEX(Aktiv!$H:$H,MATCH(E154,Aktiv!$A:$A,0)),""))</f>
        <v/>
      </c>
      <c r="X154" s="407" t="str">
        <f>IF(E154="","",IFERROR(INDEX(Aktiv!$I:$I,MATCH(E154,Aktiv!$A:$A,0)),""))</f>
        <v/>
      </c>
      <c r="Y154" s="407" t="str">
        <f>IF(E154="","",IFERROR(INDEX(Aktiv!$J:$J,MATCH(E154,Aktiv!$A:$A,0)),""))</f>
        <v/>
      </c>
      <c r="Z154" s="371" t="str">
        <f t="shared" si="46"/>
        <v/>
      </c>
      <c r="AA154" s="371" t="str">
        <f t="shared" si="47"/>
        <v/>
      </c>
      <c r="AB154" s="371" t="str">
        <f t="shared" si="48"/>
        <v/>
      </c>
      <c r="AC154" s="371" t="str">
        <f t="shared" si="49"/>
        <v/>
      </c>
      <c r="AD154" s="366" t="str">
        <f>IF(E154="","",IFERROR(INDEX(Preisliste_2025!$E:$E,MATCH(E154,Preisliste_2025!$C:$C,0)),""))</f>
        <v/>
      </c>
      <c r="AE154" s="366" t="str">
        <f>IF(E154="","",IFERROR(INDEX(Preisliste_2025!$G:$G,MATCH(E154,Preisliste_2025!$C:$C,0)),""))</f>
        <v/>
      </c>
      <c r="AF154" s="366" t="str">
        <f>IF(E154="","",IFERROR(INDEX(Preisliste_2025!$F:$F,MATCH(E154,Preisliste_2025!$C:$C,0)),""))</f>
        <v/>
      </c>
      <c r="AG154" s="366" t="str">
        <f>IF(E154="","",IFERROR(INDEX(Preisliste_2025!$H:$H,MATCH(E154,Preisliste_2025!$C:$C,0)),""))</f>
        <v/>
      </c>
      <c r="AH154" s="367" t="str">
        <f t="shared" si="59"/>
        <v/>
      </c>
      <c r="AI154" s="361" t="str">
        <f t="shared" si="60"/>
        <v/>
      </c>
      <c r="AJ154" s="368" t="str">
        <f>IF(E154="","",IFERROR(INDEX(Aktiv!$E:$E,MATCH(E154,Aktiv!$A:$A,0))*INDEX(Aktiv!$F:$F,MATCH(E154,Aktiv!$A:$A,0)),""))</f>
        <v/>
      </c>
      <c r="AK154" s="361" t="str">
        <f t="shared" si="50"/>
        <v/>
      </c>
      <c r="AL154" s="361" t="str">
        <f t="shared" si="51"/>
        <v/>
      </c>
    </row>
    <row r="155" spans="1:38" x14ac:dyDescent="0.25">
      <c r="A155" s="340" t="s">
        <v>459</v>
      </c>
      <c r="B155" s="349">
        <f>IFERROR(AVERAGE(AC47:AC72),"-")</f>
        <v>0.17635674023621853</v>
      </c>
      <c r="C155" s="349">
        <f>IFERROR(AVERAGE(AH47:AH72),"-")</f>
        <v>1.4070573889341025</v>
      </c>
      <c r="D155" s="350">
        <f t="shared" si="63"/>
        <v>6.9784724249804091</v>
      </c>
      <c r="E155" s="351">
        <f>IFERROR(MIN(AB47:AB72),"-")</f>
        <v>-5.3892215568862277E-2</v>
      </c>
      <c r="F155" s="352">
        <f>IFERROR(MAX(AB47:AB72),"-")</f>
        <v>0.83478260869565213</v>
      </c>
      <c r="N155" s="365" t="str">
        <f t="shared" si="52"/>
        <v/>
      </c>
      <c r="O155" s="361" t="str">
        <f t="shared" si="53"/>
        <v/>
      </c>
      <c r="P155" s="361" t="str">
        <f t="shared" si="54"/>
        <v/>
      </c>
      <c r="Q155" s="361" t="str">
        <f t="shared" si="61"/>
        <v/>
      </c>
      <c r="R155" s="369" t="str">
        <f t="shared" si="55"/>
        <v/>
      </c>
      <c r="S155" s="370" t="str">
        <f t="shared" si="56"/>
        <v/>
      </c>
      <c r="T155" s="370" t="str">
        <f t="shared" si="57"/>
        <v/>
      </c>
      <c r="U155" s="370" t="str">
        <f t="shared" si="58"/>
        <v/>
      </c>
      <c r="V155" s="407" t="str">
        <f>IF(E155="","",IFERROR(INDEX(Aktiv!$G:$G,MATCH(E155,Aktiv!$A:$A,0)),""))</f>
        <v/>
      </c>
      <c r="W155" s="407" t="str">
        <f>IF(E155="","",IFERROR(INDEX(Aktiv!$H:$H,MATCH(E155,Aktiv!$A:$A,0)),""))</f>
        <v/>
      </c>
      <c r="X155" s="407" t="str">
        <f>IF(E155="","",IFERROR(INDEX(Aktiv!$I:$I,MATCH(E155,Aktiv!$A:$A,0)),""))</f>
        <v/>
      </c>
      <c r="Y155" s="407" t="str">
        <f>IF(E155="","",IFERROR(INDEX(Aktiv!$J:$J,MATCH(E155,Aktiv!$A:$A,0)),""))</f>
        <v/>
      </c>
      <c r="Z155" s="371" t="str">
        <f t="shared" si="46"/>
        <v/>
      </c>
      <c r="AA155" s="371" t="str">
        <f t="shared" si="47"/>
        <v/>
      </c>
      <c r="AB155" s="371" t="str">
        <f t="shared" si="48"/>
        <v/>
      </c>
      <c r="AC155" s="371" t="str">
        <f t="shared" si="49"/>
        <v/>
      </c>
      <c r="AD155" s="366" t="str">
        <f>IF(E155="","",IFERROR(INDEX(Preisliste_2025!$E:$E,MATCH(E155,Preisliste_2025!$C:$C,0)),""))</f>
        <v/>
      </c>
      <c r="AE155" s="366" t="str">
        <f>IF(E155="","",IFERROR(INDEX(Preisliste_2025!$G:$G,MATCH(E155,Preisliste_2025!$C:$C,0)),""))</f>
        <v/>
      </c>
      <c r="AF155" s="366" t="str">
        <f>IF(E155="","",IFERROR(INDEX(Preisliste_2025!$F:$F,MATCH(E155,Preisliste_2025!$C:$C,0)),""))</f>
        <v/>
      </c>
      <c r="AG155" s="366" t="str">
        <f>IF(E155="","",IFERROR(INDEX(Preisliste_2025!$H:$H,MATCH(E155,Preisliste_2025!$C:$C,0)),""))</f>
        <v/>
      </c>
      <c r="AH155" s="367" t="str">
        <f t="shared" si="59"/>
        <v/>
      </c>
      <c r="AI155" s="361" t="str">
        <f t="shared" si="60"/>
        <v/>
      </c>
      <c r="AJ155" s="368" t="str">
        <f>IF(E155="","",IFERROR(INDEX(Aktiv!$E:$E,MATCH(E155,Aktiv!$A:$A,0))*INDEX(Aktiv!$F:$F,MATCH(E155,Aktiv!$A:$A,0)),""))</f>
        <v/>
      </c>
      <c r="AK155" s="361" t="str">
        <f t="shared" si="50"/>
        <v/>
      </c>
      <c r="AL155" s="361" t="str">
        <f t="shared" si="51"/>
        <v/>
      </c>
    </row>
    <row r="156" spans="1:38" x14ac:dyDescent="0.25">
      <c r="A156" s="340" t="s">
        <v>460</v>
      </c>
      <c r="B156" s="349" t="str">
        <f>IFERROR(AVERAGE(AC74:AC97),"-")</f>
        <v>-</v>
      </c>
      <c r="C156" s="349">
        <f>IFERROR(AVERAGE(AH74:AH97),"-")</f>
        <v>1.2250350894591497</v>
      </c>
      <c r="D156" s="350" t="str">
        <f t="shared" si="63"/>
        <v>-</v>
      </c>
      <c r="E156" s="351">
        <f>IFERROR(MIN(AB74:AB97),"-")</f>
        <v>-0.18444846292947559</v>
      </c>
      <c r="F156" s="352">
        <f>IFERROR(MAX(AB74:AB97),"-")</f>
        <v>0.17325227963525835</v>
      </c>
      <c r="N156" s="365" t="str">
        <f t="shared" si="52"/>
        <v/>
      </c>
      <c r="O156" s="361" t="str">
        <f t="shared" si="53"/>
        <v/>
      </c>
      <c r="P156" s="361" t="str">
        <f t="shared" si="54"/>
        <v/>
      </c>
      <c r="Q156" s="361" t="str">
        <f t="shared" si="61"/>
        <v/>
      </c>
      <c r="R156" s="369" t="str">
        <f t="shared" si="55"/>
        <v/>
      </c>
      <c r="S156" s="370" t="str">
        <f t="shared" si="56"/>
        <v/>
      </c>
      <c r="T156" s="370" t="str">
        <f t="shared" si="57"/>
        <v/>
      </c>
      <c r="U156" s="370" t="str">
        <f t="shared" si="58"/>
        <v/>
      </c>
      <c r="V156" s="407" t="str">
        <f>IF(E156="","",IFERROR(INDEX(Aktiv!$G:$G,MATCH(E156,Aktiv!$A:$A,0)),""))</f>
        <v/>
      </c>
      <c r="W156" s="407" t="str">
        <f>IF(E156="","",IFERROR(INDEX(Aktiv!$H:$H,MATCH(E156,Aktiv!$A:$A,0)),""))</f>
        <v/>
      </c>
      <c r="X156" s="407" t="str">
        <f>IF(E156="","",IFERROR(INDEX(Aktiv!$I:$I,MATCH(E156,Aktiv!$A:$A,0)),""))</f>
        <v/>
      </c>
      <c r="Y156" s="407" t="str">
        <f>IF(E156="","",IFERROR(INDEX(Aktiv!$J:$J,MATCH(E156,Aktiv!$A:$A,0)),""))</f>
        <v/>
      </c>
      <c r="Z156" s="371" t="str">
        <f t="shared" si="46"/>
        <v/>
      </c>
      <c r="AA156" s="371" t="str">
        <f t="shared" si="47"/>
        <v/>
      </c>
      <c r="AB156" s="371" t="str">
        <f t="shared" si="48"/>
        <v/>
      </c>
      <c r="AC156" s="371" t="str">
        <f t="shared" si="49"/>
        <v/>
      </c>
      <c r="AD156" s="366" t="str">
        <f>IF(E156="","",IFERROR(INDEX(Preisliste_2025!$E:$E,MATCH(E156,Preisliste_2025!$C:$C,0)),""))</f>
        <v/>
      </c>
      <c r="AE156" s="366" t="str">
        <f>IF(E156="","",IFERROR(INDEX(Preisliste_2025!$G:$G,MATCH(E156,Preisliste_2025!$C:$C,0)),""))</f>
        <v/>
      </c>
      <c r="AF156" s="366" t="str">
        <f>IF(E156="","",IFERROR(INDEX(Preisliste_2025!$F:$F,MATCH(E156,Preisliste_2025!$C:$C,0)),""))</f>
        <v/>
      </c>
      <c r="AG156" s="366" t="str">
        <f>IF(E156="","",IFERROR(INDEX(Preisliste_2025!$H:$H,MATCH(E156,Preisliste_2025!$C:$C,0)),""))</f>
        <v/>
      </c>
      <c r="AH156" s="367" t="str">
        <f t="shared" si="59"/>
        <v/>
      </c>
      <c r="AI156" s="361" t="str">
        <f t="shared" si="60"/>
        <v/>
      </c>
      <c r="AJ156" s="368" t="str">
        <f>IF(E156="","",IFERROR(INDEX(Aktiv!$E:$E,MATCH(E156,Aktiv!$A:$A,0))*INDEX(Aktiv!$F:$F,MATCH(E156,Aktiv!$A:$A,0)),""))</f>
        <v/>
      </c>
      <c r="AK156" s="361" t="str">
        <f t="shared" si="50"/>
        <v/>
      </c>
      <c r="AL156" s="361" t="str">
        <f t="shared" si="51"/>
        <v/>
      </c>
    </row>
    <row r="157" spans="1:38" x14ac:dyDescent="0.25">
      <c r="A157" s="340" t="s">
        <v>466</v>
      </c>
      <c r="B157" s="349" t="str">
        <f>IFERROR(AVERAGE(#REF!),"-")</f>
        <v>-</v>
      </c>
      <c r="C157" s="349" t="str">
        <f>IFERROR(AVERAGE(#REF!),"-")</f>
        <v>-</v>
      </c>
      <c r="D157" s="350" t="str">
        <f t="shared" si="63"/>
        <v>-</v>
      </c>
      <c r="E157" s="351" t="str">
        <f>IFERROR(MIN(#REF!),"-")</f>
        <v>-</v>
      </c>
      <c r="F157" s="352" t="str">
        <f>IFERROR(MAX(#REF!),"-")</f>
        <v>-</v>
      </c>
      <c r="N157" s="365" t="str">
        <f t="shared" si="52"/>
        <v/>
      </c>
      <c r="O157" s="361" t="str">
        <f t="shared" si="53"/>
        <v/>
      </c>
      <c r="P157" s="361" t="str">
        <f t="shared" si="54"/>
        <v/>
      </c>
      <c r="Q157" s="361" t="str">
        <f t="shared" si="61"/>
        <v/>
      </c>
      <c r="R157" s="369" t="str">
        <f t="shared" si="55"/>
        <v/>
      </c>
      <c r="S157" s="370" t="str">
        <f t="shared" si="56"/>
        <v/>
      </c>
      <c r="T157" s="370" t="str">
        <f t="shared" si="57"/>
        <v/>
      </c>
      <c r="U157" s="370" t="str">
        <f t="shared" si="58"/>
        <v/>
      </c>
      <c r="V157" s="407" t="str">
        <f>IF(E157="","",IFERROR(INDEX(Aktiv!$G:$G,MATCH(E157,Aktiv!$A:$A,0)),""))</f>
        <v/>
      </c>
      <c r="W157" s="407" t="str">
        <f>IF(E157="","",IFERROR(INDEX(Aktiv!$H:$H,MATCH(E157,Aktiv!$A:$A,0)),""))</f>
        <v/>
      </c>
      <c r="X157" s="407" t="str">
        <f>IF(E157="","",IFERROR(INDEX(Aktiv!$I:$I,MATCH(E157,Aktiv!$A:$A,0)),""))</f>
        <v/>
      </c>
      <c r="Y157" s="407" t="str">
        <f>IF(E157="","",IFERROR(INDEX(Aktiv!$J:$J,MATCH(E157,Aktiv!$A:$A,0)),""))</f>
        <v/>
      </c>
      <c r="Z157" s="371" t="str">
        <f t="shared" si="46"/>
        <v/>
      </c>
      <c r="AA157" s="371" t="str">
        <f t="shared" si="47"/>
        <v/>
      </c>
      <c r="AB157" s="371" t="str">
        <f t="shared" si="48"/>
        <v/>
      </c>
      <c r="AC157" s="371" t="str">
        <f t="shared" si="49"/>
        <v/>
      </c>
      <c r="AD157" s="366" t="str">
        <f>IF(E157="","",IFERROR(INDEX(Preisliste_2025!$E:$E,MATCH(E157,Preisliste_2025!$C:$C,0)),""))</f>
        <v/>
      </c>
      <c r="AE157" s="366" t="str">
        <f>IF(E157="","",IFERROR(INDEX(Preisliste_2025!$G:$G,MATCH(E157,Preisliste_2025!$C:$C,0)),""))</f>
        <v/>
      </c>
      <c r="AF157" s="366" t="str">
        <f>IF(E157="","",IFERROR(INDEX(Preisliste_2025!$F:$F,MATCH(E157,Preisliste_2025!$C:$C,0)),""))</f>
        <v/>
      </c>
      <c r="AG157" s="366" t="str">
        <f>IF(E157="","",IFERROR(INDEX(Preisliste_2025!$H:$H,MATCH(E157,Preisliste_2025!$C:$C,0)),""))</f>
        <v/>
      </c>
      <c r="AH157" s="367" t="str">
        <f t="shared" si="59"/>
        <v/>
      </c>
      <c r="AI157" s="361" t="str">
        <f t="shared" si="60"/>
        <v/>
      </c>
      <c r="AJ157" s="368" t="str">
        <f>IF(E157="","",IFERROR(INDEX(Aktiv!$E:$E,MATCH(E157,Aktiv!$A:$A,0))*INDEX(Aktiv!$F:$F,MATCH(E157,Aktiv!$A:$A,0)),""))</f>
        <v/>
      </c>
      <c r="AK157" s="361" t="str">
        <f t="shared" si="50"/>
        <v/>
      </c>
      <c r="AL157" s="361" t="str">
        <f t="shared" si="51"/>
        <v/>
      </c>
    </row>
    <row r="158" spans="1:38" x14ac:dyDescent="0.25">
      <c r="A158" s="343" t="s">
        <v>521</v>
      </c>
      <c r="B158" s="353" t="str">
        <f>IFERROR(AVERAGE(#REF!),"-")</f>
        <v>-</v>
      </c>
      <c r="C158" s="353" t="str">
        <f>IFERROR(AVERAGE(#REF!),"-")</f>
        <v>-</v>
      </c>
      <c r="D158" s="354" t="str">
        <f t="shared" si="63"/>
        <v>-</v>
      </c>
      <c r="E158" s="355" t="str">
        <f>IFERROR(MIN(#REF!),"-")</f>
        <v>-</v>
      </c>
      <c r="F158" s="356" t="str">
        <f>IFERROR(MAX(#REF!),"-")</f>
        <v>-</v>
      </c>
      <c r="N158" s="365" t="str">
        <f t="shared" si="52"/>
        <v/>
      </c>
      <c r="O158" s="361" t="str">
        <f t="shared" si="53"/>
        <v/>
      </c>
      <c r="P158" s="361" t="str">
        <f t="shared" si="54"/>
        <v/>
      </c>
      <c r="Q158" s="361" t="str">
        <f t="shared" si="61"/>
        <v/>
      </c>
      <c r="R158" s="369" t="str">
        <f t="shared" si="55"/>
        <v/>
      </c>
      <c r="S158" s="370" t="str">
        <f t="shared" si="56"/>
        <v/>
      </c>
      <c r="T158" s="370" t="str">
        <f t="shared" si="57"/>
        <v/>
      </c>
      <c r="U158" s="370" t="str">
        <f t="shared" si="58"/>
        <v/>
      </c>
      <c r="V158" s="407" t="str">
        <f>IF(E158="","",IFERROR(INDEX(Aktiv!$G:$G,MATCH(E158,Aktiv!$A:$A,0)),""))</f>
        <v/>
      </c>
      <c r="W158" s="407" t="str">
        <f>IF(E158="","",IFERROR(INDEX(Aktiv!$H:$H,MATCH(E158,Aktiv!$A:$A,0)),""))</f>
        <v/>
      </c>
      <c r="X158" s="407" t="str">
        <f>IF(E158="","",IFERROR(INDEX(Aktiv!$I:$I,MATCH(E158,Aktiv!$A:$A,0)),""))</f>
        <v/>
      </c>
      <c r="Y158" s="407" t="str">
        <f>IF(E158="","",IFERROR(INDEX(Aktiv!$J:$J,MATCH(E158,Aktiv!$A:$A,0)),""))</f>
        <v/>
      </c>
      <c r="Z158" s="371" t="str">
        <f t="shared" si="46"/>
        <v/>
      </c>
      <c r="AA158" s="371" t="str">
        <f t="shared" si="47"/>
        <v/>
      </c>
      <c r="AB158" s="371" t="str">
        <f t="shared" si="48"/>
        <v/>
      </c>
      <c r="AC158" s="371" t="str">
        <f t="shared" si="49"/>
        <v/>
      </c>
      <c r="AD158" s="366" t="str">
        <f>IF(E158="","",IFERROR(INDEX(Preisliste_2025!$E:$E,MATCH(E158,Preisliste_2025!$C:$C,0)),""))</f>
        <v/>
      </c>
      <c r="AE158" s="366" t="str">
        <f>IF(E158="","",IFERROR(INDEX(Preisliste_2025!$G:$G,MATCH(E158,Preisliste_2025!$C:$C,0)),""))</f>
        <v/>
      </c>
      <c r="AF158" s="366" t="str">
        <f>IF(E158="","",IFERROR(INDEX(Preisliste_2025!$F:$F,MATCH(E158,Preisliste_2025!$C:$C,0)),""))</f>
        <v/>
      </c>
      <c r="AG158" s="366" t="str">
        <f>IF(E158="","",IFERROR(INDEX(Preisliste_2025!$H:$H,MATCH(E158,Preisliste_2025!$C:$C,0)),""))</f>
        <v/>
      </c>
      <c r="AH158" s="367" t="str">
        <f t="shared" si="59"/>
        <v/>
      </c>
      <c r="AI158" s="361" t="str">
        <f t="shared" si="60"/>
        <v/>
      </c>
      <c r="AJ158" s="368" t="str">
        <f>IF(E158="","",IFERROR(INDEX(Aktiv!$E:$E,MATCH(E158,Aktiv!$A:$A,0))*INDEX(Aktiv!$F:$F,MATCH(E158,Aktiv!$A:$A,0)),""))</f>
        <v/>
      </c>
      <c r="AK158" s="361" t="str">
        <f t="shared" si="50"/>
        <v/>
      </c>
      <c r="AL158" s="361" t="str">
        <f t="shared" si="51"/>
        <v/>
      </c>
    </row>
    <row r="159" spans="1:38" x14ac:dyDescent="0.25">
      <c r="N159" s="365" t="str">
        <f t="shared" si="52"/>
        <v/>
      </c>
      <c r="O159" s="361" t="str">
        <f t="shared" si="53"/>
        <v/>
      </c>
      <c r="P159" s="361" t="str">
        <f t="shared" si="54"/>
        <v/>
      </c>
      <c r="Q159" s="361" t="str">
        <f t="shared" si="61"/>
        <v/>
      </c>
      <c r="R159" s="369" t="str">
        <f t="shared" si="55"/>
        <v/>
      </c>
      <c r="S159" s="370" t="str">
        <f t="shared" si="56"/>
        <v/>
      </c>
      <c r="T159" s="370" t="str">
        <f t="shared" si="57"/>
        <v/>
      </c>
      <c r="U159" s="370" t="str">
        <f t="shared" si="58"/>
        <v/>
      </c>
      <c r="V159" s="407" t="str">
        <f>IF(E159="","",IFERROR(INDEX(Aktiv!$G:$G,MATCH(E159,Aktiv!$A:$A,0)),""))</f>
        <v/>
      </c>
      <c r="W159" s="407" t="str">
        <f>IF(E159="","",IFERROR(INDEX(Aktiv!$H:$H,MATCH(E159,Aktiv!$A:$A,0)),""))</f>
        <v/>
      </c>
      <c r="X159" s="407" t="str">
        <f>IF(E159="","",IFERROR(INDEX(Aktiv!$I:$I,MATCH(E159,Aktiv!$A:$A,0)),""))</f>
        <v/>
      </c>
      <c r="Y159" s="407" t="str">
        <f>IF(E159="","",IFERROR(INDEX(Aktiv!$J:$J,MATCH(E159,Aktiv!$A:$A,0)),""))</f>
        <v/>
      </c>
      <c r="Z159" s="371" t="str">
        <f t="shared" si="46"/>
        <v/>
      </c>
      <c r="AA159" s="371" t="str">
        <f t="shared" si="47"/>
        <v/>
      </c>
      <c r="AB159" s="371" t="str">
        <f t="shared" si="48"/>
        <v/>
      </c>
      <c r="AC159" s="371" t="str">
        <f t="shared" si="49"/>
        <v/>
      </c>
      <c r="AD159" s="366" t="str">
        <f>IF(E159="","",IFERROR(INDEX(Preisliste_2025!$E:$E,MATCH(E159,Preisliste_2025!$C:$C,0)),""))</f>
        <v/>
      </c>
      <c r="AE159" s="366" t="str">
        <f>IF(E159="","",IFERROR(INDEX(Preisliste_2025!$G:$G,MATCH(E159,Preisliste_2025!$C:$C,0)),""))</f>
        <v/>
      </c>
      <c r="AF159" s="366" t="str">
        <f>IF(E159="","",IFERROR(INDEX(Preisliste_2025!$F:$F,MATCH(E159,Preisliste_2025!$C:$C,0)),""))</f>
        <v/>
      </c>
      <c r="AG159" s="366" t="str">
        <f>IF(E159="","",IFERROR(INDEX(Preisliste_2025!$H:$H,MATCH(E159,Preisliste_2025!$C:$C,0)),""))</f>
        <v/>
      </c>
      <c r="AH159" s="367" t="str">
        <f t="shared" si="59"/>
        <v/>
      </c>
      <c r="AI159" s="361" t="str">
        <f t="shared" si="60"/>
        <v/>
      </c>
      <c r="AJ159" s="368" t="str">
        <f>IF(E159="","",IFERROR(INDEX(Aktiv!$E:$E,MATCH(E159,Aktiv!$A:$A,0))*INDEX(Aktiv!$F:$F,MATCH(E159,Aktiv!$A:$A,0)),""))</f>
        <v/>
      </c>
      <c r="AK159" s="361" t="str">
        <f t="shared" si="50"/>
        <v/>
      </c>
      <c r="AL159" s="361" t="str">
        <f t="shared" si="51"/>
        <v/>
      </c>
    </row>
    <row r="160" spans="1:38" x14ac:dyDescent="0.25">
      <c r="N160" s="365" t="str">
        <f t="shared" si="52"/>
        <v/>
      </c>
      <c r="O160" s="361" t="str">
        <f t="shared" si="53"/>
        <v/>
      </c>
      <c r="P160" s="361" t="str">
        <f t="shared" si="54"/>
        <v/>
      </c>
      <c r="Q160" s="361" t="str">
        <f t="shared" si="61"/>
        <v/>
      </c>
      <c r="R160" s="369" t="str">
        <f t="shared" si="55"/>
        <v/>
      </c>
      <c r="S160" s="370" t="str">
        <f t="shared" si="56"/>
        <v/>
      </c>
      <c r="T160" s="370" t="str">
        <f t="shared" si="57"/>
        <v/>
      </c>
      <c r="U160" s="370" t="str">
        <f t="shared" si="58"/>
        <v/>
      </c>
      <c r="V160" s="407" t="str">
        <f>IF(E160="","",IFERROR(INDEX(Aktiv!$G:$G,MATCH(E160,Aktiv!$A:$A,0)),""))</f>
        <v/>
      </c>
      <c r="W160" s="407" t="str">
        <f>IF(E160="","",IFERROR(INDEX(Aktiv!$H:$H,MATCH(E160,Aktiv!$A:$A,0)),""))</f>
        <v/>
      </c>
      <c r="X160" s="407" t="str">
        <f>IF(E160="","",IFERROR(INDEX(Aktiv!$I:$I,MATCH(E160,Aktiv!$A:$A,0)),""))</f>
        <v/>
      </c>
      <c r="Y160" s="407" t="str">
        <f>IF(E160="","",IFERROR(INDEX(Aktiv!$J:$J,MATCH(E160,Aktiv!$A:$A,0)),""))</f>
        <v/>
      </c>
      <c r="Z160" s="371" t="str">
        <f t="shared" si="46"/>
        <v/>
      </c>
      <c r="AA160" s="371" t="str">
        <f t="shared" si="47"/>
        <v/>
      </c>
      <c r="AB160" s="371" t="str">
        <f t="shared" si="48"/>
        <v/>
      </c>
      <c r="AC160" s="371" t="str">
        <f t="shared" si="49"/>
        <v/>
      </c>
      <c r="AD160" s="366" t="str">
        <f>IF(E160="","",IFERROR(INDEX(Preisliste_2025!$E:$E,MATCH(E160,Preisliste_2025!$C:$C,0)),""))</f>
        <v/>
      </c>
      <c r="AE160" s="366" t="str">
        <f>IF(E160="","",IFERROR(INDEX(Preisliste_2025!$G:$G,MATCH(E160,Preisliste_2025!$C:$C,0)),""))</f>
        <v/>
      </c>
      <c r="AF160" s="366" t="str">
        <f>IF(E160="","",IFERROR(INDEX(Preisliste_2025!$F:$F,MATCH(E160,Preisliste_2025!$C:$C,0)),""))</f>
        <v/>
      </c>
      <c r="AG160" s="366" t="str">
        <f>IF(E160="","",IFERROR(INDEX(Preisliste_2025!$H:$H,MATCH(E160,Preisliste_2025!$C:$C,0)),""))</f>
        <v/>
      </c>
      <c r="AH160" s="367" t="str">
        <f t="shared" si="59"/>
        <v/>
      </c>
      <c r="AI160" s="361" t="str">
        <f t="shared" si="60"/>
        <v/>
      </c>
      <c r="AJ160" s="368" t="str">
        <f>IF(E160="","",IFERROR(INDEX(Aktiv!$E:$E,MATCH(E160,Aktiv!$A:$A,0))*INDEX(Aktiv!$F:$F,MATCH(E160,Aktiv!$A:$A,0)),""))</f>
        <v/>
      </c>
      <c r="AK160" s="361" t="str">
        <f t="shared" si="50"/>
        <v/>
      </c>
      <c r="AL160" s="361" t="str">
        <f t="shared" si="51"/>
        <v/>
      </c>
    </row>
    <row r="161" spans="1:38" ht="15.75" x14ac:dyDescent="0.25">
      <c r="A161" s="473" t="s">
        <v>560</v>
      </c>
      <c r="B161" s="448"/>
      <c r="C161" s="448"/>
      <c r="D161" s="448"/>
      <c r="E161" s="448"/>
      <c r="F161" s="448"/>
      <c r="G161" s="448"/>
      <c r="H161" s="448"/>
      <c r="N161" s="365" t="str">
        <f t="shared" si="52"/>
        <v/>
      </c>
      <c r="O161" s="361" t="str">
        <f t="shared" si="53"/>
        <v/>
      </c>
      <c r="P161" s="361" t="str">
        <f t="shared" si="54"/>
        <v/>
      </c>
      <c r="Q161" s="361" t="str">
        <f t="shared" si="61"/>
        <v/>
      </c>
      <c r="R161" s="369" t="str">
        <f t="shared" si="55"/>
        <v/>
      </c>
      <c r="S161" s="370" t="str">
        <f t="shared" si="56"/>
        <v/>
      </c>
      <c r="T161" s="370" t="str">
        <f t="shared" si="57"/>
        <v/>
      </c>
      <c r="U161" s="370" t="str">
        <f t="shared" si="58"/>
        <v/>
      </c>
      <c r="V161" s="407" t="str">
        <f>IF(E161="","",IFERROR(INDEX(Aktiv!$G:$G,MATCH(E161,Aktiv!$A:$A,0)),""))</f>
        <v/>
      </c>
      <c r="W161" s="407" t="str">
        <f>IF(E161="","",IFERROR(INDEX(Aktiv!$H:$H,MATCH(E161,Aktiv!$A:$A,0)),""))</f>
        <v/>
      </c>
      <c r="X161" s="407" t="str">
        <f>IF(E161="","",IFERROR(INDEX(Aktiv!$I:$I,MATCH(E161,Aktiv!$A:$A,0)),""))</f>
        <v/>
      </c>
      <c r="Y161" s="407" t="str">
        <f>IF(E161="","",IFERROR(INDEX(Aktiv!$J:$J,MATCH(E161,Aktiv!$A:$A,0)),""))</f>
        <v/>
      </c>
      <c r="Z161" s="371" t="str">
        <f t="shared" si="46"/>
        <v/>
      </c>
      <c r="AA161" s="371" t="str">
        <f t="shared" si="47"/>
        <v/>
      </c>
      <c r="AB161" s="371" t="str">
        <f t="shared" si="48"/>
        <v/>
      </c>
      <c r="AC161" s="371" t="str">
        <f t="shared" si="49"/>
        <v/>
      </c>
      <c r="AD161" s="366" t="str">
        <f>IF(E161="","",IFERROR(INDEX(Preisliste_2025!$E:$E,MATCH(E161,Preisliste_2025!$C:$C,0)),""))</f>
        <v/>
      </c>
      <c r="AE161" s="366" t="str">
        <f>IF(E161="","",IFERROR(INDEX(Preisliste_2025!$G:$G,MATCH(E161,Preisliste_2025!$C:$C,0)),""))</f>
        <v/>
      </c>
      <c r="AF161" s="366" t="str">
        <f>IF(E161="","",IFERROR(INDEX(Preisliste_2025!$F:$F,MATCH(E161,Preisliste_2025!$C:$C,0)),""))</f>
        <v/>
      </c>
      <c r="AG161" s="366" t="str">
        <f>IF(E161="","",IFERROR(INDEX(Preisliste_2025!$H:$H,MATCH(E161,Preisliste_2025!$C:$C,0)),""))</f>
        <v/>
      </c>
      <c r="AH161" s="367" t="str">
        <f t="shared" si="59"/>
        <v/>
      </c>
      <c r="AI161" s="361" t="str">
        <f t="shared" si="60"/>
        <v/>
      </c>
      <c r="AJ161" s="368" t="str">
        <f>IF(E161="","",IFERROR(INDEX(Aktiv!$E:$E,MATCH(E161,Aktiv!$A:$A,0))*INDEX(Aktiv!$F:$F,MATCH(E161,Aktiv!$A:$A,0)),""))</f>
        <v/>
      </c>
      <c r="AK161" s="361" t="str">
        <f t="shared" si="50"/>
        <v/>
      </c>
      <c r="AL161" s="361" t="str">
        <f t="shared" si="51"/>
        <v/>
      </c>
    </row>
    <row r="162" spans="1:38" x14ac:dyDescent="0.25">
      <c r="A162" s="357" t="s">
        <v>561</v>
      </c>
      <c r="B162" s="447" t="s">
        <v>562</v>
      </c>
      <c r="C162" s="448"/>
      <c r="D162" s="448"/>
      <c r="E162" s="448"/>
      <c r="F162" s="448"/>
      <c r="G162" s="448"/>
      <c r="H162" s="448"/>
      <c r="N162" s="365" t="str">
        <f t="shared" si="52"/>
        <v/>
      </c>
      <c r="O162" s="361" t="str">
        <f t="shared" si="53"/>
        <v/>
      </c>
      <c r="P162" s="361" t="str">
        <f t="shared" si="54"/>
        <v/>
      </c>
      <c r="Q162" s="361" t="str">
        <f t="shared" si="61"/>
        <v/>
      </c>
      <c r="R162" s="369" t="str">
        <f t="shared" si="55"/>
        <v/>
      </c>
      <c r="S162" s="370" t="str">
        <f t="shared" si="56"/>
        <v/>
      </c>
      <c r="T162" s="370" t="str">
        <f t="shared" si="57"/>
        <v/>
      </c>
      <c r="U162" s="370" t="str">
        <f t="shared" si="58"/>
        <v/>
      </c>
      <c r="V162" s="407" t="str">
        <f>IF(E162="","",IFERROR(INDEX(Aktiv!$G:$G,MATCH(E162,Aktiv!$A:$A,0)),""))</f>
        <v/>
      </c>
      <c r="W162" s="407" t="str">
        <f>IF(E162="","",IFERROR(INDEX(Aktiv!$H:$H,MATCH(E162,Aktiv!$A:$A,0)),""))</f>
        <v/>
      </c>
      <c r="X162" s="407" t="str">
        <f>IF(E162="","",IFERROR(INDEX(Aktiv!$I:$I,MATCH(E162,Aktiv!$A:$A,0)),""))</f>
        <v/>
      </c>
      <c r="Y162" s="407" t="str">
        <f>IF(E162="","",IFERROR(INDEX(Aktiv!$J:$J,MATCH(E162,Aktiv!$A:$A,0)),""))</f>
        <v/>
      </c>
      <c r="Z162" s="371" t="str">
        <f t="shared" si="46"/>
        <v/>
      </c>
      <c r="AA162" s="371" t="str">
        <f t="shared" si="47"/>
        <v/>
      </c>
      <c r="AB162" s="371" t="str">
        <f t="shared" si="48"/>
        <v/>
      </c>
      <c r="AC162" s="371" t="str">
        <f t="shared" si="49"/>
        <v/>
      </c>
      <c r="AD162" s="366" t="str">
        <f>IF(E162="","",IFERROR(INDEX(Preisliste_2025!$E:$E,MATCH(E162,Preisliste_2025!$C:$C,0)),""))</f>
        <v/>
      </c>
      <c r="AE162" s="366" t="str">
        <f>IF(E162="","",IFERROR(INDEX(Preisliste_2025!$G:$G,MATCH(E162,Preisliste_2025!$C:$C,0)),""))</f>
        <v/>
      </c>
      <c r="AF162" s="366" t="str">
        <f>IF(E162="","",IFERROR(INDEX(Preisliste_2025!$F:$F,MATCH(E162,Preisliste_2025!$C:$C,0)),""))</f>
        <v/>
      </c>
      <c r="AG162" s="366" t="str">
        <f>IF(E162="","",IFERROR(INDEX(Preisliste_2025!$H:$H,MATCH(E162,Preisliste_2025!$C:$C,0)),""))</f>
        <v/>
      </c>
      <c r="AH162" s="367" t="str">
        <f t="shared" si="59"/>
        <v/>
      </c>
      <c r="AI162" s="361" t="str">
        <f t="shared" si="60"/>
        <v/>
      </c>
      <c r="AJ162" s="368" t="str">
        <f>IF(E162="","",IFERROR(INDEX(Aktiv!$E:$E,MATCH(E162,Aktiv!$A:$A,0))*INDEX(Aktiv!$F:$F,MATCH(E162,Aktiv!$A:$A,0)),""))</f>
        <v/>
      </c>
      <c r="AK162" s="361" t="str">
        <f t="shared" si="50"/>
        <v/>
      </c>
      <c r="AL162" s="361" t="str">
        <f t="shared" si="51"/>
        <v/>
      </c>
    </row>
    <row r="163" spans="1:38" x14ac:dyDescent="0.25">
      <c r="A163" s="357" t="s">
        <v>563</v>
      </c>
      <c r="B163" s="447" t="s">
        <v>804</v>
      </c>
      <c r="C163" s="447"/>
      <c r="D163" s="447"/>
      <c r="E163" s="447"/>
      <c r="F163" s="447"/>
      <c r="G163" s="447"/>
      <c r="H163" s="447"/>
      <c r="N163" s="365" t="str">
        <f t="shared" si="52"/>
        <v/>
      </c>
      <c r="O163" s="361" t="str">
        <f t="shared" si="53"/>
        <v/>
      </c>
      <c r="P163" s="361" t="str">
        <f t="shared" si="54"/>
        <v/>
      </c>
      <c r="Q163" s="361" t="str">
        <f t="shared" si="61"/>
        <v/>
      </c>
      <c r="R163" s="369" t="str">
        <f t="shared" si="55"/>
        <v/>
      </c>
      <c r="S163" s="370" t="str">
        <f t="shared" si="56"/>
        <v/>
      </c>
      <c r="T163" s="370" t="str">
        <f t="shared" si="57"/>
        <v/>
      </c>
      <c r="U163" s="370" t="str">
        <f t="shared" si="58"/>
        <v/>
      </c>
      <c r="V163" s="407" t="str">
        <f>IF(E163="","",IFERROR(INDEX(Aktiv!$G:$G,MATCH(E163,Aktiv!$A:$A,0)),""))</f>
        <v/>
      </c>
      <c r="W163" s="407" t="str">
        <f>IF(E163="","",IFERROR(INDEX(Aktiv!$H:$H,MATCH(E163,Aktiv!$A:$A,0)),""))</f>
        <v/>
      </c>
      <c r="X163" s="407" t="str">
        <f>IF(E163="","",IFERROR(INDEX(Aktiv!$I:$I,MATCH(E163,Aktiv!$A:$A,0)),""))</f>
        <v/>
      </c>
      <c r="Y163" s="407" t="str">
        <f>IF(E163="","",IFERROR(INDEX(Aktiv!$J:$J,MATCH(E163,Aktiv!$A:$A,0)),""))</f>
        <v/>
      </c>
      <c r="Z163" s="371" t="str">
        <f t="shared" si="46"/>
        <v/>
      </c>
      <c r="AA163" s="371" t="str">
        <f t="shared" si="47"/>
        <v/>
      </c>
      <c r="AB163" s="371" t="str">
        <f t="shared" si="48"/>
        <v/>
      </c>
      <c r="AC163" s="371" t="str">
        <f t="shared" si="49"/>
        <v/>
      </c>
      <c r="AD163" s="366" t="str">
        <f>IF(E163="","",IFERROR(INDEX(Preisliste_2025!$E:$E,MATCH(E163,Preisliste_2025!$C:$C,0)),""))</f>
        <v/>
      </c>
      <c r="AE163" s="366" t="str">
        <f>IF(E163="","",IFERROR(INDEX(Preisliste_2025!$G:$G,MATCH(E163,Preisliste_2025!$C:$C,0)),""))</f>
        <v/>
      </c>
      <c r="AF163" s="366" t="str">
        <f>IF(E163="","",IFERROR(INDEX(Preisliste_2025!$F:$F,MATCH(E163,Preisliste_2025!$C:$C,0)),""))</f>
        <v/>
      </c>
      <c r="AG163" s="366" t="str">
        <f>IF(E163="","",IFERROR(INDEX(Preisliste_2025!$H:$H,MATCH(E163,Preisliste_2025!$C:$C,0)),""))</f>
        <v/>
      </c>
      <c r="AH163" s="367" t="str">
        <f t="shared" si="59"/>
        <v/>
      </c>
      <c r="AI163" s="361" t="str">
        <f t="shared" si="60"/>
        <v/>
      </c>
      <c r="AJ163" s="368" t="str">
        <f>IF(E163="","",IFERROR(INDEX(Aktiv!$E:$E,MATCH(E163,Aktiv!$A:$A,0))*INDEX(Aktiv!$F:$F,MATCH(E163,Aktiv!$A:$A,0)),""))</f>
        <v/>
      </c>
      <c r="AK163" s="361" t="str">
        <f t="shared" si="50"/>
        <v/>
      </c>
      <c r="AL163" s="361" t="str">
        <f t="shared" si="51"/>
        <v/>
      </c>
    </row>
    <row r="164" spans="1:38" x14ac:dyDescent="0.25">
      <c r="A164" s="357" t="s">
        <v>564</v>
      </c>
      <c r="B164" s="447" t="s">
        <v>565</v>
      </c>
      <c r="C164" s="448"/>
      <c r="D164" s="448"/>
      <c r="E164" s="448"/>
      <c r="F164" s="448"/>
      <c r="G164" s="448"/>
      <c r="H164" s="448"/>
      <c r="N164" s="365" t="str">
        <f t="shared" si="52"/>
        <v/>
      </c>
      <c r="O164" s="361" t="str">
        <f t="shared" si="53"/>
        <v/>
      </c>
      <c r="P164" s="361" t="str">
        <f t="shared" si="54"/>
        <v/>
      </c>
      <c r="Q164" s="361" t="str">
        <f t="shared" si="61"/>
        <v/>
      </c>
      <c r="R164" s="369" t="str">
        <f t="shared" si="55"/>
        <v/>
      </c>
      <c r="S164" s="370" t="str">
        <f t="shared" si="56"/>
        <v/>
      </c>
      <c r="T164" s="370" t="str">
        <f t="shared" si="57"/>
        <v/>
      </c>
      <c r="U164" s="370" t="str">
        <f t="shared" si="58"/>
        <v/>
      </c>
      <c r="V164" s="407" t="str">
        <f>IF(E164="","",IFERROR(INDEX(Aktiv!$G:$G,MATCH(E164,Aktiv!$A:$A,0)),""))</f>
        <v/>
      </c>
      <c r="W164" s="407" t="str">
        <f>IF(E164="","",IFERROR(INDEX(Aktiv!$H:$H,MATCH(E164,Aktiv!$A:$A,0)),""))</f>
        <v/>
      </c>
      <c r="X164" s="407" t="str">
        <f>IF(E164="","",IFERROR(INDEX(Aktiv!$I:$I,MATCH(E164,Aktiv!$A:$A,0)),""))</f>
        <v/>
      </c>
      <c r="Y164" s="407" t="str">
        <f>IF(E164="","",IFERROR(INDEX(Aktiv!$J:$J,MATCH(E164,Aktiv!$A:$A,0)),""))</f>
        <v/>
      </c>
      <c r="Z164" s="371" t="str">
        <f t="shared" si="46"/>
        <v/>
      </c>
      <c r="AA164" s="371" t="str">
        <f t="shared" si="47"/>
        <v/>
      </c>
      <c r="AB164" s="371" t="str">
        <f t="shared" si="48"/>
        <v/>
      </c>
      <c r="AC164" s="371" t="str">
        <f t="shared" si="49"/>
        <v/>
      </c>
      <c r="AD164" s="366" t="str">
        <f>IF(E164="","",IFERROR(INDEX(Preisliste_2025!$E:$E,MATCH(E164,Preisliste_2025!$C:$C,0)),""))</f>
        <v/>
      </c>
      <c r="AE164" s="366" t="str">
        <f>IF(E164="","",IFERROR(INDEX(Preisliste_2025!$G:$G,MATCH(E164,Preisliste_2025!$C:$C,0)),""))</f>
        <v/>
      </c>
      <c r="AF164" s="366" t="str">
        <f>IF(E164="","",IFERROR(INDEX(Preisliste_2025!$F:$F,MATCH(E164,Preisliste_2025!$C:$C,0)),""))</f>
        <v/>
      </c>
      <c r="AG164" s="366" t="str">
        <f>IF(E164="","",IFERROR(INDEX(Preisliste_2025!$H:$H,MATCH(E164,Preisliste_2025!$C:$C,0)),""))</f>
        <v/>
      </c>
      <c r="AH164" s="367" t="str">
        <f t="shared" si="59"/>
        <v/>
      </c>
      <c r="AI164" s="361" t="str">
        <f t="shared" si="60"/>
        <v/>
      </c>
      <c r="AJ164" s="368" t="str">
        <f>IF(E164="","",IFERROR(INDEX(Aktiv!$E:$E,MATCH(E164,Aktiv!$A:$A,0))*INDEX(Aktiv!$F:$F,MATCH(E164,Aktiv!$A:$A,0)),""))</f>
        <v/>
      </c>
      <c r="AK164" s="361" t="str">
        <f t="shared" si="50"/>
        <v/>
      </c>
      <c r="AL164" s="361" t="str">
        <f t="shared" si="51"/>
        <v/>
      </c>
    </row>
    <row r="165" spans="1:38" x14ac:dyDescent="0.25">
      <c r="A165" s="357" t="s">
        <v>566</v>
      </c>
      <c r="B165" s="447" t="s">
        <v>567</v>
      </c>
      <c r="C165" s="448"/>
      <c r="D165" s="448"/>
      <c r="E165" s="448"/>
      <c r="F165" s="448"/>
      <c r="G165" s="448"/>
      <c r="H165" s="448"/>
      <c r="N165" s="365" t="str">
        <f t="shared" si="52"/>
        <v/>
      </c>
      <c r="O165" s="361" t="str">
        <f t="shared" si="53"/>
        <v/>
      </c>
      <c r="P165" s="361" t="str">
        <f t="shared" si="54"/>
        <v/>
      </c>
      <c r="Q165" s="361" t="str">
        <f t="shared" si="61"/>
        <v/>
      </c>
      <c r="R165" s="369" t="str">
        <f t="shared" si="55"/>
        <v/>
      </c>
      <c r="S165" s="370" t="str">
        <f t="shared" si="56"/>
        <v/>
      </c>
      <c r="T165" s="370" t="str">
        <f t="shared" si="57"/>
        <v/>
      </c>
      <c r="U165" s="370" t="str">
        <f t="shared" si="58"/>
        <v/>
      </c>
      <c r="V165" s="407" t="str">
        <f>IF(E165="","",IFERROR(INDEX(Aktiv!$G:$G,MATCH(E165,Aktiv!$A:$A,0)),""))</f>
        <v/>
      </c>
      <c r="W165" s="407" t="str">
        <f>IF(E165="","",IFERROR(INDEX(Aktiv!$H:$H,MATCH(E165,Aktiv!$A:$A,0)),""))</f>
        <v/>
      </c>
      <c r="X165" s="407" t="str">
        <f>IF(E165="","",IFERROR(INDEX(Aktiv!$I:$I,MATCH(E165,Aktiv!$A:$A,0)),""))</f>
        <v/>
      </c>
      <c r="Y165" s="407" t="str">
        <f>IF(E165="","",IFERROR(INDEX(Aktiv!$J:$J,MATCH(E165,Aktiv!$A:$A,0)),""))</f>
        <v/>
      </c>
      <c r="Z165" s="371" t="str">
        <f t="shared" si="46"/>
        <v/>
      </c>
      <c r="AA165" s="371" t="str">
        <f t="shared" si="47"/>
        <v/>
      </c>
      <c r="AB165" s="371" t="str">
        <f t="shared" si="48"/>
        <v/>
      </c>
      <c r="AC165" s="371" t="str">
        <f t="shared" si="49"/>
        <v/>
      </c>
      <c r="AD165" s="366" t="str">
        <f>IF(E165="","",IFERROR(INDEX(Preisliste_2025!$E:$E,MATCH(E165,Preisliste_2025!$C:$C,0)),""))</f>
        <v/>
      </c>
      <c r="AE165" s="366" t="str">
        <f>IF(E165="","",IFERROR(INDEX(Preisliste_2025!$G:$G,MATCH(E165,Preisliste_2025!$C:$C,0)),""))</f>
        <v/>
      </c>
      <c r="AF165" s="366" t="str">
        <f>IF(E165="","",IFERROR(INDEX(Preisliste_2025!$F:$F,MATCH(E165,Preisliste_2025!$C:$C,0)),""))</f>
        <v/>
      </c>
      <c r="AG165" s="366" t="str">
        <f>IF(E165="","",IFERROR(INDEX(Preisliste_2025!$H:$H,MATCH(E165,Preisliste_2025!$C:$C,0)),""))</f>
        <v/>
      </c>
      <c r="AH165" s="367" t="str">
        <f t="shared" si="59"/>
        <v/>
      </c>
      <c r="AI165" s="361" t="str">
        <f t="shared" si="60"/>
        <v/>
      </c>
      <c r="AJ165" s="368" t="str">
        <f>IF(E165="","",IFERROR(INDEX(Aktiv!$E:$E,MATCH(E165,Aktiv!$A:$A,0))*INDEX(Aktiv!$F:$F,MATCH(E165,Aktiv!$A:$A,0)),""))</f>
        <v/>
      </c>
      <c r="AK165" s="361" t="str">
        <f t="shared" si="50"/>
        <v/>
      </c>
      <c r="AL165" s="361" t="str">
        <f t="shared" si="51"/>
        <v/>
      </c>
    </row>
    <row r="166" spans="1:38" x14ac:dyDescent="0.25">
      <c r="A166" s="357" t="s">
        <v>568</v>
      </c>
      <c r="B166" s="447" t="s">
        <v>569</v>
      </c>
      <c r="C166" s="448"/>
      <c r="D166" s="448"/>
      <c r="E166" s="448"/>
      <c r="F166" s="448"/>
      <c r="G166" s="448"/>
      <c r="H166" s="448"/>
      <c r="N166" s="365" t="str">
        <f t="shared" si="52"/>
        <v/>
      </c>
      <c r="O166" s="361" t="str">
        <f t="shared" si="53"/>
        <v/>
      </c>
      <c r="P166" s="361" t="str">
        <f t="shared" si="54"/>
        <v/>
      </c>
      <c r="Q166" s="361" t="str">
        <f t="shared" si="61"/>
        <v/>
      </c>
      <c r="R166" s="369" t="str">
        <f t="shared" si="55"/>
        <v/>
      </c>
      <c r="S166" s="370" t="str">
        <f t="shared" si="56"/>
        <v/>
      </c>
      <c r="T166" s="370" t="str">
        <f t="shared" si="57"/>
        <v/>
      </c>
      <c r="U166" s="370" t="str">
        <f t="shared" si="58"/>
        <v/>
      </c>
      <c r="V166" s="407" t="str">
        <f>IF(E166="","",IFERROR(INDEX(Aktiv!$G:$G,MATCH(E166,Aktiv!$A:$A,0)),""))</f>
        <v/>
      </c>
      <c r="W166" s="407" t="str">
        <f>IF(E166="","",IFERROR(INDEX(Aktiv!$H:$H,MATCH(E166,Aktiv!$A:$A,0)),""))</f>
        <v/>
      </c>
      <c r="X166" s="407" t="str">
        <f>IF(E166="","",IFERROR(INDEX(Aktiv!$I:$I,MATCH(E166,Aktiv!$A:$A,0)),""))</f>
        <v/>
      </c>
      <c r="Y166" s="407" t="str">
        <f>IF(E166="","",IFERROR(INDEX(Aktiv!$J:$J,MATCH(E166,Aktiv!$A:$A,0)),""))</f>
        <v/>
      </c>
      <c r="Z166" s="371" t="str">
        <f t="shared" si="46"/>
        <v/>
      </c>
      <c r="AA166" s="371" t="str">
        <f t="shared" si="47"/>
        <v/>
      </c>
      <c r="AB166" s="371" t="str">
        <f t="shared" si="48"/>
        <v/>
      </c>
      <c r="AC166" s="371" t="str">
        <f t="shared" si="49"/>
        <v/>
      </c>
      <c r="AD166" s="366" t="str">
        <f>IF(E166="","",IFERROR(INDEX(Preisliste_2025!$E:$E,MATCH(E166,Preisliste_2025!$C:$C,0)),""))</f>
        <v/>
      </c>
      <c r="AE166" s="366" t="str">
        <f>IF(E166="","",IFERROR(INDEX(Preisliste_2025!$G:$G,MATCH(E166,Preisliste_2025!$C:$C,0)),""))</f>
        <v/>
      </c>
      <c r="AF166" s="366" t="str">
        <f>IF(E166="","",IFERROR(INDEX(Preisliste_2025!$F:$F,MATCH(E166,Preisliste_2025!$C:$C,0)),""))</f>
        <v/>
      </c>
      <c r="AG166" s="366" t="str">
        <f>IF(E166="","",IFERROR(INDEX(Preisliste_2025!$H:$H,MATCH(E166,Preisliste_2025!$C:$C,0)),""))</f>
        <v/>
      </c>
      <c r="AH166" s="367" t="str">
        <f t="shared" si="59"/>
        <v/>
      </c>
      <c r="AI166" s="361" t="str">
        <f t="shared" si="60"/>
        <v/>
      </c>
      <c r="AJ166" s="368" t="str">
        <f>IF(E166="","",IFERROR(INDEX(Aktiv!$E:$E,MATCH(E166,Aktiv!$A:$A,0))*INDEX(Aktiv!$F:$F,MATCH(E166,Aktiv!$A:$A,0)),""))</f>
        <v/>
      </c>
      <c r="AK166" s="361" t="str">
        <f t="shared" si="50"/>
        <v/>
      </c>
      <c r="AL166" s="361" t="str">
        <f t="shared" si="51"/>
        <v/>
      </c>
    </row>
    <row r="167" spans="1:38" x14ac:dyDescent="0.25">
      <c r="A167" s="357" t="s">
        <v>570</v>
      </c>
      <c r="B167" s="447" t="s">
        <v>571</v>
      </c>
      <c r="C167" s="448"/>
      <c r="D167" s="448"/>
      <c r="E167" s="448"/>
      <c r="F167" s="448"/>
      <c r="G167" s="448"/>
      <c r="H167" s="448"/>
      <c r="N167" s="365" t="str">
        <f t="shared" si="52"/>
        <v/>
      </c>
      <c r="O167" s="361" t="str">
        <f t="shared" si="53"/>
        <v/>
      </c>
      <c r="P167" s="361" t="str">
        <f t="shared" si="54"/>
        <v/>
      </c>
      <c r="Q167" s="361" t="str">
        <f t="shared" si="61"/>
        <v/>
      </c>
      <c r="R167" s="369" t="str">
        <f t="shared" si="55"/>
        <v/>
      </c>
      <c r="S167" s="370" t="str">
        <f t="shared" si="56"/>
        <v/>
      </c>
      <c r="T167" s="370" t="str">
        <f t="shared" si="57"/>
        <v/>
      </c>
      <c r="U167" s="370" t="str">
        <f t="shared" si="58"/>
        <v/>
      </c>
      <c r="V167" s="407" t="str">
        <f>IF(E167="","",IFERROR(INDEX(Aktiv!$G:$G,MATCH(E167,Aktiv!$A:$A,0)),""))</f>
        <v/>
      </c>
      <c r="W167" s="407" t="str">
        <f>IF(E167="","",IFERROR(INDEX(Aktiv!$H:$H,MATCH(E167,Aktiv!$A:$A,0)),""))</f>
        <v/>
      </c>
      <c r="X167" s="407" t="str">
        <f>IF(E167="","",IFERROR(INDEX(Aktiv!$I:$I,MATCH(E167,Aktiv!$A:$A,0)),""))</f>
        <v/>
      </c>
      <c r="Y167" s="407" t="str">
        <f>IF(E167="","",IFERROR(INDEX(Aktiv!$J:$J,MATCH(E167,Aktiv!$A:$A,0)),""))</f>
        <v/>
      </c>
      <c r="Z167" s="371" t="str">
        <f t="shared" si="46"/>
        <v/>
      </c>
      <c r="AA167" s="371" t="str">
        <f t="shared" si="47"/>
        <v/>
      </c>
      <c r="AB167" s="371" t="str">
        <f t="shared" si="48"/>
        <v/>
      </c>
      <c r="AC167" s="371" t="str">
        <f t="shared" si="49"/>
        <v/>
      </c>
      <c r="AD167" s="366" t="str">
        <f>IF(E167="","",IFERROR(INDEX(Preisliste_2025!$E:$E,MATCH(E167,Preisliste_2025!$C:$C,0)),""))</f>
        <v/>
      </c>
      <c r="AE167" s="366" t="str">
        <f>IF(E167="","",IFERROR(INDEX(Preisliste_2025!$G:$G,MATCH(E167,Preisliste_2025!$C:$C,0)),""))</f>
        <v/>
      </c>
      <c r="AF167" s="366" t="str">
        <f>IF(E167="","",IFERROR(INDEX(Preisliste_2025!$F:$F,MATCH(E167,Preisliste_2025!$C:$C,0)),""))</f>
        <v/>
      </c>
      <c r="AG167" s="366" t="str">
        <f>IF(E167="","",IFERROR(INDEX(Preisliste_2025!$H:$H,MATCH(E167,Preisliste_2025!$C:$C,0)),""))</f>
        <v/>
      </c>
      <c r="AH167" s="367" t="str">
        <f t="shared" si="59"/>
        <v/>
      </c>
      <c r="AI167" s="361" t="str">
        <f t="shared" si="60"/>
        <v/>
      </c>
      <c r="AJ167" s="368" t="str">
        <f>IF(E167="","",IFERROR(INDEX(Aktiv!$E:$E,MATCH(E167,Aktiv!$A:$A,0))*INDEX(Aktiv!$F:$F,MATCH(E167,Aktiv!$A:$A,0)),""))</f>
        <v/>
      </c>
      <c r="AK167" s="361" t="str">
        <f t="shared" si="50"/>
        <v/>
      </c>
      <c r="AL167" s="361" t="str">
        <f t="shared" si="51"/>
        <v/>
      </c>
    </row>
    <row r="168" spans="1:38" x14ac:dyDescent="0.25">
      <c r="A168" s="357" t="s">
        <v>572</v>
      </c>
      <c r="B168" s="447" t="s">
        <v>573</v>
      </c>
      <c r="C168" s="448"/>
      <c r="D168" s="448"/>
      <c r="E168" s="448"/>
      <c r="F168" s="448"/>
      <c r="G168" s="448"/>
      <c r="H168" s="448"/>
      <c r="N168" s="365" t="str">
        <f t="shared" si="52"/>
        <v/>
      </c>
      <c r="O168" s="361" t="str">
        <f t="shared" si="53"/>
        <v/>
      </c>
      <c r="P168" s="361" t="str">
        <f t="shared" si="54"/>
        <v/>
      </c>
      <c r="Q168" s="361" t="str">
        <f t="shared" si="61"/>
        <v/>
      </c>
      <c r="R168" s="369" t="str">
        <f t="shared" si="55"/>
        <v/>
      </c>
      <c r="S168" s="370" t="str">
        <f t="shared" si="56"/>
        <v/>
      </c>
      <c r="T168" s="370" t="str">
        <f t="shared" si="57"/>
        <v/>
      </c>
      <c r="U168" s="370" t="str">
        <f t="shared" si="58"/>
        <v/>
      </c>
      <c r="V168" s="407" t="str">
        <f>IF(E168="","",IFERROR(INDEX(Aktiv!$G:$G,MATCH(E168,Aktiv!$A:$A,0)),""))</f>
        <v/>
      </c>
      <c r="W168" s="407" t="str">
        <f>IF(E168="","",IFERROR(INDEX(Aktiv!$H:$H,MATCH(E168,Aktiv!$A:$A,0)),""))</f>
        <v/>
      </c>
      <c r="X168" s="407" t="str">
        <f>IF(E168="","",IFERROR(INDEX(Aktiv!$I:$I,MATCH(E168,Aktiv!$A:$A,0)),""))</f>
        <v/>
      </c>
      <c r="Y168" s="407" t="str">
        <f>IF(E168="","",IFERROR(INDEX(Aktiv!$J:$J,MATCH(E168,Aktiv!$A:$A,0)),""))</f>
        <v/>
      </c>
      <c r="Z168" s="371" t="str">
        <f t="shared" ref="Z168:Z181" si="64">IF(OR(AD168="",AD168=0,V168="",V168=0),"",(V168-AD168)/AD168)</f>
        <v/>
      </c>
      <c r="AA168" s="371" t="str">
        <f t="shared" ref="AA168:AA181" si="65">IF(OR(AE168="",AE168=0,W168="",W168=0),"",(W168-AE168)/AE168)</f>
        <v/>
      </c>
      <c r="AB168" s="371" t="str">
        <f t="shared" ref="AB168:AB181" si="66">IF(OR(AF168="",AF168=0,X168="",X168=0),"",(X168-AF168)/AF168)</f>
        <v/>
      </c>
      <c r="AC168" s="371" t="str">
        <f t="shared" ref="AC168:AC181" si="67">IF(OR(AG168="",AG168=0,Y168="",Y168=0),"",(Y168-AG168)/AG168)</f>
        <v/>
      </c>
      <c r="AD168" s="366" t="str">
        <f>IF(E168="","",IFERROR(INDEX(Preisliste_2025!$E:$E,MATCH(E168,Preisliste_2025!$C:$C,0)),""))</f>
        <v/>
      </c>
      <c r="AE168" s="366" t="str">
        <f>IF(E168="","",IFERROR(INDEX(Preisliste_2025!$G:$G,MATCH(E168,Preisliste_2025!$C:$C,0)),""))</f>
        <v/>
      </c>
      <c r="AF168" s="366" t="str">
        <f>IF(E168="","",IFERROR(INDEX(Preisliste_2025!$F:$F,MATCH(E168,Preisliste_2025!$C:$C,0)),""))</f>
        <v/>
      </c>
      <c r="AG168" s="366" t="str">
        <f>IF(E168="","",IFERROR(INDEX(Preisliste_2025!$H:$H,MATCH(E168,Preisliste_2025!$C:$C,0)),""))</f>
        <v/>
      </c>
      <c r="AH168" s="367" t="str">
        <f t="shared" si="59"/>
        <v/>
      </c>
      <c r="AI168" s="361" t="str">
        <f t="shared" si="60"/>
        <v/>
      </c>
      <c r="AJ168" s="368" t="str">
        <f>IF(E168="","",IFERROR(INDEX(Aktiv!$E:$E,MATCH(E168,Aktiv!$A:$A,0))*INDEX(Aktiv!$F:$F,MATCH(E168,Aktiv!$A:$A,0)),""))</f>
        <v/>
      </c>
      <c r="AK168" s="361" t="str">
        <f t="shared" ref="AK168:AK181" si="68">IF(OR(AJ168="",AJ168=0,F168=""),"",F168/(AJ168/10000))</f>
        <v/>
      </c>
      <c r="AL168" s="361" t="str">
        <f t="shared" ref="AL168:AL181" si="69">IF(OR(AJ168="",AJ168=0,V168=""),"",V168/(AJ168/10000))</f>
        <v/>
      </c>
    </row>
    <row r="169" spans="1:38" x14ac:dyDescent="0.25">
      <c r="A169" s="357" t="s">
        <v>574</v>
      </c>
      <c r="B169" s="447" t="s">
        <v>575</v>
      </c>
      <c r="C169" s="448"/>
      <c r="D169" s="448"/>
      <c r="E169" s="448"/>
      <c r="F169" s="448"/>
      <c r="G169" s="448"/>
      <c r="H169" s="448"/>
      <c r="N169" s="365" t="str">
        <f t="shared" si="52"/>
        <v/>
      </c>
      <c r="O169" s="361" t="str">
        <f t="shared" si="53"/>
        <v/>
      </c>
      <c r="P169" s="361" t="str">
        <f t="shared" si="54"/>
        <v/>
      </c>
      <c r="Q169" s="361" t="str">
        <f t="shared" si="61"/>
        <v/>
      </c>
      <c r="R169" s="369" t="str">
        <f t="shared" si="55"/>
        <v/>
      </c>
      <c r="S169" s="370" t="str">
        <f t="shared" si="56"/>
        <v/>
      </c>
      <c r="T169" s="370" t="str">
        <f t="shared" si="57"/>
        <v/>
      </c>
      <c r="U169" s="370" t="str">
        <f t="shared" si="58"/>
        <v/>
      </c>
      <c r="V169" s="407" t="str">
        <f>IF(E169="","",IFERROR(INDEX(Aktiv!$G:$G,MATCH(E169,Aktiv!$A:$A,0)),""))</f>
        <v/>
      </c>
      <c r="W169" s="407" t="str">
        <f>IF(E169="","",IFERROR(INDEX(Aktiv!$H:$H,MATCH(E169,Aktiv!$A:$A,0)),""))</f>
        <v/>
      </c>
      <c r="X169" s="407" t="str">
        <f>IF(E169="","",IFERROR(INDEX(Aktiv!$I:$I,MATCH(E169,Aktiv!$A:$A,0)),""))</f>
        <v/>
      </c>
      <c r="Y169" s="407" t="str">
        <f>IF(E169="","",IFERROR(INDEX(Aktiv!$J:$J,MATCH(E169,Aktiv!$A:$A,0)),""))</f>
        <v/>
      </c>
      <c r="Z169" s="371" t="str">
        <f t="shared" si="64"/>
        <v/>
      </c>
      <c r="AA169" s="371" t="str">
        <f t="shared" si="65"/>
        <v/>
      </c>
      <c r="AB169" s="371" t="str">
        <f t="shared" si="66"/>
        <v/>
      </c>
      <c r="AC169" s="371" t="str">
        <f t="shared" si="67"/>
        <v/>
      </c>
      <c r="AD169" s="366" t="str">
        <f>IF(E169="","",IFERROR(INDEX(Preisliste_2025!$E:$E,MATCH(E169,Preisliste_2025!$C:$C,0)),""))</f>
        <v/>
      </c>
      <c r="AE169" s="366" t="str">
        <f>IF(E169="","",IFERROR(INDEX(Preisliste_2025!$G:$G,MATCH(E169,Preisliste_2025!$C:$C,0)),""))</f>
        <v/>
      </c>
      <c r="AF169" s="366" t="str">
        <f>IF(E169="","",IFERROR(INDEX(Preisliste_2025!$F:$F,MATCH(E169,Preisliste_2025!$C:$C,0)),""))</f>
        <v/>
      </c>
      <c r="AG169" s="366" t="str">
        <f>IF(E169="","",IFERROR(INDEX(Preisliste_2025!$H:$H,MATCH(E169,Preisliste_2025!$C:$C,0)),""))</f>
        <v/>
      </c>
      <c r="AH169" s="367" t="str">
        <f t="shared" si="59"/>
        <v/>
      </c>
      <c r="AI169" s="361" t="str">
        <f t="shared" si="60"/>
        <v/>
      </c>
      <c r="AJ169" s="368" t="str">
        <f>IF(E169="","",IFERROR(INDEX(Aktiv!$E:$E,MATCH(E169,Aktiv!$A:$A,0))*INDEX(Aktiv!$F:$F,MATCH(E169,Aktiv!$A:$A,0)),""))</f>
        <v/>
      </c>
      <c r="AK169" s="361" t="str">
        <f t="shared" si="68"/>
        <v/>
      </c>
      <c r="AL169" s="361" t="str">
        <f t="shared" si="69"/>
        <v/>
      </c>
    </row>
    <row r="170" spans="1:38" x14ac:dyDescent="0.25">
      <c r="N170" s="365" t="str">
        <f t="shared" si="52"/>
        <v/>
      </c>
      <c r="O170" s="361" t="str">
        <f t="shared" si="53"/>
        <v/>
      </c>
      <c r="P170" s="361" t="str">
        <f t="shared" si="54"/>
        <v/>
      </c>
      <c r="Q170" s="361" t="str">
        <f t="shared" si="61"/>
        <v/>
      </c>
      <c r="R170" s="369" t="str">
        <f t="shared" si="55"/>
        <v/>
      </c>
      <c r="S170" s="370" t="str">
        <f t="shared" si="56"/>
        <v/>
      </c>
      <c r="T170" s="370" t="str">
        <f t="shared" si="57"/>
        <v/>
      </c>
      <c r="U170" s="370" t="str">
        <f t="shared" si="58"/>
        <v/>
      </c>
      <c r="V170" s="407" t="str">
        <f>IF(E170="","",IFERROR(INDEX(Aktiv!$G:$G,MATCH(E170,Aktiv!$A:$A,0)),""))</f>
        <v/>
      </c>
      <c r="W170" s="407" t="str">
        <f>IF(E170="","",IFERROR(INDEX(Aktiv!$H:$H,MATCH(E170,Aktiv!$A:$A,0)),""))</f>
        <v/>
      </c>
      <c r="X170" s="407" t="str">
        <f>IF(E170="","",IFERROR(INDEX(Aktiv!$I:$I,MATCH(E170,Aktiv!$A:$A,0)),""))</f>
        <v/>
      </c>
      <c r="Y170" s="407" t="str">
        <f>IF(E170="","",IFERROR(INDEX(Aktiv!$J:$J,MATCH(E170,Aktiv!$A:$A,0)),""))</f>
        <v/>
      </c>
      <c r="Z170" s="371" t="str">
        <f t="shared" si="64"/>
        <v/>
      </c>
      <c r="AA170" s="371" t="str">
        <f t="shared" si="65"/>
        <v/>
      </c>
      <c r="AB170" s="371" t="str">
        <f t="shared" si="66"/>
        <v/>
      </c>
      <c r="AC170" s="371" t="str">
        <f t="shared" si="67"/>
        <v/>
      </c>
      <c r="AD170" s="366" t="str">
        <f>IF(E170="","",IFERROR(INDEX(Preisliste_2025!$E:$E,MATCH(E170,Preisliste_2025!$C:$C,0)),""))</f>
        <v/>
      </c>
      <c r="AE170" s="366" t="str">
        <f>IF(E170="","",IFERROR(INDEX(Preisliste_2025!$G:$G,MATCH(E170,Preisliste_2025!$C:$C,0)),""))</f>
        <v/>
      </c>
      <c r="AF170" s="366" t="str">
        <f>IF(E170="","",IFERROR(INDEX(Preisliste_2025!$F:$F,MATCH(E170,Preisliste_2025!$C:$C,0)),""))</f>
        <v/>
      </c>
      <c r="AG170" s="366" t="str">
        <f>IF(E170="","",IFERROR(INDEX(Preisliste_2025!$H:$H,MATCH(E170,Preisliste_2025!$C:$C,0)),""))</f>
        <v/>
      </c>
      <c r="AH170" s="367" t="str">
        <f t="shared" si="59"/>
        <v/>
      </c>
      <c r="AI170" s="361" t="str">
        <f t="shared" si="60"/>
        <v/>
      </c>
      <c r="AJ170" s="368" t="str">
        <f>IF(E170="","",IFERROR(INDEX(Aktiv!$E:$E,MATCH(E170,Aktiv!$A:$A,0))*INDEX(Aktiv!$F:$F,MATCH(E170,Aktiv!$A:$A,0)),""))</f>
        <v/>
      </c>
      <c r="AK170" s="361" t="str">
        <f t="shared" si="68"/>
        <v/>
      </c>
      <c r="AL170" s="361" t="str">
        <f t="shared" si="69"/>
        <v/>
      </c>
    </row>
    <row r="171" spans="1:38" x14ac:dyDescent="0.25">
      <c r="N171" s="365" t="str">
        <f t="shared" si="52"/>
        <v/>
      </c>
      <c r="O171" s="361" t="str">
        <f t="shared" si="53"/>
        <v/>
      </c>
      <c r="P171" s="361" t="str">
        <f t="shared" si="54"/>
        <v/>
      </c>
      <c r="Q171" s="361" t="str">
        <f t="shared" si="61"/>
        <v/>
      </c>
      <c r="R171" s="369" t="str">
        <f t="shared" si="55"/>
        <v/>
      </c>
      <c r="S171" s="370" t="str">
        <f t="shared" si="56"/>
        <v/>
      </c>
      <c r="T171" s="370" t="str">
        <f t="shared" si="57"/>
        <v/>
      </c>
      <c r="U171" s="370" t="str">
        <f t="shared" si="58"/>
        <v/>
      </c>
      <c r="V171" s="407" t="str">
        <f>IF(E171="","",IFERROR(INDEX(Aktiv!$G:$G,MATCH(E171,Aktiv!$A:$A,0)),""))</f>
        <v/>
      </c>
      <c r="W171" s="407" t="str">
        <f>IF(E171="","",IFERROR(INDEX(Aktiv!$H:$H,MATCH(E171,Aktiv!$A:$A,0)),""))</f>
        <v/>
      </c>
      <c r="X171" s="407" t="str">
        <f>IF(E171="","",IFERROR(INDEX(Aktiv!$I:$I,MATCH(E171,Aktiv!$A:$A,0)),""))</f>
        <v/>
      </c>
      <c r="Y171" s="407" t="str">
        <f>IF(E171="","",IFERROR(INDEX(Aktiv!$J:$J,MATCH(E171,Aktiv!$A:$A,0)),""))</f>
        <v/>
      </c>
      <c r="Z171" s="371" t="str">
        <f t="shared" si="64"/>
        <v/>
      </c>
      <c r="AA171" s="371" t="str">
        <f t="shared" si="65"/>
        <v/>
      </c>
      <c r="AB171" s="371" t="str">
        <f t="shared" si="66"/>
        <v/>
      </c>
      <c r="AC171" s="371" t="str">
        <f t="shared" si="67"/>
        <v/>
      </c>
      <c r="AD171" s="366" t="str">
        <f>IF(E171="","",IFERROR(INDEX(Preisliste_2025!$E:$E,MATCH(E171,Preisliste_2025!$C:$C,0)),""))</f>
        <v/>
      </c>
      <c r="AE171" s="366" t="str">
        <f>IF(E171="","",IFERROR(INDEX(Preisliste_2025!$G:$G,MATCH(E171,Preisliste_2025!$C:$C,0)),""))</f>
        <v/>
      </c>
      <c r="AF171" s="366" t="str">
        <f>IF(E171="","",IFERROR(INDEX(Preisliste_2025!$F:$F,MATCH(E171,Preisliste_2025!$C:$C,0)),""))</f>
        <v/>
      </c>
      <c r="AG171" s="366" t="str">
        <f>IF(E171="","",IFERROR(INDEX(Preisliste_2025!$H:$H,MATCH(E171,Preisliste_2025!$C:$C,0)),""))</f>
        <v/>
      </c>
      <c r="AH171" s="367" t="str">
        <f t="shared" si="59"/>
        <v/>
      </c>
      <c r="AI171" s="361" t="str">
        <f t="shared" si="60"/>
        <v/>
      </c>
      <c r="AJ171" s="368" t="str">
        <f>IF(E171="","",IFERROR(INDEX(Aktiv!$E:$E,MATCH(E171,Aktiv!$A:$A,0))*INDEX(Aktiv!$F:$F,MATCH(E171,Aktiv!$A:$A,0)),""))</f>
        <v/>
      </c>
      <c r="AK171" s="361" t="str">
        <f t="shared" si="68"/>
        <v/>
      </c>
      <c r="AL171" s="361" t="str">
        <f t="shared" si="69"/>
        <v/>
      </c>
    </row>
    <row r="172" spans="1:38" x14ac:dyDescent="0.25">
      <c r="A172" s="470" t="s">
        <v>637</v>
      </c>
      <c r="B172" s="448"/>
      <c r="C172" s="448"/>
      <c r="D172" s="448"/>
      <c r="E172" s="448"/>
      <c r="F172" s="448"/>
      <c r="G172" s="448"/>
      <c r="H172" s="448"/>
      <c r="I172" s="448"/>
      <c r="J172" s="448"/>
      <c r="K172" s="448"/>
      <c r="L172" s="448"/>
      <c r="N172" s="365" t="str">
        <f t="shared" si="52"/>
        <v/>
      </c>
      <c r="O172" s="361" t="str">
        <f t="shared" si="53"/>
        <v/>
      </c>
      <c r="P172" s="361" t="str">
        <f t="shared" si="54"/>
        <v/>
      </c>
      <c r="Q172" s="361" t="str">
        <f t="shared" si="61"/>
        <v/>
      </c>
      <c r="R172" s="369" t="str">
        <f t="shared" si="55"/>
        <v/>
      </c>
      <c r="S172" s="370" t="str">
        <f t="shared" si="56"/>
        <v/>
      </c>
      <c r="T172" s="370" t="str">
        <f t="shared" si="57"/>
        <v/>
      </c>
      <c r="U172" s="370" t="str">
        <f t="shared" si="58"/>
        <v/>
      </c>
      <c r="V172" s="407" t="str">
        <f>IF(E172="","",IFERROR(INDEX(Aktiv!$G:$G,MATCH(E172,Aktiv!$A:$A,0)),""))</f>
        <v/>
      </c>
      <c r="W172" s="407" t="str">
        <f>IF(E172="","",IFERROR(INDEX(Aktiv!$H:$H,MATCH(E172,Aktiv!$A:$A,0)),""))</f>
        <v/>
      </c>
      <c r="X172" s="407" t="str">
        <f>IF(E172="","",IFERROR(INDEX(Aktiv!$I:$I,MATCH(E172,Aktiv!$A:$A,0)),""))</f>
        <v/>
      </c>
      <c r="Y172" s="407" t="str">
        <f>IF(E172="","",IFERROR(INDEX(Aktiv!$J:$J,MATCH(E172,Aktiv!$A:$A,0)),""))</f>
        <v/>
      </c>
      <c r="Z172" s="371" t="str">
        <f t="shared" si="64"/>
        <v/>
      </c>
      <c r="AA172" s="371" t="str">
        <f t="shared" si="65"/>
        <v/>
      </c>
      <c r="AB172" s="371" t="str">
        <f t="shared" si="66"/>
        <v/>
      </c>
      <c r="AC172" s="371" t="str">
        <f t="shared" si="67"/>
        <v/>
      </c>
      <c r="AD172" s="366" t="str">
        <f>IF(E172="","",IFERROR(INDEX(Preisliste_2025!$E:$E,MATCH(E172,Preisliste_2025!$C:$C,0)),""))</f>
        <v/>
      </c>
      <c r="AE172" s="366" t="str">
        <f>IF(E172="","",IFERROR(INDEX(Preisliste_2025!$G:$G,MATCH(E172,Preisliste_2025!$C:$C,0)),""))</f>
        <v/>
      </c>
      <c r="AF172" s="366" t="str">
        <f>IF(E172="","",IFERROR(INDEX(Preisliste_2025!$F:$F,MATCH(E172,Preisliste_2025!$C:$C,0)),""))</f>
        <v/>
      </c>
      <c r="AG172" s="366" t="str">
        <f>IF(E172="","",IFERROR(INDEX(Preisliste_2025!$H:$H,MATCH(E172,Preisliste_2025!$C:$C,0)),""))</f>
        <v/>
      </c>
      <c r="AH172" s="367" t="str">
        <f t="shared" si="59"/>
        <v/>
      </c>
      <c r="AI172" s="361" t="str">
        <f t="shared" si="60"/>
        <v/>
      </c>
      <c r="AJ172" s="368" t="str">
        <f>IF(E172="","",IFERROR(INDEX(Aktiv!$E:$E,MATCH(E172,Aktiv!$A:$A,0))*INDEX(Aktiv!$F:$F,MATCH(E172,Aktiv!$A:$A,0)),""))</f>
        <v/>
      </c>
      <c r="AK172" s="361" t="str">
        <f t="shared" si="68"/>
        <v/>
      </c>
      <c r="AL172" s="361" t="str">
        <f t="shared" si="69"/>
        <v/>
      </c>
    </row>
    <row r="173" spans="1:38" x14ac:dyDescent="0.25">
      <c r="B173" s="471" t="s">
        <v>638</v>
      </c>
      <c r="C173" s="471"/>
      <c r="D173" s="471"/>
      <c r="E173" s="471"/>
      <c r="F173" s="471" t="s">
        <v>639</v>
      </c>
      <c r="G173" s="471"/>
      <c r="H173" s="471"/>
      <c r="I173" s="471"/>
      <c r="J173" s="471" t="s">
        <v>640</v>
      </c>
      <c r="K173" s="471"/>
      <c r="L173" s="471"/>
      <c r="M173" s="359" t="s">
        <v>641</v>
      </c>
      <c r="N173" s="365" t="str">
        <f t="shared" si="52"/>
        <v/>
      </c>
      <c r="O173" s="361" t="str">
        <f t="shared" si="53"/>
        <v/>
      </c>
      <c r="P173" s="361" t="str">
        <f t="shared" si="54"/>
        <v/>
      </c>
      <c r="Q173" s="361" t="str">
        <f t="shared" si="61"/>
        <v/>
      </c>
      <c r="R173" s="369" t="str">
        <f t="shared" si="55"/>
        <v/>
      </c>
      <c r="S173" s="370" t="str">
        <f t="shared" si="56"/>
        <v/>
      </c>
      <c r="T173" s="370" t="str">
        <f t="shared" si="57"/>
        <v/>
      </c>
      <c r="U173" s="370" t="str">
        <f t="shared" si="58"/>
        <v/>
      </c>
      <c r="V173" s="407" t="str">
        <f>IF(E173="","",IFERROR(INDEX(Aktiv!$G:$G,MATCH(E173,Aktiv!$A:$A,0)),""))</f>
        <v/>
      </c>
      <c r="W173" s="407" t="str">
        <f>IF(E173="","",IFERROR(INDEX(Aktiv!$H:$H,MATCH(E173,Aktiv!$A:$A,0)),""))</f>
        <v/>
      </c>
      <c r="X173" s="407" t="str">
        <f>IF(E173="","",IFERROR(INDEX(Aktiv!$I:$I,MATCH(E173,Aktiv!$A:$A,0)),""))</f>
        <v/>
      </c>
      <c r="Y173" s="407" t="str">
        <f>IF(E173="","",IFERROR(INDEX(Aktiv!$J:$J,MATCH(E173,Aktiv!$A:$A,0)),""))</f>
        <v/>
      </c>
      <c r="Z173" s="371" t="str">
        <f t="shared" si="64"/>
        <v/>
      </c>
      <c r="AA173" s="371" t="str">
        <f t="shared" si="65"/>
        <v/>
      </c>
      <c r="AB173" s="371" t="str">
        <f t="shared" si="66"/>
        <v/>
      </c>
      <c r="AC173" s="371" t="str">
        <f t="shared" si="67"/>
        <v/>
      </c>
      <c r="AD173" s="366" t="str">
        <f>IF(E173="","",IFERROR(INDEX(Preisliste_2025!$E:$E,MATCH(E173,Preisliste_2025!$C:$C,0)),""))</f>
        <v/>
      </c>
      <c r="AE173" s="366" t="str">
        <f>IF(E173="","",IFERROR(INDEX(Preisliste_2025!$G:$G,MATCH(E173,Preisliste_2025!$C:$C,0)),""))</f>
        <v/>
      </c>
      <c r="AF173" s="366" t="str">
        <f>IF(E173="","",IFERROR(INDEX(Preisliste_2025!$F:$F,MATCH(E173,Preisliste_2025!$C:$C,0)),""))</f>
        <v/>
      </c>
      <c r="AG173" s="366" t="str">
        <f>IF(E173="","",IFERROR(INDEX(Preisliste_2025!$H:$H,MATCH(E173,Preisliste_2025!$C:$C,0)),""))</f>
        <v/>
      </c>
      <c r="AH173" s="367" t="str">
        <f t="shared" si="59"/>
        <v/>
      </c>
      <c r="AI173" s="361" t="str">
        <f t="shared" si="60"/>
        <v/>
      </c>
      <c r="AJ173" s="368" t="str">
        <f>IF(E173="","",IFERROR(INDEX(Aktiv!$E:$E,MATCH(E173,Aktiv!$A:$A,0))*INDEX(Aktiv!$F:$F,MATCH(E173,Aktiv!$A:$A,0)),""))</f>
        <v/>
      </c>
      <c r="AK173" s="361" t="str">
        <f t="shared" si="68"/>
        <v/>
      </c>
      <c r="AL173" s="361" t="str">
        <f t="shared" si="69"/>
        <v/>
      </c>
    </row>
    <row r="174" spans="1:38" ht="45" x14ac:dyDescent="0.25">
      <c r="A174" s="92" t="s">
        <v>370</v>
      </c>
      <c r="B174" s="92" t="s">
        <v>642</v>
      </c>
      <c r="C174" s="92" t="s">
        <v>643</v>
      </c>
      <c r="D174" s="92" t="s">
        <v>644</v>
      </c>
      <c r="E174" s="92" t="s">
        <v>645</v>
      </c>
      <c r="F174" s="92" t="s">
        <v>577</v>
      </c>
      <c r="G174" s="92" t="s">
        <v>805</v>
      </c>
      <c r="H174" s="92" t="s">
        <v>578</v>
      </c>
      <c r="I174" s="92" t="s">
        <v>806</v>
      </c>
      <c r="J174" s="92" t="s">
        <v>579</v>
      </c>
      <c r="K174" s="92" t="s">
        <v>580</v>
      </c>
      <c r="L174" s="92" t="s">
        <v>581</v>
      </c>
      <c r="M174" s="92" t="s">
        <v>577</v>
      </c>
      <c r="N174" s="365" t="str">
        <f t="shared" si="52"/>
        <v/>
      </c>
      <c r="O174" s="361" t="str">
        <f t="shared" si="53"/>
        <v/>
      </c>
      <c r="P174" s="361" t="str">
        <f t="shared" si="54"/>
        <v/>
      </c>
      <c r="Q174" s="361" t="str">
        <f t="shared" si="61"/>
        <v/>
      </c>
      <c r="R174" s="369" t="str">
        <f t="shared" si="55"/>
        <v/>
      </c>
      <c r="S174" s="370" t="str">
        <f t="shared" si="56"/>
        <v/>
      </c>
      <c r="T174" s="370" t="str">
        <f t="shared" si="57"/>
        <v/>
      </c>
      <c r="U174" s="370" t="str">
        <f t="shared" si="58"/>
        <v/>
      </c>
      <c r="V174" s="407" t="str">
        <f>IF(E174="","",IFERROR(INDEX(Aktiv!$G:$G,MATCH(E174,Aktiv!$A:$A,0)),""))</f>
        <v/>
      </c>
      <c r="W174" s="407" t="str">
        <f>IF(E174="","",IFERROR(INDEX(Aktiv!$H:$H,MATCH(E174,Aktiv!$A:$A,0)),""))</f>
        <v/>
      </c>
      <c r="X174" s="407" t="str">
        <f>IF(E174="","",IFERROR(INDEX(Aktiv!$I:$I,MATCH(E174,Aktiv!$A:$A,0)),""))</f>
        <v/>
      </c>
      <c r="Y174" s="407" t="str">
        <f>IF(E174="","",IFERROR(INDEX(Aktiv!$J:$J,MATCH(E174,Aktiv!$A:$A,0)),""))</f>
        <v/>
      </c>
      <c r="Z174" s="371" t="str">
        <f t="shared" si="64"/>
        <v/>
      </c>
      <c r="AA174" s="371" t="str">
        <f t="shared" si="65"/>
        <v/>
      </c>
      <c r="AB174" s="371" t="str">
        <f t="shared" si="66"/>
        <v/>
      </c>
      <c r="AC174" s="371" t="str">
        <f t="shared" si="67"/>
        <v/>
      </c>
      <c r="AD174" s="366" t="str">
        <f>IF(E174="","",IFERROR(INDEX(Preisliste_2025!$E:$E,MATCH(E174,Preisliste_2025!$C:$C,0)),""))</f>
        <v/>
      </c>
      <c r="AE174" s="366" t="str">
        <f>IF(E174="","",IFERROR(INDEX(Preisliste_2025!$G:$G,MATCH(E174,Preisliste_2025!$C:$C,0)),""))</f>
        <v/>
      </c>
      <c r="AF174" s="366" t="str">
        <f>IF(E174="","",IFERROR(INDEX(Preisliste_2025!$F:$F,MATCH(E174,Preisliste_2025!$C:$C,0)),""))</f>
        <v/>
      </c>
      <c r="AG174" s="366" t="str">
        <f>IF(E174="","",IFERROR(INDEX(Preisliste_2025!$H:$H,MATCH(E174,Preisliste_2025!$C:$C,0)),""))</f>
        <v/>
      </c>
      <c r="AH174" s="367" t="str">
        <f t="shared" si="59"/>
        <v/>
      </c>
      <c r="AI174" s="361" t="str">
        <f t="shared" si="60"/>
        <v/>
      </c>
      <c r="AJ174" s="368" t="str">
        <f>IF(E174="","",IFERROR(INDEX(Aktiv!$E:$E,MATCH(E174,Aktiv!$A:$A,0))*INDEX(Aktiv!$F:$F,MATCH(E174,Aktiv!$A:$A,0)),""))</f>
        <v/>
      </c>
      <c r="AK174" s="361" t="str">
        <f t="shared" si="68"/>
        <v/>
      </c>
      <c r="AL174" s="361" t="str">
        <f t="shared" si="69"/>
        <v/>
      </c>
    </row>
    <row r="175" spans="1:38" x14ac:dyDescent="0.25">
      <c r="A175" s="360" t="s">
        <v>422</v>
      </c>
      <c r="B175" s="361">
        <f>IFERROR(AVERAGEIF(F7:F25,"&lt;&gt;0",F7:F25),"")</f>
        <v>56</v>
      </c>
      <c r="C175" s="361">
        <f>IFERROR(AVERAGEIF(G7:G25,"&lt;&gt;0",G7:G25),"")</f>
        <v>182</v>
      </c>
      <c r="D175" s="361">
        <f>IFERROR(AVERAGEIF(I7:I25,"&lt;&gt;0",I7:I25),"")</f>
        <v>167.86666666666667</v>
      </c>
      <c r="E175" s="361">
        <f>IFERROR(AVERAGEIF(K7:K25,"&lt;&gt;0",K7:K25),"")</f>
        <v>206.52631578947367</v>
      </c>
      <c r="F175" s="361">
        <f ca="1">IFERROR(AVERAGEIF(R7:R25,"&lt;&gt;0",R7:R25),"")</f>
        <v>-1.1652015306698561E-2</v>
      </c>
      <c r="G175" s="361">
        <f ca="1">IFERROR(AVERAGEIF(T7:T25,"&lt;&gt;0",T7:T25),"")</f>
        <v>9.5962976417168611E-2</v>
      </c>
      <c r="H175" s="361">
        <f ca="1">IFERROR(AVERAGEIF(U7:U25,"&lt;&gt;0",U7:U25),"")</f>
        <v>1.4859243786192718E-2</v>
      </c>
      <c r="I175" s="361">
        <f ca="1">IFERROR(AVERAGEIF(S7:S25,"&lt;&gt;0",S7:S25),"")</f>
        <v>3.1993797438384826E-2</v>
      </c>
      <c r="J175" s="362">
        <f t="shared" ref="J175:J180" ca="1" si="70">IFERROR(F175/B175-1,"")</f>
        <v>-1.0002080717019053</v>
      </c>
      <c r="K175" s="362">
        <f t="shared" ref="K175:K180" ca="1" si="71">IFERROR(I175/E175-1,"")</f>
        <v>-0.99984508609803024</v>
      </c>
      <c r="L175" s="362">
        <f t="shared" ref="L175:L180" ca="1" si="72">IFERROR(G175/C175-1,"")</f>
        <v>-0.99947273089880673</v>
      </c>
      <c r="M175" s="361">
        <f>IFERROR(AVERAGEIF(AD7:AD25,"&lt;&gt;0",AD7:AD25),"")</f>
        <v>80.84210526315789</v>
      </c>
      <c r="N175" s="365" t="str">
        <f t="shared" si="52"/>
        <v/>
      </c>
      <c r="O175" s="361" t="str">
        <f t="shared" si="53"/>
        <v/>
      </c>
      <c r="P175" s="361" t="str">
        <f t="shared" si="54"/>
        <v/>
      </c>
      <c r="Q175" s="361" t="str">
        <f t="shared" si="61"/>
        <v/>
      </c>
      <c r="R175" s="369" t="str">
        <f t="shared" ca="1" si="55"/>
        <v/>
      </c>
      <c r="S175" s="370" t="str">
        <f t="shared" ca="1" si="56"/>
        <v/>
      </c>
      <c r="T175" s="370" t="str">
        <f t="shared" ca="1" si="57"/>
        <v/>
      </c>
      <c r="U175" s="370" t="str">
        <f t="shared" ca="1" si="58"/>
        <v/>
      </c>
      <c r="V175" s="407" t="str">
        <f>IF(E175="","",IFERROR(INDEX(Aktiv!$G:$G,MATCH(E175,Aktiv!$A:$A,0)),""))</f>
        <v/>
      </c>
      <c r="W175" s="407" t="str">
        <f>IF(E175="","",IFERROR(INDEX(Aktiv!$H:$H,MATCH(E175,Aktiv!$A:$A,0)),""))</f>
        <v/>
      </c>
      <c r="X175" s="407" t="str">
        <f>IF(E175="","",IFERROR(INDEX(Aktiv!$I:$I,MATCH(E175,Aktiv!$A:$A,0)),""))</f>
        <v/>
      </c>
      <c r="Y175" s="407" t="str">
        <f>IF(E175="","",IFERROR(INDEX(Aktiv!$J:$J,MATCH(E175,Aktiv!$A:$A,0)),""))</f>
        <v/>
      </c>
      <c r="Z175" s="371" t="str">
        <f t="shared" si="64"/>
        <v/>
      </c>
      <c r="AA175" s="371" t="str">
        <f t="shared" si="65"/>
        <v/>
      </c>
      <c r="AB175" s="371" t="str">
        <f t="shared" si="66"/>
        <v/>
      </c>
      <c r="AC175" s="371" t="str">
        <f t="shared" si="67"/>
        <v/>
      </c>
      <c r="AD175" s="366" t="str">
        <f>IF(E175="","",IFERROR(INDEX(Preisliste_2025!$E:$E,MATCH(E175,Preisliste_2025!$C:$C,0)),""))</f>
        <v/>
      </c>
      <c r="AE175" s="366" t="str">
        <f>IF(E175="","",IFERROR(INDEX(Preisliste_2025!$G:$G,MATCH(E175,Preisliste_2025!$C:$C,0)),""))</f>
        <v/>
      </c>
      <c r="AF175" s="366" t="str">
        <f>IF(E175="","",IFERROR(INDEX(Preisliste_2025!$F:$F,MATCH(E175,Preisliste_2025!$C:$C,0)),""))</f>
        <v/>
      </c>
      <c r="AG175" s="366" t="str">
        <f>IF(E175="","",IFERROR(INDEX(Preisliste_2025!$H:$H,MATCH(E175,Preisliste_2025!$C:$C,0)),""))</f>
        <v/>
      </c>
      <c r="AH175" s="367" t="str">
        <f t="shared" si="59"/>
        <v/>
      </c>
      <c r="AI175" s="361" t="str">
        <f t="shared" si="60"/>
        <v/>
      </c>
      <c r="AJ175" s="368" t="str">
        <f>IF(E175="","",IFERROR(INDEX(Aktiv!$E:$E,MATCH(E175,Aktiv!$A:$A,0))*INDEX(Aktiv!$F:$F,MATCH(E175,Aktiv!$A:$A,0)),""))</f>
        <v/>
      </c>
      <c r="AK175" s="361" t="str">
        <f t="shared" ca="1" si="68"/>
        <v/>
      </c>
      <c r="AL175" s="361" t="str">
        <f t="shared" si="69"/>
        <v/>
      </c>
    </row>
    <row r="176" spans="1:38" x14ac:dyDescent="0.25">
      <c r="A176" s="360" t="s">
        <v>78</v>
      </c>
      <c r="B176" s="361">
        <f>IFERROR(AVERAGEIF(F26:F45,"&lt;&gt;0",F26:F45),"")</f>
        <v>101.75</v>
      </c>
      <c r="C176" s="361">
        <f>IFERROR(AVERAGEIF(G26:G45,"&lt;&gt;0",G26:G45),"")</f>
        <v>311.2</v>
      </c>
      <c r="D176" s="361">
        <f>IFERROR(AVERAGEIF(I26:I45,"&lt;&gt;0",I26:I45),"")</f>
        <v>219.76923076923077</v>
      </c>
      <c r="E176" s="361">
        <f>IFERROR(AVERAGEIF(K26:K45,"&lt;&gt;0",K26:K45),"")</f>
        <v>355.65</v>
      </c>
      <c r="F176" s="361">
        <f ca="1">IFERROR(AVERAGEIF(R26:R45,"&lt;&gt;0",R26:R45),"")</f>
        <v>-2.1571386980607173E-2</v>
      </c>
      <c r="G176" s="361">
        <f ca="1">IFERROR(AVERAGEIF(T26:T45,"&lt;&gt;0",T26:T45),"")</f>
        <v>0.11312817219826098</v>
      </c>
      <c r="H176" s="361">
        <f ca="1">IFERROR(AVERAGEIF(U26:U45,"&lt;&gt;0",U26:U45),"")</f>
        <v>0.16309412277703397</v>
      </c>
      <c r="I176" s="361">
        <f ca="1">IFERROR(AVERAGEIF(S26:S45,"&lt;&gt;0",S26:S45),"")</f>
        <v>6.1597400987820503E-2</v>
      </c>
      <c r="J176" s="362">
        <f t="shared" ca="1" si="70"/>
        <v>-1.0002120038032492</v>
      </c>
      <c r="K176" s="362">
        <f t="shared" ca="1" si="71"/>
        <v>-0.99982680331509122</v>
      </c>
      <c r="L176" s="362">
        <f t="shared" ca="1" si="72"/>
        <v>-0.99963647759576391</v>
      </c>
      <c r="M176" s="361">
        <f>IFERROR(AVERAGEIF(AD26:AD45,"&lt;&gt;0",AD26:AD45),"")</f>
        <v>141.75</v>
      </c>
      <c r="N176" s="365" t="str">
        <f t="shared" si="52"/>
        <v/>
      </c>
      <c r="O176" s="361" t="str">
        <f t="shared" si="53"/>
        <v/>
      </c>
      <c r="P176" s="361" t="str">
        <f t="shared" si="54"/>
        <v/>
      </c>
      <c r="Q176" s="361" t="str">
        <f t="shared" si="61"/>
        <v/>
      </c>
      <c r="R176" s="369" t="str">
        <f t="shared" ca="1" si="55"/>
        <v/>
      </c>
      <c r="S176" s="370" t="str">
        <f t="shared" ca="1" si="56"/>
        <v/>
      </c>
      <c r="T176" s="370" t="str">
        <f t="shared" ca="1" si="57"/>
        <v/>
      </c>
      <c r="U176" s="370" t="str">
        <f t="shared" ca="1" si="58"/>
        <v/>
      </c>
      <c r="V176" s="407" t="str">
        <f>IF(E176="","",IFERROR(INDEX(Aktiv!$G:$G,MATCH(E176,Aktiv!$A:$A,0)),""))</f>
        <v/>
      </c>
      <c r="W176" s="407" t="str">
        <f>IF(E176="","",IFERROR(INDEX(Aktiv!$H:$H,MATCH(E176,Aktiv!$A:$A,0)),""))</f>
        <v/>
      </c>
      <c r="X176" s="407" t="str">
        <f>IF(E176="","",IFERROR(INDEX(Aktiv!$I:$I,MATCH(E176,Aktiv!$A:$A,0)),""))</f>
        <v/>
      </c>
      <c r="Y176" s="407" t="str">
        <f>IF(E176="","",IFERROR(INDEX(Aktiv!$J:$J,MATCH(E176,Aktiv!$A:$A,0)),""))</f>
        <v/>
      </c>
      <c r="Z176" s="371" t="str">
        <f t="shared" si="64"/>
        <v/>
      </c>
      <c r="AA176" s="371" t="str">
        <f t="shared" si="65"/>
        <v/>
      </c>
      <c r="AB176" s="371" t="str">
        <f t="shared" si="66"/>
        <v/>
      </c>
      <c r="AC176" s="371" t="str">
        <f t="shared" si="67"/>
        <v/>
      </c>
      <c r="AD176" s="366" t="str">
        <f>IF(E176="","",IFERROR(INDEX(Preisliste_2025!$E:$E,MATCH(E176,Preisliste_2025!$C:$C,0)),""))</f>
        <v/>
      </c>
      <c r="AE176" s="366" t="str">
        <f>IF(E176="","",IFERROR(INDEX(Preisliste_2025!$G:$G,MATCH(E176,Preisliste_2025!$C:$C,0)),""))</f>
        <v/>
      </c>
      <c r="AF176" s="366" t="str">
        <f>IF(E176="","",IFERROR(INDEX(Preisliste_2025!$F:$F,MATCH(E176,Preisliste_2025!$C:$C,0)),""))</f>
        <v/>
      </c>
      <c r="AG176" s="366" t="str">
        <f>IF(E176="","",IFERROR(INDEX(Preisliste_2025!$H:$H,MATCH(E176,Preisliste_2025!$C:$C,0)),""))</f>
        <v/>
      </c>
      <c r="AH176" s="367" t="str">
        <f t="shared" si="59"/>
        <v/>
      </c>
      <c r="AI176" s="361" t="str">
        <f t="shared" si="60"/>
        <v/>
      </c>
      <c r="AJ176" s="368" t="str">
        <f>IF(E176="","",IFERROR(INDEX(Aktiv!$E:$E,MATCH(E176,Aktiv!$A:$A,0))*INDEX(Aktiv!$F:$F,MATCH(E176,Aktiv!$A:$A,0)),""))</f>
        <v/>
      </c>
      <c r="AK176" s="361" t="str">
        <f t="shared" ca="1" si="68"/>
        <v/>
      </c>
      <c r="AL176" s="361" t="str">
        <f t="shared" si="69"/>
        <v/>
      </c>
    </row>
    <row r="177" spans="1:38" x14ac:dyDescent="0.25">
      <c r="A177" s="360" t="s">
        <v>459</v>
      </c>
      <c r="B177" s="361">
        <f>IFERROR(AVERAGEIF(F47:F72,"&lt;&gt;0",F47:F72),"")</f>
        <v>251.91666666666666</v>
      </c>
      <c r="C177" s="361">
        <f>IFERROR(AVERAGEIF(G47:G72,"&lt;&gt;0",G47:G72),"")</f>
        <v>384</v>
      </c>
      <c r="D177" s="361">
        <f>IFERROR(AVERAGEIF(I47:I72,"&lt;&gt;0",I47:I72),"")</f>
        <v>613.4</v>
      </c>
      <c r="E177" s="361">
        <f>IFERROR(AVERAGEIF(K47:K72,"&lt;&gt;0",K47:K72),"")</f>
        <v>421.5</v>
      </c>
      <c r="F177" s="361">
        <f ca="1">IFERROR(AVERAGEIF(R47:R72,"&lt;&gt;0",R47:R72),"")</f>
        <v>-2.3470343648512252E-2</v>
      </c>
      <c r="G177" s="361">
        <f ca="1">IFERROR(AVERAGEIF(T47:T72,"&lt;&gt;0",T47:T72),"")</f>
        <v>0.24803124463837445</v>
      </c>
      <c r="H177" s="361">
        <f ca="1">IFERROR(AVERAGEIF(U47:U72,"&lt;&gt;0",U47:U72),"")</f>
        <v>0.21433545379309149</v>
      </c>
      <c r="I177" s="361">
        <f ca="1">IFERROR(AVERAGEIF(S47:S72,"&lt;&gt;0",S47:S72),"")</f>
        <v>0.16103393859713927</v>
      </c>
      <c r="J177" s="362">
        <f t="shared" ca="1" si="70"/>
        <v>-1.0000931670935436</v>
      </c>
      <c r="K177" s="362">
        <f t="shared" ca="1" si="71"/>
        <v>-0.999617950323613</v>
      </c>
      <c r="L177" s="362">
        <f t="shared" ca="1" si="72"/>
        <v>-0.99935408530042091</v>
      </c>
      <c r="M177" s="361">
        <f>IFERROR(AVERAGEIF(AD47:AD72,"&lt;&gt;0",AD47:AD72),"")</f>
        <v>338.625</v>
      </c>
      <c r="N177" s="365" t="str">
        <f t="shared" si="52"/>
        <v/>
      </c>
      <c r="O177" s="361" t="str">
        <f t="shared" si="53"/>
        <v/>
      </c>
      <c r="P177" s="361" t="str">
        <f t="shared" si="54"/>
        <v/>
      </c>
      <c r="Q177" s="361" t="str">
        <f t="shared" si="61"/>
        <v/>
      </c>
      <c r="R177" s="369" t="str">
        <f t="shared" ca="1" si="55"/>
        <v/>
      </c>
      <c r="S177" s="370" t="str">
        <f t="shared" ca="1" si="56"/>
        <v/>
      </c>
      <c r="T177" s="370" t="str">
        <f t="shared" ca="1" si="57"/>
        <v/>
      </c>
      <c r="U177" s="370" t="str">
        <f t="shared" ca="1" si="58"/>
        <v/>
      </c>
      <c r="V177" s="407" t="str">
        <f>IF(E177="","",IFERROR(INDEX(Aktiv!$G:$G,MATCH(E177,Aktiv!$A:$A,0)),""))</f>
        <v/>
      </c>
      <c r="W177" s="407" t="str">
        <f>IF(E177="","",IFERROR(INDEX(Aktiv!$H:$H,MATCH(E177,Aktiv!$A:$A,0)),""))</f>
        <v/>
      </c>
      <c r="X177" s="407" t="str">
        <f>IF(E177="","",IFERROR(INDEX(Aktiv!$I:$I,MATCH(E177,Aktiv!$A:$A,0)),""))</f>
        <v/>
      </c>
      <c r="Y177" s="407" t="str">
        <f>IF(E177="","",IFERROR(INDEX(Aktiv!$J:$J,MATCH(E177,Aktiv!$A:$A,0)),""))</f>
        <v/>
      </c>
      <c r="Z177" s="371" t="str">
        <f t="shared" si="64"/>
        <v/>
      </c>
      <c r="AA177" s="371" t="str">
        <f t="shared" si="65"/>
        <v/>
      </c>
      <c r="AB177" s="371" t="str">
        <f t="shared" si="66"/>
        <v/>
      </c>
      <c r="AC177" s="371" t="str">
        <f t="shared" si="67"/>
        <v/>
      </c>
      <c r="AD177" s="366" t="str">
        <f>IF(E177="","",IFERROR(INDEX(Preisliste_2025!$E:$E,MATCH(E177,Preisliste_2025!$C:$C,0)),""))</f>
        <v/>
      </c>
      <c r="AE177" s="366" t="str">
        <f>IF(E177="","",IFERROR(INDEX(Preisliste_2025!$G:$G,MATCH(E177,Preisliste_2025!$C:$C,0)),""))</f>
        <v/>
      </c>
      <c r="AF177" s="366" t="str">
        <f>IF(E177="","",IFERROR(INDEX(Preisliste_2025!$F:$F,MATCH(E177,Preisliste_2025!$C:$C,0)),""))</f>
        <v/>
      </c>
      <c r="AG177" s="366" t="str">
        <f>IF(E177="","",IFERROR(INDEX(Preisliste_2025!$H:$H,MATCH(E177,Preisliste_2025!$C:$C,0)),""))</f>
        <v/>
      </c>
      <c r="AH177" s="367" t="str">
        <f t="shared" si="59"/>
        <v/>
      </c>
      <c r="AI177" s="361" t="str">
        <f t="shared" si="60"/>
        <v/>
      </c>
      <c r="AJ177" s="368" t="str">
        <f>IF(E177="","",IFERROR(INDEX(Aktiv!$E:$E,MATCH(E177,Aktiv!$A:$A,0))*INDEX(Aktiv!$F:$F,MATCH(E177,Aktiv!$A:$A,0)),""))</f>
        <v/>
      </c>
      <c r="AK177" s="361" t="str">
        <f t="shared" ca="1" si="68"/>
        <v/>
      </c>
      <c r="AL177" s="361" t="str">
        <f t="shared" si="69"/>
        <v/>
      </c>
    </row>
    <row r="178" spans="1:38" x14ac:dyDescent="0.25">
      <c r="A178" s="360" t="s">
        <v>460</v>
      </c>
      <c r="B178" s="361">
        <f>IFERROR(AVERAGEIF(F74:F97,"&lt;&gt;0",F74:F97),"")</f>
        <v>263.47619047619048</v>
      </c>
      <c r="C178" s="361">
        <f>IFERROR(AVERAGEIF(G74:G97,"&lt;&gt;0",G74:G97),"")</f>
        <v>333.38095238095241</v>
      </c>
      <c r="D178" s="361" t="str">
        <f>IFERROR(AVERAGEIF(I74:I97,"&lt;&gt;0",I74:I97),"")</f>
        <v/>
      </c>
      <c r="E178" s="361">
        <f>IFERROR(AVERAGEIF(K74:K97,"&lt;&gt;0",K74:K97),"")</f>
        <v>337.14285714285717</v>
      </c>
      <c r="F178" s="361">
        <f ca="1">IFERROR(AVERAGEIF(R74:R97,"&lt;&gt;0",R74:R97),"")</f>
        <v>-5.673508130178595E-2</v>
      </c>
      <c r="G178" s="361">
        <f ca="1">IFERROR(AVERAGEIF(T74:T97,"&lt;&gt;0",T74:T97),"")</f>
        <v>-2.5663404508510328E-2</v>
      </c>
      <c r="H178" s="361" t="str">
        <f>IFERROR(AVERAGEIF(U74:U97,"&lt;&gt;0",U74:U97),"")</f>
        <v/>
      </c>
      <c r="I178" s="361">
        <f ca="1">IFERROR(AVERAGEIF(S74:S97,"&lt;&gt;0",S74:S97),"")</f>
        <v>-0.10453390387734796</v>
      </c>
      <c r="J178" s="362">
        <f t="shared" ca="1" si="70"/>
        <v>-1.0002153328587271</v>
      </c>
      <c r="K178" s="362">
        <f t="shared" ca="1" si="71"/>
        <v>-1.0003100581894666</v>
      </c>
      <c r="L178" s="362">
        <f t="shared" ca="1" si="72"/>
        <v>-1.0000769792164945</v>
      </c>
      <c r="M178" s="361">
        <f>IFERROR(AVERAGEIF(AD74:AD97,"&lt;&gt;0",AD74:AD97),"")</f>
        <v>341.25</v>
      </c>
      <c r="N178" s="365" t="str">
        <f t="shared" si="52"/>
        <v/>
      </c>
      <c r="O178" s="361" t="str">
        <f t="shared" si="53"/>
        <v/>
      </c>
      <c r="P178" s="361" t="str">
        <f t="shared" si="54"/>
        <v/>
      </c>
      <c r="Q178" s="361" t="str">
        <f t="shared" si="61"/>
        <v/>
      </c>
      <c r="R178" s="369" t="str">
        <f t="shared" ca="1" si="55"/>
        <v/>
      </c>
      <c r="S178" s="370" t="str">
        <f t="shared" ca="1" si="56"/>
        <v/>
      </c>
      <c r="T178" s="370" t="str">
        <f t="shared" ca="1" si="57"/>
        <v/>
      </c>
      <c r="U178" s="370" t="str">
        <f t="shared" ca="1" si="58"/>
        <v/>
      </c>
      <c r="V178" s="407" t="str">
        <f>IF(E178="","",IFERROR(INDEX(Aktiv!$G:$G,MATCH(E178,Aktiv!$A:$A,0)),""))</f>
        <v/>
      </c>
      <c r="W178" s="407" t="str">
        <f>IF(E178="","",IFERROR(INDEX(Aktiv!$H:$H,MATCH(E178,Aktiv!$A:$A,0)),""))</f>
        <v/>
      </c>
      <c r="X178" s="407" t="str">
        <f>IF(E178="","",IFERROR(INDEX(Aktiv!$I:$I,MATCH(E178,Aktiv!$A:$A,0)),""))</f>
        <v/>
      </c>
      <c r="Y178" s="407" t="str">
        <f>IF(E178="","",IFERROR(INDEX(Aktiv!$J:$J,MATCH(E178,Aktiv!$A:$A,0)),""))</f>
        <v/>
      </c>
      <c r="Z178" s="371" t="str">
        <f t="shared" si="64"/>
        <v/>
      </c>
      <c r="AA178" s="371" t="str">
        <f t="shared" si="65"/>
        <v/>
      </c>
      <c r="AB178" s="371" t="str">
        <f t="shared" si="66"/>
        <v/>
      </c>
      <c r="AC178" s="371" t="str">
        <f t="shared" si="67"/>
        <v/>
      </c>
      <c r="AD178" s="366" t="str">
        <f>IF(E178="","",IFERROR(INDEX(Preisliste_2025!$E:$E,MATCH(E178,Preisliste_2025!$C:$C,0)),""))</f>
        <v/>
      </c>
      <c r="AE178" s="366" t="str">
        <f>IF(E178="","",IFERROR(INDEX(Preisliste_2025!$G:$G,MATCH(E178,Preisliste_2025!$C:$C,0)),""))</f>
        <v/>
      </c>
      <c r="AF178" s="366" t="str">
        <f>IF(E178="","",IFERROR(INDEX(Preisliste_2025!$F:$F,MATCH(E178,Preisliste_2025!$C:$C,0)),""))</f>
        <v/>
      </c>
      <c r="AG178" s="366" t="str">
        <f>IF(E178="","",IFERROR(INDEX(Preisliste_2025!$H:$H,MATCH(E178,Preisliste_2025!$C:$C,0)),""))</f>
        <v/>
      </c>
      <c r="AH178" s="367" t="str">
        <f t="shared" si="59"/>
        <v/>
      </c>
      <c r="AI178" s="361" t="str">
        <f t="shared" si="60"/>
        <v/>
      </c>
      <c r="AJ178" s="368" t="str">
        <f>IF(E178="","",IFERROR(INDEX(Aktiv!$E:$E,MATCH(E178,Aktiv!$A:$A,0))*INDEX(Aktiv!$F:$F,MATCH(E178,Aktiv!$A:$A,0)),""))</f>
        <v/>
      </c>
      <c r="AK178" s="361" t="str">
        <f t="shared" ca="1" si="68"/>
        <v/>
      </c>
      <c r="AL178" s="361" t="str">
        <f t="shared" si="69"/>
        <v/>
      </c>
    </row>
    <row r="179" spans="1:38" x14ac:dyDescent="0.25">
      <c r="A179" s="360" t="s">
        <v>466</v>
      </c>
      <c r="B179" s="361" t="str">
        <f>IFERROR(AVERAGEIF(#REF!,"&lt;&gt;0",#REF!),"")</f>
        <v/>
      </c>
      <c r="C179" s="361" t="str">
        <f>IFERROR(AVERAGEIF(#REF!,"&lt;&gt;0",#REF!),"")</f>
        <v/>
      </c>
      <c r="D179" s="361" t="str">
        <f>IFERROR(AVERAGEIF(#REF!,"&lt;&gt;0",#REF!),"")</f>
        <v/>
      </c>
      <c r="E179" s="361" t="str">
        <f>IFERROR(AVERAGEIF(#REF!,"&lt;&gt;0",#REF!),"")</f>
        <v/>
      </c>
      <c r="F179" s="361" t="str">
        <f>IFERROR(AVERAGEIF(#REF!,"&lt;&gt;0",#REF!),"")</f>
        <v/>
      </c>
      <c r="G179" s="361" t="str">
        <f>IFERROR(AVERAGEIF(#REF!,"&lt;&gt;0",#REF!),"")</f>
        <v/>
      </c>
      <c r="H179" s="361" t="str">
        <f>IFERROR(AVERAGEIF(#REF!,"&lt;&gt;0",#REF!),"")</f>
        <v/>
      </c>
      <c r="I179" s="361" t="str">
        <f>IFERROR(AVERAGEIF(#REF!,"&lt;&gt;0",#REF!),"")</f>
        <v/>
      </c>
      <c r="J179" s="362" t="str">
        <f t="shared" si="70"/>
        <v/>
      </c>
      <c r="K179" s="362" t="str">
        <f t="shared" si="71"/>
        <v/>
      </c>
      <c r="L179" s="362" t="str">
        <f t="shared" si="72"/>
        <v/>
      </c>
      <c r="M179" s="361" t="str">
        <f>IFERROR(AVERAGEIF(#REF!,"&lt;&gt;0",#REF!),"")</f>
        <v/>
      </c>
      <c r="N179" s="365" t="str">
        <f t="shared" si="52"/>
        <v/>
      </c>
      <c r="O179" s="361" t="str">
        <f t="shared" si="53"/>
        <v/>
      </c>
      <c r="P179" s="361" t="str">
        <f t="shared" si="54"/>
        <v/>
      </c>
      <c r="Q179" s="361" t="str">
        <f t="shared" si="61"/>
        <v/>
      </c>
      <c r="R179" s="369" t="str">
        <f t="shared" si="55"/>
        <v/>
      </c>
      <c r="S179" s="370" t="str">
        <f t="shared" si="56"/>
        <v/>
      </c>
      <c r="T179" s="370" t="str">
        <f t="shared" si="57"/>
        <v/>
      </c>
      <c r="U179" s="370" t="str">
        <f t="shared" si="58"/>
        <v/>
      </c>
      <c r="V179" s="407" t="str">
        <f>IF(E179="","",IFERROR(INDEX(Aktiv!$G:$G,MATCH(E179,Aktiv!$A:$A,0)),""))</f>
        <v/>
      </c>
      <c r="W179" s="407" t="str">
        <f>IF(E179="","",IFERROR(INDEX(Aktiv!$H:$H,MATCH(E179,Aktiv!$A:$A,0)),""))</f>
        <v/>
      </c>
      <c r="X179" s="407" t="str">
        <f>IF(E179="","",IFERROR(INDEX(Aktiv!$I:$I,MATCH(E179,Aktiv!$A:$A,0)),""))</f>
        <v/>
      </c>
      <c r="Y179" s="407" t="str">
        <f>IF(E179="","",IFERROR(INDEX(Aktiv!$J:$J,MATCH(E179,Aktiv!$A:$A,0)),""))</f>
        <v/>
      </c>
      <c r="Z179" s="371" t="str">
        <f t="shared" si="64"/>
        <v/>
      </c>
      <c r="AA179" s="371" t="str">
        <f t="shared" si="65"/>
        <v/>
      </c>
      <c r="AB179" s="371" t="str">
        <f t="shared" si="66"/>
        <v/>
      </c>
      <c r="AC179" s="371" t="str">
        <f t="shared" si="67"/>
        <v/>
      </c>
      <c r="AD179" s="366" t="str">
        <f>IF(E179="","",IFERROR(INDEX(Preisliste_2025!$E:$E,MATCH(E179,Preisliste_2025!$C:$C,0)),""))</f>
        <v/>
      </c>
      <c r="AE179" s="366" t="str">
        <f>IF(E179="","",IFERROR(INDEX(Preisliste_2025!$G:$G,MATCH(E179,Preisliste_2025!$C:$C,0)),""))</f>
        <v/>
      </c>
      <c r="AF179" s="366" t="str">
        <f>IF(E179="","",IFERROR(INDEX(Preisliste_2025!$F:$F,MATCH(E179,Preisliste_2025!$C:$C,0)),""))</f>
        <v/>
      </c>
      <c r="AG179" s="366" t="str">
        <f>IF(E179="","",IFERROR(INDEX(Preisliste_2025!$H:$H,MATCH(E179,Preisliste_2025!$C:$C,0)),""))</f>
        <v/>
      </c>
      <c r="AH179" s="367" t="str">
        <f t="shared" si="59"/>
        <v/>
      </c>
      <c r="AI179" s="361" t="str">
        <f t="shared" si="60"/>
        <v/>
      </c>
      <c r="AJ179" s="368" t="str">
        <f>IF(E179="","",IFERROR(INDEX(Aktiv!$E:$E,MATCH(E179,Aktiv!$A:$A,0))*INDEX(Aktiv!$F:$F,MATCH(E179,Aktiv!$A:$A,0)),""))</f>
        <v/>
      </c>
      <c r="AK179" s="361" t="str">
        <f t="shared" si="68"/>
        <v/>
      </c>
      <c r="AL179" s="361" t="str">
        <f t="shared" si="69"/>
        <v/>
      </c>
    </row>
    <row r="180" spans="1:38" x14ac:dyDescent="0.25">
      <c r="A180" s="360" t="s">
        <v>646</v>
      </c>
      <c r="B180" s="361" t="str">
        <f>IFERROR(AVERAGEIF(#REF!,"&lt;&gt;0",#REF!),"")</f>
        <v/>
      </c>
      <c r="C180" s="361" t="str">
        <f>IFERROR(AVERAGEIF(#REF!,"&lt;&gt;0",#REF!),"")</f>
        <v/>
      </c>
      <c r="D180" s="361" t="str">
        <f>IFERROR(AVERAGEIF(#REF!,"&lt;&gt;0",#REF!),"")</f>
        <v/>
      </c>
      <c r="E180" s="361" t="str">
        <f>IFERROR(AVERAGEIF(#REF!,"&lt;&gt;0",#REF!),"")</f>
        <v/>
      </c>
      <c r="F180" s="361" t="str">
        <f>IFERROR(AVERAGEIF(#REF!,"&lt;&gt;0",#REF!),"")</f>
        <v/>
      </c>
      <c r="G180" s="361" t="str">
        <f>IFERROR(AVERAGEIF(#REF!,"&lt;&gt;0",#REF!),"")</f>
        <v/>
      </c>
      <c r="H180" s="361" t="str">
        <f>IFERROR(AVERAGEIF(#REF!,"&lt;&gt;0",#REF!),"")</f>
        <v/>
      </c>
      <c r="I180" s="361" t="str">
        <f>IFERROR(AVERAGEIF(#REF!,"&lt;&gt;0",#REF!),"")</f>
        <v/>
      </c>
      <c r="J180" s="362" t="str">
        <f t="shared" si="70"/>
        <v/>
      </c>
      <c r="K180" s="362" t="str">
        <f t="shared" si="71"/>
        <v/>
      </c>
      <c r="L180" s="362" t="str">
        <f t="shared" si="72"/>
        <v/>
      </c>
      <c r="M180" s="361" t="str">
        <f>IFERROR(AVERAGEIF(#REF!,"&lt;&gt;0",#REF!),"")</f>
        <v/>
      </c>
      <c r="N180" s="365" t="str">
        <f t="shared" si="52"/>
        <v/>
      </c>
      <c r="O180" s="361" t="str">
        <f t="shared" si="53"/>
        <v/>
      </c>
      <c r="P180" s="361" t="str">
        <f t="shared" si="54"/>
        <v/>
      </c>
      <c r="Q180" s="361" t="str">
        <f t="shared" si="61"/>
        <v/>
      </c>
      <c r="R180" s="369" t="str">
        <f t="shared" si="55"/>
        <v/>
      </c>
      <c r="S180" s="370" t="str">
        <f t="shared" si="56"/>
        <v/>
      </c>
      <c r="T180" s="370" t="str">
        <f t="shared" si="57"/>
        <v/>
      </c>
      <c r="U180" s="370" t="str">
        <f t="shared" si="58"/>
        <v/>
      </c>
      <c r="V180" s="407" t="str">
        <f>IF(E180="","",IFERROR(INDEX(Aktiv!$G:$G,MATCH(E180,Aktiv!$A:$A,0)),""))</f>
        <v/>
      </c>
      <c r="W180" s="407" t="str">
        <f>IF(E180="","",IFERROR(INDEX(Aktiv!$H:$H,MATCH(E180,Aktiv!$A:$A,0)),""))</f>
        <v/>
      </c>
      <c r="X180" s="407" t="str">
        <f>IF(E180="","",IFERROR(INDEX(Aktiv!$I:$I,MATCH(E180,Aktiv!$A:$A,0)),""))</f>
        <v/>
      </c>
      <c r="Y180" s="407" t="str">
        <f>IF(E180="","",IFERROR(INDEX(Aktiv!$J:$J,MATCH(E180,Aktiv!$A:$A,0)),""))</f>
        <v/>
      </c>
      <c r="Z180" s="371" t="str">
        <f t="shared" si="64"/>
        <v/>
      </c>
      <c r="AA180" s="371" t="str">
        <f t="shared" si="65"/>
        <v/>
      </c>
      <c r="AB180" s="371" t="str">
        <f t="shared" si="66"/>
        <v/>
      </c>
      <c r="AC180" s="371" t="str">
        <f t="shared" si="67"/>
        <v/>
      </c>
      <c r="AD180" s="366" t="str">
        <f>IF(E180="","",IFERROR(INDEX(Preisliste_2025!$E:$E,MATCH(E180,Preisliste_2025!$C:$C,0)),""))</f>
        <v/>
      </c>
      <c r="AE180" s="366" t="str">
        <f>IF(E180="","",IFERROR(INDEX(Preisliste_2025!$G:$G,MATCH(E180,Preisliste_2025!$C:$C,0)),""))</f>
        <v/>
      </c>
      <c r="AF180" s="366" t="str">
        <f>IF(E180="","",IFERROR(INDEX(Preisliste_2025!$F:$F,MATCH(E180,Preisliste_2025!$C:$C,0)),""))</f>
        <v/>
      </c>
      <c r="AG180" s="366" t="str">
        <f>IF(E180="","",IFERROR(INDEX(Preisliste_2025!$H:$H,MATCH(E180,Preisliste_2025!$C:$C,0)),""))</f>
        <v/>
      </c>
      <c r="AH180" s="367" t="str">
        <f t="shared" si="59"/>
        <v/>
      </c>
      <c r="AI180" s="361" t="str">
        <f t="shared" si="60"/>
        <v/>
      </c>
      <c r="AJ180" s="368" t="str">
        <f>IF(E180="","",IFERROR(INDEX(Aktiv!$E:$E,MATCH(E180,Aktiv!$A:$A,0))*INDEX(Aktiv!$F:$F,MATCH(E180,Aktiv!$A:$A,0)),""))</f>
        <v/>
      </c>
      <c r="AK180" s="361" t="str">
        <f t="shared" si="68"/>
        <v/>
      </c>
      <c r="AL180" s="361" t="str">
        <f t="shared" si="69"/>
        <v/>
      </c>
    </row>
    <row r="181" spans="1:38" x14ac:dyDescent="0.25">
      <c r="A181" s="358" t="s">
        <v>647</v>
      </c>
      <c r="B181" s="363">
        <f t="shared" ref="B181:M181" si="73">IFERROR(AVERAGE(B175:B180),"")</f>
        <v>168.28571428571428</v>
      </c>
      <c r="C181" s="363">
        <f t="shared" si="73"/>
        <v>302.64523809523814</v>
      </c>
      <c r="D181" s="363">
        <f t="shared" si="73"/>
        <v>333.67863247863244</v>
      </c>
      <c r="E181" s="363">
        <f t="shared" si="73"/>
        <v>330.20479323308268</v>
      </c>
      <c r="F181" s="363">
        <f t="shared" ca="1" si="73"/>
        <v>-2.8357206809400983E-2</v>
      </c>
      <c r="G181" s="363">
        <f ca="1">IFERROR(AVERAGE(I175:I180),"")</f>
        <v>3.7522808286499162E-2</v>
      </c>
      <c r="H181" s="363">
        <f t="shared" ca="1" si="73"/>
        <v>0.13076294011877274</v>
      </c>
      <c r="I181" s="363">
        <f ca="1">IFERROR(AVERAGE(G175:G180),"")</f>
        <v>0.10786474718632343</v>
      </c>
      <c r="J181" s="364">
        <f t="shared" ca="1" si="73"/>
        <v>-1.0001821438643561</v>
      </c>
      <c r="K181" s="364">
        <f ca="1">IFERROR(AVERAGE(L175:L180),"")</f>
        <v>-0.99963506825287152</v>
      </c>
      <c r="L181" s="364">
        <f ca="1">IFERROR(AVERAGE(K175:K180),"")</f>
        <v>-0.99989997448155021</v>
      </c>
      <c r="M181" s="363">
        <f t="shared" si="73"/>
        <v>225.61677631578948</v>
      </c>
      <c r="N181" s="365" t="str">
        <f t="shared" si="52"/>
        <v/>
      </c>
      <c r="O181" s="361" t="str">
        <f t="shared" si="53"/>
        <v/>
      </c>
      <c r="P181" s="361" t="str">
        <f t="shared" si="54"/>
        <v/>
      </c>
      <c r="Q181" s="361" t="str">
        <f t="shared" si="61"/>
        <v/>
      </c>
      <c r="R181" s="369" t="str">
        <f t="shared" ca="1" si="55"/>
        <v/>
      </c>
      <c r="S181" s="370" t="str">
        <f t="shared" ca="1" si="56"/>
        <v/>
      </c>
      <c r="T181" s="370" t="str">
        <f t="shared" ca="1" si="57"/>
        <v/>
      </c>
      <c r="U181" s="370" t="str">
        <f t="shared" ca="1" si="58"/>
        <v/>
      </c>
      <c r="V181" s="407" t="str">
        <f>IF(E181="","",IFERROR(INDEX(Aktiv!$G:$G,MATCH(E181,Aktiv!$A:$A,0)),""))</f>
        <v/>
      </c>
      <c r="W181" s="407" t="str">
        <f>IF(E181="","",IFERROR(INDEX(Aktiv!$H:$H,MATCH(E181,Aktiv!$A:$A,0)),""))</f>
        <v/>
      </c>
      <c r="X181" s="407" t="str">
        <f>IF(E181="","",IFERROR(INDEX(Aktiv!$I:$I,MATCH(E181,Aktiv!$A:$A,0)),""))</f>
        <v/>
      </c>
      <c r="Y181" s="407" t="str">
        <f>IF(E181="","",IFERROR(INDEX(Aktiv!$J:$J,MATCH(E181,Aktiv!$A:$A,0)),""))</f>
        <v/>
      </c>
      <c r="Z181" s="371" t="str">
        <f t="shared" si="64"/>
        <v/>
      </c>
      <c r="AA181" s="371" t="str">
        <f t="shared" si="65"/>
        <v/>
      </c>
      <c r="AB181" s="371" t="str">
        <f t="shared" si="66"/>
        <v/>
      </c>
      <c r="AC181" s="371" t="str">
        <f t="shared" si="67"/>
        <v/>
      </c>
      <c r="AD181" s="366" t="str">
        <f>IF(E181="","",IFERROR(INDEX(Preisliste_2025!$E:$E,MATCH(E181,Preisliste_2025!$C:$C,0)),""))</f>
        <v/>
      </c>
      <c r="AE181" s="366" t="str">
        <f>IF(E181="","",IFERROR(INDEX(Preisliste_2025!$G:$G,MATCH(E181,Preisliste_2025!$C:$C,0)),""))</f>
        <v/>
      </c>
      <c r="AF181" s="366" t="str">
        <f>IF(E181="","",IFERROR(INDEX(Preisliste_2025!$F:$F,MATCH(E181,Preisliste_2025!$C:$C,0)),""))</f>
        <v/>
      </c>
      <c r="AG181" s="366" t="str">
        <f>IF(E181="","",IFERROR(INDEX(Preisliste_2025!$H:$H,MATCH(E181,Preisliste_2025!$C:$C,0)),""))</f>
        <v/>
      </c>
      <c r="AH181" s="367" t="str">
        <f t="shared" si="59"/>
        <v/>
      </c>
      <c r="AI181" s="361" t="str">
        <f t="shared" si="60"/>
        <v/>
      </c>
      <c r="AJ181" s="368" t="str">
        <f>IF(E181="","",IFERROR(INDEX(Aktiv!$E:$E,MATCH(E181,Aktiv!$A:$A,0))*INDEX(Aktiv!$F:$F,MATCH(E181,Aktiv!$A:$A,0)),""))</f>
        <v/>
      </c>
      <c r="AK181" s="361" t="str">
        <f t="shared" ca="1" si="68"/>
        <v/>
      </c>
      <c r="AL181" s="361" t="str">
        <f t="shared" si="69"/>
        <v/>
      </c>
    </row>
    <row r="182" spans="1:38" x14ac:dyDescent="0.25">
      <c r="O182" s="361" t="str">
        <f t="shared" si="53"/>
        <v/>
      </c>
      <c r="P182" s="361" t="str">
        <f t="shared" si="54"/>
        <v/>
      </c>
      <c r="S182" s="370" t="str">
        <f t="shared" si="56"/>
        <v/>
      </c>
      <c r="T182" s="370" t="str">
        <f t="shared" si="57"/>
        <v/>
      </c>
      <c r="U182" s="370" t="str">
        <f t="shared" si="58"/>
        <v/>
      </c>
    </row>
    <row r="183" spans="1:38" x14ac:dyDescent="0.25">
      <c r="O183" s="361" t="str">
        <f t="shared" si="53"/>
        <v/>
      </c>
      <c r="P183" s="361" t="str">
        <f t="shared" si="54"/>
        <v/>
      </c>
      <c r="S183" s="370" t="str">
        <f t="shared" si="56"/>
        <v/>
      </c>
      <c r="T183" s="370" t="str">
        <f t="shared" si="57"/>
        <v/>
      </c>
      <c r="U183" s="370" t="str">
        <f t="shared" si="58"/>
        <v/>
      </c>
    </row>
    <row r="184" spans="1:38" ht="24" customHeight="1" x14ac:dyDescent="0.3">
      <c r="A184" s="468" t="s">
        <v>900</v>
      </c>
      <c r="B184" s="468"/>
      <c r="C184" s="468"/>
      <c r="D184" s="468"/>
      <c r="E184" s="468"/>
      <c r="F184" s="468"/>
      <c r="O184" s="361" t="str">
        <f t="shared" si="53"/>
        <v/>
      </c>
      <c r="P184" s="361" t="str">
        <f t="shared" si="54"/>
        <v/>
      </c>
      <c r="S184" s="370" t="str">
        <f t="shared" si="56"/>
        <v/>
      </c>
      <c r="T184" s="370" t="str">
        <f t="shared" si="57"/>
        <v/>
      </c>
      <c r="U184" s="370" t="str">
        <f t="shared" si="58"/>
        <v/>
      </c>
    </row>
    <row r="185" spans="1:38" ht="18" customHeight="1" x14ac:dyDescent="0.25">
      <c r="A185" s="469" t="s">
        <v>901</v>
      </c>
      <c r="B185" s="469"/>
      <c r="C185" s="469"/>
      <c r="D185" s="469"/>
      <c r="E185" s="469"/>
      <c r="F185" s="469"/>
      <c r="O185" s="361" t="str">
        <f t="shared" si="53"/>
        <v/>
      </c>
      <c r="P185" s="361" t="str">
        <f t="shared" si="54"/>
        <v/>
      </c>
      <c r="S185" s="370" t="str">
        <f t="shared" si="56"/>
        <v/>
      </c>
      <c r="T185" s="370" t="str">
        <f t="shared" si="57"/>
        <v/>
      </c>
      <c r="U185" s="370" t="str">
        <f t="shared" si="58"/>
        <v/>
      </c>
    </row>
    <row r="186" spans="1:38" x14ac:dyDescent="0.25">
      <c r="O186" s="361" t="str">
        <f t="shared" si="53"/>
        <v/>
      </c>
      <c r="P186" s="361" t="str">
        <f t="shared" si="54"/>
        <v/>
      </c>
      <c r="S186" s="370" t="str">
        <f t="shared" si="56"/>
        <v/>
      </c>
      <c r="T186" s="370" t="str">
        <f t="shared" si="57"/>
        <v/>
      </c>
      <c r="U186" s="370" t="str">
        <f t="shared" si="58"/>
        <v/>
      </c>
    </row>
    <row r="187" spans="1:38" x14ac:dyDescent="0.25">
      <c r="A187" s="465" t="s">
        <v>902</v>
      </c>
      <c r="B187" s="465"/>
      <c r="C187" s="465"/>
      <c r="D187" s="465"/>
      <c r="E187" s="465"/>
      <c r="F187" s="465"/>
      <c r="O187" s="361" t="str">
        <f t="shared" si="53"/>
        <v/>
      </c>
      <c r="P187" s="361" t="str">
        <f t="shared" si="54"/>
        <v/>
      </c>
      <c r="S187" s="370" t="str">
        <f t="shared" si="56"/>
        <v/>
      </c>
      <c r="T187" s="370" t="str">
        <f t="shared" si="57"/>
        <v/>
      </c>
      <c r="U187" s="370" t="str">
        <f t="shared" si="58"/>
        <v/>
      </c>
    </row>
    <row r="188" spans="1:38" x14ac:dyDescent="0.25">
      <c r="A188" s="372" t="s">
        <v>370</v>
      </c>
      <c r="B188" s="372" t="s">
        <v>903</v>
      </c>
      <c r="C188" s="372" t="s">
        <v>904</v>
      </c>
      <c r="D188" s="372" t="s">
        <v>905</v>
      </c>
      <c r="E188" s="372" t="s">
        <v>906</v>
      </c>
      <c r="F188" s="372" t="s">
        <v>907</v>
      </c>
      <c r="O188" s="361" t="str">
        <f t="shared" si="53"/>
        <v/>
      </c>
      <c r="P188" s="361" t="str">
        <f t="shared" si="54"/>
        <v/>
      </c>
      <c r="S188" s="370" t="str">
        <f t="shared" si="56"/>
        <v/>
      </c>
      <c r="T188" s="370" t="str">
        <f t="shared" si="57"/>
        <v/>
      </c>
      <c r="U188" s="370" t="str">
        <f t="shared" si="58"/>
        <v/>
      </c>
    </row>
    <row r="189" spans="1:38" x14ac:dyDescent="0.25">
      <c r="A189" t="s">
        <v>422</v>
      </c>
      <c r="B189" s="370">
        <v>0.13200000000000001</v>
      </c>
      <c r="C189" s="370">
        <v>0.10299999999999999</v>
      </c>
      <c r="D189" s="370">
        <v>-8.4000000000000005E-2</v>
      </c>
      <c r="E189" s="370">
        <v>-0.20200000000000001</v>
      </c>
      <c r="F189" s="373" t="s">
        <v>908</v>
      </c>
      <c r="O189" s="361" t="str">
        <f t="shared" si="53"/>
        <v/>
      </c>
      <c r="P189" s="361" t="str">
        <f t="shared" si="54"/>
        <v/>
      </c>
      <c r="S189" s="370" t="str">
        <f t="shared" si="56"/>
        <v/>
      </c>
      <c r="T189" s="370" t="str">
        <f t="shared" si="57"/>
        <v/>
      </c>
      <c r="U189" s="370" t="str">
        <f t="shared" si="58"/>
        <v/>
      </c>
    </row>
    <row r="190" spans="1:38" x14ac:dyDescent="0.25">
      <c r="A190" t="s">
        <v>78</v>
      </c>
      <c r="B190" s="370">
        <v>0.13200000000000001</v>
      </c>
      <c r="C190" s="370">
        <v>8.0000000000000002E-3</v>
      </c>
      <c r="D190" s="370">
        <v>-0.19700000000000001</v>
      </c>
      <c r="E190" s="370">
        <v>-0.13800000000000001</v>
      </c>
      <c r="F190" s="374" t="s">
        <v>909</v>
      </c>
      <c r="O190" s="361" t="str">
        <f t="shared" si="53"/>
        <v/>
      </c>
      <c r="P190" s="361" t="str">
        <f t="shared" si="54"/>
        <v/>
      </c>
      <c r="S190" s="370" t="str">
        <f t="shared" si="56"/>
        <v/>
      </c>
      <c r="T190" s="370" t="str">
        <f t="shared" si="57"/>
        <v/>
      </c>
      <c r="U190" s="370" t="str">
        <f t="shared" si="58"/>
        <v/>
      </c>
    </row>
    <row r="191" spans="1:38" x14ac:dyDescent="0.25">
      <c r="A191" t="s">
        <v>910</v>
      </c>
      <c r="B191" s="370">
        <v>0.20399999999999999</v>
      </c>
      <c r="C191" s="370">
        <v>0.313</v>
      </c>
      <c r="D191" s="370">
        <v>0.14699999999999999</v>
      </c>
      <c r="E191" s="370">
        <v>-0.04</v>
      </c>
      <c r="F191" s="375" t="s">
        <v>911</v>
      </c>
      <c r="O191" s="361" t="str">
        <f t="shared" si="53"/>
        <v/>
      </c>
      <c r="P191" s="361" t="str">
        <f t="shared" si="54"/>
        <v/>
      </c>
      <c r="S191" s="370" t="str">
        <f t="shared" si="56"/>
        <v/>
      </c>
      <c r="T191" s="370" t="str">
        <f t="shared" si="57"/>
        <v/>
      </c>
      <c r="U191" s="370" t="str">
        <f t="shared" si="58"/>
        <v/>
      </c>
    </row>
    <row r="192" spans="1:38" x14ac:dyDescent="0.25">
      <c r="A192" t="s">
        <v>912</v>
      </c>
      <c r="B192" s="370">
        <v>6.5000000000000002E-2</v>
      </c>
      <c r="C192" s="370">
        <v>6.5000000000000002E-2</v>
      </c>
      <c r="D192" s="370">
        <v>-0.19500000000000001</v>
      </c>
      <c r="E192" s="370"/>
      <c r="F192" t="s">
        <v>913</v>
      </c>
      <c r="O192" s="361" t="str">
        <f t="shared" si="53"/>
        <v/>
      </c>
      <c r="P192" s="361" t="str">
        <f t="shared" si="54"/>
        <v/>
      </c>
      <c r="S192" s="370" t="str">
        <f t="shared" si="56"/>
        <v/>
      </c>
      <c r="T192" s="370" t="str">
        <f t="shared" si="57"/>
        <v/>
      </c>
      <c r="U192" s="370" t="str">
        <f t="shared" si="58"/>
        <v/>
      </c>
    </row>
    <row r="193" spans="1:21" x14ac:dyDescent="0.25">
      <c r="O193" s="361" t="str">
        <f t="shared" si="53"/>
        <v/>
      </c>
      <c r="P193" s="361" t="str">
        <f t="shared" si="54"/>
        <v/>
      </c>
      <c r="S193" s="370" t="str">
        <f t="shared" si="56"/>
        <v/>
      </c>
      <c r="T193" s="370" t="str">
        <f t="shared" si="57"/>
        <v/>
      </c>
      <c r="U193" s="370" t="str">
        <f t="shared" si="58"/>
        <v/>
      </c>
    </row>
    <row r="194" spans="1:21" x14ac:dyDescent="0.25">
      <c r="A194" s="465" t="s">
        <v>914</v>
      </c>
      <c r="B194" s="465"/>
      <c r="C194" s="465"/>
      <c r="D194" s="465"/>
      <c r="E194" s="465"/>
      <c r="F194" s="465"/>
      <c r="O194" s="361" t="str">
        <f t="shared" si="53"/>
        <v/>
      </c>
      <c r="P194" s="361" t="str">
        <f t="shared" si="54"/>
        <v/>
      </c>
      <c r="S194" s="370" t="str">
        <f t="shared" si="56"/>
        <v/>
      </c>
      <c r="T194" s="370" t="str">
        <f t="shared" si="57"/>
        <v/>
      </c>
      <c r="U194" s="370" t="str">
        <f t="shared" si="58"/>
        <v/>
      </c>
    </row>
    <row r="195" spans="1:21" x14ac:dyDescent="0.25">
      <c r="A195" s="372" t="s">
        <v>915</v>
      </c>
      <c r="B195" s="372" t="s">
        <v>916</v>
      </c>
      <c r="C195" s="372" t="s">
        <v>917</v>
      </c>
      <c r="D195" s="372" t="s">
        <v>918</v>
      </c>
      <c r="E195" s="372" t="s">
        <v>919</v>
      </c>
      <c r="F195" s="372" t="s">
        <v>920</v>
      </c>
      <c r="O195" s="361" t="str">
        <f t="shared" si="53"/>
        <v/>
      </c>
      <c r="P195" s="361" t="str">
        <f t="shared" si="54"/>
        <v/>
      </c>
      <c r="S195" s="370" t="str">
        <f t="shared" si="56"/>
        <v/>
      </c>
      <c r="T195" s="370" t="str">
        <f t="shared" si="57"/>
        <v/>
      </c>
      <c r="U195" s="370" t="str">
        <f t="shared" si="58"/>
        <v/>
      </c>
    </row>
    <row r="196" spans="1:21" ht="48" customHeight="1" x14ac:dyDescent="0.25">
      <c r="A196" s="305">
        <v>1</v>
      </c>
      <c r="B196" s="304" t="s">
        <v>921</v>
      </c>
      <c r="C196" t="s">
        <v>922</v>
      </c>
      <c r="D196" s="303" t="s">
        <v>923</v>
      </c>
      <c r="E196" s="303" t="s">
        <v>924</v>
      </c>
      <c r="F196" s="379" t="s">
        <v>925</v>
      </c>
      <c r="O196" s="361" t="str">
        <f t="shared" si="53"/>
        <v/>
      </c>
      <c r="P196" s="361" t="str">
        <f t="shared" si="54"/>
        <v/>
      </c>
      <c r="S196" s="370" t="str">
        <f t="shared" si="56"/>
        <v/>
      </c>
      <c r="T196" s="370" t="str">
        <f t="shared" si="57"/>
        <v/>
      </c>
      <c r="U196" s="370" t="str">
        <f t="shared" si="58"/>
        <v/>
      </c>
    </row>
    <row r="197" spans="1:21" ht="48" customHeight="1" x14ac:dyDescent="0.25">
      <c r="A197" s="376">
        <v>2</v>
      </c>
      <c r="B197" s="377" t="s">
        <v>926</v>
      </c>
      <c r="C197" t="s">
        <v>927</v>
      </c>
      <c r="D197" s="303" t="s">
        <v>928</v>
      </c>
      <c r="E197" s="303" t="s">
        <v>929</v>
      </c>
      <c r="F197" s="380" t="s">
        <v>930</v>
      </c>
      <c r="O197" s="361" t="str">
        <f t="shared" si="53"/>
        <v/>
      </c>
      <c r="P197" s="361" t="str">
        <f t="shared" si="54"/>
        <v/>
      </c>
      <c r="S197" s="370" t="str">
        <f t="shared" si="56"/>
        <v/>
      </c>
      <c r="T197" s="370" t="str">
        <f t="shared" si="57"/>
        <v/>
      </c>
      <c r="U197" s="370" t="str">
        <f t="shared" si="58"/>
        <v/>
      </c>
    </row>
    <row r="198" spans="1:21" ht="48" customHeight="1" x14ac:dyDescent="0.25">
      <c r="A198" s="305">
        <v>3</v>
      </c>
      <c r="B198" s="304" t="s">
        <v>931</v>
      </c>
      <c r="C198" t="s">
        <v>932</v>
      </c>
      <c r="D198" s="303" t="s">
        <v>933</v>
      </c>
      <c r="E198" s="303" t="s">
        <v>934</v>
      </c>
      <c r="F198" s="379" t="s">
        <v>925</v>
      </c>
      <c r="O198" s="361" t="str">
        <f t="shared" si="53"/>
        <v/>
      </c>
      <c r="P198" s="361" t="str">
        <f t="shared" si="54"/>
        <v/>
      </c>
      <c r="S198" s="370" t="str">
        <f t="shared" si="56"/>
        <v/>
      </c>
      <c r="T198" s="370" t="str">
        <f t="shared" si="57"/>
        <v/>
      </c>
      <c r="U198" s="370" t="str">
        <f t="shared" si="58"/>
        <v/>
      </c>
    </row>
    <row r="199" spans="1:21" ht="48" customHeight="1" x14ac:dyDescent="0.25">
      <c r="A199" s="376">
        <v>4</v>
      </c>
      <c r="B199" s="377" t="s">
        <v>935</v>
      </c>
      <c r="C199" t="s">
        <v>936</v>
      </c>
      <c r="D199" s="303" t="s">
        <v>937</v>
      </c>
      <c r="E199" s="303" t="s">
        <v>938</v>
      </c>
      <c r="F199" s="379" t="s">
        <v>925</v>
      </c>
      <c r="O199" s="361" t="str">
        <f t="shared" si="53"/>
        <v/>
      </c>
      <c r="P199" s="361" t="str">
        <f t="shared" si="54"/>
        <v/>
      </c>
      <c r="S199" s="370" t="str">
        <f t="shared" si="56"/>
        <v/>
      </c>
      <c r="T199" s="370" t="str">
        <f t="shared" si="57"/>
        <v/>
      </c>
      <c r="U199" s="370" t="str">
        <f t="shared" si="58"/>
        <v/>
      </c>
    </row>
    <row r="200" spans="1:21" ht="48" customHeight="1" x14ac:dyDescent="0.25">
      <c r="A200" s="305">
        <v>5</v>
      </c>
      <c r="B200" s="304" t="s">
        <v>939</v>
      </c>
      <c r="C200" t="s">
        <v>940</v>
      </c>
      <c r="D200" s="303" t="s">
        <v>941</v>
      </c>
      <c r="E200" s="303" t="s">
        <v>942</v>
      </c>
      <c r="F200" s="380" t="s">
        <v>930</v>
      </c>
      <c r="O200" s="361" t="str">
        <f t="shared" si="53"/>
        <v/>
      </c>
      <c r="P200" s="361" t="str">
        <f t="shared" si="54"/>
        <v/>
      </c>
      <c r="S200" s="370" t="str">
        <f t="shared" si="56"/>
        <v/>
      </c>
      <c r="T200" s="370" t="str">
        <f t="shared" si="57"/>
        <v/>
      </c>
      <c r="U200" s="370" t="str">
        <f t="shared" si="58"/>
        <v/>
      </c>
    </row>
    <row r="201" spans="1:21" ht="48" customHeight="1" x14ac:dyDescent="0.25">
      <c r="A201" s="376">
        <v>6</v>
      </c>
      <c r="B201" s="377" t="s">
        <v>943</v>
      </c>
      <c r="C201" t="s">
        <v>944</v>
      </c>
      <c r="D201" s="303" t="s">
        <v>945</v>
      </c>
      <c r="E201" s="303" t="s">
        <v>946</v>
      </c>
      <c r="F201" s="381" t="s">
        <v>947</v>
      </c>
      <c r="O201" s="361" t="str">
        <f t="shared" ref="O201:O208" si="74">IF(W201="","",ROUND(W201/(1+$AI$3)^($AM$3-$AK$3),2))</f>
        <v/>
      </c>
      <c r="P201" s="361" t="str">
        <f t="shared" ref="P201:P208" si="75">IF(X201="","",ROUND(X201/(1+$AI$3)^($AM$3-$AK$3),2))</f>
        <v/>
      </c>
      <c r="S201" s="370" t="str">
        <f t="shared" ref="S201:S208" si="76">IFERROR((O201-G201)/G201,"")</f>
        <v/>
      </c>
      <c r="T201" s="370" t="str">
        <f t="shared" ref="T201:T208" si="77">IFERROR((P201-G201)/G201,"")</f>
        <v/>
      </c>
      <c r="U201" s="370" t="str">
        <f t="shared" ref="U201:U208" si="78">IFERROR((Q201-I201)/I201,"")</f>
        <v/>
      </c>
    </row>
    <row r="202" spans="1:21" x14ac:dyDescent="0.25">
      <c r="O202" s="361" t="str">
        <f t="shared" si="74"/>
        <v/>
      </c>
      <c r="P202" s="361" t="str">
        <f t="shared" si="75"/>
        <v/>
      </c>
      <c r="S202" s="370" t="str">
        <f t="shared" si="76"/>
        <v/>
      </c>
      <c r="T202" s="370" t="str">
        <f t="shared" si="77"/>
        <v/>
      </c>
      <c r="U202" s="370" t="str">
        <f t="shared" si="78"/>
        <v/>
      </c>
    </row>
    <row r="203" spans="1:21" x14ac:dyDescent="0.25">
      <c r="A203" s="465" t="s">
        <v>948</v>
      </c>
      <c r="B203" s="465"/>
      <c r="C203" s="465"/>
      <c r="D203" s="465"/>
      <c r="E203" s="465"/>
      <c r="F203" s="465"/>
      <c r="O203" s="361" t="str">
        <f t="shared" si="74"/>
        <v/>
      </c>
      <c r="P203" s="361" t="str">
        <f t="shared" si="75"/>
        <v/>
      </c>
      <c r="S203" s="370" t="str">
        <f t="shared" si="76"/>
        <v/>
      </c>
      <c r="T203" s="370" t="str">
        <f t="shared" si="77"/>
        <v/>
      </c>
      <c r="U203" s="370" t="str">
        <f t="shared" si="78"/>
        <v/>
      </c>
    </row>
    <row r="204" spans="1:21" x14ac:dyDescent="0.25">
      <c r="A204" s="372" t="s">
        <v>370</v>
      </c>
      <c r="B204" s="372" t="s">
        <v>949</v>
      </c>
      <c r="C204" s="372" t="s">
        <v>950</v>
      </c>
      <c r="D204" s="372" t="s">
        <v>951</v>
      </c>
      <c r="E204" s="372" t="s">
        <v>952</v>
      </c>
      <c r="F204" s="372" t="s">
        <v>953</v>
      </c>
      <c r="O204" s="361" t="str">
        <f t="shared" si="74"/>
        <v/>
      </c>
      <c r="P204" s="361" t="str">
        <f t="shared" si="75"/>
        <v/>
      </c>
      <c r="S204" s="370" t="str">
        <f t="shared" si="76"/>
        <v/>
      </c>
      <c r="T204" s="370" t="str">
        <f t="shared" si="77"/>
        <v/>
      </c>
      <c r="U204" s="370" t="str">
        <f t="shared" si="78"/>
        <v/>
      </c>
    </row>
    <row r="205" spans="1:21" ht="32.1" customHeight="1" x14ac:dyDescent="0.25">
      <c r="A205" t="s">
        <v>422</v>
      </c>
      <c r="B205" s="370">
        <v>6.0000000000000001E-3</v>
      </c>
      <c r="C205" s="370">
        <v>5.2999999999999999E-2</v>
      </c>
      <c r="D205" s="370">
        <v>0.13600000000000001</v>
      </c>
      <c r="E205" s="378">
        <v>-0.216</v>
      </c>
      <c r="F205" s="303" t="s">
        <v>954</v>
      </c>
      <c r="O205" s="361" t="str">
        <f t="shared" si="74"/>
        <v/>
      </c>
      <c r="P205" s="361" t="str">
        <f t="shared" si="75"/>
        <v/>
      </c>
      <c r="S205" s="370" t="str">
        <f t="shared" si="76"/>
        <v/>
      </c>
      <c r="T205" s="370" t="str">
        <f t="shared" si="77"/>
        <v/>
      </c>
      <c r="U205" s="370" t="str">
        <f t="shared" si="78"/>
        <v/>
      </c>
    </row>
    <row r="206" spans="1:21" ht="32.1" customHeight="1" x14ac:dyDescent="0.25">
      <c r="A206" t="s">
        <v>78</v>
      </c>
      <c r="B206" s="370">
        <v>5.6000000000000001E-2</v>
      </c>
      <c r="C206" s="370">
        <v>2.7E-2</v>
      </c>
      <c r="D206" s="370">
        <v>5.2999999999999999E-2</v>
      </c>
      <c r="E206" s="378">
        <v>-0.218</v>
      </c>
      <c r="F206" s="303" t="s">
        <v>955</v>
      </c>
      <c r="O206" s="361" t="str">
        <f t="shared" si="74"/>
        <v/>
      </c>
      <c r="P206" s="361" t="str">
        <f t="shared" si="75"/>
        <v/>
      </c>
      <c r="S206" s="370" t="str">
        <f t="shared" si="76"/>
        <v/>
      </c>
      <c r="T206" s="370" t="str">
        <f t="shared" si="77"/>
        <v/>
      </c>
      <c r="U206" s="370" t="str">
        <f t="shared" si="78"/>
        <v/>
      </c>
    </row>
    <row r="207" spans="1:21" ht="32.1" customHeight="1" x14ac:dyDescent="0.25">
      <c r="A207" t="s">
        <v>956</v>
      </c>
      <c r="B207" s="370">
        <v>0.182</v>
      </c>
      <c r="C207" s="370">
        <v>0.187</v>
      </c>
      <c r="D207" s="370">
        <v>0.29599999999999999</v>
      </c>
      <c r="E207" s="378">
        <v>-0.123</v>
      </c>
      <c r="F207" s="303" t="s">
        <v>957</v>
      </c>
      <c r="O207" s="361" t="str">
        <f t="shared" si="74"/>
        <v/>
      </c>
      <c r="P207" s="361" t="str">
        <f t="shared" si="75"/>
        <v/>
      </c>
      <c r="S207" s="370" t="str">
        <f t="shared" si="76"/>
        <v/>
      </c>
      <c r="T207" s="370" t="str">
        <f t="shared" si="77"/>
        <v/>
      </c>
      <c r="U207" s="370" t="str">
        <f t="shared" si="78"/>
        <v/>
      </c>
    </row>
    <row r="208" spans="1:21" ht="32.1" customHeight="1" x14ac:dyDescent="0.25">
      <c r="A208" t="s">
        <v>912</v>
      </c>
      <c r="B208" s="370">
        <v>4.5999999999999999E-2</v>
      </c>
      <c r="C208" s="370">
        <v>-3.0000000000000001E-3</v>
      </c>
      <c r="D208" s="370">
        <v>-0.191</v>
      </c>
      <c r="E208" s="378">
        <v>-0.29899999999999999</v>
      </c>
      <c r="F208" s="303" t="s">
        <v>958</v>
      </c>
      <c r="O208" s="361" t="str">
        <f t="shared" si="74"/>
        <v/>
      </c>
      <c r="P208" s="361" t="str">
        <f t="shared" si="75"/>
        <v/>
      </c>
      <c r="S208" s="370" t="str">
        <f t="shared" si="76"/>
        <v/>
      </c>
      <c r="T208" s="370" t="str">
        <f t="shared" si="77"/>
        <v/>
      </c>
      <c r="U208" s="370" t="str">
        <f t="shared" si="78"/>
        <v/>
      </c>
    </row>
  </sheetData>
  <mergeCells count="27">
    <mergeCell ref="A203:F203"/>
    <mergeCell ref="AH4:AL4"/>
    <mergeCell ref="A184:F184"/>
    <mergeCell ref="A185:F185"/>
    <mergeCell ref="A187:F187"/>
    <mergeCell ref="A194:F194"/>
    <mergeCell ref="A172:L172"/>
    <mergeCell ref="B173:E173"/>
    <mergeCell ref="F173:I173"/>
    <mergeCell ref="J173:L173"/>
    <mergeCell ref="B166:H166"/>
    <mergeCell ref="B167:H167"/>
    <mergeCell ref="B168:H168"/>
    <mergeCell ref="B169:H169"/>
    <mergeCell ref="A151:F151"/>
    <mergeCell ref="A161:H161"/>
    <mergeCell ref="AD4:AG4"/>
    <mergeCell ref="B162:H162"/>
    <mergeCell ref="B163:H163"/>
    <mergeCell ref="B164:H164"/>
    <mergeCell ref="B165:H165"/>
    <mergeCell ref="A150:F150"/>
    <mergeCell ref="F4:M4"/>
    <mergeCell ref="Z4:AC4"/>
    <mergeCell ref="R4:U4"/>
    <mergeCell ref="N4:Q4"/>
    <mergeCell ref="V4:Y4"/>
  </mergeCells>
  <conditionalFormatting sqref="D153:D158">
    <cfRule type="cellIs" dxfId="5" priority="10" operator="lessThan">
      <formula>0</formula>
    </cfRule>
    <cfRule type="cellIs" dxfId="4" priority="11" operator="greaterThan">
      <formula>0</formula>
    </cfRule>
  </conditionalFormatting>
  <conditionalFormatting sqref="D130:E136">
    <cfRule type="cellIs" dxfId="3" priority="8" operator="lessThan">
      <formula>0</formula>
    </cfRule>
    <cfRule type="cellIs" dxfId="2" priority="9" operator="greaterThan">
      <formula>0</formula>
    </cfRule>
  </conditionalFormatting>
  <conditionalFormatting sqref="J175:L180">
    <cfRule type="cellIs" dxfId="1" priority="12" operator="greaterThan">
      <formula>0</formula>
    </cfRule>
    <cfRule type="cellIs" dxfId="0" priority="13" operator="lessThan">
      <formula>0</formula>
    </cfRule>
  </conditionalFormatting>
  <conditionalFormatting sqref="AH7:AH45 AH47:AH50 AH52:AH61 AH63:AH72 AH74:AH181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{71C9257D-398C-4E74-9E6C-1A5FF440B305}</x14:id>
        </ext>
      </extLst>
    </cfRule>
  </conditionalFormatting>
  <pageMargins left="0.7" right="0.7" top="0.78740157499999996" bottom="0.78740157499999996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C9257D-398C-4E74-9E6C-1A5FF440B3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AH7:AH45 AH47:AH50 AH52:AH61 AH63:AH72 AH74:AH181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8FD-8081-4328-9540-F47860102715}">
  <dimension ref="A1:T165"/>
  <sheetViews>
    <sheetView showGridLines="0" zoomScaleNormal="100" workbookViewId="0">
      <pane xSplit="4" ySplit="3" topLeftCell="F129" activePane="bottomRight" state="frozen"/>
      <selection pane="topRight" activeCell="E1" sqref="E1"/>
      <selection pane="bottomLeft" activeCell="A4" sqref="A4"/>
      <selection pane="bottomRight" activeCell="J124" sqref="J124"/>
    </sheetView>
  </sheetViews>
  <sheetFormatPr baseColWidth="10" defaultColWidth="8.7109375" defaultRowHeight="15" customHeight="1" x14ac:dyDescent="0.25"/>
  <cols>
    <col min="1" max="1" width="24" bestFit="1" customWidth="1"/>
    <col min="2" max="2" width="22" customWidth="1"/>
    <col min="3" max="3" width="11.140625" bestFit="1" customWidth="1"/>
    <col min="4" max="4" width="20" customWidth="1"/>
    <col min="5" max="20" width="9" customWidth="1"/>
  </cols>
  <sheetData>
    <row r="1" spans="1:20" ht="30" customHeight="1" x14ac:dyDescent="0.25">
      <c r="A1" s="475" t="s">
        <v>365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</row>
    <row r="2" spans="1:20" x14ac:dyDescent="0.25">
      <c r="A2" s="476" t="s">
        <v>366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6"/>
      <c r="P2" s="476"/>
      <c r="Q2" s="476"/>
      <c r="R2" s="476"/>
      <c r="S2" s="476"/>
      <c r="T2" s="476"/>
    </row>
    <row r="3" spans="1:20" ht="18" customHeight="1" x14ac:dyDescent="0.25">
      <c r="A3" s="477" t="s">
        <v>367</v>
      </c>
      <c r="B3" s="477"/>
      <c r="C3" s="477"/>
      <c r="D3" s="477"/>
      <c r="E3" s="478" t="s">
        <v>368</v>
      </c>
      <c r="F3" s="478"/>
      <c r="G3" s="478"/>
      <c r="H3" s="478"/>
      <c r="I3" s="478"/>
      <c r="J3" s="478"/>
      <c r="K3" s="478"/>
      <c r="L3" s="478"/>
      <c r="M3" s="479" t="s">
        <v>369</v>
      </c>
      <c r="N3" s="479"/>
      <c r="O3" s="479"/>
      <c r="P3" s="479"/>
      <c r="Q3" s="479"/>
      <c r="R3" s="479"/>
      <c r="S3" s="479"/>
      <c r="T3" s="479"/>
    </row>
    <row r="4" spans="1:20" ht="18" customHeight="1" x14ac:dyDescent="0.25">
      <c r="A4" s="19" t="s">
        <v>370</v>
      </c>
      <c r="B4" s="19" t="s">
        <v>371</v>
      </c>
      <c r="C4" s="19" t="s">
        <v>5</v>
      </c>
      <c r="D4" s="19" t="s">
        <v>372</v>
      </c>
      <c r="E4" s="20" t="s">
        <v>373</v>
      </c>
      <c r="F4" s="20" t="s">
        <v>374</v>
      </c>
      <c r="G4" s="20" t="s">
        <v>375</v>
      </c>
      <c r="H4" s="20" t="s">
        <v>376</v>
      </c>
      <c r="I4" s="20" t="s">
        <v>377</v>
      </c>
      <c r="J4" s="20" t="s">
        <v>378</v>
      </c>
      <c r="K4" s="20" t="s">
        <v>379</v>
      </c>
      <c r="L4" s="20" t="s">
        <v>380</v>
      </c>
      <c r="M4" s="21" t="s">
        <v>381</v>
      </c>
      <c r="N4" s="21" t="s">
        <v>382</v>
      </c>
      <c r="O4" s="21" t="s">
        <v>383</v>
      </c>
      <c r="P4" s="21" t="s">
        <v>384</v>
      </c>
      <c r="Q4" s="21" t="s">
        <v>385</v>
      </c>
      <c r="R4" s="21" t="s">
        <v>386</v>
      </c>
      <c r="S4" s="21" t="s">
        <v>387</v>
      </c>
      <c r="T4" s="21" t="s">
        <v>388</v>
      </c>
    </row>
    <row r="5" spans="1:20" ht="18" customHeight="1" x14ac:dyDescent="0.25">
      <c r="A5" s="474" t="s">
        <v>389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474"/>
      <c r="M5" s="474"/>
      <c r="N5" s="474"/>
      <c r="O5" s="474"/>
      <c r="P5" s="474"/>
      <c r="Q5" s="474"/>
      <c r="R5" s="474"/>
      <c r="S5" s="474"/>
      <c r="T5" s="474"/>
    </row>
    <row r="6" spans="1:20" ht="15" customHeight="1" x14ac:dyDescent="0.25">
      <c r="A6" s="22" t="s">
        <v>389</v>
      </c>
      <c r="B6" s="23" t="s">
        <v>390</v>
      </c>
      <c r="C6" s="23" t="s">
        <v>391</v>
      </c>
      <c r="D6" s="23" t="s">
        <v>392</v>
      </c>
      <c r="E6" s="24">
        <v>4</v>
      </c>
      <c r="F6" s="25"/>
      <c r="G6" s="25"/>
      <c r="H6" s="25"/>
      <c r="I6" s="25"/>
      <c r="J6" s="25"/>
      <c r="K6" s="25"/>
      <c r="L6" s="25"/>
      <c r="M6" s="24">
        <v>6</v>
      </c>
      <c r="N6" s="25"/>
      <c r="O6" s="25"/>
      <c r="P6" s="25"/>
      <c r="Q6" s="25"/>
      <c r="R6" s="25"/>
      <c r="S6" s="25"/>
      <c r="T6" s="25"/>
    </row>
    <row r="7" spans="1:20" ht="15" customHeight="1" x14ac:dyDescent="0.25">
      <c r="A7" s="22" t="s">
        <v>389</v>
      </c>
      <c r="B7" s="23" t="s">
        <v>393</v>
      </c>
      <c r="C7" s="23" t="s">
        <v>391</v>
      </c>
      <c r="D7" s="23" t="s">
        <v>394</v>
      </c>
      <c r="E7" s="24">
        <v>67</v>
      </c>
      <c r="F7" s="25"/>
      <c r="G7" s="25"/>
      <c r="H7" s="25"/>
      <c r="I7" s="25"/>
      <c r="J7" s="25"/>
      <c r="K7" s="25"/>
      <c r="L7" s="25"/>
      <c r="M7" s="24">
        <v>99</v>
      </c>
      <c r="N7" s="25"/>
      <c r="O7" s="25"/>
      <c r="P7" s="25"/>
      <c r="Q7" s="25"/>
      <c r="R7" s="25"/>
      <c r="S7" s="25"/>
      <c r="T7" s="25"/>
    </row>
    <row r="8" spans="1:20" ht="15" customHeight="1" x14ac:dyDescent="0.25">
      <c r="A8" s="26" t="s">
        <v>389</v>
      </c>
      <c r="B8" s="27" t="s">
        <v>393</v>
      </c>
      <c r="C8" s="27" t="s">
        <v>391</v>
      </c>
      <c r="D8" s="27" t="s">
        <v>395</v>
      </c>
      <c r="E8" s="28">
        <v>67</v>
      </c>
      <c r="F8" s="29"/>
      <c r="G8" s="29"/>
      <c r="H8" s="29"/>
      <c r="I8" s="29"/>
      <c r="J8" s="29"/>
      <c r="K8" s="29"/>
      <c r="L8" s="29"/>
      <c r="M8" s="28">
        <v>99</v>
      </c>
      <c r="N8" s="29"/>
      <c r="O8" s="29"/>
      <c r="P8" s="29"/>
      <c r="Q8" s="29"/>
      <c r="R8" s="29"/>
      <c r="S8" s="29"/>
      <c r="T8" s="29"/>
    </row>
    <row r="9" spans="1:20" ht="15" customHeight="1" x14ac:dyDescent="0.25">
      <c r="A9" s="22" t="s">
        <v>389</v>
      </c>
      <c r="B9" s="23" t="s">
        <v>396</v>
      </c>
      <c r="C9" s="23" t="s">
        <v>391</v>
      </c>
      <c r="D9" s="23" t="s">
        <v>397</v>
      </c>
      <c r="E9" s="24">
        <v>15</v>
      </c>
      <c r="F9" s="25"/>
      <c r="G9" s="25"/>
      <c r="H9" s="25"/>
      <c r="I9" s="25"/>
      <c r="J9" s="25"/>
      <c r="K9" s="25"/>
      <c r="L9" s="25"/>
      <c r="M9" s="24">
        <v>22</v>
      </c>
      <c r="N9" s="25"/>
      <c r="O9" s="25"/>
      <c r="P9" s="25"/>
      <c r="Q9" s="25"/>
      <c r="R9" s="25"/>
      <c r="S9" s="25"/>
      <c r="T9" s="25"/>
    </row>
    <row r="10" spans="1:20" ht="15" customHeight="1" x14ac:dyDescent="0.25">
      <c r="A10" s="26" t="s">
        <v>389</v>
      </c>
      <c r="B10" s="27" t="s">
        <v>398</v>
      </c>
      <c r="C10" s="27" t="s">
        <v>391</v>
      </c>
      <c r="D10" s="27" t="s">
        <v>399</v>
      </c>
      <c r="E10" s="28">
        <v>15</v>
      </c>
      <c r="F10" s="29"/>
      <c r="G10" s="29"/>
      <c r="H10" s="29"/>
      <c r="I10" s="29"/>
      <c r="J10" s="29"/>
      <c r="K10" s="29"/>
      <c r="L10" s="29"/>
      <c r="M10" s="28">
        <v>22</v>
      </c>
      <c r="N10" s="29"/>
      <c r="O10" s="29"/>
      <c r="P10" s="29"/>
      <c r="Q10" s="29"/>
      <c r="R10" s="29"/>
      <c r="S10" s="29"/>
      <c r="T10" s="29"/>
    </row>
    <row r="11" spans="1:20" ht="15" customHeight="1" x14ac:dyDescent="0.25">
      <c r="A11" s="22" t="s">
        <v>389</v>
      </c>
      <c r="B11" s="23" t="s">
        <v>400</v>
      </c>
      <c r="C11" s="23" t="s">
        <v>391</v>
      </c>
      <c r="D11" s="23" t="s">
        <v>401</v>
      </c>
      <c r="E11" s="24">
        <v>15</v>
      </c>
      <c r="F11" s="25"/>
      <c r="G11" s="25"/>
      <c r="H11" s="25"/>
      <c r="I11" s="25"/>
      <c r="J11" s="25"/>
      <c r="K11" s="25"/>
      <c r="L11" s="25"/>
      <c r="M11" s="24">
        <v>22</v>
      </c>
      <c r="N11" s="25"/>
      <c r="O11" s="25"/>
      <c r="P11" s="25"/>
      <c r="Q11" s="25"/>
      <c r="R11" s="25"/>
      <c r="S11" s="25"/>
      <c r="T11" s="25"/>
    </row>
    <row r="12" spans="1:20" ht="15" customHeight="1" x14ac:dyDescent="0.25">
      <c r="A12" s="26" t="s">
        <v>389</v>
      </c>
      <c r="B12" s="27" t="s">
        <v>402</v>
      </c>
      <c r="C12" s="27" t="s">
        <v>391</v>
      </c>
      <c r="D12" s="27" t="s">
        <v>403</v>
      </c>
      <c r="E12" s="28">
        <v>17</v>
      </c>
      <c r="F12" s="29"/>
      <c r="G12" s="29"/>
      <c r="H12" s="29"/>
      <c r="I12" s="29"/>
      <c r="J12" s="29"/>
      <c r="K12" s="29"/>
      <c r="L12" s="29"/>
      <c r="M12" s="28">
        <v>25</v>
      </c>
      <c r="N12" s="29"/>
      <c r="O12" s="29"/>
      <c r="P12" s="29"/>
      <c r="Q12" s="29"/>
      <c r="R12" s="29"/>
      <c r="S12" s="29"/>
      <c r="T12" s="29"/>
    </row>
    <row r="13" spans="1:20" ht="15" customHeight="1" x14ac:dyDescent="0.25">
      <c r="A13" s="22" t="s">
        <v>389</v>
      </c>
      <c r="B13" s="23" t="s">
        <v>404</v>
      </c>
      <c r="C13" s="23" t="s">
        <v>391</v>
      </c>
      <c r="D13" s="23" t="s">
        <v>405</v>
      </c>
      <c r="E13" s="24">
        <v>20</v>
      </c>
      <c r="F13" s="25"/>
      <c r="G13" s="25"/>
      <c r="H13" s="25"/>
      <c r="I13" s="25"/>
      <c r="J13" s="25"/>
      <c r="K13" s="25"/>
      <c r="L13" s="25"/>
      <c r="M13" s="24">
        <v>29</v>
      </c>
      <c r="N13" s="25"/>
      <c r="O13" s="25"/>
      <c r="P13" s="25"/>
      <c r="Q13" s="25"/>
      <c r="R13" s="25"/>
      <c r="S13" s="25"/>
      <c r="T13" s="25"/>
    </row>
    <row r="14" spans="1:20" ht="15" customHeight="1" x14ac:dyDescent="0.25">
      <c r="A14" s="26" t="s">
        <v>389</v>
      </c>
      <c r="B14" s="27" t="s">
        <v>406</v>
      </c>
      <c r="C14" s="27" t="s">
        <v>391</v>
      </c>
      <c r="D14" s="27" t="s">
        <v>407</v>
      </c>
      <c r="E14" s="28">
        <v>20</v>
      </c>
      <c r="F14" s="29"/>
      <c r="G14" s="29"/>
      <c r="H14" s="29"/>
      <c r="I14" s="29"/>
      <c r="J14" s="29"/>
      <c r="K14" s="29"/>
      <c r="L14" s="29"/>
      <c r="M14" s="28">
        <v>30</v>
      </c>
      <c r="N14" s="29"/>
      <c r="O14" s="29"/>
      <c r="P14" s="29"/>
      <c r="Q14" s="29"/>
      <c r="R14" s="29"/>
      <c r="S14" s="29"/>
      <c r="T14" s="29"/>
    </row>
    <row r="15" spans="1:20" ht="15" customHeight="1" x14ac:dyDescent="0.25">
      <c r="A15" s="22" t="s">
        <v>389</v>
      </c>
      <c r="B15" s="23" t="s">
        <v>408</v>
      </c>
      <c r="C15" s="23" t="s">
        <v>391</v>
      </c>
      <c r="D15" s="23" t="s">
        <v>409</v>
      </c>
      <c r="E15" s="24">
        <v>23</v>
      </c>
      <c r="F15" s="25"/>
      <c r="G15" s="25"/>
      <c r="H15" s="25"/>
      <c r="I15" s="25"/>
      <c r="J15" s="25"/>
      <c r="K15" s="25"/>
      <c r="L15" s="25"/>
      <c r="M15" s="24">
        <v>34</v>
      </c>
      <c r="N15" s="25"/>
      <c r="O15" s="25"/>
      <c r="P15" s="25"/>
      <c r="Q15" s="25"/>
      <c r="R15" s="25"/>
      <c r="S15" s="25"/>
      <c r="T15" s="25"/>
    </row>
    <row r="16" spans="1:20" ht="15" customHeight="1" x14ac:dyDescent="0.25">
      <c r="A16" s="26" t="s">
        <v>389</v>
      </c>
      <c r="B16" s="27" t="s">
        <v>410</v>
      </c>
      <c r="C16" s="27" t="s">
        <v>391</v>
      </c>
      <c r="D16" s="27" t="s">
        <v>411</v>
      </c>
      <c r="E16" s="28">
        <v>24</v>
      </c>
      <c r="F16" s="29"/>
      <c r="G16" s="29"/>
      <c r="H16" s="29"/>
      <c r="I16" s="29"/>
      <c r="J16" s="29"/>
      <c r="K16" s="29"/>
      <c r="L16" s="29"/>
      <c r="M16" s="28">
        <v>36</v>
      </c>
      <c r="N16" s="29"/>
      <c r="O16" s="29"/>
      <c r="P16" s="29"/>
      <c r="Q16" s="29"/>
      <c r="R16" s="29"/>
      <c r="S16" s="29"/>
      <c r="T16" s="29"/>
    </row>
    <row r="17" spans="1:20" ht="15" customHeight="1" x14ac:dyDescent="0.25">
      <c r="A17" s="22" t="s">
        <v>389</v>
      </c>
      <c r="B17" s="23" t="s">
        <v>412</v>
      </c>
      <c r="C17" s="23" t="s">
        <v>391</v>
      </c>
      <c r="D17" s="23" t="s">
        <v>413</v>
      </c>
      <c r="E17" s="24">
        <v>30</v>
      </c>
      <c r="F17" s="25"/>
      <c r="G17" s="25"/>
      <c r="H17" s="25"/>
      <c r="I17" s="25"/>
      <c r="J17" s="25"/>
      <c r="K17" s="25"/>
      <c r="L17" s="25"/>
      <c r="M17" s="24">
        <v>44</v>
      </c>
      <c r="N17" s="25"/>
      <c r="O17" s="25"/>
      <c r="P17" s="25"/>
      <c r="Q17" s="25"/>
      <c r="R17" s="25"/>
      <c r="S17" s="25"/>
      <c r="T17" s="25"/>
    </row>
    <row r="18" spans="1:20" ht="15" customHeight="1" x14ac:dyDescent="0.25">
      <c r="A18" s="26" t="s">
        <v>389</v>
      </c>
      <c r="B18" s="27" t="s">
        <v>414</v>
      </c>
      <c r="C18" s="27" t="s">
        <v>391</v>
      </c>
      <c r="D18" s="27" t="s">
        <v>415</v>
      </c>
      <c r="E18" s="28">
        <v>34</v>
      </c>
      <c r="F18" s="29"/>
      <c r="G18" s="29"/>
      <c r="H18" s="29"/>
      <c r="I18" s="29"/>
      <c r="J18" s="29"/>
      <c r="K18" s="29"/>
      <c r="L18" s="29"/>
      <c r="M18" s="28">
        <v>51</v>
      </c>
      <c r="N18" s="29"/>
      <c r="O18" s="29"/>
      <c r="P18" s="29"/>
      <c r="Q18" s="29"/>
      <c r="R18" s="29"/>
      <c r="S18" s="29"/>
      <c r="T18" s="29"/>
    </row>
    <row r="19" spans="1:20" ht="15" customHeight="1" x14ac:dyDescent="0.25">
      <c r="A19" s="22" t="s">
        <v>389</v>
      </c>
      <c r="B19" s="23" t="s">
        <v>337</v>
      </c>
      <c r="C19" s="23" t="s">
        <v>391</v>
      </c>
      <c r="D19" s="23" t="s">
        <v>416</v>
      </c>
      <c r="E19" s="24">
        <v>4</v>
      </c>
      <c r="F19" s="25"/>
      <c r="G19" s="25"/>
      <c r="H19" s="25"/>
      <c r="I19" s="25"/>
      <c r="J19" s="25"/>
      <c r="K19" s="25"/>
      <c r="L19" s="25"/>
      <c r="M19" s="24">
        <v>6</v>
      </c>
      <c r="N19" s="25"/>
      <c r="O19" s="25"/>
      <c r="P19" s="25"/>
      <c r="Q19" s="25"/>
      <c r="R19" s="25"/>
      <c r="S19" s="25"/>
      <c r="T19" s="25"/>
    </row>
    <row r="20" spans="1:20" ht="15" customHeight="1" x14ac:dyDescent="0.25">
      <c r="A20" s="26" t="s">
        <v>389</v>
      </c>
      <c r="B20" s="27" t="s">
        <v>417</v>
      </c>
      <c r="C20" s="27" t="s">
        <v>391</v>
      </c>
      <c r="D20" s="27" t="s">
        <v>418</v>
      </c>
      <c r="E20" s="28">
        <v>7</v>
      </c>
      <c r="F20" s="29"/>
      <c r="G20" s="29"/>
      <c r="H20" s="29"/>
      <c r="I20" s="29"/>
      <c r="J20" s="29"/>
      <c r="K20" s="29"/>
      <c r="L20" s="29"/>
      <c r="M20" s="28">
        <v>10</v>
      </c>
      <c r="N20" s="29"/>
      <c r="O20" s="29"/>
      <c r="P20" s="29"/>
      <c r="Q20" s="29"/>
      <c r="R20" s="29"/>
      <c r="S20" s="29"/>
      <c r="T20" s="29"/>
    </row>
    <row r="21" spans="1:20" ht="15" customHeight="1" x14ac:dyDescent="0.25">
      <c r="A21" s="22" t="s">
        <v>389</v>
      </c>
      <c r="B21" s="23" t="s">
        <v>419</v>
      </c>
      <c r="C21" s="23" t="s">
        <v>391</v>
      </c>
      <c r="D21" s="23" t="s">
        <v>420</v>
      </c>
      <c r="E21" s="24">
        <v>11</v>
      </c>
      <c r="F21" s="25"/>
      <c r="G21" s="25"/>
      <c r="H21" s="25"/>
      <c r="I21" s="25"/>
      <c r="J21" s="25"/>
      <c r="K21" s="25"/>
      <c r="L21" s="25"/>
      <c r="M21" s="24">
        <v>16</v>
      </c>
      <c r="N21" s="25"/>
      <c r="O21" s="25"/>
      <c r="P21" s="25"/>
      <c r="Q21" s="25"/>
      <c r="R21" s="25"/>
      <c r="S21" s="25"/>
      <c r="T21" s="25"/>
    </row>
    <row r="22" spans="1:20" ht="15" customHeight="1" x14ac:dyDescent="0.25">
      <c r="A22" s="26" t="s">
        <v>389</v>
      </c>
      <c r="B22" s="27" t="s">
        <v>421</v>
      </c>
      <c r="C22" s="27" t="s">
        <v>391</v>
      </c>
      <c r="D22" s="27" t="s">
        <v>416</v>
      </c>
      <c r="E22" s="28">
        <v>1</v>
      </c>
      <c r="F22" s="29"/>
      <c r="G22" s="29"/>
      <c r="H22" s="29"/>
      <c r="I22" s="29"/>
      <c r="J22" s="29"/>
      <c r="K22" s="29"/>
      <c r="L22" s="29"/>
      <c r="M22" s="28">
        <v>1</v>
      </c>
      <c r="N22" s="29"/>
      <c r="O22" s="29"/>
      <c r="P22" s="29"/>
      <c r="Q22" s="29"/>
      <c r="R22" s="29"/>
      <c r="S22" s="29"/>
      <c r="T22" s="29"/>
    </row>
    <row r="23" spans="1:20" ht="3.75" customHeight="1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ht="18" customHeight="1" x14ac:dyDescent="0.25">
      <c r="A24" s="474" t="s">
        <v>422</v>
      </c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474"/>
      <c r="M24" s="474"/>
      <c r="N24" s="474"/>
      <c r="O24" s="474"/>
      <c r="P24" s="474"/>
      <c r="Q24" s="474"/>
      <c r="R24" s="474"/>
      <c r="S24" s="474"/>
      <c r="T24" s="474"/>
    </row>
    <row r="25" spans="1:20" ht="15" customHeight="1" x14ac:dyDescent="0.25">
      <c r="A25" s="31" t="s">
        <v>422</v>
      </c>
      <c r="B25" s="32" t="s">
        <v>8</v>
      </c>
      <c r="C25" s="32" t="s">
        <v>7</v>
      </c>
      <c r="D25" s="32" t="s">
        <v>423</v>
      </c>
      <c r="E25" s="33">
        <v>18</v>
      </c>
      <c r="F25" s="33">
        <v>70</v>
      </c>
      <c r="G25" s="33">
        <v>124</v>
      </c>
      <c r="H25" s="33">
        <v>133</v>
      </c>
      <c r="I25" s="33">
        <v>59</v>
      </c>
      <c r="J25" s="33">
        <v>76</v>
      </c>
      <c r="K25" s="33">
        <v>95</v>
      </c>
      <c r="L25" s="33">
        <v>114</v>
      </c>
      <c r="M25" s="33">
        <v>26</v>
      </c>
      <c r="N25" s="33">
        <v>103</v>
      </c>
      <c r="O25" s="33">
        <v>183</v>
      </c>
      <c r="P25" s="33">
        <v>196</v>
      </c>
      <c r="Q25" s="33">
        <v>88</v>
      </c>
      <c r="R25" s="33">
        <v>112</v>
      </c>
      <c r="S25" s="33">
        <v>140</v>
      </c>
      <c r="T25" s="33">
        <v>168</v>
      </c>
    </row>
    <row r="26" spans="1:20" ht="15" customHeight="1" x14ac:dyDescent="0.25">
      <c r="A26" s="26" t="s">
        <v>422</v>
      </c>
      <c r="B26" s="27" t="s">
        <v>8</v>
      </c>
      <c r="C26" s="27" t="s">
        <v>7</v>
      </c>
      <c r="D26" s="27" t="s">
        <v>424</v>
      </c>
      <c r="E26" s="28">
        <v>21</v>
      </c>
      <c r="F26" s="28">
        <v>75</v>
      </c>
      <c r="G26" s="28">
        <v>125</v>
      </c>
      <c r="H26" s="28">
        <v>135</v>
      </c>
      <c r="I26" s="28">
        <v>61</v>
      </c>
      <c r="J26" s="28">
        <v>80</v>
      </c>
      <c r="K26" s="28">
        <v>100</v>
      </c>
      <c r="L26" s="28">
        <v>120</v>
      </c>
      <c r="M26" s="28">
        <v>31</v>
      </c>
      <c r="N26" s="28">
        <v>111</v>
      </c>
      <c r="O26" s="28">
        <v>185</v>
      </c>
      <c r="P26" s="28">
        <v>199</v>
      </c>
      <c r="Q26" s="28">
        <v>90</v>
      </c>
      <c r="R26" s="28">
        <v>118</v>
      </c>
      <c r="S26" s="28">
        <v>148</v>
      </c>
      <c r="T26" s="28">
        <v>177</v>
      </c>
    </row>
    <row r="27" spans="1:20" ht="15" customHeight="1" x14ac:dyDescent="0.25">
      <c r="A27" s="31" t="s">
        <v>422</v>
      </c>
      <c r="B27" s="32" t="s">
        <v>8</v>
      </c>
      <c r="C27" s="32" t="s">
        <v>7</v>
      </c>
      <c r="D27" s="32" t="s">
        <v>425</v>
      </c>
      <c r="E27" s="33">
        <v>33</v>
      </c>
      <c r="F27" s="33">
        <v>120</v>
      </c>
      <c r="G27" s="33">
        <v>131</v>
      </c>
      <c r="H27" s="33">
        <v>139</v>
      </c>
      <c r="I27" s="33">
        <v>102</v>
      </c>
      <c r="J27" s="33">
        <v>128</v>
      </c>
      <c r="K27" s="33">
        <v>160</v>
      </c>
      <c r="L27" s="33">
        <v>192</v>
      </c>
      <c r="M27" s="33">
        <v>49</v>
      </c>
      <c r="N27" s="33">
        <v>177</v>
      </c>
      <c r="O27" s="33">
        <v>193</v>
      </c>
      <c r="P27" s="33">
        <v>207</v>
      </c>
      <c r="Q27" s="33">
        <v>151</v>
      </c>
      <c r="R27" s="33">
        <v>190</v>
      </c>
      <c r="S27" s="33">
        <v>238</v>
      </c>
      <c r="T27" s="33">
        <v>285</v>
      </c>
    </row>
    <row r="28" spans="1:20" ht="15" customHeight="1" x14ac:dyDescent="0.25">
      <c r="A28" s="26" t="s">
        <v>422</v>
      </c>
      <c r="B28" s="27" t="s">
        <v>8</v>
      </c>
      <c r="C28" s="27" t="s">
        <v>7</v>
      </c>
      <c r="D28" s="27" t="s">
        <v>426</v>
      </c>
      <c r="E28" s="28">
        <v>28</v>
      </c>
      <c r="F28" s="28">
        <v>105</v>
      </c>
      <c r="G28" s="28">
        <v>130</v>
      </c>
      <c r="H28" s="28">
        <v>140</v>
      </c>
      <c r="I28" s="28">
        <v>89</v>
      </c>
      <c r="J28" s="28">
        <v>114</v>
      </c>
      <c r="K28" s="28">
        <v>143</v>
      </c>
      <c r="L28" s="28">
        <v>171</v>
      </c>
      <c r="M28" s="28">
        <v>42</v>
      </c>
      <c r="N28" s="28">
        <v>155</v>
      </c>
      <c r="O28" s="28">
        <v>192</v>
      </c>
      <c r="P28" s="28">
        <v>206</v>
      </c>
      <c r="Q28" s="28">
        <v>131</v>
      </c>
      <c r="R28" s="28">
        <v>169</v>
      </c>
      <c r="S28" s="28">
        <v>211</v>
      </c>
      <c r="T28" s="28">
        <v>254</v>
      </c>
    </row>
    <row r="29" spans="1:20" ht="15" customHeight="1" x14ac:dyDescent="0.25">
      <c r="A29" s="31" t="s">
        <v>422</v>
      </c>
      <c r="B29" s="32" t="s">
        <v>8</v>
      </c>
      <c r="C29" s="32" t="s">
        <v>7</v>
      </c>
      <c r="D29" s="32" t="s">
        <v>427</v>
      </c>
      <c r="E29" s="33">
        <v>46</v>
      </c>
      <c r="F29" s="33">
        <v>155</v>
      </c>
      <c r="G29" s="33">
        <v>135</v>
      </c>
      <c r="H29" s="33">
        <v>151</v>
      </c>
      <c r="I29" s="33">
        <v>129</v>
      </c>
      <c r="J29" s="33">
        <v>169</v>
      </c>
      <c r="K29" s="33">
        <v>211</v>
      </c>
      <c r="L29" s="33">
        <v>254</v>
      </c>
      <c r="M29" s="33">
        <v>68</v>
      </c>
      <c r="N29" s="33">
        <v>230</v>
      </c>
      <c r="O29" s="33">
        <v>199</v>
      </c>
      <c r="P29" s="33">
        <v>223</v>
      </c>
      <c r="Q29" s="33">
        <v>191</v>
      </c>
      <c r="R29" s="33">
        <v>250</v>
      </c>
      <c r="S29" s="33">
        <v>313</v>
      </c>
      <c r="T29" s="33">
        <v>375</v>
      </c>
    </row>
    <row r="30" spans="1:20" ht="15" customHeight="1" x14ac:dyDescent="0.25">
      <c r="A30" s="26" t="s">
        <v>422</v>
      </c>
      <c r="B30" s="27" t="s">
        <v>8</v>
      </c>
      <c r="C30" s="27" t="s">
        <v>7</v>
      </c>
      <c r="D30" s="27" t="s">
        <v>428</v>
      </c>
      <c r="E30" s="28">
        <v>38</v>
      </c>
      <c r="F30" s="28">
        <v>123</v>
      </c>
      <c r="G30" s="28">
        <v>134</v>
      </c>
      <c r="H30" s="28">
        <v>144</v>
      </c>
      <c r="I30" s="28">
        <v>100</v>
      </c>
      <c r="J30" s="28">
        <v>131</v>
      </c>
      <c r="K30" s="28">
        <v>164</v>
      </c>
      <c r="L30" s="28">
        <v>197</v>
      </c>
      <c r="M30" s="28">
        <v>56</v>
      </c>
      <c r="N30" s="28">
        <v>182</v>
      </c>
      <c r="O30" s="28">
        <v>197</v>
      </c>
      <c r="P30" s="28">
        <v>212</v>
      </c>
      <c r="Q30" s="28">
        <v>148</v>
      </c>
      <c r="R30" s="28">
        <v>194</v>
      </c>
      <c r="S30" s="28">
        <v>343</v>
      </c>
      <c r="T30" s="28">
        <v>291</v>
      </c>
    </row>
    <row r="31" spans="1:20" ht="15" customHeight="1" x14ac:dyDescent="0.25">
      <c r="A31" s="31" t="s">
        <v>422</v>
      </c>
      <c r="B31" s="32" t="s">
        <v>8</v>
      </c>
      <c r="C31" s="32" t="s">
        <v>7</v>
      </c>
      <c r="D31" s="32" t="s">
        <v>429</v>
      </c>
      <c r="E31" s="33">
        <v>61</v>
      </c>
      <c r="F31" s="33">
        <v>190</v>
      </c>
      <c r="G31" s="33">
        <v>169</v>
      </c>
      <c r="H31" s="33">
        <v>184</v>
      </c>
      <c r="I31" s="33">
        <v>160</v>
      </c>
      <c r="J31" s="33">
        <v>222</v>
      </c>
      <c r="K31" s="33">
        <v>278</v>
      </c>
      <c r="L31" s="33">
        <v>333</v>
      </c>
      <c r="M31" s="33">
        <v>91</v>
      </c>
      <c r="N31" s="33">
        <v>281</v>
      </c>
      <c r="O31" s="33">
        <v>249</v>
      </c>
      <c r="P31" s="33">
        <v>271</v>
      </c>
      <c r="Q31" s="33">
        <v>237</v>
      </c>
      <c r="R31" s="33">
        <v>329</v>
      </c>
      <c r="S31" s="33">
        <v>411</v>
      </c>
      <c r="T31" s="33">
        <v>494</v>
      </c>
    </row>
    <row r="32" spans="1:20" ht="15" customHeight="1" x14ac:dyDescent="0.25">
      <c r="A32" s="26" t="s">
        <v>422</v>
      </c>
      <c r="B32" s="27" t="s">
        <v>8</v>
      </c>
      <c r="C32" s="27" t="s">
        <v>7</v>
      </c>
      <c r="D32" s="27" t="s">
        <v>430</v>
      </c>
      <c r="E32" s="28">
        <v>48</v>
      </c>
      <c r="F32" s="28">
        <v>151</v>
      </c>
      <c r="G32" s="28">
        <v>148</v>
      </c>
      <c r="H32" s="28">
        <v>159</v>
      </c>
      <c r="I32" s="28">
        <v>122</v>
      </c>
      <c r="J32" s="28">
        <v>158</v>
      </c>
      <c r="K32" s="28">
        <v>198</v>
      </c>
      <c r="L32" s="28">
        <v>237</v>
      </c>
      <c r="M32" s="28">
        <v>71</v>
      </c>
      <c r="N32" s="28">
        <v>224</v>
      </c>
      <c r="O32" s="28">
        <v>218</v>
      </c>
      <c r="P32" s="28">
        <v>235</v>
      </c>
      <c r="Q32" s="28">
        <v>181</v>
      </c>
      <c r="R32" s="28">
        <v>234</v>
      </c>
      <c r="S32" s="28">
        <v>293</v>
      </c>
      <c r="T32" s="28">
        <v>351</v>
      </c>
    </row>
    <row r="33" spans="1:20" ht="15" customHeight="1" x14ac:dyDescent="0.25">
      <c r="A33" s="31" t="s">
        <v>422</v>
      </c>
      <c r="B33" s="32" t="s">
        <v>8</v>
      </c>
      <c r="C33" s="32" t="s">
        <v>7</v>
      </c>
      <c r="D33" s="32" t="s">
        <v>431</v>
      </c>
      <c r="E33" s="33">
        <v>78</v>
      </c>
      <c r="F33" s="33">
        <v>249</v>
      </c>
      <c r="G33" s="33">
        <v>198</v>
      </c>
      <c r="H33" s="33">
        <v>214</v>
      </c>
      <c r="I33" s="33">
        <v>205</v>
      </c>
      <c r="J33" s="33">
        <v>269</v>
      </c>
      <c r="K33" s="33">
        <v>336</v>
      </c>
      <c r="L33" s="33">
        <v>404</v>
      </c>
      <c r="M33" s="33">
        <v>115</v>
      </c>
      <c r="N33" s="33">
        <v>368</v>
      </c>
      <c r="O33" s="33">
        <v>292</v>
      </c>
      <c r="P33" s="33">
        <v>316</v>
      </c>
      <c r="Q33" s="33">
        <v>304</v>
      </c>
      <c r="R33" s="33">
        <v>398</v>
      </c>
      <c r="S33" s="33">
        <v>498</v>
      </c>
      <c r="T33" s="33">
        <v>597</v>
      </c>
    </row>
    <row r="34" spans="1:20" ht="15" customHeight="1" x14ac:dyDescent="0.25">
      <c r="A34" s="26" t="s">
        <v>422</v>
      </c>
      <c r="B34" s="27" t="s">
        <v>432</v>
      </c>
      <c r="C34" s="27" t="s">
        <v>7</v>
      </c>
      <c r="D34" s="27" t="s">
        <v>433</v>
      </c>
      <c r="E34" s="28">
        <v>18</v>
      </c>
      <c r="F34" s="28">
        <v>70</v>
      </c>
      <c r="G34" s="28">
        <v>142</v>
      </c>
      <c r="H34" s="28">
        <v>158</v>
      </c>
      <c r="I34" s="28">
        <v>59</v>
      </c>
      <c r="J34" s="28">
        <v>76</v>
      </c>
      <c r="K34" s="28">
        <v>95</v>
      </c>
      <c r="L34" s="28">
        <v>114</v>
      </c>
      <c r="M34" s="28">
        <v>26</v>
      </c>
      <c r="N34" s="28">
        <v>103</v>
      </c>
      <c r="O34" s="28">
        <v>211</v>
      </c>
      <c r="P34" s="28">
        <v>234</v>
      </c>
      <c r="Q34" s="28">
        <v>88</v>
      </c>
      <c r="R34" s="28">
        <v>112</v>
      </c>
      <c r="S34" s="28">
        <v>140</v>
      </c>
      <c r="T34" s="28">
        <v>168</v>
      </c>
    </row>
    <row r="35" spans="1:20" ht="15" customHeight="1" x14ac:dyDescent="0.25">
      <c r="A35" s="31" t="s">
        <v>422</v>
      </c>
      <c r="B35" s="32" t="s">
        <v>432</v>
      </c>
      <c r="C35" s="32" t="s">
        <v>7</v>
      </c>
      <c r="D35" s="32" t="s">
        <v>434</v>
      </c>
      <c r="E35" s="33">
        <v>35</v>
      </c>
      <c r="F35" s="33">
        <v>120</v>
      </c>
      <c r="G35" s="33">
        <v>150</v>
      </c>
      <c r="H35" s="33">
        <v>166</v>
      </c>
      <c r="I35" s="33">
        <v>99</v>
      </c>
      <c r="J35" s="33">
        <v>130</v>
      </c>
      <c r="K35" s="33">
        <v>162</v>
      </c>
      <c r="L35" s="33">
        <v>195</v>
      </c>
      <c r="M35" s="33">
        <v>52</v>
      </c>
      <c r="N35" s="33">
        <v>178</v>
      </c>
      <c r="O35" s="33">
        <v>221</v>
      </c>
      <c r="P35" s="33">
        <v>246</v>
      </c>
      <c r="Q35" s="33">
        <v>147</v>
      </c>
      <c r="R35" s="33">
        <v>192</v>
      </c>
      <c r="S35" s="33">
        <v>240</v>
      </c>
      <c r="T35" s="33">
        <v>288</v>
      </c>
    </row>
    <row r="36" spans="1:20" ht="15" customHeight="1" x14ac:dyDescent="0.25">
      <c r="A36" s="26" t="s">
        <v>422</v>
      </c>
      <c r="B36" s="27" t="s">
        <v>432</v>
      </c>
      <c r="C36" s="27" t="s">
        <v>7</v>
      </c>
      <c r="D36" s="27" t="s">
        <v>435</v>
      </c>
      <c r="E36" s="28">
        <v>53</v>
      </c>
      <c r="F36" s="28">
        <v>184</v>
      </c>
      <c r="G36" s="28">
        <v>171</v>
      </c>
      <c r="H36" s="28">
        <v>191</v>
      </c>
      <c r="I36" s="28">
        <v>158</v>
      </c>
      <c r="J36" s="28">
        <v>219</v>
      </c>
      <c r="K36" s="28">
        <v>274</v>
      </c>
      <c r="L36" s="28">
        <v>329</v>
      </c>
      <c r="M36" s="28">
        <v>79</v>
      </c>
      <c r="N36" s="28">
        <v>272</v>
      </c>
      <c r="O36" s="28">
        <v>254</v>
      </c>
      <c r="P36" s="28">
        <v>282</v>
      </c>
      <c r="Q36" s="28">
        <v>234</v>
      </c>
      <c r="R36" s="28">
        <v>324</v>
      </c>
      <c r="S36" s="28">
        <v>405</v>
      </c>
      <c r="T36" s="28">
        <v>486</v>
      </c>
    </row>
    <row r="37" spans="1:20" ht="15" customHeight="1" x14ac:dyDescent="0.25">
      <c r="A37" s="31" t="s">
        <v>422</v>
      </c>
      <c r="B37" s="32" t="s">
        <v>432</v>
      </c>
      <c r="C37" s="32" t="s">
        <v>7</v>
      </c>
      <c r="D37" s="32" t="s">
        <v>436</v>
      </c>
      <c r="E37" s="33">
        <v>71</v>
      </c>
      <c r="F37" s="33">
        <v>235</v>
      </c>
      <c r="G37" s="34"/>
      <c r="H37" s="34"/>
      <c r="I37" s="33">
        <v>202</v>
      </c>
      <c r="J37" s="33">
        <v>281</v>
      </c>
      <c r="K37" s="33">
        <v>351</v>
      </c>
      <c r="L37" s="33">
        <v>422</v>
      </c>
      <c r="M37" s="33">
        <v>105</v>
      </c>
      <c r="N37" s="33">
        <v>348</v>
      </c>
      <c r="O37" s="34"/>
      <c r="P37" s="34"/>
      <c r="Q37" s="33">
        <v>299</v>
      </c>
      <c r="R37" s="33">
        <v>416</v>
      </c>
      <c r="S37" s="33">
        <v>520</v>
      </c>
      <c r="T37" s="33">
        <v>624</v>
      </c>
    </row>
    <row r="38" spans="1:20" ht="15" customHeight="1" x14ac:dyDescent="0.25">
      <c r="A38" s="26" t="s">
        <v>422</v>
      </c>
      <c r="B38" s="27" t="s">
        <v>432</v>
      </c>
      <c r="C38" s="27" t="s">
        <v>7</v>
      </c>
      <c r="D38" s="27" t="s">
        <v>437</v>
      </c>
      <c r="E38" s="28">
        <v>89</v>
      </c>
      <c r="F38" s="28">
        <v>287</v>
      </c>
      <c r="G38" s="29"/>
      <c r="H38" s="29"/>
      <c r="I38" s="28">
        <v>248</v>
      </c>
      <c r="J38" s="28">
        <v>343</v>
      </c>
      <c r="K38" s="28">
        <v>428</v>
      </c>
      <c r="L38" s="28">
        <v>515</v>
      </c>
      <c r="M38" s="28">
        <v>131</v>
      </c>
      <c r="N38" s="28">
        <v>425</v>
      </c>
      <c r="O38" s="29"/>
      <c r="P38" s="29"/>
      <c r="Q38" s="28">
        <v>367</v>
      </c>
      <c r="R38" s="28">
        <v>507</v>
      </c>
      <c r="S38" s="28">
        <v>634</v>
      </c>
      <c r="T38" s="28">
        <v>761</v>
      </c>
    </row>
    <row r="39" spans="1:20" ht="15" customHeight="1" x14ac:dyDescent="0.25">
      <c r="A39" s="31" t="s">
        <v>422</v>
      </c>
      <c r="B39" s="32" t="s">
        <v>432</v>
      </c>
      <c r="C39" s="32" t="s">
        <v>7</v>
      </c>
      <c r="D39" s="32" t="s">
        <v>438</v>
      </c>
      <c r="E39" s="33">
        <v>28</v>
      </c>
      <c r="F39" s="33">
        <v>105</v>
      </c>
      <c r="G39" s="33">
        <v>147</v>
      </c>
      <c r="H39" s="33">
        <v>164</v>
      </c>
      <c r="I39" s="33">
        <v>89</v>
      </c>
      <c r="J39" s="33">
        <v>114</v>
      </c>
      <c r="K39" s="33">
        <v>143</v>
      </c>
      <c r="L39" s="33">
        <v>171</v>
      </c>
      <c r="M39" s="33">
        <v>42</v>
      </c>
      <c r="N39" s="33">
        <v>155</v>
      </c>
      <c r="O39" s="33">
        <v>218</v>
      </c>
      <c r="P39" s="33">
        <v>242</v>
      </c>
      <c r="Q39" s="33">
        <v>131</v>
      </c>
      <c r="R39" s="33">
        <v>169</v>
      </c>
      <c r="S39" s="33">
        <v>211</v>
      </c>
      <c r="T39" s="33">
        <v>254</v>
      </c>
    </row>
    <row r="40" spans="1:20" ht="15" customHeight="1" x14ac:dyDescent="0.25">
      <c r="A40" s="26" t="s">
        <v>422</v>
      </c>
      <c r="B40" s="27" t="s">
        <v>432</v>
      </c>
      <c r="C40" s="27" t="s">
        <v>7</v>
      </c>
      <c r="D40" s="27" t="s">
        <v>439</v>
      </c>
      <c r="E40" s="28">
        <v>57</v>
      </c>
      <c r="F40" s="28">
        <v>180</v>
      </c>
      <c r="G40" s="28">
        <v>175</v>
      </c>
      <c r="H40" s="28">
        <v>194</v>
      </c>
      <c r="I40" s="28">
        <v>153</v>
      </c>
      <c r="J40" s="28">
        <v>207</v>
      </c>
      <c r="K40" s="28">
        <v>258</v>
      </c>
      <c r="L40" s="28">
        <v>311</v>
      </c>
      <c r="M40" s="28">
        <v>85</v>
      </c>
      <c r="N40" s="28">
        <v>267</v>
      </c>
      <c r="O40" s="28">
        <v>258</v>
      </c>
      <c r="P40" s="28">
        <v>287</v>
      </c>
      <c r="Q40" s="28">
        <v>226</v>
      </c>
      <c r="R40" s="28">
        <v>306</v>
      </c>
      <c r="S40" s="28">
        <v>383</v>
      </c>
      <c r="T40" s="28">
        <v>459</v>
      </c>
    </row>
    <row r="41" spans="1:20" ht="15" customHeight="1" x14ac:dyDescent="0.25">
      <c r="A41" s="31" t="s">
        <v>422</v>
      </c>
      <c r="B41" s="32" t="s">
        <v>432</v>
      </c>
      <c r="C41" s="32" t="s">
        <v>7</v>
      </c>
      <c r="D41" s="32" t="s">
        <v>440</v>
      </c>
      <c r="E41" s="33">
        <v>85</v>
      </c>
      <c r="F41" s="33">
        <v>266</v>
      </c>
      <c r="G41" s="33">
        <v>221</v>
      </c>
      <c r="H41" s="33">
        <v>246</v>
      </c>
      <c r="I41" s="33">
        <v>216</v>
      </c>
      <c r="J41" s="33">
        <v>309</v>
      </c>
      <c r="K41" s="33">
        <v>387</v>
      </c>
      <c r="L41" s="33">
        <v>464</v>
      </c>
      <c r="M41" s="33">
        <v>126</v>
      </c>
      <c r="N41" s="33">
        <v>394</v>
      </c>
      <c r="O41" s="33">
        <v>328</v>
      </c>
      <c r="P41" s="33">
        <v>364</v>
      </c>
      <c r="Q41" s="33">
        <v>320</v>
      </c>
      <c r="R41" s="33">
        <v>458</v>
      </c>
      <c r="S41" s="33">
        <v>573</v>
      </c>
      <c r="T41" s="33">
        <v>687</v>
      </c>
    </row>
    <row r="42" spans="1:20" ht="15" customHeight="1" x14ac:dyDescent="0.25">
      <c r="A42" s="26" t="s">
        <v>422</v>
      </c>
      <c r="B42" s="27" t="s">
        <v>432</v>
      </c>
      <c r="C42" s="27" t="s">
        <v>7</v>
      </c>
      <c r="D42" s="27" t="s">
        <v>441</v>
      </c>
      <c r="E42" s="28">
        <v>114</v>
      </c>
      <c r="F42" s="28">
        <v>349</v>
      </c>
      <c r="G42" s="29"/>
      <c r="H42" s="29"/>
      <c r="I42" s="28">
        <v>290</v>
      </c>
      <c r="J42" s="28">
        <v>403</v>
      </c>
      <c r="K42" s="28">
        <v>504</v>
      </c>
      <c r="L42" s="28">
        <v>605</v>
      </c>
      <c r="M42" s="28">
        <v>168</v>
      </c>
      <c r="N42" s="28">
        <v>516</v>
      </c>
      <c r="O42" s="29"/>
      <c r="P42" s="29"/>
      <c r="Q42" s="28">
        <v>429</v>
      </c>
      <c r="R42" s="28">
        <v>597</v>
      </c>
      <c r="S42" s="28">
        <v>746</v>
      </c>
      <c r="T42" s="28">
        <v>896</v>
      </c>
    </row>
    <row r="43" spans="1:20" ht="15" customHeight="1" x14ac:dyDescent="0.25">
      <c r="A43" s="31" t="s">
        <v>422</v>
      </c>
      <c r="B43" s="32" t="s">
        <v>432</v>
      </c>
      <c r="C43" s="32" t="s">
        <v>7</v>
      </c>
      <c r="D43" s="32" t="s">
        <v>442</v>
      </c>
      <c r="E43" s="33">
        <v>143</v>
      </c>
      <c r="F43" s="33">
        <v>424</v>
      </c>
      <c r="G43" s="34"/>
      <c r="H43" s="34"/>
      <c r="I43" s="33">
        <v>340</v>
      </c>
      <c r="J43" s="33">
        <v>495</v>
      </c>
      <c r="K43" s="33">
        <v>619</v>
      </c>
      <c r="L43" s="33">
        <v>743</v>
      </c>
      <c r="M43" s="33">
        <v>211</v>
      </c>
      <c r="N43" s="33">
        <v>627</v>
      </c>
      <c r="O43" s="34"/>
      <c r="P43" s="34"/>
      <c r="Q43" s="33">
        <v>503</v>
      </c>
      <c r="R43" s="33">
        <v>733</v>
      </c>
      <c r="S43" s="33">
        <v>916</v>
      </c>
      <c r="T43" s="33">
        <v>1100</v>
      </c>
    </row>
    <row r="44" spans="1:20" ht="3.75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ht="18" customHeight="1" x14ac:dyDescent="0.25">
      <c r="A45" s="474" t="s">
        <v>78</v>
      </c>
      <c r="B45" s="474"/>
      <c r="C45" s="474"/>
      <c r="D45" s="474"/>
      <c r="E45" s="474"/>
      <c r="F45" s="474"/>
      <c r="G45" s="474"/>
      <c r="H45" s="474"/>
      <c r="I45" s="474"/>
      <c r="J45" s="474"/>
      <c r="K45" s="474"/>
      <c r="L45" s="474"/>
      <c r="M45" s="474"/>
      <c r="N45" s="474"/>
      <c r="O45" s="474"/>
      <c r="P45" s="474"/>
      <c r="Q45" s="474"/>
      <c r="R45" s="474"/>
      <c r="S45" s="474"/>
      <c r="T45" s="474"/>
    </row>
    <row r="46" spans="1:20" ht="15" customHeight="1" x14ac:dyDescent="0.25">
      <c r="A46" s="26" t="s">
        <v>78</v>
      </c>
      <c r="B46" s="27" t="s">
        <v>443</v>
      </c>
      <c r="C46" s="27" t="s">
        <v>7</v>
      </c>
      <c r="D46" s="27" t="s">
        <v>444</v>
      </c>
      <c r="E46" s="28">
        <v>21</v>
      </c>
      <c r="F46" s="28">
        <v>75</v>
      </c>
      <c r="G46" s="28">
        <v>143</v>
      </c>
      <c r="H46" s="28">
        <v>159</v>
      </c>
      <c r="I46" s="28">
        <v>61</v>
      </c>
      <c r="J46" s="28">
        <v>80</v>
      </c>
      <c r="K46" s="28">
        <v>100</v>
      </c>
      <c r="L46" s="28">
        <v>120</v>
      </c>
      <c r="M46" s="28">
        <v>31</v>
      </c>
      <c r="N46" s="28">
        <v>111</v>
      </c>
      <c r="O46" s="28">
        <v>212</v>
      </c>
      <c r="P46" s="28">
        <v>235</v>
      </c>
      <c r="Q46" s="28">
        <v>90</v>
      </c>
      <c r="R46" s="28">
        <v>118</v>
      </c>
      <c r="S46" s="28">
        <v>148</v>
      </c>
      <c r="T46" s="28">
        <v>177</v>
      </c>
    </row>
    <row r="47" spans="1:20" ht="15" customHeight="1" x14ac:dyDescent="0.25">
      <c r="A47" s="35" t="s">
        <v>78</v>
      </c>
      <c r="B47" s="36" t="s">
        <v>443</v>
      </c>
      <c r="C47" s="36" t="s">
        <v>7</v>
      </c>
      <c r="D47" s="36" t="s">
        <v>445</v>
      </c>
      <c r="E47" s="37">
        <v>41</v>
      </c>
      <c r="F47" s="37">
        <v>143</v>
      </c>
      <c r="G47" s="37">
        <v>150</v>
      </c>
      <c r="H47" s="37">
        <v>167</v>
      </c>
      <c r="I47" s="37">
        <v>116</v>
      </c>
      <c r="J47" s="37">
        <v>155</v>
      </c>
      <c r="K47" s="37">
        <v>194</v>
      </c>
      <c r="L47" s="37">
        <v>233</v>
      </c>
      <c r="M47" s="37">
        <v>61</v>
      </c>
      <c r="N47" s="37">
        <v>211</v>
      </c>
      <c r="O47" s="37">
        <v>222</v>
      </c>
      <c r="P47" s="37">
        <v>247</v>
      </c>
      <c r="Q47" s="37">
        <v>172</v>
      </c>
      <c r="R47" s="37">
        <v>230</v>
      </c>
      <c r="S47" s="37">
        <v>288</v>
      </c>
      <c r="T47" s="37">
        <v>345</v>
      </c>
    </row>
    <row r="48" spans="1:20" ht="15" customHeight="1" x14ac:dyDescent="0.25">
      <c r="A48" s="26" t="s">
        <v>78</v>
      </c>
      <c r="B48" s="27" t="s">
        <v>443</v>
      </c>
      <c r="C48" s="27" t="s">
        <v>7</v>
      </c>
      <c r="D48" s="27" t="s">
        <v>446</v>
      </c>
      <c r="E48" s="28">
        <v>62</v>
      </c>
      <c r="F48" s="28">
        <v>211</v>
      </c>
      <c r="G48" s="28">
        <v>185</v>
      </c>
      <c r="H48" s="28">
        <v>205</v>
      </c>
      <c r="I48" s="28">
        <v>172</v>
      </c>
      <c r="J48" s="28">
        <v>231</v>
      </c>
      <c r="K48" s="28">
        <v>289</v>
      </c>
      <c r="L48" s="28">
        <v>347</v>
      </c>
      <c r="M48" s="28">
        <v>92</v>
      </c>
      <c r="N48" s="28">
        <v>313</v>
      </c>
      <c r="O48" s="28">
        <v>274</v>
      </c>
      <c r="P48" s="28">
        <v>304</v>
      </c>
      <c r="Q48" s="28">
        <v>255</v>
      </c>
      <c r="R48" s="28">
        <v>342</v>
      </c>
      <c r="S48" s="28">
        <v>428</v>
      </c>
      <c r="T48" s="28">
        <v>513</v>
      </c>
    </row>
    <row r="49" spans="1:20" ht="15" customHeight="1" x14ac:dyDescent="0.25">
      <c r="A49" s="35" t="s">
        <v>78</v>
      </c>
      <c r="B49" s="36" t="s">
        <v>443</v>
      </c>
      <c r="C49" s="36" t="s">
        <v>7</v>
      </c>
      <c r="D49" s="36" t="s">
        <v>447</v>
      </c>
      <c r="E49" s="37">
        <v>82</v>
      </c>
      <c r="F49" s="37">
        <v>257</v>
      </c>
      <c r="G49" s="38"/>
      <c r="H49" s="37">
        <v>240</v>
      </c>
      <c r="I49" s="37">
        <v>209</v>
      </c>
      <c r="J49" s="37">
        <v>298</v>
      </c>
      <c r="K49" s="37">
        <v>372</v>
      </c>
      <c r="L49" s="37">
        <v>447</v>
      </c>
      <c r="M49" s="37">
        <v>122</v>
      </c>
      <c r="N49" s="37">
        <v>380</v>
      </c>
      <c r="O49" s="38"/>
      <c r="P49" s="38"/>
      <c r="Q49" s="37">
        <v>309</v>
      </c>
      <c r="R49" s="37">
        <v>441</v>
      </c>
      <c r="S49" s="37">
        <v>551</v>
      </c>
      <c r="T49" s="37">
        <v>662</v>
      </c>
    </row>
    <row r="50" spans="1:20" ht="15" customHeight="1" x14ac:dyDescent="0.25">
      <c r="A50" s="26" t="s">
        <v>78</v>
      </c>
      <c r="B50" s="27" t="s">
        <v>443</v>
      </c>
      <c r="C50" s="27" t="s">
        <v>7</v>
      </c>
      <c r="D50" s="27" t="s">
        <v>448</v>
      </c>
      <c r="E50" s="28">
        <v>103</v>
      </c>
      <c r="F50" s="28">
        <v>313</v>
      </c>
      <c r="G50" s="29"/>
      <c r="H50" s="29"/>
      <c r="I50" s="28">
        <v>253</v>
      </c>
      <c r="J50" s="28">
        <v>366</v>
      </c>
      <c r="K50" s="28">
        <v>458</v>
      </c>
      <c r="L50" s="28">
        <v>549</v>
      </c>
      <c r="M50" s="28">
        <v>153</v>
      </c>
      <c r="N50" s="28">
        <v>463</v>
      </c>
      <c r="O50" s="29"/>
      <c r="P50" s="29"/>
      <c r="Q50" s="28">
        <v>374</v>
      </c>
      <c r="R50" s="28">
        <v>542</v>
      </c>
      <c r="S50" s="28">
        <v>678</v>
      </c>
      <c r="T50" s="28">
        <v>813</v>
      </c>
    </row>
    <row r="51" spans="1:20" ht="15" customHeight="1" x14ac:dyDescent="0.25">
      <c r="A51" s="35" t="s">
        <v>78</v>
      </c>
      <c r="B51" s="36" t="s">
        <v>443</v>
      </c>
      <c r="C51" s="36" t="s">
        <v>7</v>
      </c>
      <c r="D51" s="36" t="s">
        <v>438</v>
      </c>
      <c r="E51" s="37">
        <v>28</v>
      </c>
      <c r="F51" s="37">
        <v>105</v>
      </c>
      <c r="G51" s="37">
        <v>147</v>
      </c>
      <c r="H51" s="37">
        <v>164</v>
      </c>
      <c r="I51" s="37">
        <v>89</v>
      </c>
      <c r="J51" s="37">
        <v>114</v>
      </c>
      <c r="K51" s="37">
        <v>143</v>
      </c>
      <c r="L51" s="37">
        <v>171</v>
      </c>
      <c r="M51" s="37">
        <v>42</v>
      </c>
      <c r="N51" s="37">
        <v>155</v>
      </c>
      <c r="O51" s="37">
        <v>218</v>
      </c>
      <c r="P51" s="37">
        <v>242</v>
      </c>
      <c r="Q51" s="37">
        <v>131</v>
      </c>
      <c r="R51" s="37">
        <v>169</v>
      </c>
      <c r="S51" s="37">
        <v>211</v>
      </c>
      <c r="T51" s="37">
        <v>254</v>
      </c>
    </row>
    <row r="52" spans="1:20" ht="15" customHeight="1" x14ac:dyDescent="0.25">
      <c r="A52" s="26" t="s">
        <v>78</v>
      </c>
      <c r="B52" s="27" t="s">
        <v>443</v>
      </c>
      <c r="C52" s="27" t="s">
        <v>7</v>
      </c>
      <c r="D52" s="27" t="s">
        <v>439</v>
      </c>
      <c r="E52" s="28">
        <v>57</v>
      </c>
      <c r="F52" s="28">
        <v>180</v>
      </c>
      <c r="G52" s="28">
        <v>175</v>
      </c>
      <c r="H52" s="28">
        <v>194</v>
      </c>
      <c r="I52" s="28">
        <v>153</v>
      </c>
      <c r="J52" s="28">
        <v>207</v>
      </c>
      <c r="K52" s="28">
        <v>258</v>
      </c>
      <c r="L52" s="28">
        <v>311</v>
      </c>
      <c r="M52" s="28">
        <v>85</v>
      </c>
      <c r="N52" s="28">
        <v>267</v>
      </c>
      <c r="O52" s="28">
        <v>258</v>
      </c>
      <c r="P52" s="28">
        <v>287</v>
      </c>
      <c r="Q52" s="28">
        <v>226</v>
      </c>
      <c r="R52" s="28">
        <v>306</v>
      </c>
      <c r="S52" s="28">
        <v>383</v>
      </c>
      <c r="T52" s="28">
        <v>459</v>
      </c>
    </row>
    <row r="53" spans="1:20" ht="15" customHeight="1" x14ac:dyDescent="0.25">
      <c r="A53" s="35" t="s">
        <v>78</v>
      </c>
      <c r="B53" s="36" t="s">
        <v>443</v>
      </c>
      <c r="C53" s="36" t="s">
        <v>7</v>
      </c>
      <c r="D53" s="36" t="s">
        <v>440</v>
      </c>
      <c r="E53" s="37">
        <v>85</v>
      </c>
      <c r="F53" s="37">
        <v>266</v>
      </c>
      <c r="G53" s="37">
        <v>221</v>
      </c>
      <c r="H53" s="37">
        <v>246</v>
      </c>
      <c r="I53" s="37">
        <v>216</v>
      </c>
      <c r="J53" s="37">
        <v>309</v>
      </c>
      <c r="K53" s="37">
        <v>387</v>
      </c>
      <c r="L53" s="37">
        <v>464</v>
      </c>
      <c r="M53" s="37">
        <v>126</v>
      </c>
      <c r="N53" s="37">
        <v>394</v>
      </c>
      <c r="O53" s="37">
        <v>328</v>
      </c>
      <c r="P53" s="37">
        <v>364</v>
      </c>
      <c r="Q53" s="37">
        <v>320</v>
      </c>
      <c r="R53" s="37">
        <v>458</v>
      </c>
      <c r="S53" s="37">
        <v>573</v>
      </c>
      <c r="T53" s="37">
        <v>687</v>
      </c>
    </row>
    <row r="54" spans="1:20" ht="15" customHeight="1" x14ac:dyDescent="0.25">
      <c r="A54" s="26" t="s">
        <v>78</v>
      </c>
      <c r="B54" s="27" t="s">
        <v>443</v>
      </c>
      <c r="C54" s="27" t="s">
        <v>7</v>
      </c>
      <c r="D54" s="27" t="s">
        <v>441</v>
      </c>
      <c r="E54" s="28">
        <v>114</v>
      </c>
      <c r="F54" s="28">
        <v>345</v>
      </c>
      <c r="G54" s="29"/>
      <c r="H54" s="29"/>
      <c r="I54" s="28">
        <v>278</v>
      </c>
      <c r="J54" s="28">
        <v>403</v>
      </c>
      <c r="K54" s="28">
        <v>504</v>
      </c>
      <c r="L54" s="28">
        <v>605</v>
      </c>
      <c r="M54" s="28">
        <v>168</v>
      </c>
      <c r="N54" s="28">
        <v>510</v>
      </c>
      <c r="O54" s="29"/>
      <c r="P54" s="29"/>
      <c r="Q54" s="28">
        <v>412</v>
      </c>
      <c r="R54" s="28">
        <v>597</v>
      </c>
      <c r="S54" s="28">
        <v>746</v>
      </c>
      <c r="T54" s="28">
        <v>896</v>
      </c>
    </row>
    <row r="55" spans="1:20" ht="15" customHeight="1" x14ac:dyDescent="0.25">
      <c r="A55" s="35" t="s">
        <v>78</v>
      </c>
      <c r="B55" s="36" t="s">
        <v>443</v>
      </c>
      <c r="C55" s="36" t="s">
        <v>7</v>
      </c>
      <c r="D55" s="36" t="s">
        <v>442</v>
      </c>
      <c r="E55" s="37">
        <v>143</v>
      </c>
      <c r="F55" s="37">
        <v>424</v>
      </c>
      <c r="G55" s="38"/>
      <c r="H55" s="38"/>
      <c r="I55" s="37">
        <v>340</v>
      </c>
      <c r="J55" s="37">
        <v>495</v>
      </c>
      <c r="K55" s="37">
        <v>619</v>
      </c>
      <c r="L55" s="37">
        <v>743</v>
      </c>
      <c r="M55" s="37">
        <v>211</v>
      </c>
      <c r="N55" s="37">
        <v>627</v>
      </c>
      <c r="O55" s="38"/>
      <c r="P55" s="38"/>
      <c r="Q55" s="37">
        <v>503</v>
      </c>
      <c r="R55" s="37">
        <v>733</v>
      </c>
      <c r="S55" s="37">
        <v>916</v>
      </c>
      <c r="T55" s="37">
        <v>1100</v>
      </c>
    </row>
    <row r="56" spans="1:20" ht="15" customHeight="1" x14ac:dyDescent="0.25">
      <c r="A56" s="26" t="s">
        <v>78</v>
      </c>
      <c r="B56" s="27" t="s">
        <v>443</v>
      </c>
      <c r="C56" s="27" t="s">
        <v>7</v>
      </c>
      <c r="D56" s="27" t="s">
        <v>449</v>
      </c>
      <c r="E56" s="28">
        <v>38</v>
      </c>
      <c r="F56" s="28">
        <v>123</v>
      </c>
      <c r="G56" s="28">
        <v>150</v>
      </c>
      <c r="H56" s="28">
        <v>167</v>
      </c>
      <c r="I56" s="28">
        <v>100</v>
      </c>
      <c r="J56" s="28">
        <v>130</v>
      </c>
      <c r="K56" s="28">
        <v>162</v>
      </c>
      <c r="L56" s="28">
        <v>195</v>
      </c>
      <c r="M56" s="28">
        <v>56</v>
      </c>
      <c r="N56" s="28">
        <v>182</v>
      </c>
      <c r="O56" s="28">
        <v>222</v>
      </c>
      <c r="P56" s="28">
        <v>247</v>
      </c>
      <c r="Q56" s="28">
        <v>148</v>
      </c>
      <c r="R56" s="28">
        <v>192</v>
      </c>
      <c r="S56" s="28">
        <v>240</v>
      </c>
      <c r="T56" s="28">
        <v>288</v>
      </c>
    </row>
    <row r="57" spans="1:20" ht="15" customHeight="1" x14ac:dyDescent="0.25">
      <c r="A57" s="35" t="s">
        <v>78</v>
      </c>
      <c r="B57" s="36" t="s">
        <v>443</v>
      </c>
      <c r="C57" s="36" t="s">
        <v>7</v>
      </c>
      <c r="D57" s="36" t="s">
        <v>450</v>
      </c>
      <c r="E57" s="37">
        <v>76</v>
      </c>
      <c r="F57" s="37">
        <v>249</v>
      </c>
      <c r="G57" s="37">
        <v>192</v>
      </c>
      <c r="H57" s="37">
        <v>214</v>
      </c>
      <c r="I57" s="37">
        <v>199</v>
      </c>
      <c r="J57" s="37">
        <v>270</v>
      </c>
      <c r="K57" s="37">
        <v>338</v>
      </c>
      <c r="L57" s="37">
        <v>405</v>
      </c>
      <c r="M57" s="37">
        <v>113</v>
      </c>
      <c r="N57" s="37">
        <v>368</v>
      </c>
      <c r="O57" s="37">
        <v>284</v>
      </c>
      <c r="P57" s="37">
        <v>316</v>
      </c>
      <c r="Q57" s="37">
        <v>295</v>
      </c>
      <c r="R57" s="37">
        <v>400</v>
      </c>
      <c r="S57" s="37">
        <v>500</v>
      </c>
      <c r="T57" s="37">
        <v>600</v>
      </c>
    </row>
    <row r="58" spans="1:20" ht="15" customHeight="1" x14ac:dyDescent="0.25">
      <c r="A58" s="26" t="s">
        <v>78</v>
      </c>
      <c r="B58" s="27" t="s">
        <v>443</v>
      </c>
      <c r="C58" s="27" t="s">
        <v>7</v>
      </c>
      <c r="D58" s="27" t="s">
        <v>451</v>
      </c>
      <c r="E58" s="28">
        <v>116</v>
      </c>
      <c r="F58" s="28">
        <v>370</v>
      </c>
      <c r="G58" s="28">
        <v>279</v>
      </c>
      <c r="H58" s="28">
        <v>309</v>
      </c>
      <c r="I58" s="28">
        <v>297</v>
      </c>
      <c r="J58" s="28">
        <v>404</v>
      </c>
      <c r="K58" s="28">
        <v>505</v>
      </c>
      <c r="L58" s="28">
        <v>606</v>
      </c>
      <c r="M58" s="28">
        <v>171</v>
      </c>
      <c r="N58" s="28">
        <v>547</v>
      </c>
      <c r="O58" s="28">
        <v>412</v>
      </c>
      <c r="P58" s="28">
        <v>458</v>
      </c>
      <c r="Q58" s="28">
        <v>439</v>
      </c>
      <c r="R58" s="28">
        <v>598</v>
      </c>
      <c r="S58" s="28">
        <v>748</v>
      </c>
      <c r="T58" s="28">
        <v>897</v>
      </c>
    </row>
    <row r="59" spans="1:20" ht="15" customHeight="1" x14ac:dyDescent="0.25">
      <c r="A59" s="35" t="s">
        <v>78</v>
      </c>
      <c r="B59" s="36" t="s">
        <v>443</v>
      </c>
      <c r="C59" s="36" t="s">
        <v>7</v>
      </c>
      <c r="D59" s="36" t="s">
        <v>452</v>
      </c>
      <c r="E59" s="37">
        <v>153</v>
      </c>
      <c r="F59" s="37">
        <v>454</v>
      </c>
      <c r="G59" s="38"/>
      <c r="H59" s="38"/>
      <c r="I59" s="37">
        <v>364</v>
      </c>
      <c r="J59" s="37">
        <v>530</v>
      </c>
      <c r="K59" s="37">
        <v>662</v>
      </c>
      <c r="L59" s="37">
        <v>795</v>
      </c>
      <c r="M59" s="37">
        <v>227</v>
      </c>
      <c r="N59" s="37">
        <v>672</v>
      </c>
      <c r="O59" s="38"/>
      <c r="P59" s="38"/>
      <c r="Q59" s="37">
        <v>538</v>
      </c>
      <c r="R59" s="37">
        <v>784</v>
      </c>
      <c r="S59" s="37">
        <v>980</v>
      </c>
      <c r="T59" s="37">
        <v>1176</v>
      </c>
    </row>
    <row r="60" spans="1:20" ht="15" customHeight="1" x14ac:dyDescent="0.25">
      <c r="A60" s="26" t="s">
        <v>78</v>
      </c>
      <c r="B60" s="27" t="s">
        <v>443</v>
      </c>
      <c r="C60" s="27" t="s">
        <v>7</v>
      </c>
      <c r="D60" s="27" t="s">
        <v>453</v>
      </c>
      <c r="E60" s="28">
        <v>193</v>
      </c>
      <c r="F60" s="28">
        <v>559</v>
      </c>
      <c r="G60" s="29"/>
      <c r="H60" s="29"/>
      <c r="I60" s="28">
        <v>448</v>
      </c>
      <c r="J60" s="28">
        <v>655</v>
      </c>
      <c r="K60" s="28">
        <v>818</v>
      </c>
      <c r="L60" s="28">
        <v>983</v>
      </c>
      <c r="M60" s="28">
        <v>285</v>
      </c>
      <c r="N60" s="28">
        <v>827</v>
      </c>
      <c r="O60" s="29"/>
      <c r="P60" s="29"/>
      <c r="Q60" s="28">
        <v>663</v>
      </c>
      <c r="R60" s="28">
        <v>969</v>
      </c>
      <c r="S60" s="28">
        <v>1211</v>
      </c>
      <c r="T60" s="28">
        <v>1454</v>
      </c>
    </row>
    <row r="61" spans="1:20" ht="15" customHeight="1" x14ac:dyDescent="0.25">
      <c r="A61" s="35" t="s">
        <v>78</v>
      </c>
      <c r="B61" s="36" t="s">
        <v>443</v>
      </c>
      <c r="C61" s="36" t="s">
        <v>7</v>
      </c>
      <c r="D61" s="36" t="s">
        <v>454</v>
      </c>
      <c r="E61" s="37">
        <v>48</v>
      </c>
      <c r="F61" s="37">
        <v>151</v>
      </c>
      <c r="G61" s="37">
        <v>163</v>
      </c>
      <c r="H61" s="37">
        <v>181</v>
      </c>
      <c r="I61" s="37">
        <v>122</v>
      </c>
      <c r="J61" s="37">
        <v>158</v>
      </c>
      <c r="K61" s="37">
        <v>198</v>
      </c>
      <c r="L61" s="37">
        <v>237</v>
      </c>
      <c r="M61" s="37">
        <v>71</v>
      </c>
      <c r="N61" s="37">
        <v>224</v>
      </c>
      <c r="O61" s="37">
        <v>241</v>
      </c>
      <c r="P61" s="37">
        <v>268</v>
      </c>
      <c r="Q61" s="37">
        <v>181</v>
      </c>
      <c r="R61" s="37">
        <v>234</v>
      </c>
      <c r="S61" s="37">
        <v>293</v>
      </c>
      <c r="T61" s="37">
        <v>351</v>
      </c>
    </row>
    <row r="62" spans="1:20" ht="15" customHeight="1" x14ac:dyDescent="0.25">
      <c r="A62" s="26" t="s">
        <v>78</v>
      </c>
      <c r="B62" s="27" t="s">
        <v>443</v>
      </c>
      <c r="C62" s="27" t="s">
        <v>7</v>
      </c>
      <c r="D62" s="27" t="s">
        <v>455</v>
      </c>
      <c r="E62" s="28">
        <v>96</v>
      </c>
      <c r="F62" s="28">
        <v>287</v>
      </c>
      <c r="G62" s="28">
        <v>237</v>
      </c>
      <c r="H62" s="28">
        <v>264</v>
      </c>
      <c r="I62" s="28">
        <v>231</v>
      </c>
      <c r="J62" s="28">
        <v>336</v>
      </c>
      <c r="K62" s="28">
        <v>420</v>
      </c>
      <c r="L62" s="28">
        <v>504</v>
      </c>
      <c r="M62" s="28">
        <v>142</v>
      </c>
      <c r="N62" s="28">
        <v>425</v>
      </c>
      <c r="O62" s="28">
        <v>351</v>
      </c>
      <c r="P62" s="28">
        <v>390</v>
      </c>
      <c r="Q62" s="28">
        <v>342</v>
      </c>
      <c r="R62" s="28">
        <v>497</v>
      </c>
      <c r="S62" s="28">
        <v>621</v>
      </c>
      <c r="T62" s="28">
        <v>746</v>
      </c>
    </row>
    <row r="63" spans="1:20" ht="15" customHeight="1" x14ac:dyDescent="0.25">
      <c r="A63" s="35" t="s">
        <v>78</v>
      </c>
      <c r="B63" s="36" t="s">
        <v>443</v>
      </c>
      <c r="C63" s="36" t="s">
        <v>7</v>
      </c>
      <c r="D63" s="36" t="s">
        <v>456</v>
      </c>
      <c r="E63" s="37">
        <v>145</v>
      </c>
      <c r="F63" s="37">
        <v>451</v>
      </c>
      <c r="G63" s="37">
        <v>313</v>
      </c>
      <c r="H63" s="37">
        <v>347</v>
      </c>
      <c r="I63" s="37">
        <v>345</v>
      </c>
      <c r="J63" s="37">
        <v>501</v>
      </c>
      <c r="K63" s="37">
        <v>627</v>
      </c>
      <c r="L63" s="37">
        <v>752</v>
      </c>
      <c r="M63" s="37">
        <v>214</v>
      </c>
      <c r="N63" s="37">
        <v>667</v>
      </c>
      <c r="O63" s="37">
        <v>463</v>
      </c>
      <c r="P63" s="37">
        <v>514</v>
      </c>
      <c r="Q63" s="37">
        <v>511</v>
      </c>
      <c r="R63" s="37">
        <v>742</v>
      </c>
      <c r="S63" s="37">
        <v>928</v>
      </c>
      <c r="T63" s="37">
        <v>1113</v>
      </c>
    </row>
    <row r="64" spans="1:20" ht="15" customHeight="1" x14ac:dyDescent="0.25">
      <c r="A64" s="26" t="s">
        <v>78</v>
      </c>
      <c r="B64" s="27" t="s">
        <v>443</v>
      </c>
      <c r="C64" s="27" t="s">
        <v>7</v>
      </c>
      <c r="D64" s="27" t="s">
        <v>457</v>
      </c>
      <c r="E64" s="28">
        <v>193</v>
      </c>
      <c r="F64" s="28">
        <v>564</v>
      </c>
      <c r="G64" s="29"/>
      <c r="H64" s="29"/>
      <c r="I64" s="28">
        <v>451</v>
      </c>
      <c r="J64" s="28">
        <v>657</v>
      </c>
      <c r="K64" s="28">
        <v>821</v>
      </c>
      <c r="L64" s="28">
        <v>986</v>
      </c>
      <c r="M64" s="28">
        <v>285</v>
      </c>
      <c r="N64" s="28">
        <v>835</v>
      </c>
      <c r="O64" s="29"/>
      <c r="P64" s="29"/>
      <c r="Q64" s="28">
        <v>667</v>
      </c>
      <c r="R64" s="28">
        <v>972</v>
      </c>
      <c r="S64" s="28">
        <v>1215</v>
      </c>
      <c r="T64" s="28">
        <v>1458</v>
      </c>
    </row>
    <row r="65" spans="1:20" ht="15" customHeight="1" x14ac:dyDescent="0.25">
      <c r="A65" s="35" t="s">
        <v>78</v>
      </c>
      <c r="B65" s="36" t="s">
        <v>443</v>
      </c>
      <c r="C65" s="36" t="s">
        <v>7</v>
      </c>
      <c r="D65" s="36" t="s">
        <v>458</v>
      </c>
      <c r="E65" s="37">
        <v>241</v>
      </c>
      <c r="F65" s="37">
        <v>697</v>
      </c>
      <c r="G65" s="38"/>
      <c r="H65" s="38"/>
      <c r="I65" s="37">
        <v>553</v>
      </c>
      <c r="J65" s="37">
        <v>814</v>
      </c>
      <c r="K65" s="37">
        <v>1018</v>
      </c>
      <c r="L65" s="37">
        <v>1221</v>
      </c>
      <c r="M65" s="37">
        <v>356</v>
      </c>
      <c r="N65" s="37">
        <v>1031</v>
      </c>
      <c r="O65" s="38"/>
      <c r="P65" s="38"/>
      <c r="Q65" s="37">
        <v>819</v>
      </c>
      <c r="R65" s="37">
        <v>1205</v>
      </c>
      <c r="S65" s="37">
        <v>1506</v>
      </c>
      <c r="T65" s="37">
        <v>1808</v>
      </c>
    </row>
    <row r="66" spans="1:20" ht="3.75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ht="18" customHeight="1" x14ac:dyDescent="0.25">
      <c r="A67" s="474" t="s">
        <v>459</v>
      </c>
      <c r="B67" s="474"/>
      <c r="C67" s="474"/>
      <c r="D67" s="474"/>
      <c r="E67" s="474"/>
      <c r="F67" s="474"/>
      <c r="G67" s="474"/>
      <c r="H67" s="474"/>
      <c r="I67" s="474"/>
      <c r="J67" s="474"/>
      <c r="K67" s="474"/>
      <c r="L67" s="474"/>
      <c r="M67" s="474"/>
      <c r="N67" s="474"/>
      <c r="O67" s="474"/>
      <c r="P67" s="474"/>
      <c r="Q67" s="474"/>
      <c r="R67" s="474"/>
      <c r="S67" s="474"/>
      <c r="T67" s="474"/>
    </row>
    <row r="68" spans="1:20" ht="15" customHeight="1" x14ac:dyDescent="0.25">
      <c r="A68" s="26" t="s">
        <v>459</v>
      </c>
      <c r="B68" s="27" t="s">
        <v>1</v>
      </c>
      <c r="C68" s="27" t="s">
        <v>1</v>
      </c>
      <c r="D68" s="27" t="s">
        <v>444</v>
      </c>
      <c r="E68" s="28">
        <v>126</v>
      </c>
      <c r="F68" s="28">
        <v>175</v>
      </c>
      <c r="G68" s="29"/>
      <c r="H68" s="29"/>
      <c r="I68" s="28">
        <v>169</v>
      </c>
      <c r="J68" s="28">
        <v>188</v>
      </c>
      <c r="K68" s="28">
        <v>235</v>
      </c>
      <c r="L68" s="28">
        <v>282</v>
      </c>
      <c r="M68" s="28">
        <v>186</v>
      </c>
      <c r="N68" s="28">
        <v>259</v>
      </c>
      <c r="O68" s="29"/>
      <c r="P68" s="29"/>
      <c r="Q68" s="28">
        <v>250</v>
      </c>
      <c r="R68" s="28">
        <v>278</v>
      </c>
      <c r="S68" s="28">
        <v>348</v>
      </c>
      <c r="T68" s="28">
        <v>417</v>
      </c>
    </row>
    <row r="69" spans="1:20" ht="15" customHeight="1" x14ac:dyDescent="0.25">
      <c r="A69" s="39" t="s">
        <v>459</v>
      </c>
      <c r="B69" s="40" t="s">
        <v>1</v>
      </c>
      <c r="C69" s="40" t="s">
        <v>1</v>
      </c>
      <c r="D69" s="40" t="s">
        <v>438</v>
      </c>
      <c r="E69" s="41">
        <v>137</v>
      </c>
      <c r="F69" s="41">
        <v>196</v>
      </c>
      <c r="G69" s="42"/>
      <c r="H69" s="42"/>
      <c r="I69" s="41">
        <v>185</v>
      </c>
      <c r="J69" s="41">
        <v>211</v>
      </c>
      <c r="K69" s="41">
        <v>264</v>
      </c>
      <c r="L69" s="41">
        <v>317</v>
      </c>
      <c r="M69" s="41">
        <v>203</v>
      </c>
      <c r="N69" s="41">
        <v>290</v>
      </c>
      <c r="O69" s="42"/>
      <c r="P69" s="42"/>
      <c r="Q69" s="41">
        <v>274</v>
      </c>
      <c r="R69" s="41">
        <v>312</v>
      </c>
      <c r="S69" s="41">
        <v>390</v>
      </c>
      <c r="T69" s="41">
        <v>468</v>
      </c>
    </row>
    <row r="70" spans="1:20" ht="15" customHeight="1" x14ac:dyDescent="0.25">
      <c r="A70" s="26" t="s">
        <v>459</v>
      </c>
      <c r="B70" s="27" t="s">
        <v>1</v>
      </c>
      <c r="C70" s="27" t="s">
        <v>1</v>
      </c>
      <c r="D70" s="27" t="s">
        <v>449</v>
      </c>
      <c r="E70" s="28">
        <v>147</v>
      </c>
      <c r="F70" s="28">
        <v>216</v>
      </c>
      <c r="G70" s="29"/>
      <c r="H70" s="29"/>
      <c r="I70" s="28">
        <v>201</v>
      </c>
      <c r="J70" s="28">
        <v>226</v>
      </c>
      <c r="K70" s="28">
        <v>282</v>
      </c>
      <c r="L70" s="28">
        <v>339</v>
      </c>
      <c r="M70" s="28">
        <v>217</v>
      </c>
      <c r="N70" s="28">
        <v>319</v>
      </c>
      <c r="O70" s="29"/>
      <c r="P70" s="29"/>
      <c r="Q70" s="28">
        <v>298</v>
      </c>
      <c r="R70" s="28">
        <v>334</v>
      </c>
      <c r="S70" s="28">
        <v>418</v>
      </c>
      <c r="T70" s="28">
        <v>501</v>
      </c>
    </row>
    <row r="71" spans="1:20" ht="15" customHeight="1" x14ac:dyDescent="0.25">
      <c r="A71" s="39" t="s">
        <v>459</v>
      </c>
      <c r="B71" s="40" t="s">
        <v>1</v>
      </c>
      <c r="C71" s="40" t="s">
        <v>1</v>
      </c>
      <c r="D71" s="40" t="s">
        <v>454</v>
      </c>
      <c r="E71" s="41">
        <v>186</v>
      </c>
      <c r="F71" s="41">
        <v>260</v>
      </c>
      <c r="G71" s="42"/>
      <c r="H71" s="42"/>
      <c r="I71" s="41">
        <v>249</v>
      </c>
      <c r="J71" s="41">
        <v>302</v>
      </c>
      <c r="K71" s="41">
        <v>430</v>
      </c>
      <c r="L71" s="41">
        <v>453</v>
      </c>
      <c r="M71" s="41">
        <v>279</v>
      </c>
      <c r="N71" s="41">
        <v>391</v>
      </c>
      <c r="O71" s="42"/>
      <c r="P71" s="42"/>
      <c r="Q71" s="41">
        <v>360</v>
      </c>
      <c r="R71" s="41">
        <v>451</v>
      </c>
      <c r="S71" s="41">
        <v>619</v>
      </c>
      <c r="T71" s="41">
        <v>677</v>
      </c>
    </row>
    <row r="72" spans="1:20" ht="15" customHeight="1" x14ac:dyDescent="0.25">
      <c r="A72" s="26" t="s">
        <v>459</v>
      </c>
      <c r="B72" s="27" t="s">
        <v>222</v>
      </c>
      <c r="C72" s="27" t="s">
        <v>222</v>
      </c>
      <c r="D72" s="27" t="s">
        <v>424</v>
      </c>
      <c r="E72" s="28">
        <v>101</v>
      </c>
      <c r="F72" s="28">
        <v>138</v>
      </c>
      <c r="G72" s="28">
        <v>314</v>
      </c>
      <c r="H72" s="28">
        <v>349</v>
      </c>
      <c r="I72" s="28">
        <v>128</v>
      </c>
      <c r="J72" s="28">
        <v>147</v>
      </c>
      <c r="K72" s="28">
        <v>184</v>
      </c>
      <c r="L72" s="28">
        <v>221</v>
      </c>
      <c r="M72" s="28">
        <v>150</v>
      </c>
      <c r="N72" s="28">
        <v>204</v>
      </c>
      <c r="O72" s="28">
        <v>465</v>
      </c>
      <c r="P72" s="28">
        <v>517</v>
      </c>
      <c r="Q72" s="28">
        <v>190</v>
      </c>
      <c r="R72" s="28">
        <v>218</v>
      </c>
      <c r="S72" s="28">
        <v>273</v>
      </c>
      <c r="T72" s="28">
        <v>327</v>
      </c>
    </row>
    <row r="73" spans="1:20" ht="15" customHeight="1" x14ac:dyDescent="0.25">
      <c r="A73" s="39" t="s">
        <v>459</v>
      </c>
      <c r="B73" s="27" t="s">
        <v>222</v>
      </c>
      <c r="C73" s="40" t="s">
        <v>222</v>
      </c>
      <c r="D73" s="40" t="s">
        <v>445</v>
      </c>
      <c r="E73" s="41">
        <v>118</v>
      </c>
      <c r="F73" s="41">
        <v>186</v>
      </c>
      <c r="G73" s="41">
        <v>358</v>
      </c>
      <c r="H73" s="41">
        <v>397</v>
      </c>
      <c r="I73" s="41">
        <v>164</v>
      </c>
      <c r="J73" s="41">
        <v>195</v>
      </c>
      <c r="K73" s="41">
        <v>244</v>
      </c>
      <c r="L73" s="41">
        <v>293</v>
      </c>
      <c r="M73" s="41">
        <v>174</v>
      </c>
      <c r="N73" s="41">
        <v>276</v>
      </c>
      <c r="O73" s="41">
        <v>529</v>
      </c>
      <c r="P73" s="41">
        <v>588</v>
      </c>
      <c r="Q73" s="41">
        <v>243</v>
      </c>
      <c r="R73" s="41">
        <v>289</v>
      </c>
      <c r="S73" s="41">
        <v>361</v>
      </c>
      <c r="T73" s="41">
        <v>434</v>
      </c>
    </row>
    <row r="74" spans="1:20" ht="15" customHeight="1" x14ac:dyDescent="0.25">
      <c r="A74" s="26" t="s">
        <v>459</v>
      </c>
      <c r="B74" s="27" t="s">
        <v>222</v>
      </c>
      <c r="C74" s="27" t="s">
        <v>222</v>
      </c>
      <c r="D74" s="27" t="s">
        <v>446</v>
      </c>
      <c r="E74" s="28">
        <v>175</v>
      </c>
      <c r="F74" s="28">
        <v>263</v>
      </c>
      <c r="G74" s="28">
        <v>490</v>
      </c>
      <c r="H74" s="28">
        <v>471</v>
      </c>
      <c r="I74" s="28">
        <v>245</v>
      </c>
      <c r="J74" s="28">
        <v>299</v>
      </c>
      <c r="K74" s="28">
        <v>374</v>
      </c>
      <c r="L74" s="28">
        <v>449</v>
      </c>
      <c r="M74" s="28">
        <v>259</v>
      </c>
      <c r="N74" s="28">
        <v>389</v>
      </c>
      <c r="O74" s="28">
        <v>735</v>
      </c>
      <c r="P74" s="28">
        <v>707</v>
      </c>
      <c r="Q74" s="28">
        <v>363</v>
      </c>
      <c r="R74" s="28">
        <v>443</v>
      </c>
      <c r="S74" s="28">
        <v>554</v>
      </c>
      <c r="T74" s="28">
        <v>665</v>
      </c>
    </row>
    <row r="75" spans="1:20" ht="15" customHeight="1" x14ac:dyDescent="0.25">
      <c r="A75" s="39" t="s">
        <v>459</v>
      </c>
      <c r="B75" s="27" t="s">
        <v>222</v>
      </c>
      <c r="C75" s="40" t="s">
        <v>222</v>
      </c>
      <c r="D75" s="40" t="s">
        <v>447</v>
      </c>
      <c r="E75" s="41">
        <v>191</v>
      </c>
      <c r="F75" s="41">
        <v>336</v>
      </c>
      <c r="G75" s="41">
        <v>544</v>
      </c>
      <c r="H75" s="41">
        <v>522</v>
      </c>
      <c r="I75" s="41">
        <v>292</v>
      </c>
      <c r="J75" s="41">
        <v>362</v>
      </c>
      <c r="K75" s="41">
        <v>453</v>
      </c>
      <c r="L75" s="41">
        <v>543</v>
      </c>
      <c r="M75" s="41">
        <v>283</v>
      </c>
      <c r="N75" s="41">
        <v>497</v>
      </c>
      <c r="O75" s="42"/>
      <c r="P75" s="42"/>
      <c r="Q75" s="41">
        <v>432</v>
      </c>
      <c r="R75" s="41">
        <v>536</v>
      </c>
      <c r="S75" s="41">
        <v>670</v>
      </c>
      <c r="T75" s="41">
        <v>804</v>
      </c>
    </row>
    <row r="76" spans="1:20" ht="15" customHeight="1" x14ac:dyDescent="0.25">
      <c r="A76" s="26" t="s">
        <v>459</v>
      </c>
      <c r="B76" s="27" t="s">
        <v>222</v>
      </c>
      <c r="C76" s="27" t="s">
        <v>222</v>
      </c>
      <c r="D76" s="27" t="s">
        <v>448</v>
      </c>
      <c r="E76" s="28">
        <v>253</v>
      </c>
      <c r="F76" s="28">
        <v>393</v>
      </c>
      <c r="G76" s="28">
        <v>641</v>
      </c>
      <c r="H76" s="28">
        <v>613</v>
      </c>
      <c r="I76" s="28">
        <v>360</v>
      </c>
      <c r="J76" s="28">
        <v>444</v>
      </c>
      <c r="K76" s="28">
        <v>555</v>
      </c>
      <c r="L76" s="28">
        <v>666</v>
      </c>
      <c r="M76" s="28">
        <v>374</v>
      </c>
      <c r="N76" s="28">
        <v>582</v>
      </c>
      <c r="O76" s="29"/>
      <c r="P76" s="29"/>
      <c r="Q76" s="28">
        <v>533</v>
      </c>
      <c r="R76" s="28">
        <v>657</v>
      </c>
      <c r="S76" s="28">
        <v>821</v>
      </c>
      <c r="T76" s="28">
        <v>986</v>
      </c>
    </row>
    <row r="77" spans="1:20" ht="15" customHeight="1" x14ac:dyDescent="0.25">
      <c r="A77" s="39" t="s">
        <v>459</v>
      </c>
      <c r="B77" s="27" t="s">
        <v>222</v>
      </c>
      <c r="C77" s="40" t="s">
        <v>222</v>
      </c>
      <c r="D77" s="40" t="s">
        <v>426</v>
      </c>
      <c r="E77" s="41">
        <v>114</v>
      </c>
      <c r="F77" s="41">
        <v>155</v>
      </c>
      <c r="G77" s="41">
        <v>334</v>
      </c>
      <c r="H77" s="41">
        <v>371</v>
      </c>
      <c r="I77" s="41">
        <v>147</v>
      </c>
      <c r="J77" s="41">
        <v>176</v>
      </c>
      <c r="K77" s="41">
        <v>220</v>
      </c>
      <c r="L77" s="41">
        <v>264</v>
      </c>
      <c r="M77" s="41">
        <v>169</v>
      </c>
      <c r="N77" s="41">
        <v>230</v>
      </c>
      <c r="O77" s="41">
        <v>494</v>
      </c>
      <c r="P77" s="41">
        <v>549</v>
      </c>
      <c r="Q77" s="41">
        <v>218</v>
      </c>
      <c r="R77" s="41">
        <v>261</v>
      </c>
      <c r="S77" s="41">
        <v>326</v>
      </c>
      <c r="T77" s="41">
        <v>392</v>
      </c>
    </row>
    <row r="78" spans="1:20" ht="15" customHeight="1" x14ac:dyDescent="0.25">
      <c r="A78" s="26" t="s">
        <v>459</v>
      </c>
      <c r="B78" s="27" t="s">
        <v>222</v>
      </c>
      <c r="C78" s="27" t="s">
        <v>222</v>
      </c>
      <c r="D78" s="27" t="s">
        <v>439</v>
      </c>
      <c r="E78" s="28">
        <v>156</v>
      </c>
      <c r="F78" s="28">
        <v>232</v>
      </c>
      <c r="G78" s="28">
        <v>385</v>
      </c>
      <c r="H78" s="28">
        <v>428</v>
      </c>
      <c r="I78" s="28">
        <v>220</v>
      </c>
      <c r="J78" s="28">
        <v>268</v>
      </c>
      <c r="K78" s="28">
        <v>335</v>
      </c>
      <c r="L78" s="28">
        <v>402</v>
      </c>
      <c r="M78" s="28">
        <v>231</v>
      </c>
      <c r="N78" s="28">
        <v>343</v>
      </c>
      <c r="O78" s="28">
        <v>570</v>
      </c>
      <c r="P78" s="28">
        <v>633</v>
      </c>
      <c r="Q78" s="28">
        <v>326</v>
      </c>
      <c r="R78" s="28">
        <v>397</v>
      </c>
      <c r="S78" s="28">
        <v>496</v>
      </c>
      <c r="T78" s="28">
        <v>596</v>
      </c>
    </row>
    <row r="79" spans="1:20" ht="15" customHeight="1" x14ac:dyDescent="0.25">
      <c r="A79" s="39" t="s">
        <v>459</v>
      </c>
      <c r="B79" s="27" t="s">
        <v>222</v>
      </c>
      <c r="C79" s="40" t="s">
        <v>222</v>
      </c>
      <c r="D79" s="40" t="s">
        <v>440</v>
      </c>
      <c r="E79" s="41">
        <v>207</v>
      </c>
      <c r="F79" s="41">
        <v>327</v>
      </c>
      <c r="G79" s="41">
        <v>550</v>
      </c>
      <c r="H79" s="41">
        <v>520</v>
      </c>
      <c r="I79" s="41">
        <v>301</v>
      </c>
      <c r="J79" s="41">
        <v>370</v>
      </c>
      <c r="K79" s="41">
        <v>462</v>
      </c>
      <c r="L79" s="41">
        <v>555</v>
      </c>
      <c r="M79" s="41">
        <v>307</v>
      </c>
      <c r="N79" s="41">
        <v>484</v>
      </c>
      <c r="O79" s="41">
        <v>826</v>
      </c>
      <c r="P79" s="41">
        <v>780</v>
      </c>
      <c r="Q79" s="41">
        <v>445</v>
      </c>
      <c r="R79" s="41">
        <v>547</v>
      </c>
      <c r="S79" s="41">
        <v>684</v>
      </c>
      <c r="T79" s="41">
        <v>821</v>
      </c>
    </row>
    <row r="80" spans="1:20" ht="15" customHeight="1" x14ac:dyDescent="0.25">
      <c r="A80" s="26" t="s">
        <v>459</v>
      </c>
      <c r="B80" s="27" t="s">
        <v>222</v>
      </c>
      <c r="C80" s="27" t="s">
        <v>222</v>
      </c>
      <c r="D80" s="27" t="s">
        <v>441</v>
      </c>
      <c r="E80" s="28">
        <v>251</v>
      </c>
      <c r="F80" s="28">
        <v>402</v>
      </c>
      <c r="G80" s="29"/>
      <c r="H80" s="29"/>
      <c r="I80" s="28">
        <v>367</v>
      </c>
      <c r="J80" s="28">
        <v>460</v>
      </c>
      <c r="K80" s="28">
        <v>575</v>
      </c>
      <c r="L80" s="28">
        <v>690</v>
      </c>
      <c r="M80" s="28">
        <v>371</v>
      </c>
      <c r="N80" s="28">
        <v>595</v>
      </c>
      <c r="O80" s="29"/>
      <c r="P80" s="29"/>
      <c r="Q80" s="28">
        <v>543</v>
      </c>
      <c r="R80" s="28">
        <v>681</v>
      </c>
      <c r="S80" s="28">
        <v>851</v>
      </c>
      <c r="T80" s="28">
        <v>1022</v>
      </c>
    </row>
    <row r="81" spans="1:20" ht="15" customHeight="1" x14ac:dyDescent="0.25">
      <c r="A81" s="39" t="s">
        <v>459</v>
      </c>
      <c r="B81" s="27" t="s">
        <v>222</v>
      </c>
      <c r="C81" s="40" t="s">
        <v>222</v>
      </c>
      <c r="D81" s="40" t="s">
        <v>442</v>
      </c>
      <c r="E81" s="41">
        <v>310</v>
      </c>
      <c r="F81" s="41">
        <v>497</v>
      </c>
      <c r="G81" s="42"/>
      <c r="H81" s="42"/>
      <c r="I81" s="41">
        <v>453</v>
      </c>
      <c r="J81" s="41">
        <v>569</v>
      </c>
      <c r="K81" s="41">
        <v>711</v>
      </c>
      <c r="L81" s="41">
        <v>854</v>
      </c>
      <c r="M81" s="41">
        <v>459</v>
      </c>
      <c r="N81" s="41">
        <v>735</v>
      </c>
      <c r="O81" s="42"/>
      <c r="P81" s="42"/>
      <c r="Q81" s="41">
        <v>670</v>
      </c>
      <c r="R81" s="41">
        <v>842</v>
      </c>
      <c r="S81" s="41">
        <v>1053</v>
      </c>
      <c r="T81" s="41">
        <v>1263</v>
      </c>
    </row>
    <row r="82" spans="1:20" ht="15" customHeight="1" x14ac:dyDescent="0.25">
      <c r="A82" s="26" t="s">
        <v>459</v>
      </c>
      <c r="B82" s="27" t="s">
        <v>235</v>
      </c>
      <c r="C82" s="27" t="s">
        <v>0</v>
      </c>
      <c r="D82" s="27" t="s">
        <v>428</v>
      </c>
      <c r="E82" s="28">
        <v>190</v>
      </c>
      <c r="F82" s="28">
        <v>258</v>
      </c>
      <c r="G82" s="28">
        <v>574</v>
      </c>
      <c r="H82" s="28">
        <v>638</v>
      </c>
      <c r="I82" s="28">
        <v>241</v>
      </c>
      <c r="J82" s="28">
        <v>274</v>
      </c>
      <c r="K82" s="28">
        <v>343</v>
      </c>
      <c r="L82" s="28">
        <v>411</v>
      </c>
      <c r="M82" s="28">
        <v>281</v>
      </c>
      <c r="N82" s="28">
        <v>382</v>
      </c>
      <c r="O82" s="28">
        <v>850</v>
      </c>
      <c r="P82" s="28">
        <v>944</v>
      </c>
      <c r="Q82" s="28">
        <v>356</v>
      </c>
      <c r="R82" s="28">
        <v>406</v>
      </c>
      <c r="S82" s="28">
        <v>508</v>
      </c>
      <c r="T82" s="28">
        <v>609</v>
      </c>
    </row>
    <row r="83" spans="1:20" ht="15" customHeight="1" x14ac:dyDescent="0.25">
      <c r="A83" s="39" t="s">
        <v>459</v>
      </c>
      <c r="B83" s="27" t="s">
        <v>235</v>
      </c>
      <c r="C83" s="40" t="s">
        <v>0</v>
      </c>
      <c r="D83" s="40" t="s">
        <v>450</v>
      </c>
      <c r="E83" s="41">
        <v>234</v>
      </c>
      <c r="F83" s="41">
        <v>345</v>
      </c>
      <c r="G83" s="41">
        <v>598</v>
      </c>
      <c r="H83" s="41">
        <v>664</v>
      </c>
      <c r="I83" s="41">
        <v>307</v>
      </c>
      <c r="J83" s="41">
        <v>365</v>
      </c>
      <c r="K83" s="41">
        <v>456</v>
      </c>
      <c r="L83" s="41">
        <v>548</v>
      </c>
      <c r="M83" s="41">
        <v>347</v>
      </c>
      <c r="N83" s="41">
        <v>511</v>
      </c>
      <c r="O83" s="41">
        <v>885</v>
      </c>
      <c r="P83" s="41">
        <v>983</v>
      </c>
      <c r="Q83" s="41">
        <v>455</v>
      </c>
      <c r="R83" s="41">
        <v>540</v>
      </c>
      <c r="S83" s="41">
        <v>675</v>
      </c>
      <c r="T83" s="41">
        <v>810</v>
      </c>
    </row>
    <row r="84" spans="1:20" ht="15" customHeight="1" x14ac:dyDescent="0.25">
      <c r="A84" s="26" t="s">
        <v>459</v>
      </c>
      <c r="B84" s="27" t="s">
        <v>235</v>
      </c>
      <c r="C84" s="27" t="s">
        <v>0</v>
      </c>
      <c r="D84" s="27" t="s">
        <v>451</v>
      </c>
      <c r="E84" s="28">
        <v>345</v>
      </c>
      <c r="F84" s="28">
        <v>518</v>
      </c>
      <c r="G84" s="28">
        <v>863</v>
      </c>
      <c r="H84" s="28">
        <v>840</v>
      </c>
      <c r="I84" s="28">
        <v>457</v>
      </c>
      <c r="J84" s="28">
        <v>555</v>
      </c>
      <c r="K84" s="28">
        <v>694</v>
      </c>
      <c r="L84" s="28">
        <v>833</v>
      </c>
      <c r="M84" s="28">
        <v>510</v>
      </c>
      <c r="N84" s="28">
        <v>767</v>
      </c>
      <c r="O84" s="28">
        <v>1295</v>
      </c>
      <c r="P84" s="28">
        <v>1260</v>
      </c>
      <c r="Q84" s="28">
        <v>677</v>
      </c>
      <c r="R84" s="28">
        <v>822</v>
      </c>
      <c r="S84" s="28">
        <v>1028</v>
      </c>
      <c r="T84" s="28">
        <v>1233</v>
      </c>
    </row>
    <row r="85" spans="1:20" ht="15" customHeight="1" x14ac:dyDescent="0.25">
      <c r="A85" s="39" t="s">
        <v>459</v>
      </c>
      <c r="B85" s="27" t="s">
        <v>235</v>
      </c>
      <c r="C85" s="40" t="s">
        <v>0</v>
      </c>
      <c r="D85" s="40" t="s">
        <v>452</v>
      </c>
      <c r="E85" s="41">
        <v>403</v>
      </c>
      <c r="F85" s="41">
        <v>627</v>
      </c>
      <c r="G85" s="41">
        <v>980</v>
      </c>
      <c r="H85" s="41">
        <v>934</v>
      </c>
      <c r="I85" s="41">
        <v>548</v>
      </c>
      <c r="J85" s="41">
        <v>675</v>
      </c>
      <c r="K85" s="41">
        <v>844</v>
      </c>
      <c r="L85" s="41">
        <v>1013</v>
      </c>
      <c r="M85" s="41">
        <v>597</v>
      </c>
      <c r="N85" s="41">
        <v>928</v>
      </c>
      <c r="O85" s="41">
        <v>1470</v>
      </c>
      <c r="P85" s="41">
        <v>1400</v>
      </c>
      <c r="Q85" s="41">
        <v>811</v>
      </c>
      <c r="R85" s="41">
        <v>999</v>
      </c>
      <c r="S85" s="41">
        <v>1249</v>
      </c>
      <c r="T85" s="41">
        <v>1499</v>
      </c>
    </row>
    <row r="86" spans="1:20" ht="15" customHeight="1" x14ac:dyDescent="0.25">
      <c r="A86" s="26" t="s">
        <v>459</v>
      </c>
      <c r="B86" s="27" t="s">
        <v>235</v>
      </c>
      <c r="C86" s="27" t="s">
        <v>0</v>
      </c>
      <c r="D86" s="27" t="s">
        <v>453</v>
      </c>
      <c r="E86" s="28">
        <v>497</v>
      </c>
      <c r="F86" s="28">
        <v>761</v>
      </c>
      <c r="G86" s="28">
        <v>1166</v>
      </c>
      <c r="H86" s="28">
        <v>1106</v>
      </c>
      <c r="I86" s="28">
        <v>675</v>
      </c>
      <c r="J86" s="28">
        <v>832</v>
      </c>
      <c r="K86" s="28">
        <v>1041</v>
      </c>
      <c r="L86" s="28">
        <v>1248</v>
      </c>
      <c r="M86" s="28">
        <v>736</v>
      </c>
      <c r="N86" s="28">
        <v>1127</v>
      </c>
      <c r="O86" s="28">
        <v>1750</v>
      </c>
      <c r="P86" s="28">
        <v>1659</v>
      </c>
      <c r="Q86" s="28">
        <v>999</v>
      </c>
      <c r="R86" s="28">
        <v>1232</v>
      </c>
      <c r="S86" s="28">
        <v>1540</v>
      </c>
      <c r="T86" s="28">
        <v>1848</v>
      </c>
    </row>
    <row r="87" spans="1:20" ht="15" customHeight="1" x14ac:dyDescent="0.25">
      <c r="A87" s="39" t="s">
        <v>459</v>
      </c>
      <c r="B87" s="27" t="s">
        <v>235</v>
      </c>
      <c r="C87" s="40" t="s">
        <v>0</v>
      </c>
      <c r="D87" s="40" t="s">
        <v>430</v>
      </c>
      <c r="E87" s="41">
        <v>200</v>
      </c>
      <c r="F87" s="41">
        <v>287</v>
      </c>
      <c r="G87" s="41">
        <v>588</v>
      </c>
      <c r="H87" s="41">
        <v>653</v>
      </c>
      <c r="I87" s="41">
        <v>263</v>
      </c>
      <c r="J87" s="41">
        <v>305</v>
      </c>
      <c r="K87" s="41">
        <v>382</v>
      </c>
      <c r="L87" s="41">
        <v>458</v>
      </c>
      <c r="M87" s="41">
        <v>296</v>
      </c>
      <c r="N87" s="41">
        <v>425</v>
      </c>
      <c r="O87" s="41">
        <v>870</v>
      </c>
      <c r="P87" s="41">
        <v>967</v>
      </c>
      <c r="Q87" s="41">
        <v>389</v>
      </c>
      <c r="R87" s="41">
        <v>452</v>
      </c>
      <c r="S87" s="41">
        <v>565</v>
      </c>
      <c r="T87" s="41">
        <v>678</v>
      </c>
    </row>
    <row r="88" spans="1:20" ht="15" customHeight="1" x14ac:dyDescent="0.25">
      <c r="A88" s="26" t="s">
        <v>459</v>
      </c>
      <c r="B88" s="27" t="s">
        <v>235</v>
      </c>
      <c r="C88" s="27" t="s">
        <v>0</v>
      </c>
      <c r="D88" s="27" t="s">
        <v>455</v>
      </c>
      <c r="E88" s="28">
        <v>279</v>
      </c>
      <c r="F88" s="28">
        <v>422</v>
      </c>
      <c r="G88" s="28">
        <v>625</v>
      </c>
      <c r="H88" s="28">
        <v>695</v>
      </c>
      <c r="I88" s="28">
        <v>377</v>
      </c>
      <c r="J88" s="28">
        <v>457</v>
      </c>
      <c r="K88" s="28">
        <v>571</v>
      </c>
      <c r="L88" s="28">
        <v>656</v>
      </c>
      <c r="M88" s="28">
        <v>413</v>
      </c>
      <c r="N88" s="28">
        <v>624</v>
      </c>
      <c r="O88" s="28">
        <v>925</v>
      </c>
      <c r="P88" s="28">
        <v>1028</v>
      </c>
      <c r="Q88" s="28">
        <v>558</v>
      </c>
      <c r="R88" s="28">
        <v>676</v>
      </c>
      <c r="S88" s="28">
        <v>845</v>
      </c>
      <c r="T88" s="28">
        <v>1014</v>
      </c>
    </row>
    <row r="89" spans="1:20" ht="15" customHeight="1" x14ac:dyDescent="0.25">
      <c r="A89" s="39" t="s">
        <v>459</v>
      </c>
      <c r="B89" s="27" t="s">
        <v>235</v>
      </c>
      <c r="C89" s="40" t="s">
        <v>0</v>
      </c>
      <c r="D89" s="40" t="s">
        <v>456</v>
      </c>
      <c r="E89" s="41">
        <v>389</v>
      </c>
      <c r="F89" s="41">
        <v>593</v>
      </c>
      <c r="G89" s="42"/>
      <c r="H89" s="42"/>
      <c r="I89" s="41">
        <v>526</v>
      </c>
      <c r="J89" s="41">
        <v>648</v>
      </c>
      <c r="K89" s="41">
        <v>810</v>
      </c>
      <c r="L89" s="41">
        <v>972</v>
      </c>
      <c r="M89" s="41">
        <v>576</v>
      </c>
      <c r="N89" s="41">
        <v>878</v>
      </c>
      <c r="O89" s="42"/>
      <c r="P89" s="42"/>
      <c r="Q89" s="41">
        <v>779</v>
      </c>
      <c r="R89" s="41">
        <v>959</v>
      </c>
      <c r="S89" s="41">
        <v>1199</v>
      </c>
      <c r="T89" s="41">
        <v>1439</v>
      </c>
    </row>
    <row r="90" spans="1:20" ht="15" customHeight="1" x14ac:dyDescent="0.25">
      <c r="A90" s="26" t="s">
        <v>459</v>
      </c>
      <c r="B90" s="27" t="s">
        <v>235</v>
      </c>
      <c r="C90" s="27" t="s">
        <v>0</v>
      </c>
      <c r="D90" s="27" t="s">
        <v>457</v>
      </c>
      <c r="E90" s="28">
        <v>465</v>
      </c>
      <c r="F90" s="28">
        <v>728</v>
      </c>
      <c r="G90" s="29"/>
      <c r="H90" s="29"/>
      <c r="I90" s="28">
        <v>639</v>
      </c>
      <c r="J90" s="28">
        <v>799</v>
      </c>
      <c r="K90" s="28">
        <v>998</v>
      </c>
      <c r="L90" s="28">
        <v>1199</v>
      </c>
      <c r="M90" s="28">
        <v>688</v>
      </c>
      <c r="N90" s="28">
        <v>1078</v>
      </c>
      <c r="O90" s="29"/>
      <c r="P90" s="29"/>
      <c r="Q90" s="28">
        <v>946</v>
      </c>
      <c r="R90" s="28">
        <v>1182</v>
      </c>
      <c r="S90" s="28">
        <v>1478</v>
      </c>
      <c r="T90" s="28">
        <v>1773</v>
      </c>
    </row>
    <row r="91" spans="1:20" ht="15" customHeight="1" x14ac:dyDescent="0.25">
      <c r="A91" s="39" t="s">
        <v>459</v>
      </c>
      <c r="B91" s="27" t="s">
        <v>235</v>
      </c>
      <c r="C91" s="40" t="s">
        <v>0</v>
      </c>
      <c r="D91" s="40" t="s">
        <v>458</v>
      </c>
      <c r="E91" s="41">
        <v>572</v>
      </c>
      <c r="F91" s="41">
        <v>901</v>
      </c>
      <c r="G91" s="42"/>
      <c r="H91" s="42"/>
      <c r="I91" s="41">
        <v>790</v>
      </c>
      <c r="J91" s="41">
        <v>989</v>
      </c>
      <c r="K91" s="41">
        <v>1236</v>
      </c>
      <c r="L91" s="41">
        <v>1484</v>
      </c>
      <c r="M91" s="41">
        <v>846</v>
      </c>
      <c r="N91" s="41">
        <v>1333</v>
      </c>
      <c r="O91" s="42"/>
      <c r="P91" s="42"/>
      <c r="Q91" s="41">
        <v>1169</v>
      </c>
      <c r="R91" s="41">
        <v>1463</v>
      </c>
      <c r="S91" s="41">
        <v>1829</v>
      </c>
      <c r="T91" s="41">
        <v>2195</v>
      </c>
    </row>
    <row r="92" spans="1:20" ht="3.75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 spans="1:20" ht="18" customHeight="1" x14ac:dyDescent="0.25">
      <c r="A93" s="474" t="s">
        <v>460</v>
      </c>
      <c r="B93" s="474"/>
      <c r="C93" s="474"/>
      <c r="D93" s="474"/>
      <c r="E93" s="474"/>
      <c r="F93" s="474"/>
      <c r="G93" s="474"/>
      <c r="H93" s="474"/>
      <c r="I93" s="474"/>
      <c r="J93" s="474"/>
      <c r="K93" s="474"/>
      <c r="L93" s="474"/>
      <c r="M93" s="474"/>
      <c r="N93" s="474"/>
      <c r="O93" s="474"/>
      <c r="P93" s="474"/>
      <c r="Q93" s="474"/>
      <c r="R93" s="474"/>
      <c r="S93" s="474"/>
      <c r="T93" s="474"/>
    </row>
    <row r="94" spans="1:20" ht="15" customHeight="1" x14ac:dyDescent="0.25">
      <c r="A94" s="26" t="s">
        <v>460</v>
      </c>
      <c r="B94" s="27" t="s">
        <v>256</v>
      </c>
      <c r="C94" s="27" t="s">
        <v>2</v>
      </c>
      <c r="D94" s="27" t="s">
        <v>461</v>
      </c>
      <c r="E94" s="28">
        <v>212</v>
      </c>
      <c r="F94" s="28">
        <v>242</v>
      </c>
      <c r="G94" s="29"/>
      <c r="H94" s="29"/>
      <c r="I94" s="28">
        <v>237</v>
      </c>
      <c r="J94" s="28">
        <v>246</v>
      </c>
      <c r="K94" s="28">
        <v>307</v>
      </c>
      <c r="L94" s="28">
        <v>369</v>
      </c>
      <c r="M94" s="28">
        <v>314</v>
      </c>
      <c r="N94" s="28">
        <v>358</v>
      </c>
      <c r="O94" s="29"/>
      <c r="P94" s="29"/>
      <c r="Q94" s="28">
        <v>351</v>
      </c>
      <c r="R94" s="28">
        <v>364</v>
      </c>
      <c r="S94" s="28">
        <v>455</v>
      </c>
      <c r="T94" s="28">
        <v>546</v>
      </c>
    </row>
    <row r="95" spans="1:20" ht="15" customHeight="1" x14ac:dyDescent="0.25">
      <c r="A95" s="43" t="s">
        <v>460</v>
      </c>
      <c r="B95" s="44" t="s">
        <v>256</v>
      </c>
      <c r="C95" s="44" t="s">
        <v>0</v>
      </c>
      <c r="D95" s="44" t="s">
        <v>424</v>
      </c>
      <c r="E95" s="45">
        <v>262</v>
      </c>
      <c r="F95" s="45">
        <v>312</v>
      </c>
      <c r="G95" s="46"/>
      <c r="H95" s="46"/>
      <c r="I95" s="45">
        <v>305</v>
      </c>
      <c r="J95" s="45">
        <v>321</v>
      </c>
      <c r="K95" s="45">
        <v>401</v>
      </c>
      <c r="L95" s="45">
        <v>482</v>
      </c>
      <c r="M95" s="45">
        <v>387</v>
      </c>
      <c r="N95" s="45">
        <v>462</v>
      </c>
      <c r="O95" s="46"/>
      <c r="P95" s="46"/>
      <c r="Q95" s="45">
        <v>451</v>
      </c>
      <c r="R95" s="45">
        <v>474</v>
      </c>
      <c r="S95" s="45">
        <v>593</v>
      </c>
      <c r="T95" s="45">
        <v>711</v>
      </c>
    </row>
    <row r="96" spans="1:20" ht="15" customHeight="1" x14ac:dyDescent="0.25">
      <c r="A96" s="26" t="s">
        <v>460</v>
      </c>
      <c r="B96" s="27" t="s">
        <v>256</v>
      </c>
      <c r="C96" s="27" t="s">
        <v>2</v>
      </c>
      <c r="D96" s="27" t="s">
        <v>462</v>
      </c>
      <c r="E96" s="28">
        <v>222</v>
      </c>
      <c r="F96" s="28">
        <v>259</v>
      </c>
      <c r="G96" s="29"/>
      <c r="H96" s="29"/>
      <c r="I96" s="28">
        <v>254</v>
      </c>
      <c r="J96" s="28">
        <v>265</v>
      </c>
      <c r="K96" s="28">
        <v>331</v>
      </c>
      <c r="L96" s="28">
        <v>398</v>
      </c>
      <c r="M96" s="28">
        <v>328</v>
      </c>
      <c r="N96" s="28">
        <v>383</v>
      </c>
      <c r="O96" s="29"/>
      <c r="P96" s="29"/>
      <c r="Q96" s="28">
        <v>375</v>
      </c>
      <c r="R96" s="28">
        <v>392</v>
      </c>
      <c r="S96" s="28">
        <v>490</v>
      </c>
      <c r="T96" s="28">
        <v>588</v>
      </c>
    </row>
    <row r="97" spans="1:20" ht="15" customHeight="1" x14ac:dyDescent="0.25">
      <c r="A97" s="43" t="s">
        <v>460</v>
      </c>
      <c r="B97" s="44" t="s">
        <v>256</v>
      </c>
      <c r="C97" s="44" t="s">
        <v>2</v>
      </c>
      <c r="D97" s="44" t="s">
        <v>426</v>
      </c>
      <c r="E97" s="45">
        <v>263</v>
      </c>
      <c r="F97" s="45">
        <v>335</v>
      </c>
      <c r="G97" s="46"/>
      <c r="H97" s="46"/>
      <c r="I97" s="45">
        <v>324</v>
      </c>
      <c r="J97" s="45">
        <v>343</v>
      </c>
      <c r="K97" s="45">
        <v>429</v>
      </c>
      <c r="L97" s="45">
        <v>515</v>
      </c>
      <c r="M97" s="45">
        <v>390</v>
      </c>
      <c r="N97" s="45">
        <v>496</v>
      </c>
      <c r="O97" s="46"/>
      <c r="P97" s="46"/>
      <c r="Q97" s="45">
        <v>479</v>
      </c>
      <c r="R97" s="45">
        <v>508</v>
      </c>
      <c r="S97" s="45">
        <v>635</v>
      </c>
      <c r="T97" s="45">
        <v>762</v>
      </c>
    </row>
    <row r="98" spans="1:20" ht="15" customHeight="1" x14ac:dyDescent="0.25">
      <c r="A98" s="26" t="s">
        <v>460</v>
      </c>
      <c r="B98" s="27" t="s">
        <v>256</v>
      </c>
      <c r="C98" s="27" t="s">
        <v>2</v>
      </c>
      <c r="D98" s="27" t="s">
        <v>463</v>
      </c>
      <c r="E98" s="28">
        <v>230</v>
      </c>
      <c r="F98" s="28">
        <v>276</v>
      </c>
      <c r="G98" s="29"/>
      <c r="H98" s="29"/>
      <c r="I98" s="28">
        <v>269</v>
      </c>
      <c r="J98" s="28">
        <v>284</v>
      </c>
      <c r="K98" s="28">
        <v>355</v>
      </c>
      <c r="L98" s="28">
        <v>426</v>
      </c>
      <c r="M98" s="28">
        <v>341</v>
      </c>
      <c r="N98" s="28">
        <v>409</v>
      </c>
      <c r="O98" s="29"/>
      <c r="P98" s="29"/>
      <c r="Q98" s="28">
        <v>398</v>
      </c>
      <c r="R98" s="28">
        <v>420</v>
      </c>
      <c r="S98" s="28">
        <v>525</v>
      </c>
      <c r="T98" s="28">
        <v>630</v>
      </c>
    </row>
    <row r="99" spans="1:20" ht="15" customHeight="1" x14ac:dyDescent="0.25">
      <c r="A99" s="43" t="s">
        <v>460</v>
      </c>
      <c r="B99" s="44" t="s">
        <v>256</v>
      </c>
      <c r="C99" s="44" t="s">
        <v>2</v>
      </c>
      <c r="D99" s="44" t="s">
        <v>428</v>
      </c>
      <c r="E99" s="45">
        <v>265</v>
      </c>
      <c r="F99" s="45">
        <v>358</v>
      </c>
      <c r="G99" s="46"/>
      <c r="H99" s="46"/>
      <c r="I99" s="45">
        <v>343</v>
      </c>
      <c r="J99" s="45">
        <v>365</v>
      </c>
      <c r="K99" s="45">
        <v>457</v>
      </c>
      <c r="L99" s="45">
        <v>548</v>
      </c>
      <c r="M99" s="45">
        <v>392</v>
      </c>
      <c r="N99" s="45">
        <v>530</v>
      </c>
      <c r="O99" s="46"/>
      <c r="P99" s="46"/>
      <c r="Q99" s="45">
        <v>507</v>
      </c>
      <c r="R99" s="45">
        <v>541</v>
      </c>
      <c r="S99" s="45">
        <v>676</v>
      </c>
      <c r="T99" s="45">
        <v>812</v>
      </c>
    </row>
    <row r="100" spans="1:20" ht="15" customHeight="1" x14ac:dyDescent="0.25">
      <c r="A100" s="26" t="s">
        <v>460</v>
      </c>
      <c r="B100" s="27" t="s">
        <v>256</v>
      </c>
      <c r="C100" s="27" t="s">
        <v>2</v>
      </c>
      <c r="D100" s="27" t="s">
        <v>464</v>
      </c>
      <c r="E100" s="28">
        <v>259</v>
      </c>
      <c r="F100" s="28">
        <v>338</v>
      </c>
      <c r="G100" s="29"/>
      <c r="H100" s="29"/>
      <c r="I100" s="28">
        <v>303</v>
      </c>
      <c r="J100" s="28">
        <v>318</v>
      </c>
      <c r="K100" s="28">
        <v>394</v>
      </c>
      <c r="L100" s="28">
        <v>477</v>
      </c>
      <c r="M100" s="28">
        <v>382</v>
      </c>
      <c r="N100" s="28">
        <v>499</v>
      </c>
      <c r="O100" s="29"/>
      <c r="P100" s="29"/>
      <c r="Q100" s="28">
        <v>448</v>
      </c>
      <c r="R100" s="28">
        <v>471</v>
      </c>
      <c r="S100" s="28">
        <v>583</v>
      </c>
      <c r="T100" s="28">
        <v>707</v>
      </c>
    </row>
    <row r="101" spans="1:20" ht="15" customHeight="1" x14ac:dyDescent="0.25">
      <c r="A101" s="43" t="s">
        <v>460</v>
      </c>
      <c r="B101" s="44" t="s">
        <v>256</v>
      </c>
      <c r="C101" s="44" t="s">
        <v>2</v>
      </c>
      <c r="D101" s="44" t="s">
        <v>430</v>
      </c>
      <c r="E101" s="45">
        <v>319</v>
      </c>
      <c r="F101" s="45">
        <v>439</v>
      </c>
      <c r="G101" s="46"/>
      <c r="H101" s="46"/>
      <c r="I101" s="45">
        <v>404</v>
      </c>
      <c r="J101" s="45">
        <v>420</v>
      </c>
      <c r="K101" s="45">
        <v>489</v>
      </c>
      <c r="L101" s="45">
        <v>630</v>
      </c>
      <c r="M101" s="45">
        <v>472</v>
      </c>
      <c r="N101" s="45">
        <v>649</v>
      </c>
      <c r="O101" s="46"/>
      <c r="P101" s="46"/>
      <c r="Q101" s="45">
        <v>598</v>
      </c>
      <c r="R101" s="45">
        <v>621</v>
      </c>
      <c r="S101" s="45">
        <v>723</v>
      </c>
      <c r="T101" s="45">
        <v>932</v>
      </c>
    </row>
    <row r="102" spans="1:20" ht="15" customHeight="1" x14ac:dyDescent="0.25">
      <c r="A102" s="26" t="s">
        <v>460</v>
      </c>
      <c r="B102" s="27" t="s">
        <v>256</v>
      </c>
      <c r="C102" s="27" t="s">
        <v>2</v>
      </c>
      <c r="D102" s="27" t="s">
        <v>461</v>
      </c>
      <c r="E102" s="28">
        <v>235</v>
      </c>
      <c r="F102" s="28">
        <v>271</v>
      </c>
      <c r="G102" s="29"/>
      <c r="H102" s="29"/>
      <c r="I102" s="28">
        <v>268</v>
      </c>
      <c r="J102" s="28">
        <v>276</v>
      </c>
      <c r="K102" s="28">
        <v>345</v>
      </c>
      <c r="L102" s="28">
        <v>414</v>
      </c>
      <c r="M102" s="28">
        <v>347</v>
      </c>
      <c r="N102" s="28">
        <v>402</v>
      </c>
      <c r="O102" s="29"/>
      <c r="P102" s="29"/>
      <c r="Q102" s="28">
        <v>397</v>
      </c>
      <c r="R102" s="28">
        <v>409</v>
      </c>
      <c r="S102" s="28">
        <v>511</v>
      </c>
      <c r="T102" s="28">
        <v>614</v>
      </c>
    </row>
    <row r="103" spans="1:20" ht="15" customHeight="1" x14ac:dyDescent="0.25">
      <c r="A103" s="43" t="s">
        <v>460</v>
      </c>
      <c r="B103" s="44" t="s">
        <v>256</v>
      </c>
      <c r="C103" s="44" t="s">
        <v>2</v>
      </c>
      <c r="D103" s="44" t="s">
        <v>424</v>
      </c>
      <c r="E103" s="45">
        <v>269</v>
      </c>
      <c r="F103" s="45">
        <v>341</v>
      </c>
      <c r="G103" s="46"/>
      <c r="H103" s="46"/>
      <c r="I103" s="45">
        <v>335</v>
      </c>
      <c r="J103" s="45">
        <v>350</v>
      </c>
      <c r="K103" s="45">
        <v>437</v>
      </c>
      <c r="L103" s="45">
        <v>525</v>
      </c>
      <c r="M103" s="45">
        <v>398</v>
      </c>
      <c r="N103" s="45">
        <v>505</v>
      </c>
      <c r="O103" s="46"/>
      <c r="P103" s="46"/>
      <c r="Q103" s="45">
        <v>495</v>
      </c>
      <c r="R103" s="45">
        <v>518</v>
      </c>
      <c r="S103" s="45">
        <v>647</v>
      </c>
      <c r="T103" s="45">
        <v>777</v>
      </c>
    </row>
    <row r="104" spans="1:20" ht="15" customHeight="1" x14ac:dyDescent="0.25">
      <c r="A104" s="26" t="s">
        <v>460</v>
      </c>
      <c r="B104" s="27" t="s">
        <v>256</v>
      </c>
      <c r="C104" s="27" t="s">
        <v>2</v>
      </c>
      <c r="D104" s="27" t="s">
        <v>462</v>
      </c>
      <c r="E104" s="28">
        <v>241</v>
      </c>
      <c r="F104" s="28">
        <v>282</v>
      </c>
      <c r="G104" s="29"/>
      <c r="H104" s="29"/>
      <c r="I104" s="28">
        <v>278</v>
      </c>
      <c r="J104" s="28">
        <v>289</v>
      </c>
      <c r="K104" s="28">
        <v>361</v>
      </c>
      <c r="L104" s="28">
        <v>434</v>
      </c>
      <c r="M104" s="28">
        <v>356</v>
      </c>
      <c r="N104" s="28">
        <v>418</v>
      </c>
      <c r="O104" s="29"/>
      <c r="P104" s="29"/>
      <c r="Q104" s="28">
        <v>411</v>
      </c>
      <c r="R104" s="28">
        <v>428</v>
      </c>
      <c r="S104" s="28">
        <v>535</v>
      </c>
      <c r="T104" s="28">
        <v>642</v>
      </c>
    </row>
    <row r="105" spans="1:20" ht="15" customHeight="1" x14ac:dyDescent="0.25">
      <c r="A105" s="43" t="s">
        <v>460</v>
      </c>
      <c r="B105" s="44" t="s">
        <v>256</v>
      </c>
      <c r="C105" s="44" t="s">
        <v>2</v>
      </c>
      <c r="D105" s="44" t="s">
        <v>426</v>
      </c>
      <c r="E105" s="45">
        <v>278</v>
      </c>
      <c r="F105" s="45">
        <v>359</v>
      </c>
      <c r="G105" s="46"/>
      <c r="H105" s="46"/>
      <c r="I105" s="45">
        <v>348</v>
      </c>
      <c r="J105" s="45">
        <v>367</v>
      </c>
      <c r="K105" s="45">
        <v>459</v>
      </c>
      <c r="L105" s="45">
        <v>551</v>
      </c>
      <c r="M105" s="45">
        <v>412</v>
      </c>
      <c r="N105" s="45">
        <v>531</v>
      </c>
      <c r="O105" s="46"/>
      <c r="P105" s="46"/>
      <c r="Q105" s="45">
        <v>514</v>
      </c>
      <c r="R105" s="45">
        <v>543</v>
      </c>
      <c r="S105" s="45">
        <v>679</v>
      </c>
      <c r="T105" s="45">
        <v>815</v>
      </c>
    </row>
    <row r="106" spans="1:20" ht="15" customHeight="1" x14ac:dyDescent="0.25">
      <c r="A106" s="26" t="s">
        <v>460</v>
      </c>
      <c r="B106" s="27" t="s">
        <v>256</v>
      </c>
      <c r="C106" s="27" t="s">
        <v>2</v>
      </c>
      <c r="D106" s="27" t="s">
        <v>463</v>
      </c>
      <c r="E106" s="28">
        <v>246</v>
      </c>
      <c r="F106" s="28">
        <v>293</v>
      </c>
      <c r="G106" s="29"/>
      <c r="H106" s="29"/>
      <c r="I106" s="28">
        <v>288</v>
      </c>
      <c r="J106" s="28">
        <v>302</v>
      </c>
      <c r="K106" s="28">
        <v>377</v>
      </c>
      <c r="L106" s="28">
        <v>453</v>
      </c>
      <c r="M106" s="28">
        <v>364</v>
      </c>
      <c r="N106" s="28">
        <v>434</v>
      </c>
      <c r="O106" s="29"/>
      <c r="P106" s="29"/>
      <c r="Q106" s="28">
        <v>426</v>
      </c>
      <c r="R106" s="28">
        <v>446</v>
      </c>
      <c r="S106" s="28">
        <v>558</v>
      </c>
      <c r="T106" s="28">
        <v>669</v>
      </c>
    </row>
    <row r="107" spans="1:20" ht="15" customHeight="1" x14ac:dyDescent="0.25">
      <c r="A107" s="43" t="s">
        <v>460</v>
      </c>
      <c r="B107" s="44" t="s">
        <v>256</v>
      </c>
      <c r="C107" s="44" t="s">
        <v>2</v>
      </c>
      <c r="D107" s="44" t="s">
        <v>428</v>
      </c>
      <c r="E107" s="45">
        <v>288</v>
      </c>
      <c r="F107" s="45">
        <v>376</v>
      </c>
      <c r="G107" s="46"/>
      <c r="H107" s="46"/>
      <c r="I107" s="45">
        <v>361</v>
      </c>
      <c r="J107" s="45">
        <v>384</v>
      </c>
      <c r="K107" s="45">
        <v>480</v>
      </c>
      <c r="L107" s="45">
        <v>576</v>
      </c>
      <c r="M107" s="45">
        <v>426</v>
      </c>
      <c r="N107" s="45">
        <v>557</v>
      </c>
      <c r="O107" s="46"/>
      <c r="P107" s="46"/>
      <c r="Q107" s="45">
        <v>534</v>
      </c>
      <c r="R107" s="45">
        <v>568</v>
      </c>
      <c r="S107" s="45">
        <v>710</v>
      </c>
      <c r="T107" s="45">
        <v>852</v>
      </c>
    </row>
    <row r="108" spans="1:20" ht="15" customHeight="1" x14ac:dyDescent="0.25">
      <c r="A108" s="26" t="s">
        <v>460</v>
      </c>
      <c r="B108" s="27" t="s">
        <v>256</v>
      </c>
      <c r="C108" s="27" t="s">
        <v>2</v>
      </c>
      <c r="D108" s="27" t="s">
        <v>464</v>
      </c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</row>
    <row r="109" spans="1:20" ht="15" customHeight="1" x14ac:dyDescent="0.25">
      <c r="A109" s="43" t="s">
        <v>460</v>
      </c>
      <c r="B109" s="44" t="s">
        <v>256</v>
      </c>
      <c r="C109" s="44" t="s">
        <v>2</v>
      </c>
      <c r="D109" s="44" t="s">
        <v>430</v>
      </c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</row>
    <row r="110" spans="1:20" ht="15" customHeight="1" x14ac:dyDescent="0.25">
      <c r="A110" s="26" t="s">
        <v>460</v>
      </c>
      <c r="B110" s="27" t="s">
        <v>465</v>
      </c>
      <c r="C110" s="27" t="s">
        <v>332</v>
      </c>
      <c r="D110" s="27" t="s">
        <v>424</v>
      </c>
      <c r="E110" s="28">
        <v>262</v>
      </c>
      <c r="F110" s="28">
        <v>312</v>
      </c>
      <c r="G110" s="29"/>
      <c r="H110" s="29"/>
      <c r="I110" s="28">
        <v>305</v>
      </c>
      <c r="J110" s="28">
        <v>321</v>
      </c>
      <c r="K110" s="28">
        <v>401</v>
      </c>
      <c r="L110" s="28">
        <v>482</v>
      </c>
      <c r="M110" s="28">
        <v>387</v>
      </c>
      <c r="N110" s="28">
        <v>462</v>
      </c>
      <c r="O110" s="29"/>
      <c r="P110" s="29"/>
      <c r="Q110" s="28">
        <v>451</v>
      </c>
      <c r="R110" s="28">
        <v>474</v>
      </c>
      <c r="S110" s="28">
        <v>593</v>
      </c>
      <c r="T110" s="28">
        <v>711</v>
      </c>
    </row>
    <row r="111" spans="1:20" ht="15" customHeight="1" x14ac:dyDescent="0.25">
      <c r="A111" s="43" t="s">
        <v>460</v>
      </c>
      <c r="B111" s="44" t="s">
        <v>465</v>
      </c>
      <c r="C111" s="44" t="s">
        <v>332</v>
      </c>
      <c r="D111" s="44" t="s">
        <v>426</v>
      </c>
      <c r="E111" s="45">
        <v>263</v>
      </c>
      <c r="F111" s="45">
        <v>335</v>
      </c>
      <c r="G111" s="46"/>
      <c r="H111" s="46"/>
      <c r="I111" s="45">
        <v>324</v>
      </c>
      <c r="J111" s="45">
        <v>343</v>
      </c>
      <c r="K111" s="45">
        <v>429</v>
      </c>
      <c r="L111" s="45">
        <v>515</v>
      </c>
      <c r="M111" s="45">
        <v>390</v>
      </c>
      <c r="N111" s="45">
        <v>496</v>
      </c>
      <c r="O111" s="46"/>
      <c r="P111" s="46"/>
      <c r="Q111" s="45">
        <v>479</v>
      </c>
      <c r="R111" s="45">
        <v>508</v>
      </c>
      <c r="S111" s="45">
        <v>635</v>
      </c>
      <c r="T111" s="45">
        <v>762</v>
      </c>
    </row>
    <row r="112" spans="1:20" ht="15" customHeight="1" x14ac:dyDescent="0.25">
      <c r="A112" s="26" t="s">
        <v>460</v>
      </c>
      <c r="B112" s="27" t="s">
        <v>465</v>
      </c>
      <c r="C112" s="27" t="s">
        <v>332</v>
      </c>
      <c r="D112" s="27" t="s">
        <v>428</v>
      </c>
      <c r="E112" s="28">
        <v>265</v>
      </c>
      <c r="F112" s="28">
        <v>358</v>
      </c>
      <c r="G112" s="29"/>
      <c r="H112" s="29"/>
      <c r="I112" s="28">
        <v>343</v>
      </c>
      <c r="J112" s="28">
        <v>365</v>
      </c>
      <c r="K112" s="28">
        <v>457</v>
      </c>
      <c r="L112" s="28">
        <v>548</v>
      </c>
      <c r="M112" s="28">
        <v>392</v>
      </c>
      <c r="N112" s="28">
        <v>530</v>
      </c>
      <c r="O112" s="29"/>
      <c r="P112" s="29"/>
      <c r="Q112" s="28">
        <v>507</v>
      </c>
      <c r="R112" s="28">
        <v>541</v>
      </c>
      <c r="S112" s="28">
        <v>676</v>
      </c>
      <c r="T112" s="28">
        <v>812</v>
      </c>
    </row>
    <row r="113" spans="1:20" ht="15" customHeight="1" x14ac:dyDescent="0.25">
      <c r="A113" s="43" t="s">
        <v>460</v>
      </c>
      <c r="B113" s="44" t="s">
        <v>465</v>
      </c>
      <c r="C113" s="44" t="s">
        <v>332</v>
      </c>
      <c r="D113" s="44" t="s">
        <v>430</v>
      </c>
      <c r="E113" s="45">
        <v>319</v>
      </c>
      <c r="F113" s="45">
        <v>439</v>
      </c>
      <c r="G113" s="46"/>
      <c r="H113" s="46"/>
      <c r="I113" s="45">
        <v>404</v>
      </c>
      <c r="J113" s="45">
        <v>420</v>
      </c>
      <c r="K113" s="45">
        <v>489</v>
      </c>
      <c r="L113" s="45">
        <v>630</v>
      </c>
      <c r="M113" s="45">
        <v>472</v>
      </c>
      <c r="N113" s="45">
        <v>649</v>
      </c>
      <c r="O113" s="46"/>
      <c r="P113" s="46"/>
      <c r="Q113" s="45">
        <v>598</v>
      </c>
      <c r="R113" s="45">
        <v>621</v>
      </c>
      <c r="S113" s="45">
        <v>723</v>
      </c>
      <c r="T113" s="45">
        <v>932</v>
      </c>
    </row>
    <row r="114" spans="1:20" ht="15" customHeight="1" x14ac:dyDescent="0.25">
      <c r="A114" s="26" t="s">
        <v>460</v>
      </c>
      <c r="B114" s="27" t="s">
        <v>465</v>
      </c>
      <c r="C114" s="27" t="s">
        <v>332</v>
      </c>
      <c r="D114" s="27" t="s">
        <v>424</v>
      </c>
      <c r="E114" s="28">
        <v>269</v>
      </c>
      <c r="F114" s="28">
        <v>341</v>
      </c>
      <c r="G114" s="29"/>
      <c r="H114" s="29"/>
      <c r="I114" s="28">
        <v>335</v>
      </c>
      <c r="J114" s="28">
        <v>350</v>
      </c>
      <c r="K114" s="28">
        <v>437</v>
      </c>
      <c r="L114" s="28">
        <v>525</v>
      </c>
      <c r="M114" s="28">
        <v>398</v>
      </c>
      <c r="N114" s="28">
        <v>505</v>
      </c>
      <c r="O114" s="29"/>
      <c r="P114" s="29"/>
      <c r="Q114" s="28">
        <v>495</v>
      </c>
      <c r="R114" s="28">
        <v>518</v>
      </c>
      <c r="S114" s="28">
        <v>647</v>
      </c>
      <c r="T114" s="28">
        <v>777</v>
      </c>
    </row>
    <row r="115" spans="1:20" ht="15" customHeight="1" x14ac:dyDescent="0.25">
      <c r="A115" s="43" t="s">
        <v>460</v>
      </c>
      <c r="B115" s="44" t="s">
        <v>465</v>
      </c>
      <c r="C115" s="44" t="s">
        <v>332</v>
      </c>
      <c r="D115" s="44" t="s">
        <v>426</v>
      </c>
      <c r="E115" s="45">
        <v>278</v>
      </c>
      <c r="F115" s="45">
        <v>359</v>
      </c>
      <c r="G115" s="46"/>
      <c r="H115" s="46"/>
      <c r="I115" s="45">
        <v>348</v>
      </c>
      <c r="J115" s="45">
        <v>367</v>
      </c>
      <c r="K115" s="45">
        <v>459</v>
      </c>
      <c r="L115" s="45">
        <v>551</v>
      </c>
      <c r="M115" s="45">
        <v>412</v>
      </c>
      <c r="N115" s="45">
        <v>531</v>
      </c>
      <c r="O115" s="46"/>
      <c r="P115" s="46"/>
      <c r="Q115" s="45">
        <v>514</v>
      </c>
      <c r="R115" s="45">
        <v>543</v>
      </c>
      <c r="S115" s="45">
        <v>679</v>
      </c>
      <c r="T115" s="45">
        <v>815</v>
      </c>
    </row>
    <row r="116" spans="1:20" ht="15" customHeight="1" x14ac:dyDescent="0.25">
      <c r="A116" s="26" t="s">
        <v>460</v>
      </c>
      <c r="B116" s="27" t="s">
        <v>465</v>
      </c>
      <c r="C116" s="27" t="s">
        <v>332</v>
      </c>
      <c r="D116" s="27" t="s">
        <v>428</v>
      </c>
      <c r="E116" s="28">
        <v>288</v>
      </c>
      <c r="F116" s="28">
        <v>376</v>
      </c>
      <c r="G116" s="29"/>
      <c r="H116" s="29"/>
      <c r="I116" s="28">
        <v>361</v>
      </c>
      <c r="J116" s="28">
        <v>384</v>
      </c>
      <c r="K116" s="28">
        <v>480</v>
      </c>
      <c r="L116" s="28">
        <v>576</v>
      </c>
      <c r="M116" s="28">
        <v>426</v>
      </c>
      <c r="N116" s="28">
        <v>557</v>
      </c>
      <c r="O116" s="29"/>
      <c r="P116" s="29"/>
      <c r="Q116" s="28">
        <v>534</v>
      </c>
      <c r="R116" s="28">
        <v>568</v>
      </c>
      <c r="S116" s="28">
        <v>710</v>
      </c>
      <c r="T116" s="28">
        <v>852</v>
      </c>
    </row>
    <row r="117" spans="1:20" ht="15" customHeight="1" x14ac:dyDescent="0.25">
      <c r="A117" s="43" t="s">
        <v>460</v>
      </c>
      <c r="B117" s="44" t="s">
        <v>465</v>
      </c>
      <c r="C117" s="44" t="s">
        <v>332</v>
      </c>
      <c r="D117" s="44" t="s">
        <v>430</v>
      </c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</row>
    <row r="118" spans="1:20" ht="3.75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</row>
    <row r="119" spans="1:20" ht="18" customHeight="1" x14ac:dyDescent="0.25">
      <c r="A119" s="474" t="s">
        <v>466</v>
      </c>
      <c r="B119" s="474"/>
      <c r="C119" s="474"/>
      <c r="D119" s="474"/>
      <c r="E119" s="474"/>
      <c r="F119" s="474"/>
      <c r="G119" s="474"/>
      <c r="H119" s="474"/>
      <c r="I119" s="474"/>
      <c r="J119" s="474"/>
      <c r="K119" s="474"/>
      <c r="L119" s="474"/>
      <c r="M119" s="474"/>
      <c r="N119" s="474"/>
      <c r="O119" s="474"/>
      <c r="P119" s="474"/>
      <c r="Q119" s="474"/>
      <c r="R119" s="474"/>
      <c r="S119" s="474"/>
      <c r="T119" s="474"/>
    </row>
    <row r="120" spans="1:20" ht="15" customHeight="1" x14ac:dyDescent="0.25">
      <c r="A120" s="26" t="s">
        <v>466</v>
      </c>
      <c r="B120" s="27" t="s">
        <v>467</v>
      </c>
      <c r="C120" s="27" t="s">
        <v>6</v>
      </c>
      <c r="D120" s="27" t="s">
        <v>468</v>
      </c>
      <c r="E120" s="28">
        <v>872</v>
      </c>
      <c r="F120" s="29"/>
      <c r="G120" s="28">
        <v>1400</v>
      </c>
      <c r="H120" s="28">
        <v>1540</v>
      </c>
      <c r="I120" s="28">
        <v>1073</v>
      </c>
      <c r="J120" s="28">
        <v>1249</v>
      </c>
      <c r="K120" s="28">
        <v>1561</v>
      </c>
      <c r="L120" s="28">
        <v>1874</v>
      </c>
      <c r="M120" s="28">
        <v>1890</v>
      </c>
      <c r="N120" s="29"/>
      <c r="O120" s="28">
        <v>2672</v>
      </c>
      <c r="P120" s="28">
        <v>2879</v>
      </c>
      <c r="Q120" s="28">
        <v>2188</v>
      </c>
      <c r="R120" s="28">
        <v>2448</v>
      </c>
      <c r="S120" s="28">
        <v>2910</v>
      </c>
      <c r="T120" s="28">
        <v>3372</v>
      </c>
    </row>
    <row r="121" spans="1:20" ht="15" customHeight="1" x14ac:dyDescent="0.25">
      <c r="A121" s="47" t="s">
        <v>466</v>
      </c>
      <c r="B121" s="48" t="s">
        <v>469</v>
      </c>
      <c r="C121" s="48" t="s">
        <v>6</v>
      </c>
      <c r="D121" s="48" t="s">
        <v>470</v>
      </c>
      <c r="E121" s="49">
        <v>651</v>
      </c>
      <c r="F121" s="50"/>
      <c r="G121" s="49">
        <v>1074</v>
      </c>
      <c r="H121" s="49">
        <v>1181</v>
      </c>
      <c r="I121" s="49">
        <v>814</v>
      </c>
      <c r="J121" s="49">
        <v>853</v>
      </c>
      <c r="K121" s="49">
        <v>1066</v>
      </c>
      <c r="L121" s="49">
        <v>1280</v>
      </c>
      <c r="M121" s="49">
        <v>963</v>
      </c>
      <c r="N121" s="50"/>
      <c r="O121" s="49">
        <v>1589</v>
      </c>
      <c r="P121" s="49">
        <v>1748</v>
      </c>
      <c r="Q121" s="49">
        <v>1205</v>
      </c>
      <c r="R121" s="49">
        <v>1262</v>
      </c>
      <c r="S121" s="49">
        <v>1578</v>
      </c>
      <c r="T121" s="49">
        <v>1893</v>
      </c>
    </row>
    <row r="122" spans="1:20" ht="15" customHeight="1" x14ac:dyDescent="0.25">
      <c r="A122" s="26" t="s">
        <v>466</v>
      </c>
      <c r="B122" s="27" t="s">
        <v>471</v>
      </c>
      <c r="C122" s="27" t="s">
        <v>6</v>
      </c>
      <c r="D122" s="27" t="s">
        <v>472</v>
      </c>
      <c r="E122" s="28">
        <v>740</v>
      </c>
      <c r="F122" s="29"/>
      <c r="G122" s="28">
        <v>1242</v>
      </c>
      <c r="H122" s="28">
        <v>1366</v>
      </c>
      <c r="I122" s="28">
        <v>913</v>
      </c>
      <c r="J122" s="28">
        <v>1022</v>
      </c>
      <c r="K122" s="28">
        <v>1277</v>
      </c>
      <c r="L122" s="28">
        <v>1533</v>
      </c>
      <c r="M122" s="28">
        <v>1095</v>
      </c>
      <c r="N122" s="29"/>
      <c r="O122" s="28">
        <v>1838</v>
      </c>
      <c r="P122" s="28">
        <v>2022</v>
      </c>
      <c r="Q122" s="28">
        <v>1351</v>
      </c>
      <c r="R122" s="28">
        <v>1512</v>
      </c>
      <c r="S122" s="28">
        <v>1890</v>
      </c>
      <c r="T122" s="28">
        <v>2268</v>
      </c>
    </row>
    <row r="123" spans="1:20" ht="15" customHeight="1" x14ac:dyDescent="0.25">
      <c r="A123" s="47" t="s">
        <v>466</v>
      </c>
      <c r="B123" s="48" t="s">
        <v>473</v>
      </c>
      <c r="C123" s="48" t="s">
        <v>6</v>
      </c>
      <c r="D123" s="48" t="s">
        <v>474</v>
      </c>
      <c r="E123" s="49">
        <v>713</v>
      </c>
      <c r="F123" s="50"/>
      <c r="G123" s="49">
        <v>1183</v>
      </c>
      <c r="H123" s="49">
        <v>1301</v>
      </c>
      <c r="I123" s="49">
        <v>896</v>
      </c>
      <c r="J123" s="49">
        <v>1000</v>
      </c>
      <c r="K123" s="49">
        <v>1250</v>
      </c>
      <c r="L123" s="49">
        <v>1500</v>
      </c>
      <c r="M123" s="49">
        <v>1055</v>
      </c>
      <c r="N123" s="50"/>
      <c r="O123" s="49">
        <v>1751</v>
      </c>
      <c r="P123" s="49">
        <v>1926</v>
      </c>
      <c r="Q123" s="49">
        <v>1326</v>
      </c>
      <c r="R123" s="49">
        <v>1480</v>
      </c>
      <c r="S123" s="49">
        <v>1850</v>
      </c>
      <c r="T123" s="49">
        <v>2220</v>
      </c>
    </row>
    <row r="124" spans="1:20" ht="15" customHeight="1" x14ac:dyDescent="0.25">
      <c r="A124" s="26" t="s">
        <v>466</v>
      </c>
      <c r="B124" s="27" t="s">
        <v>475</v>
      </c>
      <c r="C124" s="27" t="s">
        <v>6</v>
      </c>
      <c r="D124" s="27" t="s">
        <v>476</v>
      </c>
      <c r="E124" s="28">
        <v>663</v>
      </c>
      <c r="F124" s="29"/>
      <c r="G124" s="28">
        <v>1125</v>
      </c>
      <c r="H124" s="28">
        <v>1238</v>
      </c>
      <c r="I124" s="28">
        <v>859</v>
      </c>
      <c r="J124" s="28">
        <v>953</v>
      </c>
      <c r="K124" s="28">
        <v>1192</v>
      </c>
      <c r="L124" s="28">
        <v>1430</v>
      </c>
      <c r="M124" s="28">
        <v>998</v>
      </c>
      <c r="N124" s="29"/>
      <c r="O124" s="28">
        <v>1665</v>
      </c>
      <c r="P124" s="28">
        <v>1832</v>
      </c>
      <c r="Q124" s="28">
        <v>1271</v>
      </c>
      <c r="R124" s="28">
        <v>1411</v>
      </c>
      <c r="S124" s="28">
        <v>1764</v>
      </c>
      <c r="T124" s="28">
        <v>2117</v>
      </c>
    </row>
    <row r="125" spans="1:20" ht="15" customHeight="1" x14ac:dyDescent="0.25">
      <c r="A125" s="47" t="s">
        <v>466</v>
      </c>
      <c r="B125" s="48" t="s">
        <v>477</v>
      </c>
      <c r="C125" s="48" t="s">
        <v>6</v>
      </c>
      <c r="D125" s="48" t="s">
        <v>478</v>
      </c>
      <c r="E125" s="49">
        <v>674</v>
      </c>
      <c r="F125" s="50"/>
      <c r="G125" s="49">
        <v>1076</v>
      </c>
      <c r="H125" s="49">
        <v>1184</v>
      </c>
      <c r="I125" s="49">
        <v>797</v>
      </c>
      <c r="J125" s="49">
        <v>907</v>
      </c>
      <c r="K125" s="49">
        <v>1134</v>
      </c>
      <c r="L125" s="49">
        <v>1361</v>
      </c>
      <c r="M125" s="49">
        <v>981</v>
      </c>
      <c r="N125" s="50"/>
      <c r="O125" s="49">
        <v>1593</v>
      </c>
      <c r="P125" s="49">
        <v>1752</v>
      </c>
      <c r="Q125" s="49">
        <v>1179</v>
      </c>
      <c r="R125" s="49">
        <v>1343</v>
      </c>
      <c r="S125" s="49">
        <v>1679</v>
      </c>
      <c r="T125" s="49">
        <v>2015</v>
      </c>
    </row>
    <row r="126" spans="1:20" ht="15" customHeight="1" x14ac:dyDescent="0.25">
      <c r="A126" s="26" t="s">
        <v>466</v>
      </c>
      <c r="B126" s="27" t="s">
        <v>479</v>
      </c>
      <c r="C126" s="27" t="s">
        <v>6</v>
      </c>
      <c r="D126" s="27" t="s">
        <v>480</v>
      </c>
      <c r="E126" s="28">
        <v>649</v>
      </c>
      <c r="F126" s="29"/>
      <c r="G126" s="28">
        <v>1011</v>
      </c>
      <c r="H126" s="28">
        <v>1113</v>
      </c>
      <c r="I126" s="28">
        <v>753</v>
      </c>
      <c r="J126" s="28">
        <v>836</v>
      </c>
      <c r="K126" s="28">
        <v>1045</v>
      </c>
      <c r="L126" s="28">
        <v>1254</v>
      </c>
      <c r="M126" s="28">
        <v>960</v>
      </c>
      <c r="N126" s="29"/>
      <c r="O126" s="28">
        <v>1497</v>
      </c>
      <c r="P126" s="28">
        <v>1647</v>
      </c>
      <c r="Q126" s="28">
        <v>1114</v>
      </c>
      <c r="R126" s="28">
        <v>1237</v>
      </c>
      <c r="S126" s="28">
        <v>1546</v>
      </c>
      <c r="T126" s="28">
        <v>1856</v>
      </c>
    </row>
    <row r="127" spans="1:20" ht="15" customHeight="1" x14ac:dyDescent="0.25">
      <c r="A127" s="47" t="s">
        <v>466</v>
      </c>
      <c r="B127" s="48" t="s">
        <v>481</v>
      </c>
      <c r="C127" s="48" t="s">
        <v>6</v>
      </c>
      <c r="D127" s="48" t="s">
        <v>482</v>
      </c>
      <c r="E127" s="49">
        <v>570</v>
      </c>
      <c r="F127" s="50"/>
      <c r="G127" s="49">
        <v>953</v>
      </c>
      <c r="H127" s="49">
        <v>1049</v>
      </c>
      <c r="I127" s="49">
        <v>699</v>
      </c>
      <c r="J127" s="49">
        <v>764</v>
      </c>
      <c r="K127" s="49">
        <v>954</v>
      </c>
      <c r="L127" s="49">
        <v>1146</v>
      </c>
      <c r="M127" s="49">
        <v>844</v>
      </c>
      <c r="N127" s="50"/>
      <c r="O127" s="49">
        <v>1411</v>
      </c>
      <c r="P127" s="49">
        <v>1552</v>
      </c>
      <c r="Q127" s="49">
        <v>1034</v>
      </c>
      <c r="R127" s="49">
        <v>1130</v>
      </c>
      <c r="S127" s="49">
        <v>1413</v>
      </c>
      <c r="T127" s="49">
        <v>1695</v>
      </c>
    </row>
    <row r="128" spans="1:20" ht="15" customHeight="1" x14ac:dyDescent="0.25">
      <c r="A128" s="26" t="s">
        <v>466</v>
      </c>
      <c r="B128" s="27" t="s">
        <v>483</v>
      </c>
      <c r="C128" s="27" t="s">
        <v>6</v>
      </c>
      <c r="D128" s="27" t="s">
        <v>484</v>
      </c>
      <c r="E128" s="28">
        <v>669</v>
      </c>
      <c r="F128" s="29"/>
      <c r="G128" s="28">
        <v>1001</v>
      </c>
      <c r="H128" s="28">
        <v>1101</v>
      </c>
      <c r="I128" s="28">
        <v>723</v>
      </c>
      <c r="J128" s="28">
        <v>798</v>
      </c>
      <c r="K128" s="28">
        <v>997</v>
      </c>
      <c r="L128" s="28">
        <v>1197</v>
      </c>
      <c r="M128" s="28">
        <v>990</v>
      </c>
      <c r="N128" s="29"/>
      <c r="O128" s="28">
        <v>1481</v>
      </c>
      <c r="P128" s="28">
        <v>1629</v>
      </c>
      <c r="Q128" s="28">
        <v>1070</v>
      </c>
      <c r="R128" s="28">
        <v>1181</v>
      </c>
      <c r="S128" s="28">
        <v>1476</v>
      </c>
      <c r="T128" s="28">
        <v>1772</v>
      </c>
    </row>
    <row r="129" spans="1:20" ht="15" customHeight="1" x14ac:dyDescent="0.25">
      <c r="A129" s="47" t="s">
        <v>466</v>
      </c>
      <c r="B129" s="48" t="s">
        <v>485</v>
      </c>
      <c r="C129" s="48" t="s">
        <v>6</v>
      </c>
      <c r="D129" s="48" t="s">
        <v>431</v>
      </c>
      <c r="E129" s="49">
        <v>636</v>
      </c>
      <c r="F129" s="50"/>
      <c r="G129" s="49">
        <v>947</v>
      </c>
      <c r="H129" s="49">
        <v>1041</v>
      </c>
      <c r="I129" s="49">
        <v>689</v>
      </c>
      <c r="J129" s="49">
        <v>751</v>
      </c>
      <c r="K129" s="49">
        <v>939</v>
      </c>
      <c r="L129" s="49">
        <v>1127</v>
      </c>
      <c r="M129" s="49">
        <v>942</v>
      </c>
      <c r="N129" s="50"/>
      <c r="O129" s="49">
        <v>1401</v>
      </c>
      <c r="P129" s="49">
        <v>1541</v>
      </c>
      <c r="Q129" s="49">
        <v>1020</v>
      </c>
      <c r="R129" s="49">
        <v>1112</v>
      </c>
      <c r="S129" s="49">
        <v>1390</v>
      </c>
      <c r="T129" s="49">
        <v>1668</v>
      </c>
    </row>
    <row r="130" spans="1:20" ht="15" customHeight="1" x14ac:dyDescent="0.25">
      <c r="A130" s="26" t="s">
        <v>466</v>
      </c>
      <c r="B130" s="27" t="s">
        <v>486</v>
      </c>
      <c r="C130" s="27" t="s">
        <v>6</v>
      </c>
      <c r="D130" s="27" t="s">
        <v>427</v>
      </c>
      <c r="E130" s="28">
        <v>582</v>
      </c>
      <c r="F130" s="29"/>
      <c r="G130" s="28">
        <v>845</v>
      </c>
      <c r="H130" s="28">
        <v>930</v>
      </c>
      <c r="I130" s="28">
        <v>603</v>
      </c>
      <c r="J130" s="28">
        <v>631</v>
      </c>
      <c r="K130" s="28">
        <v>789</v>
      </c>
      <c r="L130" s="28">
        <v>947</v>
      </c>
      <c r="M130" s="28">
        <v>861</v>
      </c>
      <c r="N130" s="29"/>
      <c r="O130" s="28">
        <v>1251</v>
      </c>
      <c r="P130" s="28">
        <v>1376</v>
      </c>
      <c r="Q130" s="28">
        <v>892</v>
      </c>
      <c r="R130" s="28">
        <v>934</v>
      </c>
      <c r="S130" s="28">
        <v>1168</v>
      </c>
      <c r="T130" s="28">
        <v>1401</v>
      </c>
    </row>
    <row r="131" spans="1:20" ht="3.75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</row>
    <row r="132" spans="1:20" ht="18" customHeight="1" x14ac:dyDescent="0.25">
      <c r="A132" s="474" t="s">
        <v>702</v>
      </c>
      <c r="B132" s="474"/>
      <c r="C132" s="474"/>
      <c r="D132" s="474"/>
      <c r="E132" s="474"/>
      <c r="F132" s="474"/>
      <c r="G132" s="474"/>
      <c r="H132" s="474"/>
      <c r="I132" s="474"/>
      <c r="J132" s="474"/>
      <c r="K132" s="474"/>
      <c r="L132" s="474"/>
      <c r="M132" s="474"/>
      <c r="N132" s="474"/>
      <c r="O132" s="474"/>
      <c r="P132" s="474"/>
      <c r="Q132" s="474"/>
      <c r="R132" s="474"/>
      <c r="S132" s="474"/>
      <c r="T132" s="474"/>
    </row>
    <row r="133" spans="1:20" ht="15" customHeight="1" x14ac:dyDescent="0.25">
      <c r="A133" s="51" t="s">
        <v>312</v>
      </c>
      <c r="B133" s="52" t="s">
        <v>487</v>
      </c>
      <c r="C133" s="52" t="s">
        <v>523</v>
      </c>
      <c r="D133" s="52" t="s">
        <v>488</v>
      </c>
      <c r="E133" s="53">
        <v>71</v>
      </c>
      <c r="F133" s="54"/>
      <c r="G133" s="54"/>
      <c r="H133" s="54"/>
      <c r="I133" s="54"/>
      <c r="J133" s="54"/>
      <c r="K133" s="54"/>
      <c r="L133" s="54"/>
      <c r="M133" s="53">
        <v>105</v>
      </c>
      <c r="N133" s="54"/>
      <c r="O133" s="54"/>
      <c r="P133" s="54"/>
      <c r="Q133" s="54"/>
      <c r="R133" s="54"/>
      <c r="S133" s="54"/>
      <c r="T133" s="54"/>
    </row>
    <row r="134" spans="1:20" ht="15" customHeight="1" x14ac:dyDescent="0.25">
      <c r="A134" s="51" t="s">
        <v>312</v>
      </c>
      <c r="B134" s="27" t="s">
        <v>487</v>
      </c>
      <c r="C134" s="27" t="s">
        <v>523</v>
      </c>
      <c r="D134" s="27" t="s">
        <v>489</v>
      </c>
      <c r="E134" s="28">
        <v>71</v>
      </c>
      <c r="F134" s="29"/>
      <c r="G134" s="29"/>
      <c r="H134" s="29"/>
      <c r="I134" s="29"/>
      <c r="J134" s="29"/>
      <c r="K134" s="29"/>
      <c r="L134" s="29"/>
      <c r="M134" s="28">
        <v>105</v>
      </c>
      <c r="N134" s="29"/>
      <c r="O134" s="29"/>
      <c r="P134" s="29"/>
      <c r="Q134" s="29"/>
      <c r="R134" s="29"/>
      <c r="S134" s="29"/>
      <c r="T134" s="29"/>
    </row>
    <row r="135" spans="1:20" ht="15" customHeight="1" x14ac:dyDescent="0.25">
      <c r="A135" s="51" t="s">
        <v>312</v>
      </c>
      <c r="B135" s="52" t="s">
        <v>490</v>
      </c>
      <c r="C135" s="52" t="s">
        <v>523</v>
      </c>
      <c r="D135" s="52" t="s">
        <v>491</v>
      </c>
      <c r="E135" s="53">
        <v>95</v>
      </c>
      <c r="F135" s="54"/>
      <c r="G135" s="54"/>
      <c r="H135" s="54"/>
      <c r="I135" s="54"/>
      <c r="J135" s="54"/>
      <c r="K135" s="54"/>
      <c r="L135" s="54"/>
      <c r="M135" s="53">
        <v>140</v>
      </c>
      <c r="N135" s="54"/>
      <c r="O135" s="54"/>
      <c r="P135" s="54"/>
      <c r="Q135" s="54"/>
      <c r="R135" s="54"/>
      <c r="S135" s="54"/>
      <c r="T135" s="54"/>
    </row>
    <row r="136" spans="1:20" ht="15" customHeight="1" x14ac:dyDescent="0.25">
      <c r="A136" s="51" t="s">
        <v>312</v>
      </c>
      <c r="B136" s="27" t="s">
        <v>490</v>
      </c>
      <c r="C136" s="27" t="s">
        <v>523</v>
      </c>
      <c r="D136" s="27" t="s">
        <v>492</v>
      </c>
      <c r="E136" s="28">
        <v>89</v>
      </c>
      <c r="F136" s="29"/>
      <c r="G136" s="29"/>
      <c r="H136" s="29"/>
      <c r="I136" s="29"/>
      <c r="J136" s="29"/>
      <c r="K136" s="29"/>
      <c r="L136" s="29"/>
      <c r="M136" s="28">
        <v>132</v>
      </c>
      <c r="N136" s="29"/>
      <c r="O136" s="29"/>
      <c r="P136" s="29"/>
      <c r="Q136" s="29"/>
      <c r="R136" s="29"/>
      <c r="S136" s="29"/>
      <c r="T136" s="29"/>
    </row>
    <row r="137" spans="1:20" ht="15" customHeight="1" x14ac:dyDescent="0.25">
      <c r="A137" s="51" t="s">
        <v>312</v>
      </c>
      <c r="B137" s="52" t="s">
        <v>490</v>
      </c>
      <c r="C137" s="52" t="s">
        <v>523</v>
      </c>
      <c r="D137" s="52" t="s">
        <v>493</v>
      </c>
      <c r="E137" s="53">
        <v>83</v>
      </c>
      <c r="F137" s="54"/>
      <c r="G137" s="54"/>
      <c r="H137" s="54"/>
      <c r="I137" s="54"/>
      <c r="J137" s="54"/>
      <c r="K137" s="54"/>
      <c r="L137" s="54"/>
      <c r="M137" s="53">
        <v>123</v>
      </c>
      <c r="N137" s="54"/>
      <c r="O137" s="54"/>
      <c r="P137" s="54"/>
      <c r="Q137" s="54"/>
      <c r="R137" s="54"/>
      <c r="S137" s="54"/>
      <c r="T137" s="54"/>
    </row>
    <row r="138" spans="1:20" ht="15" customHeight="1" x14ac:dyDescent="0.25">
      <c r="A138" s="51" t="s">
        <v>312</v>
      </c>
      <c r="B138" s="27" t="s">
        <v>490</v>
      </c>
      <c r="C138" s="27" t="s">
        <v>523</v>
      </c>
      <c r="D138" s="27" t="s">
        <v>494</v>
      </c>
      <c r="E138" s="28">
        <v>78</v>
      </c>
      <c r="F138" s="29"/>
      <c r="G138" s="29"/>
      <c r="H138" s="29"/>
      <c r="I138" s="29"/>
      <c r="J138" s="29"/>
      <c r="K138" s="29"/>
      <c r="L138" s="29"/>
      <c r="M138" s="28">
        <v>115</v>
      </c>
      <c r="N138" s="29"/>
      <c r="O138" s="29"/>
      <c r="P138" s="29"/>
      <c r="Q138" s="29"/>
      <c r="R138" s="29"/>
      <c r="S138" s="29"/>
      <c r="T138" s="29"/>
    </row>
    <row r="139" spans="1:20" ht="15" customHeight="1" x14ac:dyDescent="0.25">
      <c r="A139" s="51" t="s">
        <v>312</v>
      </c>
      <c r="B139" s="52" t="s">
        <v>490</v>
      </c>
      <c r="C139" s="52" t="s">
        <v>523</v>
      </c>
      <c r="D139" s="52" t="s">
        <v>495</v>
      </c>
      <c r="E139" s="53">
        <v>72</v>
      </c>
      <c r="F139" s="54"/>
      <c r="G139" s="54"/>
      <c r="H139" s="54"/>
      <c r="I139" s="54"/>
      <c r="J139" s="54"/>
      <c r="K139" s="54"/>
      <c r="L139" s="54"/>
      <c r="M139" s="53">
        <v>106</v>
      </c>
      <c r="N139" s="54"/>
      <c r="O139" s="54"/>
      <c r="P139" s="54"/>
      <c r="Q139" s="54"/>
      <c r="R139" s="54"/>
      <c r="S139" s="54"/>
      <c r="T139" s="54"/>
    </row>
    <row r="140" spans="1:20" ht="15" customHeight="1" x14ac:dyDescent="0.25">
      <c r="A140" s="51" t="s">
        <v>312</v>
      </c>
      <c r="B140" s="27" t="s">
        <v>490</v>
      </c>
      <c r="C140" s="27" t="s">
        <v>523</v>
      </c>
      <c r="D140" s="27" t="s">
        <v>496</v>
      </c>
      <c r="E140" s="28">
        <v>66</v>
      </c>
      <c r="F140" s="29"/>
      <c r="G140" s="29"/>
      <c r="H140" s="29"/>
      <c r="I140" s="29"/>
      <c r="J140" s="29"/>
      <c r="K140" s="29"/>
      <c r="L140" s="29"/>
      <c r="M140" s="28">
        <v>98</v>
      </c>
      <c r="N140" s="29"/>
      <c r="O140" s="29"/>
      <c r="P140" s="29"/>
      <c r="Q140" s="29"/>
      <c r="R140" s="29"/>
      <c r="S140" s="29"/>
      <c r="T140" s="29"/>
    </row>
    <row r="141" spans="1:20" ht="15" customHeight="1" x14ac:dyDescent="0.25">
      <c r="A141" s="51" t="s">
        <v>312</v>
      </c>
      <c r="B141" s="52" t="s">
        <v>490</v>
      </c>
      <c r="C141" s="52" t="s">
        <v>523</v>
      </c>
      <c r="D141" s="52" t="s">
        <v>497</v>
      </c>
      <c r="E141" s="53">
        <v>61</v>
      </c>
      <c r="F141" s="54"/>
      <c r="G141" s="54"/>
      <c r="H141" s="54"/>
      <c r="I141" s="54"/>
      <c r="J141" s="54"/>
      <c r="K141" s="54"/>
      <c r="L141" s="54"/>
      <c r="M141" s="53">
        <v>90</v>
      </c>
      <c r="N141" s="54"/>
      <c r="O141" s="54"/>
      <c r="P141" s="54"/>
      <c r="Q141" s="54"/>
      <c r="R141" s="54"/>
      <c r="S141" s="54"/>
      <c r="T141" s="54"/>
    </row>
    <row r="142" spans="1:20" ht="15" customHeight="1" x14ac:dyDescent="0.25">
      <c r="A142" s="51" t="s">
        <v>312</v>
      </c>
      <c r="B142" s="27" t="s">
        <v>490</v>
      </c>
      <c r="C142" s="27" t="s">
        <v>523</v>
      </c>
      <c r="D142" s="27" t="s">
        <v>498</v>
      </c>
      <c r="E142" s="28">
        <v>55</v>
      </c>
      <c r="F142" s="29"/>
      <c r="G142" s="29"/>
      <c r="H142" s="29"/>
      <c r="I142" s="29"/>
      <c r="J142" s="29"/>
      <c r="K142" s="29"/>
      <c r="L142" s="29"/>
      <c r="M142" s="28">
        <v>81</v>
      </c>
      <c r="N142" s="29"/>
      <c r="O142" s="29"/>
      <c r="P142" s="29"/>
      <c r="Q142" s="29"/>
      <c r="R142" s="29"/>
      <c r="S142" s="29"/>
      <c r="T142" s="29"/>
    </row>
    <row r="143" spans="1:20" ht="15" customHeight="1" x14ac:dyDescent="0.25">
      <c r="A143" s="51" t="s">
        <v>522</v>
      </c>
      <c r="B143" s="52" t="s">
        <v>499</v>
      </c>
      <c r="C143" s="52" t="s">
        <v>522</v>
      </c>
      <c r="D143" s="52" t="s">
        <v>468</v>
      </c>
      <c r="E143" s="53">
        <v>265</v>
      </c>
      <c r="F143" s="54"/>
      <c r="G143" s="53">
        <v>755</v>
      </c>
      <c r="H143" s="53">
        <v>831</v>
      </c>
      <c r="I143" s="53">
        <v>444</v>
      </c>
      <c r="J143" s="53">
        <v>611</v>
      </c>
      <c r="K143" s="53">
        <v>764</v>
      </c>
      <c r="L143" s="53">
        <v>917</v>
      </c>
      <c r="M143" s="53">
        <v>392</v>
      </c>
      <c r="N143" s="54"/>
      <c r="O143" s="53">
        <v>1118</v>
      </c>
      <c r="P143" s="53">
        <v>1230</v>
      </c>
      <c r="Q143" s="53">
        <v>657</v>
      </c>
      <c r="R143" s="53">
        <v>905</v>
      </c>
      <c r="S143" s="53">
        <v>1131</v>
      </c>
      <c r="T143" s="53">
        <v>1358</v>
      </c>
    </row>
    <row r="144" spans="1:20" ht="15" customHeight="1" x14ac:dyDescent="0.25">
      <c r="A144" s="51" t="s">
        <v>522</v>
      </c>
      <c r="B144" s="27" t="s">
        <v>500</v>
      </c>
      <c r="C144" s="27" t="s">
        <v>522</v>
      </c>
      <c r="D144" s="27" t="s">
        <v>470</v>
      </c>
      <c r="E144" s="28">
        <v>166</v>
      </c>
      <c r="F144" s="29"/>
      <c r="G144" s="28">
        <v>499</v>
      </c>
      <c r="H144" s="28">
        <v>549</v>
      </c>
      <c r="I144" s="28">
        <v>252</v>
      </c>
      <c r="J144" s="28">
        <v>351</v>
      </c>
      <c r="K144" s="28">
        <v>439</v>
      </c>
      <c r="L144" s="28">
        <v>527</v>
      </c>
      <c r="M144" s="28">
        <v>246</v>
      </c>
      <c r="N144" s="29"/>
      <c r="O144" s="28">
        <v>738</v>
      </c>
      <c r="P144" s="28">
        <v>812</v>
      </c>
      <c r="Q144" s="28">
        <v>373</v>
      </c>
      <c r="R144" s="28">
        <v>520</v>
      </c>
      <c r="S144" s="28">
        <v>650</v>
      </c>
      <c r="T144" s="28">
        <v>780</v>
      </c>
    </row>
    <row r="145" spans="1:20" ht="15" customHeight="1" x14ac:dyDescent="0.25">
      <c r="A145" s="51" t="s">
        <v>522</v>
      </c>
      <c r="B145" s="52" t="s">
        <v>501</v>
      </c>
      <c r="C145" s="52" t="s">
        <v>522</v>
      </c>
      <c r="D145" s="52" t="s">
        <v>472</v>
      </c>
      <c r="E145" s="53">
        <v>174</v>
      </c>
      <c r="F145" s="54"/>
      <c r="G145" s="53">
        <v>622</v>
      </c>
      <c r="H145" s="53">
        <v>684</v>
      </c>
      <c r="I145" s="53">
        <v>309</v>
      </c>
      <c r="J145" s="53">
        <v>412</v>
      </c>
      <c r="K145" s="53">
        <v>515</v>
      </c>
      <c r="L145" s="53">
        <v>618</v>
      </c>
      <c r="M145" s="53">
        <v>258</v>
      </c>
      <c r="N145" s="54"/>
      <c r="O145" s="53">
        <v>920</v>
      </c>
      <c r="P145" s="53">
        <v>1012</v>
      </c>
      <c r="Q145" s="53">
        <v>457</v>
      </c>
      <c r="R145" s="53">
        <v>610</v>
      </c>
      <c r="S145" s="53">
        <v>763</v>
      </c>
      <c r="T145" s="53">
        <v>915</v>
      </c>
    </row>
    <row r="146" spans="1:20" ht="15" customHeight="1" x14ac:dyDescent="0.25">
      <c r="A146" s="51" t="s">
        <v>522</v>
      </c>
      <c r="B146" s="27" t="s">
        <v>502</v>
      </c>
      <c r="C146" s="27" t="s">
        <v>522</v>
      </c>
      <c r="D146" s="27" t="s">
        <v>474</v>
      </c>
      <c r="E146" s="28">
        <v>157</v>
      </c>
      <c r="F146" s="29"/>
      <c r="G146" s="28">
        <v>577</v>
      </c>
      <c r="H146" s="28">
        <v>635</v>
      </c>
      <c r="I146" s="28">
        <v>303</v>
      </c>
      <c r="J146" s="28">
        <v>403</v>
      </c>
      <c r="K146" s="28">
        <v>503</v>
      </c>
      <c r="L146" s="28">
        <v>605</v>
      </c>
      <c r="M146" s="28">
        <v>233</v>
      </c>
      <c r="N146" s="29"/>
      <c r="O146" s="28">
        <v>854</v>
      </c>
      <c r="P146" s="28">
        <v>939</v>
      </c>
      <c r="Q146" s="28">
        <v>449</v>
      </c>
      <c r="R146" s="28">
        <v>596</v>
      </c>
      <c r="S146" s="28">
        <v>745</v>
      </c>
      <c r="T146" s="28">
        <v>894</v>
      </c>
    </row>
    <row r="147" spans="1:20" ht="15" customHeight="1" x14ac:dyDescent="0.25">
      <c r="A147" s="51" t="s">
        <v>522</v>
      </c>
      <c r="B147" s="52" t="s">
        <v>503</v>
      </c>
      <c r="C147" s="52" t="s">
        <v>522</v>
      </c>
      <c r="D147" s="52" t="s">
        <v>476</v>
      </c>
      <c r="E147" s="53">
        <v>131</v>
      </c>
      <c r="F147" s="54"/>
      <c r="G147" s="53">
        <v>532</v>
      </c>
      <c r="H147" s="53">
        <v>586</v>
      </c>
      <c r="I147" s="53">
        <v>278</v>
      </c>
      <c r="J147" s="53">
        <v>369</v>
      </c>
      <c r="K147" s="53">
        <v>461</v>
      </c>
      <c r="L147" s="53">
        <v>554</v>
      </c>
      <c r="M147" s="53">
        <v>194</v>
      </c>
      <c r="N147" s="54"/>
      <c r="O147" s="53">
        <v>788</v>
      </c>
      <c r="P147" s="53">
        <v>867</v>
      </c>
      <c r="Q147" s="53">
        <v>412</v>
      </c>
      <c r="R147" s="53">
        <v>546</v>
      </c>
      <c r="S147" s="53">
        <v>683</v>
      </c>
      <c r="T147" s="53">
        <v>819</v>
      </c>
    </row>
    <row r="148" spans="1:20" ht="15" customHeight="1" x14ac:dyDescent="0.25">
      <c r="A148" s="51" t="s">
        <v>522</v>
      </c>
      <c r="B148" s="27" t="s">
        <v>504</v>
      </c>
      <c r="C148" s="27" t="s">
        <v>522</v>
      </c>
      <c r="D148" s="27" t="s">
        <v>478</v>
      </c>
      <c r="E148" s="28">
        <v>126</v>
      </c>
      <c r="F148" s="29"/>
      <c r="G148" s="28">
        <v>497</v>
      </c>
      <c r="H148" s="28">
        <v>546</v>
      </c>
      <c r="I148" s="28">
        <v>230</v>
      </c>
      <c r="J148" s="28">
        <v>336</v>
      </c>
      <c r="K148" s="28">
        <v>420</v>
      </c>
      <c r="L148" s="28">
        <v>504</v>
      </c>
      <c r="M148" s="28">
        <v>186</v>
      </c>
      <c r="N148" s="29"/>
      <c r="O148" s="28">
        <v>735</v>
      </c>
      <c r="P148" s="28">
        <v>809</v>
      </c>
      <c r="Q148" s="28">
        <v>340</v>
      </c>
      <c r="R148" s="28">
        <v>497</v>
      </c>
      <c r="S148" s="28">
        <v>621</v>
      </c>
      <c r="T148" s="28">
        <v>746</v>
      </c>
    </row>
    <row r="149" spans="1:20" ht="15" customHeight="1" x14ac:dyDescent="0.25">
      <c r="A149" s="51" t="s">
        <v>522</v>
      </c>
      <c r="B149" s="52" t="s">
        <v>505</v>
      </c>
      <c r="C149" s="52" t="s">
        <v>522</v>
      </c>
      <c r="D149" s="52" t="s">
        <v>480</v>
      </c>
      <c r="E149" s="53">
        <v>73</v>
      </c>
      <c r="F149" s="54"/>
      <c r="G149" s="53">
        <v>446</v>
      </c>
      <c r="H149" s="53">
        <v>491</v>
      </c>
      <c r="I149" s="53">
        <v>200</v>
      </c>
      <c r="J149" s="53">
        <v>279</v>
      </c>
      <c r="K149" s="53">
        <v>349</v>
      </c>
      <c r="L149" s="53">
        <v>419</v>
      </c>
      <c r="M149" s="53">
        <v>108</v>
      </c>
      <c r="N149" s="54"/>
      <c r="O149" s="53">
        <v>660</v>
      </c>
      <c r="P149" s="53">
        <v>726</v>
      </c>
      <c r="Q149" s="53">
        <v>296</v>
      </c>
      <c r="R149" s="53">
        <v>413</v>
      </c>
      <c r="S149" s="53">
        <v>516</v>
      </c>
      <c r="T149" s="53">
        <v>619</v>
      </c>
    </row>
    <row r="150" spans="1:20" ht="15" customHeight="1" x14ac:dyDescent="0.25">
      <c r="A150" s="51" t="s">
        <v>522</v>
      </c>
      <c r="B150" s="27" t="s">
        <v>506</v>
      </c>
      <c r="C150" s="27" t="s">
        <v>522</v>
      </c>
      <c r="D150" s="27" t="s">
        <v>482</v>
      </c>
      <c r="E150" s="28">
        <v>72</v>
      </c>
      <c r="F150" s="29"/>
      <c r="G150" s="28">
        <v>402</v>
      </c>
      <c r="H150" s="28">
        <v>442</v>
      </c>
      <c r="I150" s="28">
        <v>159</v>
      </c>
      <c r="J150" s="28">
        <v>222</v>
      </c>
      <c r="K150" s="28">
        <v>277</v>
      </c>
      <c r="L150" s="28">
        <v>333</v>
      </c>
      <c r="M150" s="28">
        <v>107</v>
      </c>
      <c r="N150" s="29"/>
      <c r="O150" s="28">
        <v>595</v>
      </c>
      <c r="P150" s="28">
        <v>655</v>
      </c>
      <c r="Q150" s="28">
        <v>235</v>
      </c>
      <c r="R150" s="28">
        <v>328</v>
      </c>
      <c r="S150" s="28">
        <v>410</v>
      </c>
      <c r="T150" s="28">
        <v>492</v>
      </c>
    </row>
    <row r="151" spans="1:20" ht="15" customHeight="1" x14ac:dyDescent="0.25">
      <c r="A151" s="51" t="s">
        <v>522</v>
      </c>
      <c r="B151" s="52" t="s">
        <v>507</v>
      </c>
      <c r="C151" s="52" t="s">
        <v>522</v>
      </c>
      <c r="D151" s="52" t="s">
        <v>484</v>
      </c>
      <c r="E151" s="53">
        <v>104</v>
      </c>
      <c r="F151" s="54"/>
      <c r="G151" s="53">
        <v>436</v>
      </c>
      <c r="H151" s="53">
        <v>479</v>
      </c>
      <c r="I151" s="53">
        <v>171</v>
      </c>
      <c r="J151" s="53">
        <v>243</v>
      </c>
      <c r="K151" s="53">
        <v>303</v>
      </c>
      <c r="L151" s="53">
        <v>365</v>
      </c>
      <c r="M151" s="53">
        <v>154</v>
      </c>
      <c r="N151" s="54"/>
      <c r="O151" s="53">
        <v>645</v>
      </c>
      <c r="P151" s="53">
        <v>710</v>
      </c>
      <c r="Q151" s="53">
        <v>253</v>
      </c>
      <c r="R151" s="53">
        <v>359</v>
      </c>
      <c r="S151" s="53">
        <v>449</v>
      </c>
      <c r="T151" s="53">
        <v>539</v>
      </c>
    </row>
    <row r="152" spans="1:20" ht="15" customHeight="1" x14ac:dyDescent="0.25">
      <c r="A152" s="51" t="s">
        <v>522</v>
      </c>
      <c r="B152" s="27" t="s">
        <v>508</v>
      </c>
      <c r="C152" s="27" t="s">
        <v>522</v>
      </c>
      <c r="D152" s="27" t="s">
        <v>431</v>
      </c>
      <c r="E152" s="28">
        <v>71</v>
      </c>
      <c r="F152" s="29"/>
      <c r="G152" s="28">
        <v>395</v>
      </c>
      <c r="H152" s="28">
        <v>434</v>
      </c>
      <c r="I152" s="28">
        <v>150</v>
      </c>
      <c r="J152" s="28">
        <v>209</v>
      </c>
      <c r="K152" s="28">
        <v>261</v>
      </c>
      <c r="L152" s="28">
        <v>314</v>
      </c>
      <c r="M152" s="28">
        <v>105</v>
      </c>
      <c r="N152" s="29"/>
      <c r="O152" s="28">
        <v>584</v>
      </c>
      <c r="P152" s="28">
        <v>642</v>
      </c>
      <c r="Q152" s="28">
        <v>222</v>
      </c>
      <c r="R152" s="28">
        <v>309</v>
      </c>
      <c r="S152" s="28">
        <v>386</v>
      </c>
      <c r="T152" s="28">
        <v>464</v>
      </c>
    </row>
    <row r="153" spans="1:20" ht="15" customHeight="1" x14ac:dyDescent="0.25">
      <c r="A153" s="51" t="s">
        <v>522</v>
      </c>
      <c r="B153" s="52" t="s">
        <v>509</v>
      </c>
      <c r="C153" s="52" t="s">
        <v>522</v>
      </c>
      <c r="D153" s="52" t="s">
        <v>427</v>
      </c>
      <c r="E153" s="53">
        <v>55</v>
      </c>
      <c r="F153" s="54"/>
      <c r="G153" s="53">
        <v>320</v>
      </c>
      <c r="H153" s="53">
        <v>352</v>
      </c>
      <c r="I153" s="53">
        <v>89</v>
      </c>
      <c r="J153" s="53">
        <v>116</v>
      </c>
      <c r="K153" s="53">
        <v>144</v>
      </c>
      <c r="L153" s="53">
        <v>174</v>
      </c>
      <c r="M153" s="53">
        <v>81</v>
      </c>
      <c r="N153" s="54"/>
      <c r="O153" s="53">
        <v>474</v>
      </c>
      <c r="P153" s="53">
        <v>521</v>
      </c>
      <c r="Q153" s="53">
        <v>132</v>
      </c>
      <c r="R153" s="53">
        <v>171</v>
      </c>
      <c r="S153" s="53">
        <v>214</v>
      </c>
      <c r="T153" s="53">
        <v>257</v>
      </c>
    </row>
    <row r="154" spans="1:20" ht="3.75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</row>
    <row r="155" spans="1:20" ht="18" customHeight="1" x14ac:dyDescent="0.25">
      <c r="A155" s="474" t="s">
        <v>510</v>
      </c>
      <c r="B155" s="474"/>
      <c r="C155" s="474"/>
      <c r="D155" s="474"/>
      <c r="E155" s="474"/>
      <c r="F155" s="474"/>
      <c r="G155" s="474"/>
      <c r="H155" s="474"/>
      <c r="I155" s="474"/>
      <c r="J155" s="474"/>
      <c r="K155" s="474"/>
      <c r="L155" s="474"/>
      <c r="M155" s="474"/>
      <c r="N155" s="474"/>
      <c r="O155" s="474"/>
      <c r="P155" s="474"/>
      <c r="Q155" s="474"/>
      <c r="R155" s="474"/>
      <c r="S155" s="474"/>
      <c r="T155" s="474"/>
    </row>
    <row r="156" spans="1:20" ht="15" customHeight="1" x14ac:dyDescent="0.25">
      <c r="A156" s="26" t="s">
        <v>510</v>
      </c>
      <c r="B156" s="27" t="s">
        <v>511</v>
      </c>
      <c r="C156" s="27" t="s">
        <v>512</v>
      </c>
      <c r="D156" s="27" t="s">
        <v>513</v>
      </c>
      <c r="E156" s="28">
        <v>724</v>
      </c>
      <c r="F156" s="28">
        <v>1149</v>
      </c>
      <c r="G156" s="29"/>
      <c r="H156" s="29"/>
      <c r="I156" s="28">
        <v>1081</v>
      </c>
      <c r="J156" s="28">
        <v>1207</v>
      </c>
      <c r="K156" s="28">
        <v>1509</v>
      </c>
      <c r="L156" s="28">
        <v>1811</v>
      </c>
      <c r="M156" s="28">
        <v>1071</v>
      </c>
      <c r="N156" s="28">
        <v>1701</v>
      </c>
      <c r="O156" s="29"/>
      <c r="P156" s="29"/>
      <c r="Q156" s="28">
        <v>1600</v>
      </c>
      <c r="R156" s="28">
        <v>1787</v>
      </c>
      <c r="S156" s="28">
        <v>2234</v>
      </c>
      <c r="T156" s="28">
        <v>2309</v>
      </c>
    </row>
    <row r="157" spans="1:20" ht="15" customHeight="1" x14ac:dyDescent="0.25">
      <c r="A157" s="55" t="s">
        <v>510</v>
      </c>
      <c r="B157" s="56" t="s">
        <v>514</v>
      </c>
      <c r="C157" s="56" t="s">
        <v>512</v>
      </c>
      <c r="D157" s="56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</row>
    <row r="158" spans="1:20" ht="15" customHeight="1" x14ac:dyDescent="0.25">
      <c r="A158" s="26" t="s">
        <v>510</v>
      </c>
      <c r="B158" s="27" t="s">
        <v>515</v>
      </c>
      <c r="C158" s="27" t="s">
        <v>512</v>
      </c>
      <c r="D158" s="27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</row>
    <row r="159" spans="1:20" ht="15" customHeight="1" x14ac:dyDescent="0.25">
      <c r="A159" s="55" t="s">
        <v>510</v>
      </c>
      <c r="B159" s="56" t="s">
        <v>511</v>
      </c>
      <c r="C159" s="56" t="s">
        <v>516</v>
      </c>
      <c r="D159" s="56" t="s">
        <v>517</v>
      </c>
      <c r="E159" s="58">
        <v>753</v>
      </c>
      <c r="F159" s="58">
        <v>1278</v>
      </c>
      <c r="G159" s="57"/>
      <c r="H159" s="57"/>
      <c r="I159" s="58">
        <v>1193</v>
      </c>
      <c r="J159" s="58">
        <v>1347</v>
      </c>
      <c r="K159" s="58">
        <v>1684</v>
      </c>
      <c r="L159" s="58">
        <v>2021</v>
      </c>
      <c r="M159" s="58">
        <v>1115</v>
      </c>
      <c r="N159" s="58">
        <v>1891</v>
      </c>
      <c r="O159" s="57"/>
      <c r="P159" s="57"/>
      <c r="Q159" s="58">
        <v>1766</v>
      </c>
      <c r="R159" s="58">
        <v>1994</v>
      </c>
      <c r="S159" s="58">
        <v>2493</v>
      </c>
      <c r="T159" s="58">
        <v>2610</v>
      </c>
    </row>
    <row r="160" spans="1:20" ht="15" customHeight="1" x14ac:dyDescent="0.25">
      <c r="A160" s="26" t="s">
        <v>510</v>
      </c>
      <c r="B160" s="27" t="s">
        <v>514</v>
      </c>
      <c r="C160" s="27" t="s">
        <v>516</v>
      </c>
      <c r="D160" s="27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</row>
    <row r="161" spans="1:20" ht="15" customHeight="1" x14ac:dyDescent="0.25">
      <c r="A161" s="55" t="s">
        <v>510</v>
      </c>
      <c r="B161" s="56" t="s">
        <v>515</v>
      </c>
      <c r="C161" s="56" t="s">
        <v>516</v>
      </c>
      <c r="D161" s="56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</row>
    <row r="162" spans="1:20" ht="15" customHeight="1" x14ac:dyDescent="0.25">
      <c r="A162" s="26" t="s">
        <v>510</v>
      </c>
      <c r="B162" s="27" t="s">
        <v>511</v>
      </c>
      <c r="C162" s="27" t="s">
        <v>518</v>
      </c>
      <c r="D162" s="27" t="s">
        <v>513</v>
      </c>
      <c r="E162" s="28">
        <v>729</v>
      </c>
      <c r="F162" s="28">
        <v>1161</v>
      </c>
      <c r="G162" s="29"/>
      <c r="H162" s="29"/>
      <c r="I162" s="28">
        <v>1093</v>
      </c>
      <c r="J162" s="28">
        <v>1220</v>
      </c>
      <c r="K162" s="28">
        <v>1524</v>
      </c>
      <c r="L162" s="28">
        <v>1830</v>
      </c>
      <c r="M162" s="28">
        <v>1079</v>
      </c>
      <c r="N162" s="28">
        <v>1719</v>
      </c>
      <c r="O162" s="29"/>
      <c r="P162" s="29"/>
      <c r="Q162" s="28">
        <v>1618</v>
      </c>
      <c r="R162" s="28">
        <v>1805</v>
      </c>
      <c r="S162" s="28">
        <v>2256</v>
      </c>
      <c r="T162" s="28">
        <v>2337</v>
      </c>
    </row>
    <row r="163" spans="1:20" ht="15" customHeight="1" x14ac:dyDescent="0.25">
      <c r="A163" s="55" t="s">
        <v>510</v>
      </c>
      <c r="B163" s="56" t="s">
        <v>519</v>
      </c>
      <c r="C163" s="56" t="s">
        <v>518</v>
      </c>
      <c r="D163" s="56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</row>
    <row r="164" spans="1:20" ht="15" customHeight="1" x14ac:dyDescent="0.25">
      <c r="A164" s="26" t="s">
        <v>510</v>
      </c>
      <c r="B164" s="27" t="s">
        <v>511</v>
      </c>
      <c r="C164" s="27" t="s">
        <v>520</v>
      </c>
      <c r="D164" s="27" t="s">
        <v>517</v>
      </c>
      <c r="E164" s="28">
        <v>774</v>
      </c>
      <c r="F164" s="28">
        <v>1293</v>
      </c>
      <c r="G164" s="29"/>
      <c r="H164" s="29"/>
      <c r="I164" s="28">
        <v>1209</v>
      </c>
      <c r="J164" s="28">
        <v>1362</v>
      </c>
      <c r="K164" s="28">
        <v>1703</v>
      </c>
      <c r="L164" s="28">
        <v>2043</v>
      </c>
      <c r="M164" s="28">
        <v>1145</v>
      </c>
      <c r="N164" s="28">
        <v>1913</v>
      </c>
      <c r="O164" s="29"/>
      <c r="P164" s="29"/>
      <c r="Q164" s="28">
        <v>1789</v>
      </c>
      <c r="R164" s="28">
        <v>2016</v>
      </c>
      <c r="S164" s="28">
        <v>2520</v>
      </c>
      <c r="T164" s="28">
        <v>2643</v>
      </c>
    </row>
    <row r="165" spans="1:20" ht="15" customHeight="1" x14ac:dyDescent="0.25">
      <c r="A165" s="55" t="s">
        <v>510</v>
      </c>
      <c r="B165" s="56" t="s">
        <v>519</v>
      </c>
      <c r="C165" s="56" t="s">
        <v>520</v>
      </c>
      <c r="D165" s="56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</row>
  </sheetData>
  <mergeCells count="13">
    <mergeCell ref="A155:T155"/>
    <mergeCell ref="A24:T24"/>
    <mergeCell ref="A45:T45"/>
    <mergeCell ref="A67:T67"/>
    <mergeCell ref="A93:T93"/>
    <mergeCell ref="A119:T119"/>
    <mergeCell ref="A132:T132"/>
    <mergeCell ref="A5:T5"/>
    <mergeCell ref="A1:T1"/>
    <mergeCell ref="A2:T2"/>
    <mergeCell ref="A3:D3"/>
    <mergeCell ref="E3:L3"/>
    <mergeCell ref="M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32AF-10A7-40B2-8FD1-7A1E541978C8}">
  <dimension ref="B1:W156"/>
  <sheetViews>
    <sheetView topLeftCell="A40" workbookViewId="0">
      <selection activeCell="E4" sqref="E4"/>
    </sheetView>
  </sheetViews>
  <sheetFormatPr baseColWidth="10" defaultRowHeight="15" x14ac:dyDescent="0.25"/>
  <cols>
    <col min="1" max="1" width="11.42578125" style="82"/>
    <col min="2" max="2" width="23.140625" style="82" customWidth="1"/>
    <col min="3" max="3" width="9.28515625" style="82" bestFit="1" customWidth="1"/>
    <col min="4" max="4" width="22.7109375" style="82" customWidth="1"/>
    <col min="5" max="9" width="11.42578125" style="82"/>
    <col min="10" max="10" width="23.140625" style="82" customWidth="1"/>
    <col min="11" max="11" width="9.28515625" style="82" bestFit="1" customWidth="1"/>
    <col min="12" max="12" width="22.7109375" style="82" customWidth="1"/>
    <col min="13" max="17" width="11.42578125" style="82"/>
    <col min="18" max="18" width="14.7109375" style="82" bestFit="1" customWidth="1"/>
    <col min="19" max="16384" width="11.42578125" style="82"/>
  </cols>
  <sheetData>
    <row r="1" spans="2:23" x14ac:dyDescent="0.25">
      <c r="B1" s="480" t="s">
        <v>594</v>
      </c>
      <c r="C1" s="480"/>
      <c r="D1" s="480"/>
      <c r="E1" s="480"/>
      <c r="F1" s="480"/>
      <c r="G1" s="480"/>
      <c r="H1" s="480"/>
      <c r="I1" s="83"/>
      <c r="J1" s="481" t="s">
        <v>595</v>
      </c>
      <c r="K1" s="481"/>
      <c r="L1" s="481"/>
      <c r="M1" s="481"/>
      <c r="N1" s="481"/>
      <c r="O1" s="481"/>
      <c r="P1" s="481"/>
      <c r="Q1" s="83"/>
      <c r="R1" s="82" t="s">
        <v>596</v>
      </c>
      <c r="T1" s="82" t="s">
        <v>541</v>
      </c>
      <c r="U1" s="82" t="s">
        <v>542</v>
      </c>
      <c r="V1" s="82" t="s">
        <v>543</v>
      </c>
      <c r="W1" s="82" t="s">
        <v>544</v>
      </c>
    </row>
    <row r="2" spans="2:23" x14ac:dyDescent="0.25">
      <c r="R2" s="84">
        <v>0.15</v>
      </c>
      <c r="T2" s="82" t="s">
        <v>597</v>
      </c>
      <c r="U2" s="82" t="s">
        <v>599</v>
      </c>
      <c r="V2" s="82" t="s">
        <v>598</v>
      </c>
      <c r="W2" s="82" t="s">
        <v>600</v>
      </c>
    </row>
    <row r="3" spans="2:23" ht="18" thickBot="1" x14ac:dyDescent="0.3">
      <c r="B3" s="85" t="s">
        <v>601</v>
      </c>
      <c r="C3" s="85" t="s">
        <v>602</v>
      </c>
      <c r="D3" s="85" t="s">
        <v>603</v>
      </c>
      <c r="E3" s="86" t="s">
        <v>541</v>
      </c>
      <c r="F3" s="86" t="s">
        <v>542</v>
      </c>
      <c r="G3" s="86" t="s">
        <v>543</v>
      </c>
      <c r="H3" s="86" t="s">
        <v>544</v>
      </c>
      <c r="J3" s="85" t="s">
        <v>601</v>
      </c>
      <c r="K3" s="85" t="s">
        <v>602</v>
      </c>
      <c r="L3" s="85" t="s">
        <v>603</v>
      </c>
      <c r="M3" s="86" t="s">
        <v>541</v>
      </c>
      <c r="N3" s="86" t="s">
        <v>542</v>
      </c>
      <c r="O3" s="86" t="s">
        <v>543</v>
      </c>
      <c r="P3" s="86" t="s">
        <v>544</v>
      </c>
    </row>
    <row r="4" spans="2:23" ht="17.25" x14ac:dyDescent="0.25">
      <c r="B4" s="87" t="s">
        <v>8</v>
      </c>
      <c r="C4" s="87">
        <v>3000</v>
      </c>
      <c r="D4" s="87" t="s">
        <v>423</v>
      </c>
      <c r="E4" s="88">
        <v>34</v>
      </c>
      <c r="F4" s="88">
        <v>89</v>
      </c>
      <c r="G4" s="88">
        <v>114</v>
      </c>
      <c r="H4" s="88">
        <v>177</v>
      </c>
      <c r="J4" s="87" t="s">
        <v>8</v>
      </c>
      <c r="K4" s="87">
        <v>3000</v>
      </c>
      <c r="L4" s="87" t="s">
        <v>423</v>
      </c>
      <c r="M4" s="88">
        <v>39</v>
      </c>
      <c r="N4" s="88">
        <v>102</v>
      </c>
      <c r="O4" s="88">
        <v>131</v>
      </c>
      <c r="P4" s="88">
        <v>204</v>
      </c>
      <c r="T4" s="82">
        <v>80</v>
      </c>
      <c r="U4" s="82">
        <v>88</v>
      </c>
      <c r="V4" s="82">
        <v>-25</v>
      </c>
    </row>
    <row r="5" spans="2:23" ht="17.25" x14ac:dyDescent="0.25">
      <c r="B5" s="89" t="s">
        <v>8</v>
      </c>
      <c r="C5" s="89">
        <v>3001</v>
      </c>
      <c r="D5" s="89" t="s">
        <v>424</v>
      </c>
      <c r="E5" s="90">
        <v>34</v>
      </c>
      <c r="F5" s="90">
        <v>92</v>
      </c>
      <c r="G5" s="90">
        <v>121</v>
      </c>
      <c r="H5" s="90">
        <v>178</v>
      </c>
      <c r="J5" s="89" t="s">
        <v>8</v>
      </c>
      <c r="K5" s="89">
        <v>3001</v>
      </c>
      <c r="L5" s="89" t="s">
        <v>424</v>
      </c>
      <c r="M5" s="90">
        <v>39</v>
      </c>
      <c r="N5" s="90">
        <v>106</v>
      </c>
      <c r="O5" s="90">
        <v>139</v>
      </c>
      <c r="P5" s="90">
        <v>205</v>
      </c>
      <c r="T5" s="82">
        <v>87</v>
      </c>
      <c r="U5" s="82">
        <v>86</v>
      </c>
      <c r="V5" s="82">
        <v>-29</v>
      </c>
    </row>
    <row r="6" spans="2:23" ht="17.25" x14ac:dyDescent="0.25">
      <c r="B6" s="89" t="s">
        <v>8</v>
      </c>
      <c r="C6" s="89">
        <v>3002</v>
      </c>
      <c r="D6" s="89" t="s">
        <v>426</v>
      </c>
      <c r="E6" s="90">
        <v>43</v>
      </c>
      <c r="F6" s="90">
        <v>130</v>
      </c>
      <c r="G6" s="90">
        <v>161</v>
      </c>
      <c r="H6" s="90">
        <v>185</v>
      </c>
      <c r="J6" s="89" t="s">
        <v>8</v>
      </c>
      <c r="K6" s="89">
        <v>3002</v>
      </c>
      <c r="L6" s="89" t="s">
        <v>426</v>
      </c>
      <c r="M6" s="90">
        <v>49</v>
      </c>
      <c r="N6" s="90">
        <v>150</v>
      </c>
      <c r="O6" s="90">
        <v>185</v>
      </c>
      <c r="P6" s="90">
        <v>213</v>
      </c>
      <c r="T6" s="82">
        <v>118</v>
      </c>
      <c r="U6" s="82">
        <v>55</v>
      </c>
      <c r="V6" s="82">
        <v>-31</v>
      </c>
    </row>
    <row r="7" spans="2:23" ht="17.25" x14ac:dyDescent="0.25">
      <c r="B7" s="89" t="s">
        <v>8</v>
      </c>
      <c r="C7" s="89">
        <v>3003</v>
      </c>
      <c r="D7" s="89" t="s">
        <v>428</v>
      </c>
      <c r="E7" s="90">
        <v>56</v>
      </c>
      <c r="F7" s="90">
        <v>144</v>
      </c>
      <c r="G7" s="90">
        <v>185</v>
      </c>
      <c r="H7" s="90">
        <v>190</v>
      </c>
      <c r="J7" s="89" t="s">
        <v>8</v>
      </c>
      <c r="K7" s="89">
        <v>3003</v>
      </c>
      <c r="L7" s="89" t="s">
        <v>428</v>
      </c>
      <c r="M7" s="90">
        <v>64</v>
      </c>
      <c r="N7" s="90">
        <v>166</v>
      </c>
      <c r="O7" s="90">
        <v>213</v>
      </c>
      <c r="P7" s="90">
        <v>219</v>
      </c>
      <c r="T7" s="82">
        <v>129</v>
      </c>
      <c r="U7" s="82">
        <v>46</v>
      </c>
      <c r="V7" s="82">
        <v>-41</v>
      </c>
    </row>
    <row r="8" spans="2:23" ht="17.25" x14ac:dyDescent="0.25">
      <c r="B8" s="89" t="s">
        <v>8</v>
      </c>
      <c r="C8" s="89">
        <v>3004</v>
      </c>
      <c r="D8" s="89" t="s">
        <v>430</v>
      </c>
      <c r="E8" s="90">
        <v>70</v>
      </c>
      <c r="F8" s="90">
        <v>174</v>
      </c>
      <c r="G8" s="90">
        <v>223</v>
      </c>
      <c r="H8" s="90">
        <v>209</v>
      </c>
      <c r="J8" s="89" t="s">
        <v>8</v>
      </c>
      <c r="K8" s="89">
        <v>3004</v>
      </c>
      <c r="L8" s="89" t="s">
        <v>430</v>
      </c>
      <c r="M8" s="90">
        <v>81</v>
      </c>
      <c r="N8" s="90">
        <v>200</v>
      </c>
      <c r="O8" s="90">
        <v>256</v>
      </c>
      <c r="P8" s="90">
        <v>240</v>
      </c>
      <c r="T8" s="82">
        <v>153</v>
      </c>
      <c r="U8" s="82">
        <v>35</v>
      </c>
      <c r="V8" s="82">
        <v>-49</v>
      </c>
    </row>
    <row r="9" spans="2:23" ht="17.25" x14ac:dyDescent="0.25">
      <c r="B9" s="89" t="s">
        <v>8</v>
      </c>
      <c r="C9" s="89">
        <v>3005</v>
      </c>
      <c r="D9" s="89" t="s">
        <v>604</v>
      </c>
      <c r="E9" s="90">
        <v>43</v>
      </c>
      <c r="F9" s="90">
        <v>130</v>
      </c>
      <c r="G9" s="90">
        <v>161</v>
      </c>
      <c r="H9" s="90">
        <v>185</v>
      </c>
      <c r="J9" s="89" t="s">
        <v>8</v>
      </c>
      <c r="K9" s="89">
        <v>3005</v>
      </c>
      <c r="L9" s="89" t="s">
        <v>426</v>
      </c>
      <c r="M9" s="90">
        <v>49</v>
      </c>
      <c r="N9" s="90">
        <v>150</v>
      </c>
      <c r="O9" s="90">
        <v>185</v>
      </c>
      <c r="P9" s="90">
        <v>213</v>
      </c>
      <c r="T9" s="82">
        <v>118</v>
      </c>
      <c r="U9" s="82">
        <v>55</v>
      </c>
      <c r="V9" s="82">
        <v>-31</v>
      </c>
    </row>
    <row r="10" spans="2:23" ht="17.25" x14ac:dyDescent="0.25">
      <c r="B10" s="89" t="s">
        <v>8</v>
      </c>
      <c r="C10" s="89">
        <v>3006</v>
      </c>
      <c r="D10" s="89" t="s">
        <v>425</v>
      </c>
      <c r="E10" s="90">
        <v>49</v>
      </c>
      <c r="F10" s="90">
        <v>147</v>
      </c>
      <c r="G10" s="90">
        <v>181</v>
      </c>
      <c r="H10" s="90">
        <v>186</v>
      </c>
      <c r="J10" s="89" t="s">
        <v>8</v>
      </c>
      <c r="K10" s="89">
        <v>3006</v>
      </c>
      <c r="L10" s="89" t="s">
        <v>425</v>
      </c>
      <c r="M10" s="90">
        <v>56</v>
      </c>
      <c r="N10" s="90">
        <v>169</v>
      </c>
      <c r="O10" s="90">
        <v>208</v>
      </c>
      <c r="P10" s="90">
        <v>214</v>
      </c>
      <c r="T10" s="82">
        <v>132</v>
      </c>
      <c r="U10" s="82">
        <v>39</v>
      </c>
      <c r="V10" s="82">
        <v>-34</v>
      </c>
    </row>
    <row r="11" spans="2:23" ht="17.25" x14ac:dyDescent="0.25">
      <c r="B11" s="89" t="s">
        <v>8</v>
      </c>
      <c r="C11" s="89">
        <v>3007</v>
      </c>
      <c r="D11" s="89" t="s">
        <v>427</v>
      </c>
      <c r="E11" s="90">
        <v>67</v>
      </c>
      <c r="F11" s="90">
        <v>183</v>
      </c>
      <c r="G11" s="90">
        <v>228</v>
      </c>
      <c r="H11" s="90">
        <v>191</v>
      </c>
      <c r="J11" s="89" t="s">
        <v>8</v>
      </c>
      <c r="K11" s="89">
        <v>3007</v>
      </c>
      <c r="L11" s="89" t="s">
        <v>427</v>
      </c>
      <c r="M11" s="90">
        <v>77</v>
      </c>
      <c r="N11" s="90">
        <v>210</v>
      </c>
      <c r="O11" s="90">
        <v>262</v>
      </c>
      <c r="P11" s="90">
        <v>220</v>
      </c>
      <c r="T11" s="82">
        <v>161</v>
      </c>
      <c r="U11" s="82">
        <v>8</v>
      </c>
      <c r="V11" s="82">
        <v>-45</v>
      </c>
    </row>
    <row r="12" spans="2:23" ht="17.25" x14ac:dyDescent="0.25">
      <c r="B12" s="89" t="s">
        <v>8</v>
      </c>
      <c r="C12" s="89">
        <v>3008</v>
      </c>
      <c r="D12" s="89" t="s">
        <v>429</v>
      </c>
      <c r="E12" s="90">
        <v>87</v>
      </c>
      <c r="F12" s="90">
        <v>225</v>
      </c>
      <c r="G12" s="90">
        <v>275</v>
      </c>
      <c r="H12" s="90">
        <v>237</v>
      </c>
      <c r="J12" s="89" t="s">
        <v>8</v>
      </c>
      <c r="K12" s="89">
        <v>3008</v>
      </c>
      <c r="L12" s="89" t="s">
        <v>429</v>
      </c>
      <c r="M12" s="90">
        <v>100</v>
      </c>
      <c r="N12" s="90">
        <v>259</v>
      </c>
      <c r="O12" s="90">
        <v>316</v>
      </c>
      <c r="P12" s="90">
        <v>273</v>
      </c>
      <c r="T12" s="82">
        <v>188</v>
      </c>
      <c r="U12" s="82">
        <v>12</v>
      </c>
      <c r="V12" s="82">
        <v>-50</v>
      </c>
    </row>
    <row r="13" spans="2:23" ht="17.25" x14ac:dyDescent="0.25">
      <c r="B13" s="89" t="s">
        <v>8</v>
      </c>
      <c r="C13" s="89">
        <v>3009</v>
      </c>
      <c r="D13" s="89" t="s">
        <v>431</v>
      </c>
      <c r="E13" s="90">
        <v>110</v>
      </c>
      <c r="F13" s="90">
        <v>286</v>
      </c>
      <c r="G13" s="90">
        <v>355</v>
      </c>
      <c r="H13" s="90">
        <v>276</v>
      </c>
      <c r="J13" s="89" t="s">
        <v>8</v>
      </c>
      <c r="K13" s="89">
        <v>3009</v>
      </c>
      <c r="L13" s="89" t="s">
        <v>431</v>
      </c>
      <c r="M13" s="90">
        <v>127</v>
      </c>
      <c r="N13" s="90">
        <v>329</v>
      </c>
      <c r="O13" s="90">
        <v>408</v>
      </c>
      <c r="P13" s="90">
        <v>317</v>
      </c>
      <c r="T13" s="82">
        <v>245</v>
      </c>
      <c r="U13" s="82">
        <v>-10</v>
      </c>
      <c r="V13" s="82">
        <v>-69</v>
      </c>
    </row>
    <row r="14" spans="2:23" ht="17.25" x14ac:dyDescent="0.25">
      <c r="B14" s="89" t="s">
        <v>8</v>
      </c>
      <c r="C14" s="89">
        <v>3010</v>
      </c>
      <c r="D14" s="89" t="s">
        <v>482</v>
      </c>
      <c r="E14" s="90">
        <v>113</v>
      </c>
      <c r="F14" s="90">
        <v>272</v>
      </c>
      <c r="G14" s="90">
        <v>302</v>
      </c>
      <c r="H14" s="90">
        <v>295</v>
      </c>
      <c r="J14" s="89" t="s">
        <v>8</v>
      </c>
      <c r="K14" s="89">
        <v>3010</v>
      </c>
      <c r="L14" s="89" t="s">
        <v>482</v>
      </c>
      <c r="M14" s="90">
        <v>130</v>
      </c>
      <c r="N14" s="90">
        <v>313</v>
      </c>
      <c r="O14" s="90">
        <v>347</v>
      </c>
      <c r="P14" s="90">
        <v>339</v>
      </c>
      <c r="T14" s="82">
        <v>189</v>
      </c>
      <c r="U14" s="82">
        <v>23</v>
      </c>
      <c r="V14" s="82">
        <v>-30</v>
      </c>
    </row>
    <row r="15" spans="2:23" ht="17.25" x14ac:dyDescent="0.25">
      <c r="B15" s="89" t="s">
        <v>8</v>
      </c>
      <c r="C15" s="89">
        <v>3011</v>
      </c>
      <c r="D15" s="89" t="s">
        <v>480</v>
      </c>
      <c r="E15" s="90">
        <v>139</v>
      </c>
      <c r="F15" s="90">
        <v>216</v>
      </c>
      <c r="G15" s="90">
        <v>416</v>
      </c>
      <c r="H15" s="90">
        <v>406</v>
      </c>
      <c r="J15" s="89" t="s">
        <v>8</v>
      </c>
      <c r="K15" s="89">
        <v>3011</v>
      </c>
      <c r="L15" s="89" t="s">
        <v>480</v>
      </c>
      <c r="M15" s="90">
        <v>160</v>
      </c>
      <c r="N15" s="90">
        <v>248</v>
      </c>
      <c r="O15" s="90">
        <v>478</v>
      </c>
      <c r="P15" s="90">
        <v>467</v>
      </c>
      <c r="T15" s="82">
        <v>277</v>
      </c>
      <c r="U15" s="82">
        <v>190</v>
      </c>
      <c r="V15" s="82">
        <v>-200</v>
      </c>
    </row>
    <row r="16" spans="2:23" ht="17.25" x14ac:dyDescent="0.25">
      <c r="B16" s="89" t="s">
        <v>8</v>
      </c>
      <c r="C16" s="89">
        <v>3012</v>
      </c>
      <c r="D16" s="89" t="s">
        <v>470</v>
      </c>
      <c r="E16" s="90">
        <v>180</v>
      </c>
      <c r="F16" s="90">
        <v>257</v>
      </c>
      <c r="G16" s="90">
        <v>496</v>
      </c>
      <c r="H16" s="90">
        <v>483</v>
      </c>
      <c r="J16" s="89" t="s">
        <v>8</v>
      </c>
      <c r="K16" s="89">
        <v>3012</v>
      </c>
      <c r="L16" s="89" t="s">
        <v>470</v>
      </c>
      <c r="M16" s="90">
        <v>207</v>
      </c>
      <c r="N16" s="90">
        <v>296</v>
      </c>
      <c r="O16" s="90">
        <v>570</v>
      </c>
      <c r="P16" s="90">
        <v>555</v>
      </c>
      <c r="T16" s="82">
        <v>316</v>
      </c>
      <c r="U16" s="82">
        <v>226</v>
      </c>
      <c r="V16" s="82">
        <v>-239</v>
      </c>
    </row>
    <row r="17" spans="2:22" ht="17.25" x14ac:dyDescent="0.25">
      <c r="B17" s="89" t="s">
        <v>8</v>
      </c>
      <c r="C17" s="89">
        <v>3013</v>
      </c>
      <c r="D17" s="89" t="s">
        <v>605</v>
      </c>
      <c r="E17" s="90">
        <v>71</v>
      </c>
      <c r="F17" s="90">
        <v>113</v>
      </c>
      <c r="G17" s="90">
        <v>219</v>
      </c>
      <c r="H17" s="90">
        <v>213</v>
      </c>
      <c r="J17" s="89" t="s">
        <v>8</v>
      </c>
      <c r="K17" s="89">
        <v>3013</v>
      </c>
      <c r="L17" s="89" t="s">
        <v>605</v>
      </c>
      <c r="M17" s="90">
        <v>82</v>
      </c>
      <c r="N17" s="90">
        <v>130</v>
      </c>
      <c r="O17" s="90">
        <v>252</v>
      </c>
      <c r="P17" s="90">
        <v>245</v>
      </c>
      <c r="T17" s="82">
        <v>148</v>
      </c>
      <c r="U17" s="82">
        <v>100</v>
      </c>
      <c r="V17" s="82">
        <v>-106</v>
      </c>
    </row>
    <row r="18" spans="2:22" ht="17.25" x14ac:dyDescent="0.25">
      <c r="B18" s="89" t="s">
        <v>8</v>
      </c>
      <c r="C18" s="89">
        <v>3014</v>
      </c>
      <c r="D18" s="89" t="s">
        <v>606</v>
      </c>
      <c r="E18" s="90">
        <v>88</v>
      </c>
      <c r="F18" s="90">
        <v>128</v>
      </c>
      <c r="G18" s="90">
        <v>247</v>
      </c>
      <c r="H18" s="90">
        <v>241</v>
      </c>
      <c r="J18" s="89" t="s">
        <v>8</v>
      </c>
      <c r="K18" s="89">
        <v>3014</v>
      </c>
      <c r="L18" s="89" t="s">
        <v>606</v>
      </c>
      <c r="M18" s="90">
        <v>101</v>
      </c>
      <c r="N18" s="90">
        <v>147</v>
      </c>
      <c r="O18" s="90">
        <v>284</v>
      </c>
      <c r="P18" s="90">
        <v>277</v>
      </c>
      <c r="T18" s="82">
        <v>159</v>
      </c>
      <c r="U18" s="82">
        <v>113</v>
      </c>
      <c r="V18" s="82">
        <v>-119</v>
      </c>
    </row>
    <row r="19" spans="2:22" x14ac:dyDescent="0.25">
      <c r="T19" s="82">
        <v>0</v>
      </c>
      <c r="U19" s="82">
        <v>0</v>
      </c>
      <c r="V19" s="82">
        <v>0</v>
      </c>
    </row>
    <row r="20" spans="2:22" ht="18" thickBot="1" x14ac:dyDescent="0.3">
      <c r="B20" s="85" t="s">
        <v>601</v>
      </c>
      <c r="C20" s="85" t="s">
        <v>602</v>
      </c>
      <c r="D20" s="85" t="s">
        <v>603</v>
      </c>
      <c r="E20" s="86" t="s">
        <v>541</v>
      </c>
      <c r="F20" s="86" t="s">
        <v>543</v>
      </c>
      <c r="G20" s="86" t="s">
        <v>542</v>
      </c>
      <c r="H20" s="86" t="s">
        <v>544</v>
      </c>
      <c r="J20" s="85" t="s">
        <v>601</v>
      </c>
      <c r="K20" s="85" t="s">
        <v>602</v>
      </c>
      <c r="L20" s="85" t="s">
        <v>603</v>
      </c>
      <c r="M20" s="86" t="s">
        <v>541</v>
      </c>
      <c r="N20" s="86" t="s">
        <v>543</v>
      </c>
      <c r="O20" s="86" t="s">
        <v>542</v>
      </c>
      <c r="P20" s="86" t="s">
        <v>544</v>
      </c>
      <c r="T20" s="82" t="s">
        <v>607</v>
      </c>
    </row>
    <row r="21" spans="2:22" ht="17.25" x14ac:dyDescent="0.25">
      <c r="B21" s="87" t="s">
        <v>432</v>
      </c>
      <c r="C21" s="87">
        <v>3100</v>
      </c>
      <c r="D21" s="87" t="s">
        <v>608</v>
      </c>
      <c r="E21" s="88">
        <v>34</v>
      </c>
      <c r="F21" s="88">
        <v>89</v>
      </c>
      <c r="G21" s="88">
        <v>114</v>
      </c>
      <c r="H21" s="88">
        <v>201</v>
      </c>
      <c r="J21" s="87" t="s">
        <v>432</v>
      </c>
      <c r="K21" s="87">
        <v>3100</v>
      </c>
      <c r="L21" s="87" t="s">
        <v>608</v>
      </c>
      <c r="M21" s="88">
        <v>39</v>
      </c>
      <c r="N21" s="88">
        <v>102</v>
      </c>
      <c r="O21" s="88">
        <v>131</v>
      </c>
      <c r="P21" s="88">
        <v>231</v>
      </c>
      <c r="T21" s="82">
        <v>80</v>
      </c>
      <c r="U21" s="82">
        <v>112</v>
      </c>
      <c r="V21" s="82">
        <v>-25</v>
      </c>
    </row>
    <row r="22" spans="2:22" ht="17.25" x14ac:dyDescent="0.25">
      <c r="B22" s="89" t="s">
        <v>432</v>
      </c>
      <c r="C22" s="89">
        <v>3101</v>
      </c>
      <c r="D22" s="89" t="s">
        <v>423</v>
      </c>
      <c r="E22" s="90">
        <v>34</v>
      </c>
      <c r="F22" s="90">
        <v>89</v>
      </c>
      <c r="G22" s="90">
        <v>114</v>
      </c>
      <c r="H22" s="90">
        <v>177</v>
      </c>
      <c r="J22" s="89" t="s">
        <v>432</v>
      </c>
      <c r="K22" s="89">
        <v>3101</v>
      </c>
      <c r="L22" s="89" t="s">
        <v>423</v>
      </c>
      <c r="M22" s="90">
        <v>39</v>
      </c>
      <c r="N22" s="90">
        <v>102</v>
      </c>
      <c r="O22" s="90">
        <v>131</v>
      </c>
      <c r="P22" s="90">
        <v>204</v>
      </c>
      <c r="T22" s="82">
        <v>80</v>
      </c>
      <c r="U22" s="82">
        <v>88</v>
      </c>
      <c r="V22" s="82">
        <v>-25</v>
      </c>
    </row>
    <row r="23" spans="2:22" ht="17.25" x14ac:dyDescent="0.25">
      <c r="B23" s="89" t="s">
        <v>432</v>
      </c>
      <c r="C23" s="89">
        <v>3102</v>
      </c>
      <c r="D23" s="89" t="s">
        <v>434</v>
      </c>
      <c r="E23" s="90">
        <v>52</v>
      </c>
      <c r="F23" s="90">
        <v>143</v>
      </c>
      <c r="G23" s="90">
        <v>181</v>
      </c>
      <c r="H23" s="90">
        <v>212</v>
      </c>
      <c r="J23" s="89" t="s">
        <v>432</v>
      </c>
      <c r="K23" s="89">
        <v>3102</v>
      </c>
      <c r="L23" s="89" t="s">
        <v>434</v>
      </c>
      <c r="M23" s="90">
        <v>60</v>
      </c>
      <c r="N23" s="90">
        <v>164</v>
      </c>
      <c r="O23" s="90">
        <v>208</v>
      </c>
      <c r="P23" s="90">
        <v>244</v>
      </c>
      <c r="T23" s="82">
        <v>129</v>
      </c>
      <c r="U23" s="82">
        <v>69</v>
      </c>
      <c r="V23" s="82">
        <v>-38</v>
      </c>
    </row>
    <row r="24" spans="2:22" ht="17.25" x14ac:dyDescent="0.25">
      <c r="B24" s="89" t="s">
        <v>432</v>
      </c>
      <c r="C24" s="89">
        <v>3103</v>
      </c>
      <c r="D24" s="89" t="s">
        <v>435</v>
      </c>
      <c r="E24" s="90">
        <v>76</v>
      </c>
      <c r="F24" s="90">
        <v>222</v>
      </c>
      <c r="G24" s="90">
        <v>267</v>
      </c>
      <c r="H24" s="90">
        <v>240</v>
      </c>
      <c r="J24" s="89" t="s">
        <v>432</v>
      </c>
      <c r="K24" s="89">
        <v>3103</v>
      </c>
      <c r="L24" s="89" t="s">
        <v>435</v>
      </c>
      <c r="M24" s="90">
        <v>87</v>
      </c>
      <c r="N24" s="90">
        <v>255</v>
      </c>
      <c r="O24" s="90">
        <v>307</v>
      </c>
      <c r="P24" s="90">
        <v>276</v>
      </c>
      <c r="T24" s="82">
        <v>191</v>
      </c>
      <c r="U24" s="82">
        <v>18</v>
      </c>
      <c r="V24" s="82">
        <v>-45</v>
      </c>
    </row>
    <row r="25" spans="2:22" ht="17.25" x14ac:dyDescent="0.25">
      <c r="B25" s="89" t="s">
        <v>432</v>
      </c>
      <c r="C25" s="89">
        <v>3104</v>
      </c>
      <c r="D25" s="89" t="s">
        <v>436</v>
      </c>
      <c r="E25" s="90">
        <v>100</v>
      </c>
      <c r="F25" s="90">
        <v>281</v>
      </c>
      <c r="G25" s="90">
        <v>336</v>
      </c>
      <c r="H25" s="90">
        <v>529</v>
      </c>
      <c r="J25" s="89" t="s">
        <v>432</v>
      </c>
      <c r="K25" s="89">
        <v>3104</v>
      </c>
      <c r="L25" s="89" t="s">
        <v>436</v>
      </c>
      <c r="M25" s="90">
        <v>115</v>
      </c>
      <c r="N25" s="90">
        <v>323</v>
      </c>
      <c r="O25" s="90">
        <v>386</v>
      </c>
      <c r="P25" s="90">
        <v>608</v>
      </c>
      <c r="T25" s="82">
        <v>236</v>
      </c>
      <c r="U25" s="82">
        <v>248</v>
      </c>
      <c r="V25" s="82">
        <v>-55</v>
      </c>
    </row>
    <row r="26" spans="2:22" ht="17.25" x14ac:dyDescent="0.25">
      <c r="B26" s="89" t="s">
        <v>432</v>
      </c>
      <c r="C26" s="89">
        <v>3105</v>
      </c>
      <c r="D26" s="89" t="s">
        <v>437</v>
      </c>
      <c r="E26" s="90">
        <v>125</v>
      </c>
      <c r="F26" s="90">
        <v>343</v>
      </c>
      <c r="G26" s="90">
        <v>246</v>
      </c>
      <c r="H26" s="90">
        <v>645</v>
      </c>
      <c r="J26" s="89" t="s">
        <v>432</v>
      </c>
      <c r="K26" s="89">
        <v>3105</v>
      </c>
      <c r="L26" s="89" t="s">
        <v>437</v>
      </c>
      <c r="M26" s="90">
        <v>144</v>
      </c>
      <c r="N26" s="90">
        <v>394</v>
      </c>
      <c r="O26" s="90">
        <v>283</v>
      </c>
      <c r="P26" s="90">
        <v>742</v>
      </c>
      <c r="T26" s="82">
        <v>121</v>
      </c>
      <c r="U26" s="82">
        <v>302</v>
      </c>
      <c r="V26" s="82">
        <v>97</v>
      </c>
    </row>
    <row r="27" spans="2:22" ht="17.25" x14ac:dyDescent="0.25">
      <c r="B27" s="89" t="s">
        <v>432</v>
      </c>
      <c r="C27" s="89">
        <v>3106</v>
      </c>
      <c r="D27" s="89" t="s">
        <v>462</v>
      </c>
      <c r="E27" s="90">
        <v>43</v>
      </c>
      <c r="F27" s="90">
        <v>130</v>
      </c>
      <c r="G27" s="90">
        <v>161</v>
      </c>
      <c r="H27" s="90">
        <v>208</v>
      </c>
      <c r="J27" s="89" t="s">
        <v>432</v>
      </c>
      <c r="K27" s="89">
        <v>3106</v>
      </c>
      <c r="L27" s="89" t="s">
        <v>462</v>
      </c>
      <c r="M27" s="90">
        <v>49</v>
      </c>
      <c r="N27" s="90">
        <v>150</v>
      </c>
      <c r="O27" s="90">
        <v>185</v>
      </c>
      <c r="P27" s="90">
        <v>239</v>
      </c>
      <c r="T27" s="82">
        <v>118</v>
      </c>
      <c r="U27" s="82">
        <v>78</v>
      </c>
      <c r="V27" s="82">
        <v>-31</v>
      </c>
    </row>
    <row r="28" spans="2:22" ht="17.25" x14ac:dyDescent="0.25">
      <c r="B28" s="89" t="s">
        <v>432</v>
      </c>
      <c r="C28" s="89">
        <v>3107</v>
      </c>
      <c r="D28" s="89" t="s">
        <v>426</v>
      </c>
      <c r="E28" s="90">
        <v>43</v>
      </c>
      <c r="F28" s="90">
        <v>130</v>
      </c>
      <c r="G28" s="90">
        <v>161</v>
      </c>
      <c r="H28" s="90">
        <v>185</v>
      </c>
      <c r="J28" s="89" t="s">
        <v>432</v>
      </c>
      <c r="K28" s="89">
        <v>3107</v>
      </c>
      <c r="L28" s="89" t="s">
        <v>426</v>
      </c>
      <c r="M28" s="90">
        <v>49</v>
      </c>
      <c r="N28" s="90">
        <v>150</v>
      </c>
      <c r="O28" s="90">
        <v>185</v>
      </c>
      <c r="P28" s="90">
        <v>213</v>
      </c>
      <c r="T28" s="82">
        <v>118</v>
      </c>
      <c r="U28" s="82">
        <v>55</v>
      </c>
      <c r="V28" s="82">
        <v>-31</v>
      </c>
    </row>
    <row r="29" spans="2:22" ht="17.25" x14ac:dyDescent="0.25">
      <c r="B29" s="89" t="s">
        <v>432</v>
      </c>
      <c r="C29" s="89">
        <v>3108</v>
      </c>
      <c r="D29" s="89" t="s">
        <v>439</v>
      </c>
      <c r="E29" s="90">
        <v>82</v>
      </c>
      <c r="F29" s="90">
        <v>216</v>
      </c>
      <c r="G29" s="90">
        <v>262</v>
      </c>
      <c r="H29" s="90">
        <v>245</v>
      </c>
      <c r="J29" s="89" t="s">
        <v>432</v>
      </c>
      <c r="K29" s="89">
        <v>3108</v>
      </c>
      <c r="L29" s="89" t="s">
        <v>439</v>
      </c>
      <c r="M29" s="90">
        <v>94</v>
      </c>
      <c r="N29" s="90">
        <v>248</v>
      </c>
      <c r="O29" s="90">
        <v>301</v>
      </c>
      <c r="P29" s="90">
        <v>282</v>
      </c>
      <c r="T29" s="82">
        <v>180</v>
      </c>
      <c r="U29" s="82">
        <v>29</v>
      </c>
      <c r="V29" s="82">
        <v>-46</v>
      </c>
    </row>
    <row r="30" spans="2:22" ht="17.25" x14ac:dyDescent="0.25">
      <c r="B30" s="89" t="s">
        <v>432</v>
      </c>
      <c r="C30" s="89">
        <v>3109</v>
      </c>
      <c r="D30" s="89" t="s">
        <v>440</v>
      </c>
      <c r="E30" s="90">
        <v>119</v>
      </c>
      <c r="F30" s="90">
        <v>300</v>
      </c>
      <c r="G30" s="90">
        <v>377</v>
      </c>
      <c r="H30" s="90">
        <v>307</v>
      </c>
      <c r="J30" s="89" t="s">
        <v>432</v>
      </c>
      <c r="K30" s="89">
        <v>3109</v>
      </c>
      <c r="L30" s="89" t="s">
        <v>440</v>
      </c>
      <c r="M30" s="90">
        <v>137</v>
      </c>
      <c r="N30" s="90">
        <v>345</v>
      </c>
      <c r="O30" s="90">
        <v>434</v>
      </c>
      <c r="P30" s="90">
        <v>353</v>
      </c>
      <c r="T30" s="82">
        <v>258</v>
      </c>
      <c r="U30" s="82">
        <v>7</v>
      </c>
      <c r="V30" s="82">
        <v>-77</v>
      </c>
    </row>
    <row r="31" spans="2:22" ht="17.25" x14ac:dyDescent="0.25">
      <c r="B31" s="89" t="s">
        <v>432</v>
      </c>
      <c r="C31" s="89">
        <v>3110</v>
      </c>
      <c r="D31" s="89" t="s">
        <v>441</v>
      </c>
      <c r="E31" s="90">
        <v>158</v>
      </c>
      <c r="F31" s="90">
        <v>400</v>
      </c>
      <c r="G31" s="90">
        <v>484</v>
      </c>
      <c r="H31" s="90">
        <v>752</v>
      </c>
      <c r="J31" s="89" t="s">
        <v>432</v>
      </c>
      <c r="K31" s="89">
        <v>3110</v>
      </c>
      <c r="L31" s="89" t="s">
        <v>441</v>
      </c>
      <c r="M31" s="90">
        <v>182</v>
      </c>
      <c r="N31" s="90">
        <v>460</v>
      </c>
      <c r="O31" s="90">
        <v>557</v>
      </c>
      <c r="P31" s="90">
        <v>865</v>
      </c>
      <c r="T31" s="82">
        <v>326</v>
      </c>
      <c r="U31" s="82">
        <v>352</v>
      </c>
      <c r="V31" s="82">
        <v>-84</v>
      </c>
    </row>
    <row r="32" spans="2:22" ht="17.25" x14ac:dyDescent="0.25">
      <c r="B32" s="89" t="s">
        <v>432</v>
      </c>
      <c r="C32" s="89">
        <v>3111</v>
      </c>
      <c r="D32" s="89" t="s">
        <v>442</v>
      </c>
      <c r="E32" s="90">
        <v>197</v>
      </c>
      <c r="F32" s="90">
        <v>467</v>
      </c>
      <c r="G32" s="90">
        <v>388</v>
      </c>
      <c r="H32" s="90">
        <v>879</v>
      </c>
      <c r="J32" s="89" t="s">
        <v>432</v>
      </c>
      <c r="K32" s="89">
        <v>3111</v>
      </c>
      <c r="L32" s="89" t="s">
        <v>442</v>
      </c>
      <c r="M32" s="90">
        <v>227</v>
      </c>
      <c r="N32" s="90">
        <v>537</v>
      </c>
      <c r="O32" s="90">
        <v>446</v>
      </c>
      <c r="P32" s="90">
        <v>1011</v>
      </c>
      <c r="T32" s="82">
        <v>191</v>
      </c>
      <c r="U32" s="82">
        <v>412</v>
      </c>
      <c r="V32" s="82">
        <v>79</v>
      </c>
    </row>
    <row r="33" spans="2:22" ht="17.25" x14ac:dyDescent="0.25">
      <c r="B33" s="89" t="s">
        <v>432</v>
      </c>
      <c r="C33" s="89">
        <v>3112</v>
      </c>
      <c r="D33" s="89" t="s">
        <v>609</v>
      </c>
      <c r="E33" s="90">
        <v>56</v>
      </c>
      <c r="F33" s="90">
        <v>144</v>
      </c>
      <c r="G33" s="90">
        <v>185</v>
      </c>
      <c r="H33" s="90">
        <v>212</v>
      </c>
      <c r="J33" s="89" t="s">
        <v>432</v>
      </c>
      <c r="K33" s="89">
        <v>3112</v>
      </c>
      <c r="L33" s="89" t="s">
        <v>609</v>
      </c>
      <c r="M33" s="90">
        <v>64</v>
      </c>
      <c r="N33" s="90">
        <v>166</v>
      </c>
      <c r="O33" s="90">
        <v>213</v>
      </c>
      <c r="P33" s="90">
        <v>244</v>
      </c>
      <c r="T33" s="82">
        <v>129</v>
      </c>
      <c r="U33" s="82">
        <v>68</v>
      </c>
      <c r="V33" s="82">
        <v>-41</v>
      </c>
    </row>
    <row r="34" spans="2:22" ht="17.25" x14ac:dyDescent="0.25">
      <c r="B34" s="89" t="s">
        <v>432</v>
      </c>
      <c r="C34" s="89">
        <v>3113</v>
      </c>
      <c r="D34" s="89" t="s">
        <v>610</v>
      </c>
      <c r="E34" s="90">
        <v>70</v>
      </c>
      <c r="F34" s="90">
        <v>174</v>
      </c>
      <c r="G34" s="90">
        <v>223</v>
      </c>
      <c r="H34" s="90">
        <v>229</v>
      </c>
      <c r="J34" s="89" t="s">
        <v>432</v>
      </c>
      <c r="K34" s="89">
        <v>3113</v>
      </c>
      <c r="L34" s="89" t="s">
        <v>610</v>
      </c>
      <c r="M34" s="90">
        <v>81</v>
      </c>
      <c r="N34" s="90">
        <v>200</v>
      </c>
      <c r="O34" s="90">
        <v>256</v>
      </c>
      <c r="P34" s="90">
        <v>263</v>
      </c>
      <c r="T34" s="82">
        <v>153</v>
      </c>
      <c r="U34" s="82">
        <v>55</v>
      </c>
      <c r="V34" s="82">
        <v>-49</v>
      </c>
    </row>
    <row r="35" spans="2:22" ht="17.25" x14ac:dyDescent="0.25">
      <c r="B35" s="89" t="s">
        <v>432</v>
      </c>
      <c r="C35" s="89">
        <v>3114</v>
      </c>
      <c r="D35" s="89" t="s">
        <v>611</v>
      </c>
      <c r="E35" s="90">
        <v>56</v>
      </c>
      <c r="F35" s="90">
        <v>144</v>
      </c>
      <c r="G35" s="90">
        <v>185</v>
      </c>
      <c r="H35" s="90">
        <v>190</v>
      </c>
      <c r="J35" s="89" t="s">
        <v>432</v>
      </c>
      <c r="K35" s="89">
        <v>3114</v>
      </c>
      <c r="L35" s="89" t="s">
        <v>611</v>
      </c>
      <c r="M35" s="90">
        <v>64</v>
      </c>
      <c r="N35" s="90">
        <v>166</v>
      </c>
      <c r="O35" s="90">
        <v>213</v>
      </c>
      <c r="P35" s="90">
        <v>219</v>
      </c>
      <c r="T35" s="82">
        <v>129</v>
      </c>
      <c r="U35" s="82">
        <v>46</v>
      </c>
      <c r="V35" s="82">
        <v>-41</v>
      </c>
    </row>
    <row r="36" spans="2:22" ht="17.25" x14ac:dyDescent="0.25">
      <c r="B36" s="89" t="s">
        <v>432</v>
      </c>
      <c r="C36" s="89">
        <v>3115</v>
      </c>
      <c r="D36" s="89" t="s">
        <v>612</v>
      </c>
      <c r="E36" s="91">
        <v>70</v>
      </c>
      <c r="F36" s="90">
        <v>174</v>
      </c>
      <c r="G36" s="90">
        <v>223</v>
      </c>
      <c r="H36" s="90">
        <v>209</v>
      </c>
      <c r="J36" s="89" t="s">
        <v>432</v>
      </c>
      <c r="K36" s="89">
        <v>3115</v>
      </c>
      <c r="L36" s="89" t="s">
        <v>612</v>
      </c>
      <c r="M36" s="91">
        <v>81</v>
      </c>
      <c r="N36" s="90">
        <v>200</v>
      </c>
      <c r="O36" s="90">
        <v>256</v>
      </c>
      <c r="P36" s="90">
        <v>240</v>
      </c>
      <c r="T36" s="82">
        <v>153</v>
      </c>
      <c r="U36" s="82">
        <v>35</v>
      </c>
      <c r="V36" s="82">
        <v>-49</v>
      </c>
    </row>
    <row r="37" spans="2:22" ht="17.25" x14ac:dyDescent="0.25">
      <c r="B37" s="89" t="s">
        <v>432</v>
      </c>
      <c r="C37" s="89">
        <v>3116</v>
      </c>
      <c r="D37" s="89" t="s">
        <v>613</v>
      </c>
      <c r="E37" s="91">
        <v>107</v>
      </c>
      <c r="F37" s="90">
        <v>277</v>
      </c>
      <c r="G37" s="90">
        <v>355</v>
      </c>
      <c r="H37" s="90">
        <v>268</v>
      </c>
      <c r="J37" s="89" t="s">
        <v>432</v>
      </c>
      <c r="K37" s="89">
        <v>3116</v>
      </c>
      <c r="L37" s="89" t="s">
        <v>613</v>
      </c>
      <c r="M37" s="91">
        <v>123</v>
      </c>
      <c r="N37" s="90">
        <v>319</v>
      </c>
      <c r="O37" s="90">
        <v>408</v>
      </c>
      <c r="P37" s="90">
        <v>308</v>
      </c>
      <c r="T37" s="82">
        <v>248</v>
      </c>
      <c r="U37" s="82">
        <v>-9</v>
      </c>
      <c r="V37" s="82">
        <v>-78</v>
      </c>
    </row>
    <row r="38" spans="2:22" ht="17.25" x14ac:dyDescent="0.25">
      <c r="B38" s="89" t="s">
        <v>432</v>
      </c>
      <c r="C38" s="89">
        <v>3117</v>
      </c>
      <c r="D38" s="89" t="s">
        <v>614</v>
      </c>
      <c r="E38" s="91">
        <v>134</v>
      </c>
      <c r="F38" s="90">
        <v>320</v>
      </c>
      <c r="G38" s="90">
        <v>406</v>
      </c>
      <c r="H38" s="90">
        <v>329</v>
      </c>
      <c r="J38" s="89" t="s">
        <v>432</v>
      </c>
      <c r="K38" s="89">
        <v>3117</v>
      </c>
      <c r="L38" s="89" t="s">
        <v>614</v>
      </c>
      <c r="M38" s="91">
        <v>154</v>
      </c>
      <c r="N38" s="90">
        <v>368</v>
      </c>
      <c r="O38" s="90">
        <v>467</v>
      </c>
      <c r="P38" s="90">
        <v>378</v>
      </c>
      <c r="T38" s="82">
        <v>272</v>
      </c>
      <c r="U38" s="82">
        <v>9</v>
      </c>
      <c r="V38" s="82">
        <v>-86</v>
      </c>
    </row>
    <row r="39" spans="2:22" ht="17.25" x14ac:dyDescent="0.25">
      <c r="B39" s="89" t="s">
        <v>432</v>
      </c>
      <c r="C39" s="89">
        <v>3118</v>
      </c>
      <c r="D39" s="89" t="s">
        <v>615</v>
      </c>
      <c r="E39" s="91">
        <v>161</v>
      </c>
      <c r="F39" s="90">
        <v>409</v>
      </c>
      <c r="G39" s="90">
        <v>517</v>
      </c>
      <c r="H39" s="90">
        <v>385</v>
      </c>
      <c r="J39" s="89" t="s">
        <v>432</v>
      </c>
      <c r="K39" s="89">
        <v>3118</v>
      </c>
      <c r="L39" s="89" t="s">
        <v>615</v>
      </c>
      <c r="M39" s="91">
        <v>185</v>
      </c>
      <c r="N39" s="90">
        <v>470</v>
      </c>
      <c r="O39" s="90">
        <v>595</v>
      </c>
      <c r="P39" s="90">
        <v>443</v>
      </c>
      <c r="T39" s="82">
        <v>356</v>
      </c>
      <c r="U39" s="82">
        <v>-24</v>
      </c>
      <c r="V39" s="82">
        <v>-108</v>
      </c>
    </row>
    <row r="40" spans="2:22" ht="17.25" x14ac:dyDescent="0.25">
      <c r="B40" s="89" t="s">
        <v>432</v>
      </c>
      <c r="C40" s="89">
        <v>3119</v>
      </c>
      <c r="D40" s="89" t="s">
        <v>616</v>
      </c>
      <c r="E40" s="91">
        <v>200</v>
      </c>
      <c r="F40" s="90">
        <v>474</v>
      </c>
      <c r="G40" s="90">
        <v>626</v>
      </c>
      <c r="H40" s="90">
        <v>431</v>
      </c>
      <c r="J40" s="89" t="s">
        <v>432</v>
      </c>
      <c r="K40" s="89">
        <v>3119</v>
      </c>
      <c r="L40" s="89" t="s">
        <v>616</v>
      </c>
      <c r="M40" s="91">
        <v>230</v>
      </c>
      <c r="N40" s="90">
        <v>545</v>
      </c>
      <c r="O40" s="90">
        <v>720</v>
      </c>
      <c r="P40" s="90">
        <v>496</v>
      </c>
      <c r="T40" s="82">
        <v>426</v>
      </c>
      <c r="U40" s="82">
        <v>-43</v>
      </c>
      <c r="V40" s="82">
        <v>-152</v>
      </c>
    </row>
    <row r="41" spans="2:22" ht="17.25" x14ac:dyDescent="0.25">
      <c r="B41" s="89" t="s">
        <v>432</v>
      </c>
      <c r="C41" s="89">
        <v>3120</v>
      </c>
      <c r="D41" s="89" t="s">
        <v>617</v>
      </c>
      <c r="E41" s="91">
        <v>211</v>
      </c>
      <c r="F41" s="90">
        <v>499</v>
      </c>
      <c r="G41" s="90">
        <v>630</v>
      </c>
      <c r="H41" s="90">
        <v>939</v>
      </c>
      <c r="J41" s="89" t="s">
        <v>432</v>
      </c>
      <c r="K41" s="89">
        <v>3120</v>
      </c>
      <c r="L41" s="89" t="s">
        <v>617</v>
      </c>
      <c r="M41" s="91">
        <v>243</v>
      </c>
      <c r="N41" s="90">
        <v>574</v>
      </c>
      <c r="O41" s="90">
        <v>725</v>
      </c>
      <c r="P41" s="90">
        <v>1080</v>
      </c>
      <c r="T41" s="82">
        <v>419</v>
      </c>
      <c r="U41" s="82">
        <v>440</v>
      </c>
      <c r="V41" s="82">
        <v>-131</v>
      </c>
    </row>
    <row r="42" spans="2:22" ht="17.25" x14ac:dyDescent="0.25">
      <c r="B42" s="89" t="s">
        <v>432</v>
      </c>
      <c r="C42" s="89">
        <v>3121</v>
      </c>
      <c r="D42" s="89" t="s">
        <v>618</v>
      </c>
      <c r="E42" s="91">
        <v>264</v>
      </c>
      <c r="F42" s="90">
        <v>616</v>
      </c>
      <c r="G42" s="90">
        <v>778</v>
      </c>
      <c r="H42" s="90">
        <v>1159</v>
      </c>
      <c r="J42" s="89" t="s">
        <v>432</v>
      </c>
      <c r="K42" s="89">
        <v>3121</v>
      </c>
      <c r="L42" s="89" t="s">
        <v>618</v>
      </c>
      <c r="M42" s="91">
        <v>304</v>
      </c>
      <c r="N42" s="90">
        <v>708</v>
      </c>
      <c r="O42" s="90">
        <v>895</v>
      </c>
      <c r="P42" s="90">
        <v>1333</v>
      </c>
      <c r="T42" s="82">
        <v>514</v>
      </c>
      <c r="U42" s="82">
        <v>543</v>
      </c>
      <c r="V42" s="82">
        <v>-162</v>
      </c>
    </row>
    <row r="43" spans="2:22" ht="17.25" x14ac:dyDescent="0.25">
      <c r="B43" s="89" t="s">
        <v>432</v>
      </c>
      <c r="C43" s="89">
        <v>3122</v>
      </c>
      <c r="D43" s="89" t="s">
        <v>619</v>
      </c>
      <c r="E43" s="91">
        <v>264</v>
      </c>
      <c r="F43" s="90">
        <v>612</v>
      </c>
      <c r="G43" s="90">
        <v>520</v>
      </c>
      <c r="H43" s="90">
        <v>1151</v>
      </c>
      <c r="J43" s="89" t="s">
        <v>432</v>
      </c>
      <c r="K43" s="89">
        <v>3122</v>
      </c>
      <c r="L43" s="89" t="s">
        <v>619</v>
      </c>
      <c r="M43" s="91">
        <v>304</v>
      </c>
      <c r="N43" s="90">
        <v>704</v>
      </c>
      <c r="O43" s="90">
        <v>598</v>
      </c>
      <c r="P43" s="90">
        <v>1324</v>
      </c>
      <c r="T43" s="82">
        <v>256</v>
      </c>
      <c r="U43" s="82">
        <v>539</v>
      </c>
      <c r="V43" s="82">
        <v>92</v>
      </c>
    </row>
    <row r="44" spans="2:22" ht="17.25" x14ac:dyDescent="0.25">
      <c r="B44" s="89" t="s">
        <v>432</v>
      </c>
      <c r="C44" s="89">
        <v>3123</v>
      </c>
      <c r="D44" s="89" t="s">
        <v>620</v>
      </c>
      <c r="E44" s="91">
        <v>329</v>
      </c>
      <c r="F44" s="90">
        <v>753</v>
      </c>
      <c r="G44" s="90">
        <v>648</v>
      </c>
      <c r="H44" s="90">
        <v>1417</v>
      </c>
      <c r="J44" s="89" t="s">
        <v>432</v>
      </c>
      <c r="K44" s="89">
        <v>3123</v>
      </c>
      <c r="L44" s="89" t="s">
        <v>620</v>
      </c>
      <c r="M44" s="91">
        <v>378</v>
      </c>
      <c r="N44" s="90">
        <v>866</v>
      </c>
      <c r="O44" s="90">
        <v>745</v>
      </c>
      <c r="P44" s="90">
        <v>1630</v>
      </c>
      <c r="T44" s="82">
        <v>319</v>
      </c>
      <c r="U44" s="82">
        <v>664</v>
      </c>
      <c r="V44" s="82">
        <v>105</v>
      </c>
    </row>
    <row r="45" spans="2:22" ht="17.25" x14ac:dyDescent="0.25">
      <c r="B45" s="89" t="s">
        <v>432</v>
      </c>
      <c r="C45" s="89">
        <v>3124</v>
      </c>
      <c r="D45" s="89" t="s">
        <v>427</v>
      </c>
      <c r="E45" s="91">
        <v>67</v>
      </c>
      <c r="F45" s="90">
        <v>183</v>
      </c>
      <c r="G45" s="90">
        <v>228</v>
      </c>
      <c r="H45" s="90">
        <v>191</v>
      </c>
      <c r="J45" s="89" t="s">
        <v>432</v>
      </c>
      <c r="K45" s="89">
        <v>3124</v>
      </c>
      <c r="L45" s="89" t="s">
        <v>427</v>
      </c>
      <c r="M45" s="91">
        <v>77</v>
      </c>
      <c r="N45" s="90">
        <v>210</v>
      </c>
      <c r="O45" s="90">
        <v>262</v>
      </c>
      <c r="P45" s="90">
        <v>220</v>
      </c>
      <c r="T45" s="82">
        <v>161</v>
      </c>
      <c r="U45" s="82">
        <v>8</v>
      </c>
      <c r="V45" s="82">
        <v>-45</v>
      </c>
    </row>
    <row r="46" spans="2:22" ht="17.25" x14ac:dyDescent="0.25">
      <c r="B46" s="89"/>
      <c r="C46" s="89"/>
      <c r="D46" s="89"/>
      <c r="E46" s="91"/>
      <c r="F46" s="90"/>
      <c r="G46" s="90"/>
      <c r="H46" s="90"/>
      <c r="J46" s="89"/>
      <c r="K46" s="89"/>
      <c r="L46" s="89"/>
      <c r="M46" s="91"/>
      <c r="N46" s="90"/>
      <c r="O46" s="90"/>
      <c r="P46" s="90"/>
      <c r="T46" s="82">
        <v>0</v>
      </c>
      <c r="U46" s="82">
        <v>0</v>
      </c>
      <c r="V46" s="82">
        <v>0</v>
      </c>
    </row>
    <row r="47" spans="2:22" ht="18" thickBot="1" x14ac:dyDescent="0.3">
      <c r="B47" s="85" t="s">
        <v>601</v>
      </c>
      <c r="C47" s="85" t="s">
        <v>602</v>
      </c>
      <c r="D47" s="85" t="s">
        <v>603</v>
      </c>
      <c r="E47" s="86" t="s">
        <v>541</v>
      </c>
      <c r="F47" s="86" t="s">
        <v>543</v>
      </c>
      <c r="G47" s="86" t="s">
        <v>542</v>
      </c>
      <c r="H47" s="86" t="s">
        <v>544</v>
      </c>
      <c r="J47" s="85" t="s">
        <v>601</v>
      </c>
      <c r="K47" s="85" t="s">
        <v>602</v>
      </c>
      <c r="L47" s="85" t="s">
        <v>603</v>
      </c>
      <c r="M47" s="86" t="s">
        <v>541</v>
      </c>
      <c r="N47" s="86" t="s">
        <v>543</v>
      </c>
      <c r="O47" s="86" t="s">
        <v>542</v>
      </c>
      <c r="P47" s="86" t="s">
        <v>544</v>
      </c>
      <c r="T47" s="82" t="s">
        <v>607</v>
      </c>
    </row>
    <row r="48" spans="2:22" ht="17.25" x14ac:dyDescent="0.25">
      <c r="B48" s="87" t="s">
        <v>78</v>
      </c>
      <c r="C48" s="87">
        <v>3302</v>
      </c>
      <c r="D48" s="87" t="s">
        <v>462</v>
      </c>
      <c r="E48" s="88">
        <v>43</v>
      </c>
      <c r="F48" s="88">
        <v>130</v>
      </c>
      <c r="G48" s="88">
        <v>161</v>
      </c>
      <c r="H48" s="88">
        <v>208</v>
      </c>
      <c r="J48" s="87" t="s">
        <v>443</v>
      </c>
      <c r="K48" s="87">
        <v>3302</v>
      </c>
      <c r="L48" s="87" t="s">
        <v>462</v>
      </c>
      <c r="M48" s="88">
        <v>49</v>
      </c>
      <c r="N48" s="88">
        <v>150</v>
      </c>
      <c r="O48" s="88">
        <v>185</v>
      </c>
      <c r="P48" s="88">
        <v>239</v>
      </c>
      <c r="T48" s="82">
        <v>118</v>
      </c>
      <c r="U48" s="82">
        <v>78</v>
      </c>
      <c r="V48" s="82">
        <v>-31</v>
      </c>
    </row>
    <row r="49" spans="2:22" ht="17.25" x14ac:dyDescent="0.25">
      <c r="B49" s="89" t="s">
        <v>78</v>
      </c>
      <c r="C49" s="89">
        <v>3303</v>
      </c>
      <c r="D49" s="89" t="s">
        <v>463</v>
      </c>
      <c r="E49" s="90">
        <v>56</v>
      </c>
      <c r="F49" s="90">
        <v>144</v>
      </c>
      <c r="G49" s="90">
        <v>185</v>
      </c>
      <c r="H49" s="90">
        <v>212</v>
      </c>
      <c r="J49" s="89" t="s">
        <v>443</v>
      </c>
      <c r="K49" s="89">
        <v>3303</v>
      </c>
      <c r="L49" s="89" t="s">
        <v>463</v>
      </c>
      <c r="M49" s="90">
        <v>64</v>
      </c>
      <c r="N49" s="90">
        <v>166</v>
      </c>
      <c r="O49" s="90">
        <v>213</v>
      </c>
      <c r="P49" s="90">
        <v>244</v>
      </c>
      <c r="T49" s="82">
        <v>129</v>
      </c>
      <c r="U49" s="82">
        <v>68</v>
      </c>
      <c r="V49" s="82">
        <v>-41</v>
      </c>
    </row>
    <row r="50" spans="2:22" ht="17.25" x14ac:dyDescent="0.25">
      <c r="B50" s="89" t="s">
        <v>78</v>
      </c>
      <c r="C50" s="89">
        <v>3304</v>
      </c>
      <c r="D50" s="89" t="s">
        <v>464</v>
      </c>
      <c r="E50" s="90">
        <v>70</v>
      </c>
      <c r="F50" s="90">
        <v>174</v>
      </c>
      <c r="G50" s="90">
        <v>223</v>
      </c>
      <c r="H50" s="90">
        <v>229</v>
      </c>
      <c r="J50" s="89" t="s">
        <v>443</v>
      </c>
      <c r="K50" s="89">
        <v>3304</v>
      </c>
      <c r="L50" s="89" t="s">
        <v>464</v>
      </c>
      <c r="M50" s="90">
        <v>81</v>
      </c>
      <c r="N50" s="90">
        <v>200</v>
      </c>
      <c r="O50" s="90">
        <v>256</v>
      </c>
      <c r="P50" s="90">
        <v>263</v>
      </c>
      <c r="T50" s="82">
        <v>153</v>
      </c>
      <c r="U50" s="82">
        <v>55</v>
      </c>
      <c r="V50" s="82">
        <v>-49</v>
      </c>
    </row>
    <row r="51" spans="2:22" ht="17.25" x14ac:dyDescent="0.25">
      <c r="B51" s="89" t="s">
        <v>78</v>
      </c>
      <c r="C51" s="89">
        <v>3305</v>
      </c>
      <c r="D51" s="89" t="s">
        <v>423</v>
      </c>
      <c r="E51" s="90">
        <v>34</v>
      </c>
      <c r="F51" s="90">
        <v>89</v>
      </c>
      <c r="G51" s="90">
        <v>114</v>
      </c>
      <c r="H51" s="90">
        <v>177</v>
      </c>
      <c r="J51" s="89" t="s">
        <v>443</v>
      </c>
      <c r="K51" s="89">
        <v>3305</v>
      </c>
      <c r="L51" s="89" t="s">
        <v>423</v>
      </c>
      <c r="M51" s="90">
        <v>39</v>
      </c>
      <c r="N51" s="90">
        <v>102</v>
      </c>
      <c r="O51" s="90">
        <v>131</v>
      </c>
      <c r="P51" s="90">
        <v>204</v>
      </c>
      <c r="T51" s="82">
        <v>80</v>
      </c>
      <c r="U51" s="82">
        <v>88</v>
      </c>
      <c r="V51" s="82">
        <v>-25</v>
      </c>
    </row>
    <row r="52" spans="2:22" ht="17.25" x14ac:dyDescent="0.25">
      <c r="B52" s="89" t="s">
        <v>78</v>
      </c>
      <c r="C52" s="89">
        <v>3306</v>
      </c>
      <c r="D52" s="89" t="s">
        <v>424</v>
      </c>
      <c r="E52" s="90">
        <v>34</v>
      </c>
      <c r="F52" s="90">
        <v>92</v>
      </c>
      <c r="G52" s="90">
        <v>121</v>
      </c>
      <c r="H52" s="90">
        <v>178</v>
      </c>
      <c r="J52" s="89" t="s">
        <v>443</v>
      </c>
      <c r="K52" s="89">
        <v>3306</v>
      </c>
      <c r="L52" s="89" t="s">
        <v>424</v>
      </c>
      <c r="M52" s="90">
        <v>39</v>
      </c>
      <c r="N52" s="90">
        <v>106</v>
      </c>
      <c r="O52" s="90">
        <v>139</v>
      </c>
      <c r="P52" s="90">
        <v>205</v>
      </c>
      <c r="T52" s="82">
        <v>87</v>
      </c>
      <c r="U52" s="82">
        <v>86</v>
      </c>
      <c r="V52" s="82">
        <v>-29</v>
      </c>
    </row>
    <row r="53" spans="2:22" ht="17.25" x14ac:dyDescent="0.25">
      <c r="B53" s="89" t="s">
        <v>78</v>
      </c>
      <c r="C53" s="89">
        <v>3307</v>
      </c>
      <c r="D53" s="89" t="s">
        <v>426</v>
      </c>
      <c r="E53" s="90">
        <v>43</v>
      </c>
      <c r="F53" s="90">
        <v>130</v>
      </c>
      <c r="G53" s="90">
        <v>161</v>
      </c>
      <c r="H53" s="90">
        <v>185</v>
      </c>
      <c r="J53" s="89" t="s">
        <v>443</v>
      </c>
      <c r="K53" s="89">
        <v>3307</v>
      </c>
      <c r="L53" s="89" t="s">
        <v>426</v>
      </c>
      <c r="M53" s="90">
        <v>49</v>
      </c>
      <c r="N53" s="90">
        <v>150</v>
      </c>
      <c r="O53" s="90">
        <v>185</v>
      </c>
      <c r="P53" s="90">
        <v>213</v>
      </c>
      <c r="T53" s="82">
        <v>118</v>
      </c>
      <c r="U53" s="82">
        <v>55</v>
      </c>
      <c r="V53" s="82">
        <v>-31</v>
      </c>
    </row>
    <row r="54" spans="2:22" ht="17.25" x14ac:dyDescent="0.25">
      <c r="B54" s="89" t="s">
        <v>78</v>
      </c>
      <c r="C54" s="89">
        <v>3308</v>
      </c>
      <c r="D54" s="89" t="s">
        <v>428</v>
      </c>
      <c r="E54" s="90">
        <v>56</v>
      </c>
      <c r="F54" s="90">
        <v>144</v>
      </c>
      <c r="G54" s="90">
        <v>185</v>
      </c>
      <c r="H54" s="90">
        <v>190</v>
      </c>
      <c r="J54" s="89" t="s">
        <v>443</v>
      </c>
      <c r="K54" s="89">
        <v>3308</v>
      </c>
      <c r="L54" s="89" t="s">
        <v>428</v>
      </c>
      <c r="M54" s="90">
        <v>64</v>
      </c>
      <c r="N54" s="90">
        <v>166</v>
      </c>
      <c r="O54" s="90">
        <v>213</v>
      </c>
      <c r="P54" s="90">
        <v>219</v>
      </c>
      <c r="T54" s="82">
        <v>129</v>
      </c>
      <c r="U54" s="82">
        <v>46</v>
      </c>
      <c r="V54" s="82">
        <v>-41</v>
      </c>
    </row>
    <row r="55" spans="2:22" ht="17.25" x14ac:dyDescent="0.25">
      <c r="B55" s="89" t="s">
        <v>78</v>
      </c>
      <c r="C55" s="89">
        <v>3309</v>
      </c>
      <c r="D55" s="89" t="s">
        <v>430</v>
      </c>
      <c r="E55" s="90">
        <v>70</v>
      </c>
      <c r="F55" s="90">
        <v>174</v>
      </c>
      <c r="G55" s="90">
        <v>223</v>
      </c>
      <c r="H55" s="90">
        <v>209</v>
      </c>
      <c r="J55" s="89" t="s">
        <v>443</v>
      </c>
      <c r="K55" s="89">
        <v>3309</v>
      </c>
      <c r="L55" s="89" t="s">
        <v>430</v>
      </c>
      <c r="M55" s="90">
        <v>81</v>
      </c>
      <c r="N55" s="90">
        <v>200</v>
      </c>
      <c r="O55" s="90">
        <v>256</v>
      </c>
      <c r="P55" s="90">
        <v>240</v>
      </c>
      <c r="T55" s="82">
        <v>153</v>
      </c>
      <c r="U55" s="82">
        <v>35</v>
      </c>
      <c r="V55" s="82">
        <v>-49</v>
      </c>
    </row>
    <row r="56" spans="2:22" ht="17.25" x14ac:dyDescent="0.25">
      <c r="B56" s="89" t="s">
        <v>78</v>
      </c>
      <c r="C56" s="89">
        <v>3310</v>
      </c>
      <c r="D56" s="89" t="s">
        <v>434</v>
      </c>
      <c r="E56" s="90">
        <v>52</v>
      </c>
      <c r="F56" s="90">
        <v>143</v>
      </c>
      <c r="G56" s="90">
        <v>181</v>
      </c>
      <c r="H56" s="90">
        <v>212</v>
      </c>
      <c r="J56" s="89" t="s">
        <v>443</v>
      </c>
      <c r="K56" s="89">
        <v>3310</v>
      </c>
      <c r="L56" s="89" t="s">
        <v>434</v>
      </c>
      <c r="M56" s="90">
        <v>60</v>
      </c>
      <c r="N56" s="90">
        <v>164</v>
      </c>
      <c r="O56" s="90">
        <v>208</v>
      </c>
      <c r="P56" s="90">
        <v>244</v>
      </c>
      <c r="T56" s="82">
        <v>129</v>
      </c>
      <c r="U56" s="82">
        <v>69</v>
      </c>
      <c r="V56" s="82">
        <v>-38</v>
      </c>
    </row>
    <row r="57" spans="2:22" ht="17.25" x14ac:dyDescent="0.25">
      <c r="B57" s="89" t="s">
        <v>78</v>
      </c>
      <c r="C57" s="89">
        <v>3311</v>
      </c>
      <c r="D57" s="89" t="s">
        <v>445</v>
      </c>
      <c r="E57" s="90">
        <v>60</v>
      </c>
      <c r="F57" s="90">
        <v>166</v>
      </c>
      <c r="G57" s="90">
        <v>212</v>
      </c>
      <c r="H57" s="90">
        <v>212</v>
      </c>
      <c r="J57" s="89" t="s">
        <v>443</v>
      </c>
      <c r="K57" s="89">
        <v>3311</v>
      </c>
      <c r="L57" s="89" t="s">
        <v>445</v>
      </c>
      <c r="M57" s="90">
        <v>69</v>
      </c>
      <c r="N57" s="90">
        <v>191</v>
      </c>
      <c r="O57" s="90">
        <v>244</v>
      </c>
      <c r="P57" s="90">
        <v>244</v>
      </c>
      <c r="T57" s="82">
        <v>152</v>
      </c>
      <c r="U57" s="82">
        <v>46</v>
      </c>
      <c r="V57" s="82">
        <v>-46</v>
      </c>
    </row>
    <row r="58" spans="2:22" ht="17.25" x14ac:dyDescent="0.25">
      <c r="B58" s="89" t="s">
        <v>78</v>
      </c>
      <c r="C58" s="89">
        <v>3312</v>
      </c>
      <c r="D58" s="89" t="s">
        <v>439</v>
      </c>
      <c r="E58" s="90">
        <v>82</v>
      </c>
      <c r="F58" s="90">
        <v>216</v>
      </c>
      <c r="G58" s="90">
        <v>262</v>
      </c>
      <c r="H58" s="90">
        <v>245</v>
      </c>
      <c r="J58" s="89" t="s">
        <v>443</v>
      </c>
      <c r="K58" s="89">
        <v>3312</v>
      </c>
      <c r="L58" s="89" t="s">
        <v>439</v>
      </c>
      <c r="M58" s="90">
        <v>94</v>
      </c>
      <c r="N58" s="90">
        <v>248</v>
      </c>
      <c r="O58" s="90">
        <v>301</v>
      </c>
      <c r="P58" s="90">
        <v>282</v>
      </c>
      <c r="T58" s="82">
        <v>180</v>
      </c>
      <c r="U58" s="82">
        <v>29</v>
      </c>
      <c r="V58" s="82">
        <v>-46</v>
      </c>
    </row>
    <row r="59" spans="2:22" ht="17.25" x14ac:dyDescent="0.25">
      <c r="B59" s="89" t="s">
        <v>78</v>
      </c>
      <c r="C59" s="89">
        <v>3313</v>
      </c>
      <c r="D59" s="89" t="s">
        <v>450</v>
      </c>
      <c r="E59" s="90">
        <v>107</v>
      </c>
      <c r="F59" s="90">
        <v>277</v>
      </c>
      <c r="G59" s="90">
        <v>355</v>
      </c>
      <c r="H59" s="90">
        <v>268</v>
      </c>
      <c r="J59" s="89" t="s">
        <v>443</v>
      </c>
      <c r="K59" s="89">
        <v>3313</v>
      </c>
      <c r="L59" s="89" t="s">
        <v>450</v>
      </c>
      <c r="M59" s="90">
        <v>123</v>
      </c>
      <c r="N59" s="90">
        <v>319</v>
      </c>
      <c r="O59" s="90">
        <v>408</v>
      </c>
      <c r="P59" s="90">
        <v>308</v>
      </c>
      <c r="T59" s="82">
        <v>248</v>
      </c>
      <c r="U59" s="82">
        <v>-9</v>
      </c>
      <c r="V59" s="82">
        <v>-78</v>
      </c>
    </row>
    <row r="60" spans="2:22" ht="17.25" x14ac:dyDescent="0.25">
      <c r="B60" s="89" t="s">
        <v>78</v>
      </c>
      <c r="C60" s="89">
        <v>3314</v>
      </c>
      <c r="D60" s="89" t="s">
        <v>455</v>
      </c>
      <c r="E60" s="90">
        <v>134</v>
      </c>
      <c r="F60" s="90">
        <v>320</v>
      </c>
      <c r="G60" s="90">
        <v>406</v>
      </c>
      <c r="H60" s="90">
        <v>329</v>
      </c>
      <c r="J60" s="89" t="s">
        <v>443</v>
      </c>
      <c r="K60" s="89">
        <v>3314</v>
      </c>
      <c r="L60" s="89" t="s">
        <v>455</v>
      </c>
      <c r="M60" s="90">
        <v>154</v>
      </c>
      <c r="N60" s="90">
        <v>368</v>
      </c>
      <c r="O60" s="90">
        <v>467</v>
      </c>
      <c r="P60" s="90">
        <v>378</v>
      </c>
      <c r="T60" s="82">
        <v>272</v>
      </c>
      <c r="U60" s="82">
        <v>9</v>
      </c>
      <c r="V60" s="82">
        <v>-86</v>
      </c>
    </row>
    <row r="61" spans="2:22" ht="17.25" x14ac:dyDescent="0.25">
      <c r="B61" s="89" t="s">
        <v>78</v>
      </c>
      <c r="C61" s="89">
        <v>3315</v>
      </c>
      <c r="D61" s="89" t="s">
        <v>435</v>
      </c>
      <c r="E61" s="90">
        <v>88</v>
      </c>
      <c r="F61" s="90">
        <v>222</v>
      </c>
      <c r="G61" s="90">
        <v>267</v>
      </c>
      <c r="H61" s="90">
        <v>240</v>
      </c>
      <c r="J61" s="89" t="s">
        <v>443</v>
      </c>
      <c r="K61" s="89">
        <v>3315</v>
      </c>
      <c r="L61" s="89" t="s">
        <v>435</v>
      </c>
      <c r="M61" s="90">
        <v>101</v>
      </c>
      <c r="N61" s="90">
        <v>255</v>
      </c>
      <c r="O61" s="90">
        <v>307</v>
      </c>
      <c r="P61" s="90">
        <v>276</v>
      </c>
      <c r="T61" s="82">
        <v>179</v>
      </c>
      <c r="U61" s="82">
        <v>18</v>
      </c>
      <c r="V61" s="82">
        <v>-45</v>
      </c>
    </row>
    <row r="62" spans="2:22" ht="17.25" x14ac:dyDescent="0.25">
      <c r="B62" s="89" t="s">
        <v>78</v>
      </c>
      <c r="C62" s="89">
        <v>3316</v>
      </c>
      <c r="D62" s="89" t="s">
        <v>446</v>
      </c>
      <c r="E62" s="90">
        <v>88</v>
      </c>
      <c r="F62" s="90">
        <v>241</v>
      </c>
      <c r="G62" s="90">
        <v>304</v>
      </c>
      <c r="H62" s="90">
        <v>259</v>
      </c>
      <c r="J62" s="89" t="s">
        <v>443</v>
      </c>
      <c r="K62" s="89">
        <v>3316</v>
      </c>
      <c r="L62" s="89" t="s">
        <v>446</v>
      </c>
      <c r="M62" s="90">
        <v>101</v>
      </c>
      <c r="N62" s="90">
        <v>277</v>
      </c>
      <c r="O62" s="90">
        <v>350</v>
      </c>
      <c r="P62" s="90">
        <v>298</v>
      </c>
      <c r="T62" s="82">
        <v>216</v>
      </c>
      <c r="U62" s="82">
        <v>18</v>
      </c>
      <c r="V62" s="82">
        <v>-63</v>
      </c>
    </row>
    <row r="63" spans="2:22" ht="17.25" x14ac:dyDescent="0.25">
      <c r="B63" s="89" t="s">
        <v>78</v>
      </c>
      <c r="C63" s="89">
        <v>3317</v>
      </c>
      <c r="D63" s="89" t="s">
        <v>440</v>
      </c>
      <c r="E63" s="91">
        <v>119</v>
      </c>
      <c r="F63" s="90">
        <v>300</v>
      </c>
      <c r="G63" s="90">
        <v>377</v>
      </c>
      <c r="H63" s="90">
        <v>307</v>
      </c>
      <c r="J63" s="89" t="s">
        <v>443</v>
      </c>
      <c r="K63" s="89">
        <v>3317</v>
      </c>
      <c r="L63" s="89" t="s">
        <v>440</v>
      </c>
      <c r="M63" s="91">
        <v>137</v>
      </c>
      <c r="N63" s="90">
        <v>345</v>
      </c>
      <c r="O63" s="90">
        <v>434</v>
      </c>
      <c r="P63" s="90">
        <v>353</v>
      </c>
      <c r="T63" s="82">
        <v>258</v>
      </c>
      <c r="U63" s="82">
        <v>7</v>
      </c>
      <c r="V63" s="82">
        <v>-77</v>
      </c>
    </row>
    <row r="64" spans="2:22" ht="17.25" x14ac:dyDescent="0.25">
      <c r="B64" s="89" t="s">
        <v>78</v>
      </c>
      <c r="C64" s="89">
        <v>3318</v>
      </c>
      <c r="D64" s="89" t="s">
        <v>451</v>
      </c>
      <c r="E64" s="91">
        <v>161</v>
      </c>
      <c r="F64" s="90">
        <v>409</v>
      </c>
      <c r="G64" s="90">
        <v>517</v>
      </c>
      <c r="H64" s="90">
        <v>385</v>
      </c>
      <c r="J64" s="89" t="s">
        <v>443</v>
      </c>
      <c r="K64" s="89">
        <v>3318</v>
      </c>
      <c r="L64" s="89" t="s">
        <v>451</v>
      </c>
      <c r="M64" s="91">
        <v>185</v>
      </c>
      <c r="N64" s="90">
        <v>470</v>
      </c>
      <c r="O64" s="90">
        <v>595</v>
      </c>
      <c r="P64" s="90">
        <v>443</v>
      </c>
      <c r="T64" s="82">
        <v>356</v>
      </c>
      <c r="U64" s="82">
        <v>-24</v>
      </c>
      <c r="V64" s="82">
        <v>-108</v>
      </c>
    </row>
    <row r="65" spans="2:22" ht="17.25" x14ac:dyDescent="0.25">
      <c r="B65" s="89" t="s">
        <v>78</v>
      </c>
      <c r="C65" s="89">
        <v>3319</v>
      </c>
      <c r="D65" s="89" t="s">
        <v>456</v>
      </c>
      <c r="E65" s="91">
        <v>200</v>
      </c>
      <c r="F65" s="90">
        <v>474</v>
      </c>
      <c r="G65" s="90">
        <v>626</v>
      </c>
      <c r="H65" s="90">
        <v>431</v>
      </c>
      <c r="J65" s="89" t="s">
        <v>443</v>
      </c>
      <c r="K65" s="89">
        <v>3319</v>
      </c>
      <c r="L65" s="89" t="s">
        <v>456</v>
      </c>
      <c r="M65" s="91">
        <v>230</v>
      </c>
      <c r="N65" s="90">
        <v>545</v>
      </c>
      <c r="O65" s="90">
        <v>720</v>
      </c>
      <c r="P65" s="90">
        <v>496</v>
      </c>
      <c r="T65" s="82">
        <v>426</v>
      </c>
      <c r="U65" s="82">
        <v>-43</v>
      </c>
      <c r="V65" s="82">
        <v>-152</v>
      </c>
    </row>
    <row r="66" spans="2:22" ht="17.25" x14ac:dyDescent="0.25">
      <c r="B66" s="89" t="s">
        <v>78</v>
      </c>
      <c r="C66" s="89">
        <v>3320</v>
      </c>
      <c r="D66" s="89" t="s">
        <v>436</v>
      </c>
      <c r="E66" s="91">
        <v>100</v>
      </c>
      <c r="F66" s="90">
        <v>281</v>
      </c>
      <c r="G66" s="90">
        <v>336</v>
      </c>
      <c r="H66" s="90">
        <v>529</v>
      </c>
      <c r="J66" s="89" t="s">
        <v>443</v>
      </c>
      <c r="K66" s="89">
        <v>3320</v>
      </c>
      <c r="L66" s="89" t="s">
        <v>436</v>
      </c>
      <c r="M66" s="91">
        <v>115</v>
      </c>
      <c r="N66" s="90">
        <v>323</v>
      </c>
      <c r="O66" s="90">
        <v>386</v>
      </c>
      <c r="P66" s="90">
        <v>608</v>
      </c>
      <c r="T66" s="82">
        <v>236</v>
      </c>
      <c r="U66" s="82">
        <v>248</v>
      </c>
      <c r="V66" s="82">
        <v>-55</v>
      </c>
    </row>
    <row r="67" spans="2:22" ht="17.25" x14ac:dyDescent="0.25">
      <c r="B67" s="89" t="s">
        <v>78</v>
      </c>
      <c r="C67" s="89">
        <v>3321</v>
      </c>
      <c r="D67" s="89" t="s">
        <v>447</v>
      </c>
      <c r="E67" s="91">
        <v>115</v>
      </c>
      <c r="F67" s="90">
        <v>291</v>
      </c>
      <c r="G67" s="90">
        <v>365</v>
      </c>
      <c r="H67" s="90">
        <v>547</v>
      </c>
      <c r="J67" s="89" t="s">
        <v>443</v>
      </c>
      <c r="K67" s="89">
        <v>3321</v>
      </c>
      <c r="L67" s="89" t="s">
        <v>447</v>
      </c>
      <c r="M67" s="91">
        <v>132</v>
      </c>
      <c r="N67" s="90">
        <v>335</v>
      </c>
      <c r="O67" s="90">
        <v>420</v>
      </c>
      <c r="P67" s="90">
        <v>629</v>
      </c>
      <c r="T67" s="82">
        <v>250</v>
      </c>
      <c r="U67" s="82">
        <v>256</v>
      </c>
      <c r="V67" s="82">
        <v>-74</v>
      </c>
    </row>
    <row r="68" spans="2:22" ht="17.25" x14ac:dyDescent="0.25">
      <c r="B68" s="89" t="s">
        <v>78</v>
      </c>
      <c r="C68" s="89">
        <v>3322</v>
      </c>
      <c r="D68" s="89" t="s">
        <v>441</v>
      </c>
      <c r="E68" s="91">
        <v>158</v>
      </c>
      <c r="F68" s="90">
        <v>400</v>
      </c>
      <c r="G68" s="90">
        <v>484</v>
      </c>
      <c r="H68" s="90">
        <v>752</v>
      </c>
      <c r="J68" s="89" t="s">
        <v>443</v>
      </c>
      <c r="K68" s="89">
        <v>3322</v>
      </c>
      <c r="L68" s="89" t="s">
        <v>441</v>
      </c>
      <c r="M68" s="91">
        <v>182</v>
      </c>
      <c r="N68" s="90">
        <v>460</v>
      </c>
      <c r="O68" s="90">
        <v>557</v>
      </c>
      <c r="P68" s="90">
        <v>865</v>
      </c>
      <c r="T68" s="82">
        <v>326</v>
      </c>
      <c r="U68" s="82">
        <v>352</v>
      </c>
      <c r="V68" s="82">
        <v>-84</v>
      </c>
    </row>
    <row r="69" spans="2:22" ht="17.25" x14ac:dyDescent="0.25">
      <c r="B69" s="89" t="s">
        <v>78</v>
      </c>
      <c r="C69" s="89">
        <v>3323</v>
      </c>
      <c r="D69" s="89" t="s">
        <v>452</v>
      </c>
      <c r="E69" s="91">
        <v>211</v>
      </c>
      <c r="F69" s="90">
        <v>499</v>
      </c>
      <c r="G69" s="90">
        <v>630</v>
      </c>
      <c r="H69" s="90">
        <v>939</v>
      </c>
      <c r="J69" s="89" t="s">
        <v>443</v>
      </c>
      <c r="K69" s="89">
        <v>3323</v>
      </c>
      <c r="L69" s="89" t="s">
        <v>452</v>
      </c>
      <c r="M69" s="91">
        <v>243</v>
      </c>
      <c r="N69" s="90">
        <v>574</v>
      </c>
      <c r="O69" s="90">
        <v>725</v>
      </c>
      <c r="P69" s="90">
        <v>1080</v>
      </c>
      <c r="T69" s="82">
        <v>419</v>
      </c>
      <c r="U69" s="82">
        <v>440</v>
      </c>
      <c r="V69" s="82">
        <v>-131</v>
      </c>
    </row>
    <row r="70" spans="2:22" ht="17.25" x14ac:dyDescent="0.25">
      <c r="B70" s="89" t="s">
        <v>78</v>
      </c>
      <c r="C70" s="89">
        <v>3324</v>
      </c>
      <c r="D70" s="89" t="s">
        <v>457</v>
      </c>
      <c r="E70" s="91">
        <v>264</v>
      </c>
      <c r="F70" s="90">
        <v>616</v>
      </c>
      <c r="G70" s="90">
        <v>778</v>
      </c>
      <c r="H70" s="90">
        <v>1159</v>
      </c>
      <c r="J70" s="89" t="s">
        <v>443</v>
      </c>
      <c r="K70" s="89">
        <v>3324</v>
      </c>
      <c r="L70" s="89" t="s">
        <v>457</v>
      </c>
      <c r="M70" s="91">
        <v>304</v>
      </c>
      <c r="N70" s="90">
        <v>708</v>
      </c>
      <c r="O70" s="90">
        <v>895</v>
      </c>
      <c r="P70" s="90">
        <v>1333</v>
      </c>
      <c r="T70" s="82">
        <v>514</v>
      </c>
      <c r="U70" s="82">
        <v>543</v>
      </c>
      <c r="V70" s="82">
        <v>-162</v>
      </c>
    </row>
    <row r="71" spans="2:22" ht="17.25" x14ac:dyDescent="0.25">
      <c r="B71" s="89" t="s">
        <v>78</v>
      </c>
      <c r="C71" s="89">
        <v>3325</v>
      </c>
      <c r="D71" s="89" t="s">
        <v>437</v>
      </c>
      <c r="E71" s="91">
        <v>125</v>
      </c>
      <c r="F71" s="90">
        <v>343</v>
      </c>
      <c r="G71" s="90">
        <v>246</v>
      </c>
      <c r="H71" s="90">
        <v>645</v>
      </c>
      <c r="J71" s="89" t="s">
        <v>443</v>
      </c>
      <c r="K71" s="89">
        <v>3325</v>
      </c>
      <c r="L71" s="89" t="s">
        <v>437</v>
      </c>
      <c r="M71" s="91">
        <v>144</v>
      </c>
      <c r="N71" s="90">
        <v>394</v>
      </c>
      <c r="O71" s="90">
        <v>283</v>
      </c>
      <c r="P71" s="90">
        <v>742</v>
      </c>
      <c r="T71" s="82">
        <v>121</v>
      </c>
      <c r="U71" s="82">
        <v>302</v>
      </c>
      <c r="V71" s="82">
        <v>97</v>
      </c>
    </row>
    <row r="72" spans="2:22" ht="17.25" x14ac:dyDescent="0.25">
      <c r="B72" s="89" t="s">
        <v>78</v>
      </c>
      <c r="C72" s="89">
        <v>3326</v>
      </c>
      <c r="D72" s="89" t="s">
        <v>448</v>
      </c>
      <c r="E72" s="91">
        <v>143</v>
      </c>
      <c r="F72" s="90">
        <v>350</v>
      </c>
      <c r="G72" s="90">
        <v>281</v>
      </c>
      <c r="H72" s="90">
        <v>658</v>
      </c>
      <c r="J72" s="89" t="s">
        <v>443</v>
      </c>
      <c r="K72" s="89">
        <v>3326</v>
      </c>
      <c r="L72" s="89" t="s">
        <v>448</v>
      </c>
      <c r="M72" s="91">
        <v>164</v>
      </c>
      <c r="N72" s="90">
        <v>403</v>
      </c>
      <c r="O72" s="90">
        <v>323</v>
      </c>
      <c r="P72" s="90">
        <v>757</v>
      </c>
      <c r="T72" s="82">
        <v>138</v>
      </c>
      <c r="U72" s="82">
        <v>308</v>
      </c>
      <c r="V72" s="82">
        <v>69</v>
      </c>
    </row>
    <row r="73" spans="2:22" ht="17.25" x14ac:dyDescent="0.25">
      <c r="B73" s="89" t="s">
        <v>78</v>
      </c>
      <c r="C73" s="89">
        <v>3327</v>
      </c>
      <c r="D73" s="89" t="s">
        <v>442</v>
      </c>
      <c r="E73" s="91">
        <v>197</v>
      </c>
      <c r="F73" s="90">
        <v>467</v>
      </c>
      <c r="G73" s="90">
        <v>388</v>
      </c>
      <c r="H73" s="90">
        <v>879</v>
      </c>
      <c r="J73" s="89" t="s">
        <v>443</v>
      </c>
      <c r="K73" s="89">
        <v>3327</v>
      </c>
      <c r="L73" s="89" t="s">
        <v>442</v>
      </c>
      <c r="M73" s="91">
        <v>227</v>
      </c>
      <c r="N73" s="90">
        <v>537</v>
      </c>
      <c r="O73" s="90">
        <v>446</v>
      </c>
      <c r="P73" s="90">
        <v>1011</v>
      </c>
      <c r="T73" s="82">
        <v>191</v>
      </c>
      <c r="U73" s="82">
        <v>412</v>
      </c>
      <c r="V73" s="82">
        <v>79</v>
      </c>
    </row>
    <row r="74" spans="2:22" ht="17.25" x14ac:dyDescent="0.25">
      <c r="B74" s="89" t="s">
        <v>78</v>
      </c>
      <c r="C74" s="89">
        <v>3328</v>
      </c>
      <c r="D74" s="89" t="s">
        <v>453</v>
      </c>
      <c r="E74" s="91">
        <v>264</v>
      </c>
      <c r="F74" s="90">
        <v>612</v>
      </c>
      <c r="G74" s="90">
        <v>520</v>
      </c>
      <c r="H74" s="90">
        <v>1151</v>
      </c>
      <c r="J74" s="89" t="s">
        <v>443</v>
      </c>
      <c r="K74" s="89">
        <v>3328</v>
      </c>
      <c r="L74" s="89" t="s">
        <v>453</v>
      </c>
      <c r="M74" s="91">
        <v>304</v>
      </c>
      <c r="N74" s="90">
        <v>704</v>
      </c>
      <c r="O74" s="90">
        <v>598</v>
      </c>
      <c r="P74" s="90">
        <v>1324</v>
      </c>
      <c r="T74" s="82">
        <v>256</v>
      </c>
      <c r="U74" s="82">
        <v>539</v>
      </c>
      <c r="V74" s="82">
        <v>92</v>
      </c>
    </row>
    <row r="75" spans="2:22" ht="17.25" x14ac:dyDescent="0.25">
      <c r="B75" s="89" t="s">
        <v>78</v>
      </c>
      <c r="C75" s="89">
        <v>3329</v>
      </c>
      <c r="D75" s="89" t="s">
        <v>458</v>
      </c>
      <c r="E75" s="91">
        <v>329</v>
      </c>
      <c r="F75" s="90">
        <v>753</v>
      </c>
      <c r="G75" s="90">
        <v>648</v>
      </c>
      <c r="H75" s="90">
        <v>1417</v>
      </c>
      <c r="J75" s="89" t="s">
        <v>443</v>
      </c>
      <c r="K75" s="89">
        <v>3329</v>
      </c>
      <c r="L75" s="89" t="s">
        <v>458</v>
      </c>
      <c r="M75" s="91">
        <v>378</v>
      </c>
      <c r="N75" s="90">
        <v>866</v>
      </c>
      <c r="O75" s="90">
        <v>745</v>
      </c>
      <c r="P75" s="90">
        <v>1630</v>
      </c>
      <c r="T75" s="82">
        <v>319</v>
      </c>
      <c r="U75" s="82">
        <v>664</v>
      </c>
      <c r="V75" s="82">
        <v>105</v>
      </c>
    </row>
    <row r="76" spans="2:22" x14ac:dyDescent="0.25">
      <c r="T76" s="82">
        <v>0</v>
      </c>
      <c r="U76" s="82">
        <v>0</v>
      </c>
      <c r="V76" s="82">
        <v>0</v>
      </c>
    </row>
    <row r="77" spans="2:22" ht="18" thickBot="1" x14ac:dyDescent="0.3">
      <c r="B77" s="85" t="s">
        <v>601</v>
      </c>
      <c r="C77" s="85" t="s">
        <v>602</v>
      </c>
      <c r="D77" s="85" t="s">
        <v>603</v>
      </c>
      <c r="E77" s="86" t="s">
        <v>541</v>
      </c>
      <c r="F77" s="86" t="s">
        <v>543</v>
      </c>
      <c r="G77" s="86" t="s">
        <v>542</v>
      </c>
      <c r="H77" s="86" t="s">
        <v>544</v>
      </c>
      <c r="J77" s="85" t="s">
        <v>601</v>
      </c>
      <c r="K77" s="85" t="s">
        <v>602</v>
      </c>
      <c r="L77" s="85" t="s">
        <v>603</v>
      </c>
      <c r="M77" s="86" t="s">
        <v>541</v>
      </c>
      <c r="N77" s="86" t="s">
        <v>543</v>
      </c>
      <c r="O77" s="86" t="s">
        <v>542</v>
      </c>
      <c r="P77" s="86" t="s">
        <v>544</v>
      </c>
      <c r="T77" s="82" t="s">
        <v>607</v>
      </c>
    </row>
    <row r="78" spans="2:22" ht="17.25" x14ac:dyDescent="0.25">
      <c r="B78" s="87" t="s">
        <v>621</v>
      </c>
      <c r="C78" s="87">
        <v>3700</v>
      </c>
      <c r="D78" s="87" t="s">
        <v>423</v>
      </c>
      <c r="E78" s="91">
        <v>34</v>
      </c>
      <c r="F78" s="88">
        <v>89</v>
      </c>
      <c r="G78" s="88">
        <v>114</v>
      </c>
      <c r="H78" s="88">
        <v>177</v>
      </c>
      <c r="J78" s="87" t="s">
        <v>621</v>
      </c>
      <c r="K78" s="87">
        <v>3700</v>
      </c>
      <c r="L78" s="87" t="s">
        <v>423</v>
      </c>
      <c r="M78" s="88">
        <v>39</v>
      </c>
      <c r="N78" s="88">
        <v>102</v>
      </c>
      <c r="O78" s="88">
        <v>131</v>
      </c>
      <c r="P78" s="88">
        <v>204</v>
      </c>
      <c r="T78" s="82">
        <v>80</v>
      </c>
      <c r="U78" s="82">
        <v>88</v>
      </c>
      <c r="V78" s="82">
        <v>-25</v>
      </c>
    </row>
    <row r="79" spans="2:22" ht="17.25" x14ac:dyDescent="0.25">
      <c r="B79" s="89" t="s">
        <v>621</v>
      </c>
      <c r="C79" s="89">
        <v>3701</v>
      </c>
      <c r="D79" s="89" t="s">
        <v>424</v>
      </c>
      <c r="E79" s="90">
        <v>34</v>
      </c>
      <c r="F79" s="90">
        <v>92</v>
      </c>
      <c r="G79" s="90">
        <v>121</v>
      </c>
      <c r="H79" s="90">
        <v>178</v>
      </c>
      <c r="J79" s="89" t="s">
        <v>621</v>
      </c>
      <c r="K79" s="89">
        <v>3701</v>
      </c>
      <c r="L79" s="89" t="s">
        <v>424</v>
      </c>
      <c r="M79" s="90">
        <v>39</v>
      </c>
      <c r="N79" s="90">
        <v>106</v>
      </c>
      <c r="O79" s="90">
        <v>139</v>
      </c>
      <c r="P79" s="90">
        <v>205</v>
      </c>
      <c r="T79" s="82">
        <v>87</v>
      </c>
      <c r="U79" s="82">
        <v>86</v>
      </c>
      <c r="V79" s="82">
        <v>-29</v>
      </c>
    </row>
    <row r="80" spans="2:22" ht="17.25" x14ac:dyDescent="0.25">
      <c r="B80" s="89" t="s">
        <v>621</v>
      </c>
      <c r="C80" s="89">
        <v>3702</v>
      </c>
      <c r="D80" s="89" t="s">
        <v>426</v>
      </c>
      <c r="E80" s="90">
        <v>43</v>
      </c>
      <c r="F80" s="90">
        <v>130</v>
      </c>
      <c r="G80" s="90">
        <v>161</v>
      </c>
      <c r="H80" s="90">
        <v>185</v>
      </c>
      <c r="J80" s="89" t="s">
        <v>621</v>
      </c>
      <c r="K80" s="89">
        <v>3702</v>
      </c>
      <c r="L80" s="89" t="s">
        <v>426</v>
      </c>
      <c r="M80" s="90">
        <v>49</v>
      </c>
      <c r="N80" s="90">
        <v>150</v>
      </c>
      <c r="O80" s="90">
        <v>185</v>
      </c>
      <c r="P80" s="90">
        <v>213</v>
      </c>
      <c r="T80" s="82">
        <v>118</v>
      </c>
      <c r="U80" s="82">
        <v>55</v>
      </c>
      <c r="V80" s="82">
        <v>-31</v>
      </c>
    </row>
    <row r="81" spans="2:22" ht="17.25" x14ac:dyDescent="0.25">
      <c r="B81" s="89" t="s">
        <v>621</v>
      </c>
      <c r="C81" s="89">
        <v>3703</v>
      </c>
      <c r="D81" s="89" t="s">
        <v>428</v>
      </c>
      <c r="E81" s="90">
        <v>56</v>
      </c>
      <c r="F81" s="90">
        <v>144</v>
      </c>
      <c r="G81" s="90">
        <v>185</v>
      </c>
      <c r="H81" s="90">
        <v>190</v>
      </c>
      <c r="J81" s="89" t="s">
        <v>621</v>
      </c>
      <c r="K81" s="89">
        <v>3703</v>
      </c>
      <c r="L81" s="89" t="s">
        <v>428</v>
      </c>
      <c r="M81" s="90">
        <v>64</v>
      </c>
      <c r="N81" s="90">
        <v>166</v>
      </c>
      <c r="O81" s="90">
        <v>213</v>
      </c>
      <c r="P81" s="90">
        <v>219</v>
      </c>
      <c r="T81" s="82">
        <v>129</v>
      </c>
      <c r="U81" s="82">
        <v>46</v>
      </c>
      <c r="V81" s="82">
        <v>-41</v>
      </c>
    </row>
    <row r="82" spans="2:22" ht="17.25" x14ac:dyDescent="0.25">
      <c r="B82" s="89" t="s">
        <v>621</v>
      </c>
      <c r="C82" s="89">
        <v>3704</v>
      </c>
      <c r="D82" s="89" t="s">
        <v>430</v>
      </c>
      <c r="E82" s="90">
        <v>70</v>
      </c>
      <c r="F82" s="90">
        <v>174</v>
      </c>
      <c r="G82" s="90">
        <v>223</v>
      </c>
      <c r="H82" s="90">
        <v>209</v>
      </c>
      <c r="J82" s="89" t="s">
        <v>621</v>
      </c>
      <c r="K82" s="89">
        <v>3704</v>
      </c>
      <c r="L82" s="89" t="s">
        <v>430</v>
      </c>
      <c r="M82" s="90">
        <v>81</v>
      </c>
      <c r="N82" s="90">
        <v>200</v>
      </c>
      <c r="O82" s="90">
        <v>256</v>
      </c>
      <c r="P82" s="90">
        <v>240</v>
      </c>
      <c r="T82" s="82">
        <v>153</v>
      </c>
      <c r="U82" s="82">
        <v>35</v>
      </c>
      <c r="V82" s="82">
        <v>-49</v>
      </c>
    </row>
    <row r="83" spans="2:22" ht="17.25" x14ac:dyDescent="0.25">
      <c r="B83" s="89" t="s">
        <v>621</v>
      </c>
      <c r="C83" s="89">
        <v>3705</v>
      </c>
      <c r="D83" s="89" t="s">
        <v>604</v>
      </c>
      <c r="E83" s="90">
        <v>43</v>
      </c>
      <c r="F83" s="90">
        <v>130</v>
      </c>
      <c r="G83" s="90">
        <v>161</v>
      </c>
      <c r="H83" s="90">
        <v>185</v>
      </c>
      <c r="J83" s="89" t="s">
        <v>621</v>
      </c>
      <c r="K83" s="89">
        <v>3705</v>
      </c>
      <c r="L83" s="89" t="s">
        <v>604</v>
      </c>
      <c r="M83" s="90">
        <v>49</v>
      </c>
      <c r="N83" s="90">
        <v>150</v>
      </c>
      <c r="O83" s="90">
        <v>185</v>
      </c>
      <c r="P83" s="90">
        <v>213</v>
      </c>
      <c r="T83" s="82">
        <v>118</v>
      </c>
      <c r="U83" s="82">
        <v>55</v>
      </c>
      <c r="V83" s="82">
        <v>-31</v>
      </c>
    </row>
    <row r="84" spans="2:22" ht="17.25" x14ac:dyDescent="0.25">
      <c r="B84" s="89" t="s">
        <v>621</v>
      </c>
      <c r="C84" s="89">
        <v>3706</v>
      </c>
      <c r="D84" s="89" t="s">
        <v>425</v>
      </c>
      <c r="E84" s="90">
        <v>49</v>
      </c>
      <c r="F84" s="90">
        <v>147</v>
      </c>
      <c r="G84" s="90">
        <v>181</v>
      </c>
      <c r="H84" s="90">
        <v>186</v>
      </c>
      <c r="J84" s="89" t="s">
        <v>621</v>
      </c>
      <c r="K84" s="89">
        <v>3706</v>
      </c>
      <c r="L84" s="89" t="s">
        <v>425</v>
      </c>
      <c r="M84" s="90">
        <v>56</v>
      </c>
      <c r="N84" s="90">
        <v>169</v>
      </c>
      <c r="O84" s="90">
        <v>208</v>
      </c>
      <c r="P84" s="90">
        <v>214</v>
      </c>
      <c r="T84" s="82">
        <v>132</v>
      </c>
      <c r="U84" s="82">
        <v>39</v>
      </c>
      <c r="V84" s="82">
        <v>-34</v>
      </c>
    </row>
    <row r="85" spans="2:22" ht="17.25" x14ac:dyDescent="0.25">
      <c r="B85" s="89" t="s">
        <v>621</v>
      </c>
      <c r="C85" s="89">
        <v>3707</v>
      </c>
      <c r="D85" s="89" t="s">
        <v>427</v>
      </c>
      <c r="E85" s="90">
        <v>67</v>
      </c>
      <c r="F85" s="90">
        <v>183</v>
      </c>
      <c r="G85" s="90">
        <v>228</v>
      </c>
      <c r="H85" s="90">
        <v>191</v>
      </c>
      <c r="J85" s="89" t="s">
        <v>621</v>
      </c>
      <c r="K85" s="89">
        <v>3707</v>
      </c>
      <c r="L85" s="89" t="s">
        <v>427</v>
      </c>
      <c r="M85" s="90">
        <v>77</v>
      </c>
      <c r="N85" s="90">
        <v>210</v>
      </c>
      <c r="O85" s="90">
        <v>262</v>
      </c>
      <c r="P85" s="90">
        <v>220</v>
      </c>
      <c r="T85" s="82">
        <v>161</v>
      </c>
      <c r="U85" s="82">
        <v>8</v>
      </c>
      <c r="V85" s="82">
        <v>-45</v>
      </c>
    </row>
    <row r="86" spans="2:22" ht="17.25" x14ac:dyDescent="0.25">
      <c r="B86" s="89" t="s">
        <v>621</v>
      </c>
      <c r="C86" s="89">
        <v>3708</v>
      </c>
      <c r="D86" s="89" t="s">
        <v>429</v>
      </c>
      <c r="E86" s="90">
        <v>87</v>
      </c>
      <c r="F86" s="90">
        <v>225</v>
      </c>
      <c r="G86" s="90">
        <v>275</v>
      </c>
      <c r="H86" s="90">
        <v>237</v>
      </c>
      <c r="J86" s="89" t="s">
        <v>621</v>
      </c>
      <c r="K86" s="89">
        <v>3708</v>
      </c>
      <c r="L86" s="89" t="s">
        <v>429</v>
      </c>
      <c r="M86" s="90">
        <v>100</v>
      </c>
      <c r="N86" s="90">
        <v>259</v>
      </c>
      <c r="O86" s="90">
        <v>316</v>
      </c>
      <c r="P86" s="90">
        <v>273</v>
      </c>
      <c r="T86" s="82">
        <v>188</v>
      </c>
      <c r="U86" s="82">
        <v>12</v>
      </c>
      <c r="V86" s="82">
        <v>-50</v>
      </c>
    </row>
    <row r="87" spans="2:22" ht="17.25" x14ac:dyDescent="0.25">
      <c r="B87" s="89" t="s">
        <v>621</v>
      </c>
      <c r="C87" s="89">
        <v>3709</v>
      </c>
      <c r="D87" s="89" t="s">
        <v>431</v>
      </c>
      <c r="E87" s="90">
        <v>110</v>
      </c>
      <c r="F87" s="90">
        <v>286</v>
      </c>
      <c r="G87" s="90">
        <v>355</v>
      </c>
      <c r="H87" s="90">
        <v>276</v>
      </c>
      <c r="J87" s="89" t="s">
        <v>621</v>
      </c>
      <c r="K87" s="89">
        <v>3709</v>
      </c>
      <c r="L87" s="89" t="s">
        <v>431</v>
      </c>
      <c r="M87" s="90">
        <v>127</v>
      </c>
      <c r="N87" s="90">
        <v>329</v>
      </c>
      <c r="O87" s="90">
        <v>408</v>
      </c>
      <c r="P87" s="90">
        <v>317</v>
      </c>
      <c r="T87" s="82">
        <v>245</v>
      </c>
      <c r="U87" s="82">
        <v>-10</v>
      </c>
      <c r="V87" s="82">
        <v>-69</v>
      </c>
    </row>
    <row r="88" spans="2:22" ht="17.25" x14ac:dyDescent="0.25">
      <c r="B88" s="89" t="s">
        <v>621</v>
      </c>
      <c r="C88" s="89">
        <v>3710</v>
      </c>
      <c r="D88" s="89" t="s">
        <v>482</v>
      </c>
      <c r="E88" s="90">
        <v>110</v>
      </c>
      <c r="F88" s="90">
        <v>272</v>
      </c>
      <c r="G88" s="90">
        <v>302</v>
      </c>
      <c r="H88" s="90">
        <v>295</v>
      </c>
      <c r="J88" s="89" t="s">
        <v>621</v>
      </c>
      <c r="K88" s="89">
        <v>3710</v>
      </c>
      <c r="L88" s="89" t="s">
        <v>482</v>
      </c>
      <c r="M88" s="90">
        <v>127</v>
      </c>
      <c r="N88" s="90">
        <v>313</v>
      </c>
      <c r="O88" s="90">
        <v>347</v>
      </c>
      <c r="P88" s="90">
        <v>339</v>
      </c>
      <c r="T88" s="82">
        <v>192</v>
      </c>
      <c r="U88" s="82">
        <v>23</v>
      </c>
      <c r="V88" s="82">
        <v>-30</v>
      </c>
    </row>
    <row r="89" spans="2:22" ht="17.25" x14ac:dyDescent="0.25">
      <c r="B89" s="89" t="s">
        <v>621</v>
      </c>
      <c r="C89" s="89">
        <v>3711</v>
      </c>
      <c r="D89" s="89" t="s">
        <v>480</v>
      </c>
      <c r="E89" s="90">
        <v>138</v>
      </c>
      <c r="F89" s="90">
        <v>10</v>
      </c>
      <c r="G89" s="90">
        <v>272</v>
      </c>
      <c r="H89" s="90">
        <v>0</v>
      </c>
      <c r="J89" s="89" t="s">
        <v>621</v>
      </c>
      <c r="K89" s="89">
        <v>3711</v>
      </c>
      <c r="L89" s="89" t="s">
        <v>480</v>
      </c>
      <c r="M89" s="90">
        <v>159</v>
      </c>
      <c r="N89" s="90">
        <v>12</v>
      </c>
      <c r="O89" s="90">
        <v>313</v>
      </c>
      <c r="P89" s="90">
        <v>0</v>
      </c>
      <c r="T89" s="82">
        <v>134</v>
      </c>
      <c r="U89" s="82">
        <v>-10</v>
      </c>
      <c r="V89" s="82">
        <v>-262</v>
      </c>
    </row>
    <row r="90" spans="2:22" ht="17.25" x14ac:dyDescent="0.25">
      <c r="B90" s="89" t="s">
        <v>621</v>
      </c>
      <c r="C90" s="89">
        <v>3712</v>
      </c>
      <c r="D90" s="89" t="s">
        <v>470</v>
      </c>
      <c r="E90" s="90">
        <v>166</v>
      </c>
      <c r="F90" s="90">
        <v>10</v>
      </c>
      <c r="G90" s="90">
        <v>327</v>
      </c>
      <c r="H90" s="90">
        <v>0</v>
      </c>
      <c r="J90" s="89" t="s">
        <v>621</v>
      </c>
      <c r="K90" s="89">
        <v>3712</v>
      </c>
      <c r="L90" s="89" t="s">
        <v>470</v>
      </c>
      <c r="M90" s="90">
        <v>191</v>
      </c>
      <c r="N90" s="90">
        <v>12</v>
      </c>
      <c r="O90" s="90">
        <v>376</v>
      </c>
      <c r="P90" s="90">
        <v>0</v>
      </c>
      <c r="T90" s="82">
        <v>161</v>
      </c>
      <c r="U90" s="82">
        <v>-10</v>
      </c>
      <c r="V90" s="82">
        <v>-317</v>
      </c>
    </row>
    <row r="91" spans="2:22" ht="17.25" x14ac:dyDescent="0.25">
      <c r="B91" s="89"/>
      <c r="C91" s="89"/>
      <c r="D91" s="89"/>
      <c r="E91" s="90"/>
      <c r="F91" s="90"/>
      <c r="G91" s="90"/>
      <c r="H91" s="90"/>
      <c r="J91" s="89"/>
      <c r="K91" s="89"/>
      <c r="L91" s="89"/>
      <c r="M91" s="90"/>
      <c r="N91" s="90"/>
      <c r="O91" s="90"/>
      <c r="P91" s="90"/>
      <c r="T91" s="82">
        <v>0</v>
      </c>
      <c r="U91" s="82">
        <v>0</v>
      </c>
      <c r="V91" s="82">
        <v>0</v>
      </c>
    </row>
    <row r="92" spans="2:22" ht="18" thickBot="1" x14ac:dyDescent="0.3">
      <c r="B92" s="85" t="s">
        <v>601</v>
      </c>
      <c r="C92" s="85" t="s">
        <v>602</v>
      </c>
      <c r="D92" s="85" t="s">
        <v>603</v>
      </c>
      <c r="E92" s="86" t="s">
        <v>541</v>
      </c>
      <c r="F92" s="86" t="s">
        <v>543</v>
      </c>
      <c r="G92" s="86" t="s">
        <v>542</v>
      </c>
      <c r="H92" s="86" t="s">
        <v>544</v>
      </c>
      <c r="J92" s="85" t="s">
        <v>601</v>
      </c>
      <c r="K92" s="85" t="s">
        <v>602</v>
      </c>
      <c r="L92" s="85" t="s">
        <v>603</v>
      </c>
      <c r="M92" s="86" t="s">
        <v>541</v>
      </c>
      <c r="N92" s="86" t="s">
        <v>543</v>
      </c>
      <c r="O92" s="86" t="s">
        <v>542</v>
      </c>
      <c r="P92" s="86" t="s">
        <v>544</v>
      </c>
      <c r="T92" s="82" t="s">
        <v>607</v>
      </c>
    </row>
    <row r="93" spans="2:22" ht="17.25" x14ac:dyDescent="0.25">
      <c r="B93" s="87" t="s">
        <v>1</v>
      </c>
      <c r="C93" s="87">
        <v>5000</v>
      </c>
      <c r="D93" s="87" t="s">
        <v>461</v>
      </c>
      <c r="E93" s="88">
        <v>169</v>
      </c>
      <c r="F93" s="88">
        <v>237</v>
      </c>
      <c r="G93" s="88">
        <v>255</v>
      </c>
      <c r="H93" s="88">
        <v>446</v>
      </c>
      <c r="J93" s="87" t="s">
        <v>1</v>
      </c>
      <c r="K93" s="87">
        <v>5000</v>
      </c>
      <c r="L93" s="87" t="s">
        <v>461</v>
      </c>
      <c r="M93" s="88">
        <v>194</v>
      </c>
      <c r="N93" s="88">
        <v>273</v>
      </c>
      <c r="O93" s="88">
        <v>293</v>
      </c>
      <c r="P93" s="88">
        <v>513</v>
      </c>
      <c r="T93" s="82">
        <v>86</v>
      </c>
      <c r="U93" s="82">
        <v>209</v>
      </c>
      <c r="V93" s="82">
        <v>-18</v>
      </c>
    </row>
    <row r="94" spans="2:22" ht="17.25" x14ac:dyDescent="0.25">
      <c r="B94" s="89" t="s">
        <v>1</v>
      </c>
      <c r="C94" s="89">
        <v>5001</v>
      </c>
      <c r="D94" s="89" t="s">
        <v>424</v>
      </c>
      <c r="E94" s="90">
        <v>169</v>
      </c>
      <c r="F94" s="90">
        <v>237</v>
      </c>
      <c r="G94" s="90">
        <v>255</v>
      </c>
      <c r="H94" s="90">
        <v>446</v>
      </c>
      <c r="J94" s="89" t="s">
        <v>1</v>
      </c>
      <c r="K94" s="89">
        <v>5001</v>
      </c>
      <c r="L94" s="89" t="s">
        <v>424</v>
      </c>
      <c r="M94" s="90">
        <v>194</v>
      </c>
      <c r="N94" s="90">
        <v>273</v>
      </c>
      <c r="O94" s="90">
        <v>293</v>
      </c>
      <c r="P94" s="90">
        <v>513</v>
      </c>
      <c r="T94" s="82">
        <v>86</v>
      </c>
      <c r="U94" s="82">
        <v>209</v>
      </c>
      <c r="V94" s="82">
        <v>-18</v>
      </c>
    </row>
    <row r="95" spans="2:22" ht="17.25" x14ac:dyDescent="0.25">
      <c r="B95" s="89" t="s">
        <v>1</v>
      </c>
      <c r="C95" s="89">
        <v>5002</v>
      </c>
      <c r="D95" s="89" t="s">
        <v>462</v>
      </c>
      <c r="E95" s="90">
        <v>184</v>
      </c>
      <c r="F95" s="90">
        <v>259</v>
      </c>
      <c r="G95" s="90">
        <v>283</v>
      </c>
      <c r="H95" s="90">
        <v>487</v>
      </c>
      <c r="J95" s="89" t="s">
        <v>1</v>
      </c>
      <c r="K95" s="89">
        <v>5002</v>
      </c>
      <c r="L95" s="89" t="s">
        <v>462</v>
      </c>
      <c r="M95" s="90">
        <v>212</v>
      </c>
      <c r="N95" s="90">
        <v>298</v>
      </c>
      <c r="O95" s="90">
        <v>325</v>
      </c>
      <c r="P95" s="90">
        <v>560</v>
      </c>
      <c r="T95" s="82">
        <v>99</v>
      </c>
      <c r="U95" s="82">
        <v>228</v>
      </c>
      <c r="V95" s="82">
        <v>-24</v>
      </c>
    </row>
    <row r="96" spans="2:22" ht="17.25" x14ac:dyDescent="0.25">
      <c r="B96" s="89" t="s">
        <v>1</v>
      </c>
      <c r="C96" s="89">
        <v>5003</v>
      </c>
      <c r="D96" s="89" t="s">
        <v>426</v>
      </c>
      <c r="E96" s="90">
        <v>184</v>
      </c>
      <c r="F96" s="90">
        <v>259</v>
      </c>
      <c r="G96" s="90">
        <v>283</v>
      </c>
      <c r="H96" s="90">
        <v>487</v>
      </c>
      <c r="J96" s="89" t="s">
        <v>1</v>
      </c>
      <c r="K96" s="89">
        <v>5003</v>
      </c>
      <c r="L96" s="89" t="s">
        <v>426</v>
      </c>
      <c r="M96" s="90">
        <v>212</v>
      </c>
      <c r="N96" s="90">
        <v>298</v>
      </c>
      <c r="O96" s="90">
        <v>325</v>
      </c>
      <c r="P96" s="90">
        <v>560</v>
      </c>
      <c r="T96" s="82">
        <v>99</v>
      </c>
      <c r="U96" s="82">
        <v>228</v>
      </c>
      <c r="V96" s="82">
        <v>-24</v>
      </c>
    </row>
    <row r="97" spans="2:22" ht="17.25" x14ac:dyDescent="0.25">
      <c r="B97" s="89" t="s">
        <v>1</v>
      </c>
      <c r="C97" s="89">
        <v>5004</v>
      </c>
      <c r="D97" s="89" t="s">
        <v>463</v>
      </c>
      <c r="E97" s="90">
        <v>198</v>
      </c>
      <c r="F97" s="90">
        <v>280</v>
      </c>
      <c r="G97" s="90">
        <v>310</v>
      </c>
      <c r="H97" s="90">
        <v>527</v>
      </c>
      <c r="J97" s="89" t="s">
        <v>1</v>
      </c>
      <c r="K97" s="89">
        <v>5004</v>
      </c>
      <c r="L97" s="89" t="s">
        <v>463</v>
      </c>
      <c r="M97" s="90">
        <v>228</v>
      </c>
      <c r="N97" s="90">
        <v>322</v>
      </c>
      <c r="O97" s="90">
        <v>357</v>
      </c>
      <c r="P97" s="90">
        <v>606</v>
      </c>
      <c r="T97" s="82">
        <v>112</v>
      </c>
      <c r="U97" s="82">
        <v>247</v>
      </c>
      <c r="V97" s="82">
        <v>-30</v>
      </c>
    </row>
    <row r="98" spans="2:22" ht="17.25" x14ac:dyDescent="0.25">
      <c r="B98" s="89" t="s">
        <v>1</v>
      </c>
      <c r="C98" s="89">
        <v>5005</v>
      </c>
      <c r="D98" s="89" t="s">
        <v>428</v>
      </c>
      <c r="E98" s="90">
        <v>198</v>
      </c>
      <c r="F98" s="90">
        <v>280</v>
      </c>
      <c r="G98" s="90">
        <v>310</v>
      </c>
      <c r="H98" s="90">
        <v>527</v>
      </c>
      <c r="J98" s="89" t="s">
        <v>1</v>
      </c>
      <c r="K98" s="89">
        <v>5005</v>
      </c>
      <c r="L98" s="89" t="s">
        <v>428</v>
      </c>
      <c r="M98" s="90">
        <v>228</v>
      </c>
      <c r="N98" s="90">
        <v>322</v>
      </c>
      <c r="O98" s="90">
        <v>357</v>
      </c>
      <c r="P98" s="90">
        <v>606</v>
      </c>
      <c r="T98" s="82">
        <v>112</v>
      </c>
      <c r="U98" s="82">
        <v>247</v>
      </c>
      <c r="V98" s="82">
        <v>-30</v>
      </c>
    </row>
    <row r="99" spans="2:22" ht="17.25" x14ac:dyDescent="0.25">
      <c r="B99" s="89" t="s">
        <v>1</v>
      </c>
      <c r="C99" s="89">
        <v>5006</v>
      </c>
      <c r="D99" s="89" t="s">
        <v>464</v>
      </c>
      <c r="E99" s="90">
        <v>250</v>
      </c>
      <c r="F99" s="90">
        <v>345</v>
      </c>
      <c r="G99" s="90">
        <v>369</v>
      </c>
      <c r="H99" s="90">
        <v>649</v>
      </c>
      <c r="J99" s="89" t="s">
        <v>1</v>
      </c>
      <c r="K99" s="89">
        <v>5006</v>
      </c>
      <c r="L99" s="89" t="s">
        <v>464</v>
      </c>
      <c r="M99" s="90">
        <v>288</v>
      </c>
      <c r="N99" s="90">
        <v>397</v>
      </c>
      <c r="O99" s="90">
        <v>424</v>
      </c>
      <c r="P99" s="90">
        <v>746</v>
      </c>
      <c r="T99" s="82">
        <v>119</v>
      </c>
      <c r="U99" s="82">
        <v>304</v>
      </c>
      <c r="V99" s="82">
        <v>-24</v>
      </c>
    </row>
    <row r="100" spans="2:22" ht="17.25" x14ac:dyDescent="0.25">
      <c r="B100" s="89" t="s">
        <v>1</v>
      </c>
      <c r="C100" s="89">
        <v>5007</v>
      </c>
      <c r="D100" s="89" t="s">
        <v>430</v>
      </c>
      <c r="E100" s="90">
        <v>250</v>
      </c>
      <c r="F100" s="90">
        <v>345</v>
      </c>
      <c r="G100" s="90">
        <v>369</v>
      </c>
      <c r="H100" s="90">
        <v>649</v>
      </c>
      <c r="J100" s="89" t="s">
        <v>1</v>
      </c>
      <c r="K100" s="89">
        <v>5007</v>
      </c>
      <c r="L100" s="89" t="s">
        <v>430</v>
      </c>
      <c r="M100" s="90">
        <v>288</v>
      </c>
      <c r="N100" s="90">
        <v>397</v>
      </c>
      <c r="O100" s="90">
        <v>424</v>
      </c>
      <c r="P100" s="90">
        <v>746</v>
      </c>
      <c r="T100" s="82">
        <v>119</v>
      </c>
      <c r="U100" s="82">
        <v>304</v>
      </c>
      <c r="V100" s="82">
        <v>-24</v>
      </c>
    </row>
    <row r="101" spans="2:22" ht="17.25" x14ac:dyDescent="0.25">
      <c r="B101" s="89" t="s">
        <v>1</v>
      </c>
      <c r="C101" s="89">
        <v>5008</v>
      </c>
      <c r="D101" s="89" t="s">
        <v>423</v>
      </c>
      <c r="E101" s="90">
        <v>169</v>
      </c>
      <c r="F101" s="90">
        <v>345</v>
      </c>
      <c r="G101" s="90">
        <v>333</v>
      </c>
      <c r="H101" s="90">
        <v>649</v>
      </c>
      <c r="J101" s="89" t="s">
        <v>1</v>
      </c>
      <c r="K101" s="89">
        <v>5008</v>
      </c>
      <c r="L101" s="89" t="s">
        <v>423</v>
      </c>
      <c r="M101" s="90">
        <v>194</v>
      </c>
      <c r="N101" s="90">
        <v>397</v>
      </c>
      <c r="O101" s="90">
        <v>383</v>
      </c>
      <c r="P101" s="90">
        <v>746</v>
      </c>
      <c r="T101" s="82">
        <v>164</v>
      </c>
      <c r="U101" s="82">
        <v>304</v>
      </c>
      <c r="V101" s="82">
        <v>12</v>
      </c>
    </row>
    <row r="102" spans="2:22" ht="17.25" x14ac:dyDescent="0.25">
      <c r="B102" s="89" t="s">
        <v>1</v>
      </c>
      <c r="C102" s="89">
        <v>5009</v>
      </c>
      <c r="D102" s="89" t="s">
        <v>608</v>
      </c>
      <c r="E102" s="90">
        <v>169</v>
      </c>
      <c r="F102" s="90">
        <v>345</v>
      </c>
      <c r="G102" s="90">
        <v>333</v>
      </c>
      <c r="H102" s="90">
        <v>649</v>
      </c>
      <c r="J102" s="89" t="s">
        <v>1</v>
      </c>
      <c r="K102" s="89">
        <v>5009</v>
      </c>
      <c r="L102" s="89" t="s">
        <v>608</v>
      </c>
      <c r="M102" s="90">
        <v>194</v>
      </c>
      <c r="N102" s="90">
        <v>397</v>
      </c>
      <c r="O102" s="90">
        <v>383</v>
      </c>
      <c r="P102" s="90">
        <v>746</v>
      </c>
      <c r="T102" s="82">
        <v>164</v>
      </c>
      <c r="U102" s="82">
        <v>304</v>
      </c>
      <c r="V102" s="82">
        <v>12</v>
      </c>
    </row>
    <row r="103" spans="2:22" ht="17.25" x14ac:dyDescent="0.25">
      <c r="B103" s="89"/>
      <c r="C103" s="89"/>
      <c r="D103" s="89"/>
      <c r="E103" s="90"/>
      <c r="F103" s="90"/>
      <c r="G103" s="90"/>
      <c r="H103" s="90"/>
      <c r="J103" s="89"/>
      <c r="K103" s="89"/>
      <c r="L103" s="89"/>
      <c r="M103" s="90"/>
      <c r="N103" s="90"/>
      <c r="O103" s="90"/>
      <c r="P103" s="90"/>
      <c r="T103" s="82">
        <v>0</v>
      </c>
      <c r="U103" s="82">
        <v>0</v>
      </c>
      <c r="V103" s="82">
        <v>0</v>
      </c>
    </row>
    <row r="104" spans="2:22" ht="18" thickBot="1" x14ac:dyDescent="0.3">
      <c r="B104" s="85" t="s">
        <v>601</v>
      </c>
      <c r="C104" s="85" t="s">
        <v>602</v>
      </c>
      <c r="D104" s="85" t="s">
        <v>603</v>
      </c>
      <c r="E104" s="86" t="s">
        <v>541</v>
      </c>
      <c r="F104" s="86" t="s">
        <v>543</v>
      </c>
      <c r="G104" s="86" t="s">
        <v>542</v>
      </c>
      <c r="H104" s="86" t="s">
        <v>544</v>
      </c>
      <c r="J104" s="85" t="s">
        <v>601</v>
      </c>
      <c r="K104" s="85" t="s">
        <v>602</v>
      </c>
      <c r="L104" s="85" t="s">
        <v>603</v>
      </c>
      <c r="M104" s="86" t="s">
        <v>541</v>
      </c>
      <c r="N104" s="86" t="s">
        <v>543</v>
      </c>
      <c r="O104" s="86" t="s">
        <v>542</v>
      </c>
      <c r="P104" s="86" t="s">
        <v>544</v>
      </c>
      <c r="T104" s="82" t="s">
        <v>607</v>
      </c>
    </row>
    <row r="105" spans="2:22" ht="17.25" x14ac:dyDescent="0.25">
      <c r="B105" s="87" t="s">
        <v>222</v>
      </c>
      <c r="C105" s="87">
        <v>5100</v>
      </c>
      <c r="D105" s="87" t="s">
        <v>424</v>
      </c>
      <c r="E105" s="88">
        <v>136</v>
      </c>
      <c r="F105" s="88">
        <v>182</v>
      </c>
      <c r="G105" s="88">
        <v>205</v>
      </c>
      <c r="H105" s="88">
        <v>479</v>
      </c>
      <c r="J105" s="87" t="s">
        <v>622</v>
      </c>
      <c r="K105" s="87">
        <v>5100</v>
      </c>
      <c r="L105" s="87" t="s">
        <v>424</v>
      </c>
      <c r="M105" s="88">
        <v>156</v>
      </c>
      <c r="N105" s="88">
        <v>209</v>
      </c>
      <c r="O105" s="88">
        <v>236</v>
      </c>
      <c r="P105" s="88">
        <v>551</v>
      </c>
      <c r="T105" s="82">
        <v>69</v>
      </c>
      <c r="U105" s="82">
        <v>297</v>
      </c>
      <c r="V105" s="82">
        <v>-23</v>
      </c>
    </row>
    <row r="106" spans="2:22" ht="17.25" x14ac:dyDescent="0.25">
      <c r="B106" s="89" t="s">
        <v>222</v>
      </c>
      <c r="C106" s="89">
        <v>5101</v>
      </c>
      <c r="D106" s="89" t="s">
        <v>445</v>
      </c>
      <c r="E106" s="90">
        <v>159</v>
      </c>
      <c r="F106" s="90">
        <v>230</v>
      </c>
      <c r="G106" s="90">
        <v>270</v>
      </c>
      <c r="H106" s="90">
        <v>544</v>
      </c>
      <c r="J106" s="89" t="s">
        <v>622</v>
      </c>
      <c r="K106" s="89">
        <v>5101</v>
      </c>
      <c r="L106" s="89" t="s">
        <v>445</v>
      </c>
      <c r="M106" s="90">
        <v>183</v>
      </c>
      <c r="N106" s="90">
        <v>265</v>
      </c>
      <c r="O106" s="90">
        <v>311</v>
      </c>
      <c r="P106" s="90">
        <v>626</v>
      </c>
      <c r="T106" s="82">
        <v>111</v>
      </c>
      <c r="U106" s="82">
        <v>314</v>
      </c>
      <c r="V106" s="82">
        <v>-40</v>
      </c>
    </row>
    <row r="107" spans="2:22" ht="17.25" x14ac:dyDescent="0.25">
      <c r="B107" s="89" t="s">
        <v>222</v>
      </c>
      <c r="C107" s="89">
        <v>5102</v>
      </c>
      <c r="D107" s="89" t="s">
        <v>446</v>
      </c>
      <c r="E107" s="90">
        <v>235</v>
      </c>
      <c r="F107" s="90">
        <v>339</v>
      </c>
      <c r="G107" s="90">
        <v>373</v>
      </c>
      <c r="H107" s="90">
        <v>643</v>
      </c>
      <c r="J107" s="89" t="s">
        <v>622</v>
      </c>
      <c r="K107" s="89">
        <v>5102</v>
      </c>
      <c r="L107" s="89" t="s">
        <v>446</v>
      </c>
      <c r="M107" s="90">
        <v>270</v>
      </c>
      <c r="N107" s="90">
        <v>390</v>
      </c>
      <c r="O107" s="90">
        <v>429</v>
      </c>
      <c r="P107" s="90">
        <v>739</v>
      </c>
      <c r="T107" s="82">
        <v>138</v>
      </c>
      <c r="U107" s="82">
        <v>304</v>
      </c>
      <c r="V107" s="82">
        <v>-34</v>
      </c>
    </row>
    <row r="108" spans="2:22" ht="17.25" x14ac:dyDescent="0.25">
      <c r="B108" s="89" t="s">
        <v>222</v>
      </c>
      <c r="C108" s="89">
        <v>5103</v>
      </c>
      <c r="D108" s="89" t="s">
        <v>447</v>
      </c>
      <c r="E108" s="90">
        <v>257</v>
      </c>
      <c r="F108" s="90">
        <v>402</v>
      </c>
      <c r="G108" s="90">
        <v>472</v>
      </c>
      <c r="H108" s="90">
        <v>712</v>
      </c>
      <c r="J108" s="89" t="s">
        <v>622</v>
      </c>
      <c r="K108" s="89">
        <v>5103</v>
      </c>
      <c r="L108" s="89" t="s">
        <v>447</v>
      </c>
      <c r="M108" s="90">
        <v>296</v>
      </c>
      <c r="N108" s="90">
        <v>462</v>
      </c>
      <c r="O108" s="90">
        <v>543</v>
      </c>
      <c r="P108" s="90">
        <v>819</v>
      </c>
      <c r="T108" s="82">
        <v>215</v>
      </c>
      <c r="U108" s="82">
        <v>310</v>
      </c>
      <c r="V108" s="82">
        <v>-70</v>
      </c>
    </row>
    <row r="109" spans="2:22" ht="17.25" x14ac:dyDescent="0.25">
      <c r="B109" s="89" t="s">
        <v>222</v>
      </c>
      <c r="C109" s="89">
        <v>5104</v>
      </c>
      <c r="D109" s="89" t="s">
        <v>448</v>
      </c>
      <c r="E109" s="90">
        <v>340</v>
      </c>
      <c r="F109" s="90">
        <v>494</v>
      </c>
      <c r="G109" s="90">
        <v>669</v>
      </c>
      <c r="H109" s="90">
        <v>834</v>
      </c>
      <c r="J109" s="89" t="s">
        <v>622</v>
      </c>
      <c r="K109" s="89">
        <v>5104</v>
      </c>
      <c r="L109" s="89" t="s">
        <v>448</v>
      </c>
      <c r="M109" s="90">
        <v>391</v>
      </c>
      <c r="N109" s="90">
        <v>568</v>
      </c>
      <c r="O109" s="90">
        <v>769</v>
      </c>
      <c r="P109" s="90">
        <v>959</v>
      </c>
      <c r="T109" s="82">
        <v>329</v>
      </c>
      <c r="U109" s="82">
        <v>340</v>
      </c>
      <c r="V109" s="82">
        <v>-175</v>
      </c>
    </row>
    <row r="110" spans="2:22" ht="17.25" x14ac:dyDescent="0.25">
      <c r="B110" s="89" t="s">
        <v>222</v>
      </c>
      <c r="C110" s="89">
        <v>5105</v>
      </c>
      <c r="D110" s="89" t="s">
        <v>426</v>
      </c>
      <c r="E110" s="90">
        <v>153</v>
      </c>
      <c r="F110" s="90">
        <v>208</v>
      </c>
      <c r="G110" s="90">
        <v>228</v>
      </c>
      <c r="H110" s="90">
        <v>509</v>
      </c>
      <c r="J110" s="89" t="s">
        <v>622</v>
      </c>
      <c r="K110" s="89">
        <v>5105</v>
      </c>
      <c r="L110" s="89" t="s">
        <v>426</v>
      </c>
      <c r="M110" s="90">
        <v>176</v>
      </c>
      <c r="N110" s="90">
        <v>239</v>
      </c>
      <c r="O110" s="90">
        <v>262</v>
      </c>
      <c r="P110" s="90">
        <v>585</v>
      </c>
      <c r="T110" s="82">
        <v>75</v>
      </c>
      <c r="U110" s="82">
        <v>301</v>
      </c>
      <c r="V110" s="82">
        <v>-20</v>
      </c>
    </row>
    <row r="111" spans="2:22" ht="17.25" x14ac:dyDescent="0.25">
      <c r="B111" s="89" t="s">
        <v>222</v>
      </c>
      <c r="C111" s="89">
        <v>5106</v>
      </c>
      <c r="D111" s="89" t="s">
        <v>439</v>
      </c>
      <c r="E111" s="90">
        <v>210</v>
      </c>
      <c r="F111" s="90">
        <v>306</v>
      </c>
      <c r="G111" s="90">
        <v>332</v>
      </c>
      <c r="H111" s="90">
        <v>585</v>
      </c>
      <c r="J111" s="89" t="s">
        <v>622</v>
      </c>
      <c r="K111" s="89">
        <v>5106</v>
      </c>
      <c r="L111" s="89" t="s">
        <v>439</v>
      </c>
      <c r="M111" s="90">
        <v>242</v>
      </c>
      <c r="N111" s="90">
        <v>352</v>
      </c>
      <c r="O111" s="90">
        <v>382</v>
      </c>
      <c r="P111" s="90">
        <v>673</v>
      </c>
      <c r="T111" s="82">
        <v>122</v>
      </c>
      <c r="U111" s="82">
        <v>279</v>
      </c>
      <c r="V111" s="82">
        <v>-26</v>
      </c>
    </row>
    <row r="112" spans="2:22" ht="17.25" x14ac:dyDescent="0.25">
      <c r="B112" s="89" t="s">
        <v>222</v>
      </c>
      <c r="C112" s="89">
        <v>5107</v>
      </c>
      <c r="D112" s="89" t="s">
        <v>440</v>
      </c>
      <c r="E112" s="90">
        <v>278</v>
      </c>
      <c r="F112" s="90">
        <v>415</v>
      </c>
      <c r="G112" s="90">
        <v>459</v>
      </c>
      <c r="H112" s="90">
        <v>709</v>
      </c>
      <c r="J112" s="89" t="s">
        <v>622</v>
      </c>
      <c r="K112" s="89">
        <v>5107</v>
      </c>
      <c r="L112" s="89" t="s">
        <v>440</v>
      </c>
      <c r="M112" s="90">
        <v>320</v>
      </c>
      <c r="N112" s="90">
        <v>477</v>
      </c>
      <c r="O112" s="90">
        <v>528</v>
      </c>
      <c r="P112" s="90">
        <v>815</v>
      </c>
      <c r="T112" s="82">
        <v>181</v>
      </c>
      <c r="U112" s="82">
        <v>294</v>
      </c>
      <c r="V112" s="82">
        <v>-44</v>
      </c>
    </row>
    <row r="113" spans="2:22" ht="17.25" x14ac:dyDescent="0.25">
      <c r="B113" s="89" t="s">
        <v>222</v>
      </c>
      <c r="C113" s="89">
        <v>5108</v>
      </c>
      <c r="D113" s="89" t="s">
        <v>441</v>
      </c>
      <c r="E113" s="90">
        <v>337</v>
      </c>
      <c r="F113" s="90">
        <v>503</v>
      </c>
      <c r="G113" s="90">
        <v>560</v>
      </c>
      <c r="H113" s="90">
        <v>946</v>
      </c>
      <c r="J113" s="89" t="s">
        <v>622</v>
      </c>
      <c r="K113" s="89">
        <v>5108</v>
      </c>
      <c r="L113" s="89" t="s">
        <v>441</v>
      </c>
      <c r="M113" s="90">
        <v>388</v>
      </c>
      <c r="N113" s="90">
        <v>578</v>
      </c>
      <c r="O113" s="90">
        <v>644</v>
      </c>
      <c r="P113" s="90">
        <v>1088</v>
      </c>
      <c r="T113" s="82">
        <v>223</v>
      </c>
      <c r="U113" s="82">
        <v>443</v>
      </c>
      <c r="V113" s="82">
        <v>-57</v>
      </c>
    </row>
    <row r="114" spans="2:22" ht="17.25" x14ac:dyDescent="0.25">
      <c r="B114" s="89" t="s">
        <v>222</v>
      </c>
      <c r="C114" s="89">
        <v>5109</v>
      </c>
      <c r="D114" s="89" t="s">
        <v>442</v>
      </c>
      <c r="E114" s="90">
        <v>417</v>
      </c>
      <c r="F114" s="90">
        <v>619</v>
      </c>
      <c r="G114" s="90">
        <v>821</v>
      </c>
      <c r="H114" s="90">
        <v>1164</v>
      </c>
      <c r="J114" s="89" t="s">
        <v>622</v>
      </c>
      <c r="K114" s="89">
        <v>5109</v>
      </c>
      <c r="L114" s="89" t="s">
        <v>442</v>
      </c>
      <c r="M114" s="90">
        <v>480</v>
      </c>
      <c r="N114" s="90">
        <v>712</v>
      </c>
      <c r="O114" s="90">
        <v>944</v>
      </c>
      <c r="P114" s="90">
        <v>1339</v>
      </c>
      <c r="T114" s="82">
        <v>404</v>
      </c>
      <c r="U114" s="82">
        <v>545</v>
      </c>
      <c r="V114" s="82">
        <v>-202</v>
      </c>
    </row>
    <row r="115" spans="2:22" ht="17.25" x14ac:dyDescent="0.25">
      <c r="B115" s="89" t="s">
        <v>222</v>
      </c>
      <c r="C115" s="89">
        <v>5110</v>
      </c>
      <c r="D115" s="89" t="s">
        <v>423</v>
      </c>
      <c r="E115" s="91">
        <v>136</v>
      </c>
      <c r="F115" s="90">
        <v>237</v>
      </c>
      <c r="G115" s="90">
        <v>268</v>
      </c>
      <c r="H115" s="90">
        <v>446</v>
      </c>
      <c r="J115" s="89" t="s">
        <v>622</v>
      </c>
      <c r="K115" s="89">
        <v>5110</v>
      </c>
      <c r="L115" s="89" t="s">
        <v>423</v>
      </c>
      <c r="M115" s="91">
        <v>156</v>
      </c>
      <c r="N115" s="90">
        <v>273</v>
      </c>
      <c r="O115" s="90">
        <v>308</v>
      </c>
      <c r="P115" s="90">
        <v>513</v>
      </c>
      <c r="T115" s="82">
        <v>132</v>
      </c>
      <c r="U115" s="82">
        <v>209</v>
      </c>
      <c r="V115" s="82">
        <v>-31</v>
      </c>
    </row>
    <row r="116" spans="2:22" ht="17.25" x14ac:dyDescent="0.25">
      <c r="B116" s="89" t="s">
        <v>222</v>
      </c>
      <c r="C116" s="89">
        <v>5111</v>
      </c>
      <c r="D116" s="89" t="s">
        <v>428</v>
      </c>
      <c r="E116" s="91">
        <v>0</v>
      </c>
      <c r="F116" s="90">
        <v>259</v>
      </c>
      <c r="G116" s="90">
        <v>0</v>
      </c>
      <c r="H116" s="90">
        <v>487</v>
      </c>
      <c r="J116" s="89" t="s">
        <v>622</v>
      </c>
      <c r="K116" s="89">
        <v>5111</v>
      </c>
      <c r="L116" s="89" t="s">
        <v>428</v>
      </c>
      <c r="M116" s="91">
        <v>0</v>
      </c>
      <c r="N116" s="90">
        <v>298</v>
      </c>
      <c r="O116" s="90">
        <v>0</v>
      </c>
      <c r="P116" s="90">
        <v>560</v>
      </c>
      <c r="T116" s="82">
        <v>0</v>
      </c>
      <c r="U116" s="82">
        <v>228</v>
      </c>
      <c r="V116" s="82">
        <v>259</v>
      </c>
    </row>
    <row r="117" spans="2:22" ht="17.25" x14ac:dyDescent="0.25">
      <c r="B117" s="89" t="s">
        <v>222</v>
      </c>
      <c r="C117" s="89">
        <v>5112</v>
      </c>
      <c r="D117" s="89" t="s">
        <v>450</v>
      </c>
      <c r="E117" s="91">
        <v>0</v>
      </c>
      <c r="F117" s="90">
        <v>10</v>
      </c>
      <c r="G117" s="90">
        <v>0</v>
      </c>
      <c r="H117" s="90">
        <v>19</v>
      </c>
      <c r="J117" s="89" t="s">
        <v>622</v>
      </c>
      <c r="K117" s="89">
        <v>5112</v>
      </c>
      <c r="L117" s="89" t="s">
        <v>450</v>
      </c>
      <c r="M117" s="91">
        <v>0</v>
      </c>
      <c r="N117" s="90">
        <v>12</v>
      </c>
      <c r="O117" s="90">
        <v>0</v>
      </c>
      <c r="P117" s="90">
        <v>22</v>
      </c>
      <c r="T117" s="82">
        <v>0</v>
      </c>
      <c r="U117" s="82">
        <v>9</v>
      </c>
      <c r="V117" s="82">
        <v>10</v>
      </c>
    </row>
    <row r="118" spans="2:22" ht="17.25" x14ac:dyDescent="0.25">
      <c r="B118" s="89" t="s">
        <v>222</v>
      </c>
      <c r="C118" s="89">
        <v>5113</v>
      </c>
      <c r="D118" s="89" t="s">
        <v>451</v>
      </c>
      <c r="E118" s="91">
        <v>0</v>
      </c>
      <c r="F118" s="90">
        <v>10</v>
      </c>
      <c r="G118" s="90">
        <v>0</v>
      </c>
      <c r="H118" s="90">
        <v>19</v>
      </c>
      <c r="J118" s="89" t="s">
        <v>622</v>
      </c>
      <c r="K118" s="89">
        <v>5113</v>
      </c>
      <c r="L118" s="89" t="s">
        <v>451</v>
      </c>
      <c r="M118" s="91">
        <v>0</v>
      </c>
      <c r="N118" s="90">
        <v>12</v>
      </c>
      <c r="O118" s="90">
        <v>0</v>
      </c>
      <c r="P118" s="90">
        <v>22</v>
      </c>
      <c r="T118" s="82">
        <v>0</v>
      </c>
      <c r="U118" s="82">
        <v>9</v>
      </c>
      <c r="V118" s="82">
        <v>10</v>
      </c>
    </row>
    <row r="119" spans="2:22" ht="17.25" x14ac:dyDescent="0.25">
      <c r="B119" s="89" t="s">
        <v>222</v>
      </c>
      <c r="C119" s="89">
        <v>5114</v>
      </c>
      <c r="D119" s="89" t="s">
        <v>452</v>
      </c>
      <c r="E119" s="91">
        <v>0</v>
      </c>
      <c r="F119" s="90">
        <v>10</v>
      </c>
      <c r="G119" s="90">
        <v>0</v>
      </c>
      <c r="H119" s="90">
        <v>19</v>
      </c>
      <c r="J119" s="89" t="s">
        <v>622</v>
      </c>
      <c r="K119" s="89">
        <v>5114</v>
      </c>
      <c r="L119" s="89" t="s">
        <v>452</v>
      </c>
      <c r="M119" s="91">
        <v>0</v>
      </c>
      <c r="N119" s="90">
        <v>12</v>
      </c>
      <c r="O119" s="90">
        <v>0</v>
      </c>
      <c r="P119" s="90">
        <v>22</v>
      </c>
      <c r="T119" s="82">
        <v>0</v>
      </c>
      <c r="U119" s="82">
        <v>9</v>
      </c>
      <c r="V119" s="82">
        <v>10</v>
      </c>
    </row>
    <row r="120" spans="2:22" ht="17.25" x14ac:dyDescent="0.25">
      <c r="B120" s="89" t="s">
        <v>222</v>
      </c>
      <c r="C120" s="89">
        <v>5115</v>
      </c>
      <c r="D120" s="89" t="s">
        <v>453</v>
      </c>
      <c r="E120" s="91">
        <v>0</v>
      </c>
      <c r="F120" s="90">
        <v>10</v>
      </c>
      <c r="G120" s="90">
        <v>0</v>
      </c>
      <c r="H120" s="90">
        <v>19</v>
      </c>
      <c r="J120" s="89" t="s">
        <v>622</v>
      </c>
      <c r="K120" s="89">
        <v>5115</v>
      </c>
      <c r="L120" s="89" t="s">
        <v>453</v>
      </c>
      <c r="M120" s="91">
        <v>0</v>
      </c>
      <c r="N120" s="90">
        <v>12</v>
      </c>
      <c r="O120" s="90">
        <v>0</v>
      </c>
      <c r="P120" s="90">
        <v>22</v>
      </c>
      <c r="T120" s="82">
        <v>0</v>
      </c>
      <c r="U120" s="82">
        <v>9</v>
      </c>
      <c r="V120" s="82">
        <v>10</v>
      </c>
    </row>
    <row r="121" spans="2:22" x14ac:dyDescent="0.25">
      <c r="T121" s="82">
        <v>0</v>
      </c>
      <c r="U121" s="82">
        <v>0</v>
      </c>
      <c r="V121" s="82">
        <v>0</v>
      </c>
    </row>
    <row r="122" spans="2:22" ht="18" thickBot="1" x14ac:dyDescent="0.3">
      <c r="B122" s="85" t="s">
        <v>601</v>
      </c>
      <c r="C122" s="85" t="s">
        <v>602</v>
      </c>
      <c r="D122" s="85" t="s">
        <v>603</v>
      </c>
      <c r="E122" s="86" t="s">
        <v>541</v>
      </c>
      <c r="F122" s="86" t="s">
        <v>543</v>
      </c>
      <c r="G122" s="86" t="s">
        <v>542</v>
      </c>
      <c r="H122" s="86" t="s">
        <v>544</v>
      </c>
      <c r="J122" s="85" t="s">
        <v>601</v>
      </c>
      <c r="K122" s="85" t="s">
        <v>602</v>
      </c>
      <c r="L122" s="85" t="s">
        <v>603</v>
      </c>
      <c r="M122" s="86" t="s">
        <v>541</v>
      </c>
      <c r="N122" s="86" t="s">
        <v>543</v>
      </c>
      <c r="O122" s="86" t="s">
        <v>542</v>
      </c>
      <c r="P122" s="86" t="s">
        <v>544</v>
      </c>
      <c r="T122" s="82" t="s">
        <v>607</v>
      </c>
    </row>
    <row r="123" spans="2:22" ht="17.25" x14ac:dyDescent="0.25">
      <c r="B123" s="87" t="s">
        <v>235</v>
      </c>
      <c r="C123" s="87">
        <v>5200</v>
      </c>
      <c r="D123" s="87" t="s">
        <v>428</v>
      </c>
      <c r="E123" s="88">
        <v>255</v>
      </c>
      <c r="F123" s="88">
        <v>334</v>
      </c>
      <c r="G123" s="88">
        <v>367</v>
      </c>
      <c r="H123" s="88">
        <v>867</v>
      </c>
      <c r="J123" s="87" t="s">
        <v>341</v>
      </c>
      <c r="K123" s="87">
        <v>5200</v>
      </c>
      <c r="L123" s="87" t="s">
        <v>428</v>
      </c>
      <c r="M123" s="88">
        <v>293</v>
      </c>
      <c r="N123" s="88">
        <v>384</v>
      </c>
      <c r="O123" s="88">
        <v>422</v>
      </c>
      <c r="P123" s="88">
        <v>997</v>
      </c>
      <c r="T123" s="82">
        <v>112</v>
      </c>
      <c r="U123" s="82">
        <v>533</v>
      </c>
      <c r="V123" s="82">
        <v>-33</v>
      </c>
    </row>
    <row r="124" spans="2:22" ht="17.25" x14ac:dyDescent="0.25">
      <c r="B124" s="89" t="s">
        <v>235</v>
      </c>
      <c r="C124" s="89">
        <v>5210</v>
      </c>
      <c r="D124" s="89" t="s">
        <v>623</v>
      </c>
      <c r="E124" s="90">
        <v>314</v>
      </c>
      <c r="F124" s="90">
        <v>423</v>
      </c>
      <c r="G124" s="90">
        <v>618</v>
      </c>
      <c r="H124" s="90">
        <v>796</v>
      </c>
      <c r="J124" s="89" t="s">
        <v>341</v>
      </c>
      <c r="K124" s="89">
        <v>5210</v>
      </c>
      <c r="L124" s="89" t="s">
        <v>623</v>
      </c>
      <c r="M124" s="90">
        <v>361</v>
      </c>
      <c r="N124" s="90">
        <v>486</v>
      </c>
      <c r="O124" s="90">
        <v>711</v>
      </c>
      <c r="P124" s="90">
        <v>915</v>
      </c>
      <c r="T124" s="82">
        <v>304</v>
      </c>
      <c r="U124" s="82">
        <v>373</v>
      </c>
      <c r="V124" s="82">
        <v>-195</v>
      </c>
    </row>
    <row r="125" spans="2:22" ht="17.25" x14ac:dyDescent="0.25">
      <c r="B125" s="89" t="s">
        <v>235</v>
      </c>
      <c r="C125" s="89">
        <v>5201</v>
      </c>
      <c r="D125" s="89" t="s">
        <v>450</v>
      </c>
      <c r="E125" s="90">
        <v>314</v>
      </c>
      <c r="F125" s="90">
        <v>423</v>
      </c>
      <c r="G125" s="90">
        <v>484</v>
      </c>
      <c r="H125" s="90">
        <v>902</v>
      </c>
      <c r="J125" s="89" t="s">
        <v>341</v>
      </c>
      <c r="K125" s="89">
        <v>5201</v>
      </c>
      <c r="L125" s="89" t="s">
        <v>450</v>
      </c>
      <c r="M125" s="90">
        <v>361</v>
      </c>
      <c r="N125" s="90">
        <v>486</v>
      </c>
      <c r="O125" s="90">
        <v>557</v>
      </c>
      <c r="P125" s="90">
        <v>1037</v>
      </c>
      <c r="T125" s="82">
        <v>170</v>
      </c>
      <c r="U125" s="82">
        <v>479</v>
      </c>
      <c r="V125" s="82">
        <v>-61</v>
      </c>
    </row>
    <row r="126" spans="2:22" ht="17.25" x14ac:dyDescent="0.25">
      <c r="B126" s="89" t="s">
        <v>235</v>
      </c>
      <c r="C126" s="89">
        <v>5202</v>
      </c>
      <c r="D126" s="89" t="s">
        <v>451</v>
      </c>
      <c r="E126" s="90">
        <v>464</v>
      </c>
      <c r="F126" s="90">
        <v>624</v>
      </c>
      <c r="G126" s="90">
        <v>716</v>
      </c>
      <c r="H126" s="90">
        <v>1139</v>
      </c>
      <c r="J126" s="89" t="s">
        <v>341</v>
      </c>
      <c r="K126" s="89">
        <v>5202</v>
      </c>
      <c r="L126" s="89" t="s">
        <v>451</v>
      </c>
      <c r="M126" s="90">
        <v>534</v>
      </c>
      <c r="N126" s="90">
        <v>718</v>
      </c>
      <c r="O126" s="90">
        <v>823</v>
      </c>
      <c r="P126" s="90">
        <v>1310</v>
      </c>
      <c r="T126" s="82">
        <v>252</v>
      </c>
      <c r="U126" s="82">
        <v>515</v>
      </c>
      <c r="V126" s="82">
        <v>-92</v>
      </c>
    </row>
    <row r="127" spans="2:22" ht="17.25" x14ac:dyDescent="0.25">
      <c r="B127" s="89" t="s">
        <v>235</v>
      </c>
      <c r="C127" s="89">
        <v>5203</v>
      </c>
      <c r="D127" s="89" t="s">
        <v>452</v>
      </c>
      <c r="E127" s="90">
        <v>542</v>
      </c>
      <c r="F127" s="90">
        <v>746</v>
      </c>
      <c r="G127" s="90">
        <v>863</v>
      </c>
      <c r="H127" s="90">
        <v>1265</v>
      </c>
      <c r="J127" s="89" t="s">
        <v>341</v>
      </c>
      <c r="K127" s="89">
        <v>5203</v>
      </c>
      <c r="L127" s="89" t="s">
        <v>452</v>
      </c>
      <c r="M127" s="90">
        <v>623</v>
      </c>
      <c r="N127" s="90">
        <v>858</v>
      </c>
      <c r="O127" s="90">
        <v>992</v>
      </c>
      <c r="P127" s="90">
        <v>1455</v>
      </c>
      <c r="T127" s="82">
        <v>321</v>
      </c>
      <c r="U127" s="82">
        <v>519</v>
      </c>
      <c r="V127" s="82">
        <v>-117</v>
      </c>
    </row>
    <row r="128" spans="2:22" ht="17.25" x14ac:dyDescent="0.25">
      <c r="B128" s="89" t="s">
        <v>235</v>
      </c>
      <c r="C128" s="89">
        <v>5204</v>
      </c>
      <c r="D128" s="89" t="s">
        <v>453</v>
      </c>
      <c r="E128" s="90">
        <v>668</v>
      </c>
      <c r="F128" s="90">
        <v>917</v>
      </c>
      <c r="G128" s="90">
        <v>1315</v>
      </c>
      <c r="H128" s="90">
        <v>1496</v>
      </c>
      <c r="J128" s="89" t="s">
        <v>341</v>
      </c>
      <c r="K128" s="89">
        <v>5204</v>
      </c>
      <c r="L128" s="89" t="s">
        <v>453</v>
      </c>
      <c r="M128" s="90">
        <v>768</v>
      </c>
      <c r="N128" s="90">
        <v>1055</v>
      </c>
      <c r="O128" s="90">
        <v>1512</v>
      </c>
      <c r="P128" s="90">
        <v>1720</v>
      </c>
      <c r="T128" s="82">
        <v>647</v>
      </c>
      <c r="U128" s="82">
        <v>579</v>
      </c>
      <c r="V128" s="82">
        <v>-398</v>
      </c>
    </row>
    <row r="129" spans="2:22" ht="17.25" x14ac:dyDescent="0.25">
      <c r="B129" s="89" t="s">
        <v>235</v>
      </c>
      <c r="C129" s="89">
        <v>5205</v>
      </c>
      <c r="D129" s="89" t="s">
        <v>430</v>
      </c>
      <c r="E129" s="90">
        <v>269</v>
      </c>
      <c r="F129" s="90">
        <v>363</v>
      </c>
      <c r="G129" s="90">
        <v>406</v>
      </c>
      <c r="H129" s="90">
        <v>888</v>
      </c>
      <c r="J129" s="89" t="s">
        <v>341</v>
      </c>
      <c r="K129" s="89">
        <v>5205</v>
      </c>
      <c r="L129" s="89" t="s">
        <v>430</v>
      </c>
      <c r="M129" s="90">
        <v>309</v>
      </c>
      <c r="N129" s="90">
        <v>417</v>
      </c>
      <c r="O129" s="90">
        <v>467</v>
      </c>
      <c r="P129" s="90">
        <v>1021</v>
      </c>
      <c r="T129" s="82">
        <v>137</v>
      </c>
      <c r="U129" s="82">
        <v>525</v>
      </c>
      <c r="V129" s="82">
        <v>-43</v>
      </c>
    </row>
    <row r="130" spans="2:22" ht="17.25" x14ac:dyDescent="0.25">
      <c r="B130" s="89" t="s">
        <v>235</v>
      </c>
      <c r="C130" s="89">
        <v>5206</v>
      </c>
      <c r="D130" s="89" t="s">
        <v>455</v>
      </c>
      <c r="E130" s="90">
        <v>375</v>
      </c>
      <c r="F130" s="90">
        <v>517</v>
      </c>
      <c r="G130" s="90">
        <v>587</v>
      </c>
      <c r="H130" s="90">
        <v>944</v>
      </c>
      <c r="J130" s="89" t="s">
        <v>341</v>
      </c>
      <c r="K130" s="89">
        <v>5206</v>
      </c>
      <c r="L130" s="89" t="s">
        <v>455</v>
      </c>
      <c r="M130" s="90">
        <v>431</v>
      </c>
      <c r="N130" s="90">
        <v>595</v>
      </c>
      <c r="O130" s="90">
        <v>675</v>
      </c>
      <c r="P130" s="90">
        <v>1086</v>
      </c>
      <c r="T130" s="82">
        <v>212</v>
      </c>
      <c r="U130" s="82">
        <v>427</v>
      </c>
      <c r="V130" s="82">
        <v>-70</v>
      </c>
    </row>
    <row r="131" spans="2:22" ht="17.25" x14ac:dyDescent="0.25">
      <c r="B131" s="89" t="s">
        <v>235</v>
      </c>
      <c r="C131" s="89">
        <v>5207</v>
      </c>
      <c r="D131" s="89" t="s">
        <v>456</v>
      </c>
      <c r="E131" s="90">
        <v>523</v>
      </c>
      <c r="F131" s="90">
        <v>717</v>
      </c>
      <c r="G131" s="90">
        <v>817</v>
      </c>
      <c r="H131" s="90">
        <v>1349</v>
      </c>
      <c r="J131" s="89" t="s">
        <v>341</v>
      </c>
      <c r="K131" s="89">
        <v>5207</v>
      </c>
      <c r="L131" s="89" t="s">
        <v>456</v>
      </c>
      <c r="M131" s="90">
        <v>601</v>
      </c>
      <c r="N131" s="90">
        <v>825</v>
      </c>
      <c r="O131" s="90">
        <v>940</v>
      </c>
      <c r="P131" s="90">
        <v>1551</v>
      </c>
      <c r="T131" s="82">
        <v>294</v>
      </c>
      <c r="U131" s="82">
        <v>632</v>
      </c>
      <c r="V131" s="82">
        <v>-100</v>
      </c>
    </row>
    <row r="132" spans="2:22" ht="17.25" x14ac:dyDescent="0.25">
      <c r="B132" s="89" t="s">
        <v>235</v>
      </c>
      <c r="C132" s="89">
        <v>5208</v>
      </c>
      <c r="D132" s="89" t="s">
        <v>457</v>
      </c>
      <c r="E132" s="90">
        <v>625</v>
      </c>
      <c r="F132" s="90">
        <v>869</v>
      </c>
      <c r="G132" s="90">
        <v>998</v>
      </c>
      <c r="H132" s="90">
        <v>1635</v>
      </c>
      <c r="J132" s="89" t="s">
        <v>341</v>
      </c>
      <c r="K132" s="89">
        <v>5208</v>
      </c>
      <c r="L132" s="89" t="s">
        <v>457</v>
      </c>
      <c r="M132" s="90">
        <v>719</v>
      </c>
      <c r="N132" s="90">
        <v>999</v>
      </c>
      <c r="O132" s="90">
        <v>1148</v>
      </c>
      <c r="P132" s="90">
        <v>1880</v>
      </c>
      <c r="T132" s="82">
        <v>373</v>
      </c>
      <c r="U132" s="82">
        <v>766</v>
      </c>
      <c r="V132" s="82">
        <v>-129</v>
      </c>
    </row>
    <row r="133" spans="2:22" ht="17.25" x14ac:dyDescent="0.25">
      <c r="B133" s="89" t="s">
        <v>235</v>
      </c>
      <c r="C133" s="89">
        <v>5209</v>
      </c>
      <c r="D133" s="89" t="s">
        <v>458</v>
      </c>
      <c r="E133" s="91">
        <v>769</v>
      </c>
      <c r="F133" s="90">
        <v>1072</v>
      </c>
      <c r="G133" s="90">
        <v>1514</v>
      </c>
      <c r="H133" s="90">
        <v>2017</v>
      </c>
      <c r="J133" s="89" t="s">
        <v>341</v>
      </c>
      <c r="K133" s="89">
        <v>5209</v>
      </c>
      <c r="L133" s="89" t="s">
        <v>458</v>
      </c>
      <c r="M133" s="91">
        <v>884</v>
      </c>
      <c r="N133" s="90">
        <v>1233</v>
      </c>
      <c r="O133" s="90">
        <v>1741</v>
      </c>
      <c r="P133" s="90">
        <v>2320</v>
      </c>
      <c r="T133" s="82">
        <v>745</v>
      </c>
      <c r="U133" s="82">
        <v>945</v>
      </c>
      <c r="V133" s="82">
        <v>-442</v>
      </c>
    </row>
    <row r="134" spans="2:22" ht="17.25" x14ac:dyDescent="0.25">
      <c r="B134" s="89" t="s">
        <v>235</v>
      </c>
      <c r="C134" s="89">
        <v>5111</v>
      </c>
      <c r="D134" s="89" t="s">
        <v>428</v>
      </c>
      <c r="E134" s="91">
        <v>0</v>
      </c>
      <c r="F134" s="90">
        <v>259</v>
      </c>
      <c r="G134" s="90">
        <v>0</v>
      </c>
      <c r="H134" s="90">
        <v>487</v>
      </c>
      <c r="J134" s="89" t="s">
        <v>341</v>
      </c>
      <c r="K134" s="89">
        <v>5111</v>
      </c>
      <c r="L134" s="89" t="s">
        <v>428</v>
      </c>
      <c r="M134" s="91">
        <v>0</v>
      </c>
      <c r="N134" s="90">
        <v>298</v>
      </c>
      <c r="O134" s="90">
        <v>0</v>
      </c>
      <c r="P134" s="90">
        <v>560</v>
      </c>
      <c r="T134" s="82">
        <v>0</v>
      </c>
      <c r="U134" s="82">
        <v>228</v>
      </c>
      <c r="V134" s="82">
        <v>259</v>
      </c>
    </row>
    <row r="135" spans="2:22" ht="17.25" x14ac:dyDescent="0.25">
      <c r="B135" s="89" t="s">
        <v>235</v>
      </c>
      <c r="C135" s="89">
        <v>5112</v>
      </c>
      <c r="D135" s="89" t="s">
        <v>450</v>
      </c>
      <c r="E135" s="91">
        <v>0</v>
      </c>
      <c r="F135" s="90">
        <v>10</v>
      </c>
      <c r="G135" s="90">
        <v>0</v>
      </c>
      <c r="H135" s="90">
        <v>19</v>
      </c>
      <c r="J135" s="89" t="s">
        <v>341</v>
      </c>
      <c r="K135" s="89">
        <v>5112</v>
      </c>
      <c r="L135" s="89" t="s">
        <v>450</v>
      </c>
      <c r="M135" s="91">
        <v>0</v>
      </c>
      <c r="N135" s="90">
        <v>12</v>
      </c>
      <c r="O135" s="90">
        <v>0</v>
      </c>
      <c r="P135" s="90">
        <v>22</v>
      </c>
      <c r="T135" s="82">
        <v>0</v>
      </c>
      <c r="U135" s="82">
        <v>9</v>
      </c>
      <c r="V135" s="82">
        <v>10</v>
      </c>
    </row>
    <row r="136" spans="2:22" ht="17.25" x14ac:dyDescent="0.25">
      <c r="B136" s="89" t="s">
        <v>235</v>
      </c>
      <c r="C136" s="89">
        <v>5113</v>
      </c>
      <c r="D136" s="89" t="s">
        <v>451</v>
      </c>
      <c r="E136" s="91">
        <v>0</v>
      </c>
      <c r="F136" s="90">
        <v>10</v>
      </c>
      <c r="G136" s="90">
        <v>0</v>
      </c>
      <c r="H136" s="90">
        <v>19</v>
      </c>
      <c r="J136" s="89" t="s">
        <v>341</v>
      </c>
      <c r="K136" s="89">
        <v>5113</v>
      </c>
      <c r="L136" s="89" t="s">
        <v>451</v>
      </c>
      <c r="M136" s="91">
        <v>0</v>
      </c>
      <c r="N136" s="90">
        <v>12</v>
      </c>
      <c r="O136" s="90">
        <v>0</v>
      </c>
      <c r="P136" s="90">
        <v>22</v>
      </c>
      <c r="T136" s="82">
        <v>0</v>
      </c>
      <c r="U136" s="82">
        <v>9</v>
      </c>
      <c r="V136" s="82">
        <v>10</v>
      </c>
    </row>
    <row r="137" spans="2:22" ht="17.25" x14ac:dyDescent="0.25">
      <c r="B137" s="89" t="s">
        <v>235</v>
      </c>
      <c r="C137" s="89">
        <v>5114</v>
      </c>
      <c r="D137" s="89" t="s">
        <v>452</v>
      </c>
      <c r="E137" s="91">
        <v>0</v>
      </c>
      <c r="F137" s="90">
        <v>10</v>
      </c>
      <c r="G137" s="90">
        <v>0</v>
      </c>
      <c r="H137" s="90">
        <v>19</v>
      </c>
      <c r="J137" s="89" t="s">
        <v>341</v>
      </c>
      <c r="K137" s="89">
        <v>5114</v>
      </c>
      <c r="L137" s="89" t="s">
        <v>452</v>
      </c>
      <c r="M137" s="91">
        <v>0</v>
      </c>
      <c r="N137" s="90">
        <v>12</v>
      </c>
      <c r="O137" s="90">
        <v>0</v>
      </c>
      <c r="P137" s="90">
        <v>22</v>
      </c>
      <c r="T137" s="82">
        <v>0</v>
      </c>
      <c r="U137" s="82">
        <v>9</v>
      </c>
      <c r="V137" s="82">
        <v>10</v>
      </c>
    </row>
    <row r="138" spans="2:22" ht="17.25" x14ac:dyDescent="0.25">
      <c r="B138" s="89" t="s">
        <v>235</v>
      </c>
      <c r="C138" s="89">
        <v>5115</v>
      </c>
      <c r="D138" s="89" t="s">
        <v>453</v>
      </c>
      <c r="E138" s="91">
        <v>0</v>
      </c>
      <c r="F138" s="90">
        <v>10</v>
      </c>
      <c r="G138" s="90">
        <v>0</v>
      </c>
      <c r="H138" s="90">
        <v>19</v>
      </c>
      <c r="J138" s="89" t="s">
        <v>341</v>
      </c>
      <c r="K138" s="89">
        <v>5115</v>
      </c>
      <c r="L138" s="89" t="s">
        <v>453</v>
      </c>
      <c r="M138" s="91">
        <v>0</v>
      </c>
      <c r="N138" s="90">
        <v>12</v>
      </c>
      <c r="O138" s="90">
        <v>0</v>
      </c>
      <c r="P138" s="90">
        <v>22</v>
      </c>
      <c r="T138" s="82">
        <v>0</v>
      </c>
      <c r="U138" s="82">
        <v>9</v>
      </c>
      <c r="V138" s="82">
        <v>10</v>
      </c>
    </row>
    <row r="139" spans="2:22" x14ac:dyDescent="0.25">
      <c r="T139" s="82">
        <v>0</v>
      </c>
      <c r="U139" s="82">
        <v>0</v>
      </c>
      <c r="V139" s="82">
        <v>0</v>
      </c>
    </row>
    <row r="140" spans="2:22" ht="18" thickBot="1" x14ac:dyDescent="0.3">
      <c r="B140" s="85" t="s">
        <v>601</v>
      </c>
      <c r="C140" s="85" t="s">
        <v>602</v>
      </c>
      <c r="D140" s="85" t="s">
        <v>603</v>
      </c>
      <c r="E140" s="86" t="s">
        <v>541</v>
      </c>
      <c r="F140" s="86" t="s">
        <v>543</v>
      </c>
      <c r="G140" s="86" t="s">
        <v>542</v>
      </c>
      <c r="H140" s="86" t="s">
        <v>544</v>
      </c>
      <c r="J140" s="85" t="s">
        <v>601</v>
      </c>
      <c r="K140" s="85" t="s">
        <v>602</v>
      </c>
      <c r="L140" s="85" t="s">
        <v>603</v>
      </c>
      <c r="M140" s="86" t="s">
        <v>541</v>
      </c>
      <c r="N140" s="86" t="s">
        <v>543</v>
      </c>
      <c r="O140" s="86" t="s">
        <v>542</v>
      </c>
      <c r="P140" s="86" t="s">
        <v>544</v>
      </c>
      <c r="T140" s="82" t="s">
        <v>607</v>
      </c>
    </row>
    <row r="141" spans="2:22" ht="17.25" x14ac:dyDescent="0.25">
      <c r="B141" s="87" t="s">
        <v>2</v>
      </c>
      <c r="C141" s="87">
        <v>5300</v>
      </c>
      <c r="D141" s="87" t="s">
        <v>461</v>
      </c>
      <c r="E141" s="88">
        <v>285</v>
      </c>
      <c r="F141" s="88">
        <v>329</v>
      </c>
      <c r="G141" s="88">
        <v>345</v>
      </c>
      <c r="H141" s="88">
        <v>619</v>
      </c>
      <c r="J141" s="87" t="s">
        <v>256</v>
      </c>
      <c r="K141" s="87">
        <v>5300</v>
      </c>
      <c r="L141" s="87" t="s">
        <v>461</v>
      </c>
      <c r="M141" s="88">
        <v>328</v>
      </c>
      <c r="N141" s="88">
        <v>378</v>
      </c>
      <c r="O141" s="88">
        <v>397</v>
      </c>
      <c r="P141" s="88">
        <v>712</v>
      </c>
      <c r="T141" s="82">
        <v>60</v>
      </c>
      <c r="U141" s="82">
        <v>290</v>
      </c>
      <c r="V141" s="82">
        <v>-16</v>
      </c>
    </row>
    <row r="142" spans="2:22" ht="17.25" x14ac:dyDescent="0.25">
      <c r="B142" s="89" t="s">
        <v>2</v>
      </c>
      <c r="C142" s="89">
        <v>5301</v>
      </c>
      <c r="D142" s="89" t="s">
        <v>424</v>
      </c>
      <c r="E142" s="90">
        <v>352</v>
      </c>
      <c r="F142" s="90">
        <v>420</v>
      </c>
      <c r="G142" s="90">
        <v>439</v>
      </c>
      <c r="H142" s="90">
        <v>429</v>
      </c>
      <c r="J142" s="89" t="s">
        <v>256</v>
      </c>
      <c r="K142" s="89">
        <v>5301</v>
      </c>
      <c r="L142" s="89" t="s">
        <v>424</v>
      </c>
      <c r="M142" s="90">
        <v>405</v>
      </c>
      <c r="N142" s="90">
        <v>483</v>
      </c>
      <c r="O142" s="90">
        <v>505</v>
      </c>
      <c r="P142" s="90">
        <v>493</v>
      </c>
      <c r="T142" s="82">
        <v>87</v>
      </c>
      <c r="U142" s="82">
        <v>9</v>
      </c>
      <c r="V142" s="82">
        <v>-19</v>
      </c>
    </row>
    <row r="143" spans="2:22" ht="17.25" x14ac:dyDescent="0.25">
      <c r="B143" s="89" t="s">
        <v>2</v>
      </c>
      <c r="C143" s="89">
        <v>5302</v>
      </c>
      <c r="D143" s="89" t="s">
        <v>462</v>
      </c>
      <c r="E143" s="90">
        <v>298</v>
      </c>
      <c r="F143" s="90">
        <v>351</v>
      </c>
      <c r="G143" s="90">
        <v>368</v>
      </c>
      <c r="H143" s="90">
        <v>358</v>
      </c>
      <c r="J143" s="89" t="s">
        <v>256</v>
      </c>
      <c r="K143" s="89">
        <v>5302</v>
      </c>
      <c r="L143" s="89" t="s">
        <v>462</v>
      </c>
      <c r="M143" s="90">
        <v>343</v>
      </c>
      <c r="N143" s="90">
        <v>404</v>
      </c>
      <c r="O143" s="90">
        <v>423</v>
      </c>
      <c r="P143" s="90">
        <v>412</v>
      </c>
      <c r="T143" s="82">
        <v>70</v>
      </c>
      <c r="U143" s="82">
        <v>7</v>
      </c>
      <c r="V143" s="82">
        <v>-17</v>
      </c>
    </row>
    <row r="144" spans="2:22" ht="17.25" x14ac:dyDescent="0.25">
      <c r="B144" s="89" t="s">
        <v>2</v>
      </c>
      <c r="C144" s="89">
        <v>5303</v>
      </c>
      <c r="D144" s="89" t="s">
        <v>426</v>
      </c>
      <c r="E144" s="90">
        <v>353</v>
      </c>
      <c r="F144" s="90">
        <v>445</v>
      </c>
      <c r="G144" s="90">
        <v>470</v>
      </c>
      <c r="H144" s="90">
        <v>460</v>
      </c>
      <c r="J144" s="89" t="s">
        <v>256</v>
      </c>
      <c r="K144" s="89">
        <v>5303</v>
      </c>
      <c r="L144" s="89" t="s">
        <v>426</v>
      </c>
      <c r="M144" s="90">
        <v>406</v>
      </c>
      <c r="N144" s="90">
        <v>512</v>
      </c>
      <c r="O144" s="90">
        <v>541</v>
      </c>
      <c r="P144" s="90">
        <v>529</v>
      </c>
      <c r="T144" s="82">
        <v>117</v>
      </c>
      <c r="U144" s="82">
        <v>15</v>
      </c>
      <c r="V144" s="82">
        <v>-25</v>
      </c>
    </row>
    <row r="145" spans="2:22" ht="17.25" x14ac:dyDescent="0.25">
      <c r="B145" s="89" t="s">
        <v>2</v>
      </c>
      <c r="C145" s="89">
        <v>5304</v>
      </c>
      <c r="D145" s="89" t="s">
        <v>463</v>
      </c>
      <c r="E145" s="90">
        <v>309</v>
      </c>
      <c r="F145" s="90">
        <v>372</v>
      </c>
      <c r="G145" s="90">
        <v>391</v>
      </c>
      <c r="H145" s="90">
        <v>381</v>
      </c>
      <c r="J145" s="89" t="s">
        <v>256</v>
      </c>
      <c r="K145" s="89">
        <v>5304</v>
      </c>
      <c r="L145" s="89" t="s">
        <v>463</v>
      </c>
      <c r="M145" s="90">
        <v>355</v>
      </c>
      <c r="N145" s="90">
        <v>428</v>
      </c>
      <c r="O145" s="90">
        <v>450</v>
      </c>
      <c r="P145" s="90">
        <v>438</v>
      </c>
      <c r="T145" s="82">
        <v>82</v>
      </c>
      <c r="U145" s="82">
        <v>9</v>
      </c>
      <c r="V145" s="82">
        <v>-19</v>
      </c>
    </row>
    <row r="146" spans="2:22" ht="17.25" x14ac:dyDescent="0.25">
      <c r="B146" s="89" t="s">
        <v>2</v>
      </c>
      <c r="C146" s="89">
        <v>5305</v>
      </c>
      <c r="D146" s="89" t="s">
        <v>428</v>
      </c>
      <c r="E146" s="90">
        <v>356</v>
      </c>
      <c r="F146" s="90">
        <v>471</v>
      </c>
      <c r="G146" s="90">
        <v>501</v>
      </c>
      <c r="H146" s="90">
        <v>491</v>
      </c>
      <c r="J146" s="89" t="s">
        <v>256</v>
      </c>
      <c r="K146" s="89">
        <v>5305</v>
      </c>
      <c r="L146" s="89" t="s">
        <v>428</v>
      </c>
      <c r="M146" s="90">
        <v>409</v>
      </c>
      <c r="N146" s="90">
        <v>542</v>
      </c>
      <c r="O146" s="90">
        <v>576</v>
      </c>
      <c r="P146" s="90">
        <v>565</v>
      </c>
      <c r="T146" s="82">
        <v>145</v>
      </c>
      <c r="U146" s="82">
        <v>20</v>
      </c>
      <c r="V146" s="82">
        <v>-30</v>
      </c>
    </row>
    <row r="147" spans="2:22" ht="17.25" x14ac:dyDescent="0.25">
      <c r="B147" s="89" t="s">
        <v>2</v>
      </c>
      <c r="C147" s="89">
        <v>5306</v>
      </c>
      <c r="D147" s="89" t="s">
        <v>464</v>
      </c>
      <c r="E147" s="90">
        <v>348</v>
      </c>
      <c r="F147" s="90">
        <v>417</v>
      </c>
      <c r="G147" s="90">
        <v>474</v>
      </c>
      <c r="H147" s="90">
        <v>464</v>
      </c>
      <c r="J147" s="89" t="s">
        <v>256</v>
      </c>
      <c r="K147" s="89">
        <v>5306</v>
      </c>
      <c r="L147" s="89" t="s">
        <v>464</v>
      </c>
      <c r="M147" s="90">
        <v>400</v>
      </c>
      <c r="N147" s="90">
        <v>480</v>
      </c>
      <c r="O147" s="90">
        <v>545</v>
      </c>
      <c r="P147" s="90">
        <v>534</v>
      </c>
      <c r="T147" s="82">
        <v>126</v>
      </c>
      <c r="U147" s="82">
        <v>47</v>
      </c>
      <c r="V147" s="82">
        <v>-57</v>
      </c>
    </row>
    <row r="148" spans="2:22" ht="17.25" x14ac:dyDescent="0.25">
      <c r="B148" s="89" t="s">
        <v>2</v>
      </c>
      <c r="C148" s="89">
        <v>5307</v>
      </c>
      <c r="D148" s="89" t="s">
        <v>430</v>
      </c>
      <c r="E148" s="90">
        <v>429</v>
      </c>
      <c r="F148" s="90">
        <v>553</v>
      </c>
      <c r="G148" s="90">
        <v>610</v>
      </c>
      <c r="H148" s="90">
        <v>600</v>
      </c>
      <c r="J148" s="89" t="s">
        <v>256</v>
      </c>
      <c r="K148" s="89">
        <v>5307</v>
      </c>
      <c r="L148" s="89" t="s">
        <v>430</v>
      </c>
      <c r="M148" s="90">
        <v>493</v>
      </c>
      <c r="N148" s="90">
        <v>636</v>
      </c>
      <c r="O148" s="90">
        <v>702</v>
      </c>
      <c r="P148" s="90">
        <v>690</v>
      </c>
      <c r="T148" s="82">
        <v>181</v>
      </c>
      <c r="U148" s="82">
        <v>47</v>
      </c>
      <c r="V148" s="82">
        <v>-57</v>
      </c>
    </row>
    <row r="149" spans="2:22" ht="17.25" x14ac:dyDescent="0.25">
      <c r="B149" s="89"/>
      <c r="C149" s="89"/>
      <c r="D149" s="89"/>
      <c r="E149" s="90"/>
      <c r="F149" s="90"/>
      <c r="G149" s="90"/>
      <c r="H149" s="90"/>
      <c r="J149" s="89"/>
      <c r="K149" s="89"/>
      <c r="L149" s="89"/>
      <c r="M149" s="90"/>
      <c r="N149" s="90"/>
      <c r="O149" s="90"/>
      <c r="P149" s="90"/>
    </row>
    <row r="150" spans="2:22" ht="17.25" x14ac:dyDescent="0.25">
      <c r="B150" s="89"/>
      <c r="C150" s="89"/>
      <c r="D150" s="89"/>
      <c r="E150" s="90"/>
      <c r="F150" s="90"/>
      <c r="G150" s="90"/>
      <c r="H150" s="90"/>
      <c r="J150" s="89"/>
      <c r="K150" s="89"/>
      <c r="L150" s="89"/>
      <c r="M150" s="90"/>
      <c r="N150" s="90"/>
      <c r="O150" s="90"/>
      <c r="P150" s="90"/>
    </row>
    <row r="151" spans="2:22" ht="17.25" x14ac:dyDescent="0.25">
      <c r="B151" s="89"/>
      <c r="C151" s="89"/>
      <c r="D151" s="89"/>
      <c r="E151" s="91"/>
      <c r="F151" s="90"/>
      <c r="G151" s="90"/>
      <c r="H151" s="90"/>
      <c r="J151" s="89"/>
      <c r="K151" s="89"/>
      <c r="L151" s="89"/>
      <c r="M151" s="91"/>
      <c r="N151" s="90"/>
      <c r="O151" s="90"/>
      <c r="P151" s="90"/>
    </row>
    <row r="152" spans="2:22" ht="17.25" x14ac:dyDescent="0.25">
      <c r="B152" s="89"/>
      <c r="C152" s="89"/>
      <c r="D152" s="89"/>
      <c r="E152" s="91"/>
      <c r="F152" s="90"/>
      <c r="G152" s="90"/>
      <c r="H152" s="90"/>
      <c r="J152" s="89"/>
      <c r="K152" s="89"/>
      <c r="L152" s="89"/>
      <c r="M152" s="91"/>
      <c r="N152" s="90"/>
      <c r="O152" s="90"/>
      <c r="P152" s="90"/>
    </row>
    <row r="153" spans="2:22" ht="17.25" x14ac:dyDescent="0.25">
      <c r="B153" s="89"/>
      <c r="C153" s="89"/>
      <c r="D153" s="89"/>
      <c r="E153" s="91"/>
      <c r="F153" s="90"/>
      <c r="G153" s="90"/>
      <c r="H153" s="90"/>
      <c r="J153" s="89"/>
      <c r="K153" s="89"/>
      <c r="L153" s="89"/>
      <c r="M153" s="91"/>
      <c r="N153" s="90"/>
      <c r="O153" s="90"/>
      <c r="P153" s="90"/>
    </row>
    <row r="154" spans="2:22" ht="17.25" x14ac:dyDescent="0.25">
      <c r="B154" s="89"/>
      <c r="C154" s="89"/>
      <c r="D154" s="89"/>
      <c r="E154" s="91"/>
      <c r="F154" s="90"/>
      <c r="G154" s="90"/>
      <c r="H154" s="90"/>
      <c r="J154" s="89"/>
      <c r="K154" s="89"/>
      <c r="L154" s="89"/>
      <c r="M154" s="91"/>
      <c r="N154" s="90"/>
      <c r="O154" s="90"/>
      <c r="P154" s="90"/>
    </row>
    <row r="155" spans="2:22" ht="17.25" x14ac:dyDescent="0.25">
      <c r="B155" s="89"/>
      <c r="C155" s="89"/>
      <c r="D155" s="89"/>
      <c r="E155" s="91"/>
      <c r="F155" s="90"/>
      <c r="G155" s="90"/>
      <c r="H155" s="90"/>
      <c r="J155" s="89"/>
      <c r="K155" s="89"/>
      <c r="L155" s="89"/>
      <c r="M155" s="91"/>
      <c r="N155" s="90"/>
      <c r="O155" s="90"/>
      <c r="P155" s="90"/>
    </row>
    <row r="156" spans="2:22" ht="17.25" x14ac:dyDescent="0.25">
      <c r="B156" s="89"/>
      <c r="C156" s="89"/>
      <c r="D156" s="89"/>
      <c r="E156" s="91"/>
      <c r="F156" s="90"/>
      <c r="G156" s="90"/>
      <c r="H156" s="90"/>
      <c r="J156" s="89"/>
      <c r="K156" s="89"/>
      <c r="L156" s="89"/>
      <c r="M156" s="91"/>
      <c r="N156" s="90"/>
      <c r="O156" s="90"/>
      <c r="P156" s="90"/>
    </row>
  </sheetData>
  <mergeCells count="2">
    <mergeCell ref="B1:H1"/>
    <mergeCell ref="J1:P1"/>
  </mergeCells>
  <conditionalFormatting sqref="T4:V14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{8695EDFB-B611-45A0-A295-1FD1142AC81E}</x14:id>
        </ext>
      </extLst>
    </cfRule>
  </conditionalFormatting>
  <pageMargins left="0.7" right="0.7" top="0.78740157499999996" bottom="0.78740157499999996" header="0.3" footer="0.3"/>
  <pageSetup paperSize="9"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5EDFB-B611-45A0-A295-1FD1142AC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T4:V148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E7A0-0A40-4216-B1C1-C79ADFAA4A02}">
  <sheetPr codeName="Tabelle3"/>
  <dimension ref="A1:L38"/>
  <sheetViews>
    <sheetView topLeftCell="C1" zoomScaleNormal="100" workbookViewId="0">
      <selection activeCell="K24" sqref="K24"/>
    </sheetView>
  </sheetViews>
  <sheetFormatPr baseColWidth="10" defaultRowHeight="15" x14ac:dyDescent="0.25"/>
  <cols>
    <col min="1" max="1" width="15" style="104" bestFit="1" customWidth="1"/>
    <col min="2" max="2" width="34.28515625" style="104" customWidth="1"/>
    <col min="3" max="3" width="28.5703125" style="104" customWidth="1"/>
    <col min="4" max="5" width="15.28515625" style="104" customWidth="1"/>
    <col min="6" max="6" width="24.140625" style="104" bestFit="1" customWidth="1"/>
    <col min="7" max="7" width="16.5703125" style="104" bestFit="1" customWidth="1"/>
    <col min="8" max="8" width="17.7109375" style="104" bestFit="1" customWidth="1"/>
    <col min="9" max="9" width="17.7109375" style="104" customWidth="1"/>
    <col min="10" max="10" width="18.42578125" style="104" bestFit="1" customWidth="1"/>
    <col min="11" max="11" width="19.5703125" style="104" bestFit="1" customWidth="1"/>
    <col min="12" max="12" width="22.140625" style="104" bestFit="1" customWidth="1"/>
    <col min="13" max="14" width="18.5703125" style="104" customWidth="1"/>
    <col min="15" max="15" width="11.42578125" style="104"/>
    <col min="16" max="16" width="13" style="104" customWidth="1"/>
    <col min="17" max="16384" width="11.42578125" style="104"/>
  </cols>
  <sheetData>
    <row r="1" spans="1:8" ht="15.75" x14ac:dyDescent="0.25">
      <c r="B1" s="116" t="s">
        <v>698</v>
      </c>
      <c r="C1" s="115"/>
      <c r="D1" s="115"/>
      <c r="E1" s="115"/>
      <c r="F1" s="115"/>
      <c r="G1" s="115"/>
    </row>
    <row r="2" spans="1:8" x14ac:dyDescent="0.25">
      <c r="B2" s="118" t="s">
        <v>697</v>
      </c>
      <c r="C2" s="119">
        <v>0.03</v>
      </c>
      <c r="D2" s="118" t="s">
        <v>696</v>
      </c>
      <c r="E2" s="117">
        <v>10</v>
      </c>
      <c r="F2" s="118" t="s">
        <v>695</v>
      </c>
      <c r="G2" s="105">
        <v>1.3</v>
      </c>
    </row>
    <row r="3" spans="1:8" x14ac:dyDescent="0.25">
      <c r="B3" s="118" t="s">
        <v>694</v>
      </c>
      <c r="C3" s="105">
        <v>3.5</v>
      </c>
      <c r="D3" s="118" t="s">
        <v>693</v>
      </c>
      <c r="E3" s="117">
        <v>10</v>
      </c>
      <c r="F3" s="118" t="s">
        <v>692</v>
      </c>
      <c r="G3" s="117">
        <v>10</v>
      </c>
    </row>
    <row r="5" spans="1:8" ht="15.75" x14ac:dyDescent="0.25">
      <c r="A5" s="116"/>
      <c r="B5" s="116" t="s">
        <v>691</v>
      </c>
      <c r="C5" s="115"/>
      <c r="D5" s="115"/>
      <c r="E5" s="115"/>
      <c r="F5" s="115"/>
      <c r="G5" s="115"/>
      <c r="H5" s="115"/>
    </row>
    <row r="6" spans="1:8" x14ac:dyDescent="0.25">
      <c r="A6" s="126" t="s">
        <v>4</v>
      </c>
      <c r="B6" s="113" t="s">
        <v>6</v>
      </c>
      <c r="C6" s="113" t="s">
        <v>690</v>
      </c>
      <c r="D6" s="113" t="s">
        <v>657</v>
      </c>
      <c r="E6" s="113" t="s">
        <v>676</v>
      </c>
      <c r="F6" s="113" t="s">
        <v>675</v>
      </c>
      <c r="G6" s="114" t="s">
        <v>674</v>
      </c>
      <c r="H6" s="114" t="s">
        <v>673</v>
      </c>
    </row>
    <row r="7" spans="1:8" x14ac:dyDescent="0.25">
      <c r="A7" s="127" t="s">
        <v>312</v>
      </c>
      <c r="B7" s="109" t="s">
        <v>689</v>
      </c>
      <c r="C7" s="109">
        <v>580</v>
      </c>
      <c r="D7" s="109"/>
      <c r="E7" s="107">
        <v>55</v>
      </c>
      <c r="F7" s="107">
        <v>81</v>
      </c>
      <c r="G7" s="108">
        <f t="shared" ref="G7:G18" si="0">ROUND(E7*(1+$C$2)^$E$2+$E$3,0)</f>
        <v>84</v>
      </c>
      <c r="H7" s="108">
        <f t="shared" ref="H7:H18" si="1">ROUND(G7*$G$2,0)</f>
        <v>109</v>
      </c>
    </row>
    <row r="8" spans="1:8" x14ac:dyDescent="0.25">
      <c r="A8" s="128" t="s">
        <v>312</v>
      </c>
      <c r="B8" s="112" t="s">
        <v>688</v>
      </c>
      <c r="C8" s="112">
        <v>720</v>
      </c>
      <c r="D8" s="112"/>
      <c r="E8" s="111">
        <v>71</v>
      </c>
      <c r="F8" s="111">
        <v>105</v>
      </c>
      <c r="G8" s="108">
        <f t="shared" si="0"/>
        <v>105</v>
      </c>
      <c r="H8" s="108">
        <f t="shared" si="1"/>
        <v>137</v>
      </c>
    </row>
    <row r="9" spans="1:8" x14ac:dyDescent="0.25">
      <c r="A9" s="127" t="s">
        <v>312</v>
      </c>
      <c r="B9" s="109" t="s">
        <v>687</v>
      </c>
      <c r="C9" s="109">
        <v>750</v>
      </c>
      <c r="D9" s="109"/>
      <c r="E9" s="107">
        <v>71</v>
      </c>
      <c r="F9" s="107">
        <v>105</v>
      </c>
      <c r="G9" s="108">
        <f t="shared" si="0"/>
        <v>105</v>
      </c>
      <c r="H9" s="108">
        <f t="shared" si="1"/>
        <v>137</v>
      </c>
    </row>
    <row r="10" spans="1:8" x14ac:dyDescent="0.25">
      <c r="A10" s="128" t="s">
        <v>312</v>
      </c>
      <c r="B10" s="112" t="s">
        <v>686</v>
      </c>
      <c r="C10" s="112">
        <v>780</v>
      </c>
      <c r="E10" s="111">
        <v>61</v>
      </c>
      <c r="F10" s="111">
        <v>90</v>
      </c>
      <c r="G10" s="108">
        <f t="shared" si="0"/>
        <v>92</v>
      </c>
      <c r="H10" s="108">
        <f t="shared" si="1"/>
        <v>120</v>
      </c>
    </row>
    <row r="11" spans="1:8" x14ac:dyDescent="0.25">
      <c r="A11" s="127" t="s">
        <v>312</v>
      </c>
      <c r="B11" s="109" t="s">
        <v>685</v>
      </c>
      <c r="C11" s="109">
        <v>980</v>
      </c>
      <c r="D11" s="109"/>
      <c r="E11" s="107">
        <v>66</v>
      </c>
      <c r="F11" s="107">
        <v>98</v>
      </c>
      <c r="G11" s="108">
        <f t="shared" si="0"/>
        <v>99</v>
      </c>
      <c r="H11" s="108">
        <f t="shared" si="1"/>
        <v>129</v>
      </c>
    </row>
    <row r="12" spans="1:8" x14ac:dyDescent="0.25">
      <c r="A12" s="128" t="s">
        <v>312</v>
      </c>
      <c r="B12" s="112" t="s">
        <v>684</v>
      </c>
      <c r="C12" s="112">
        <v>1200</v>
      </c>
      <c r="E12" s="111">
        <v>72</v>
      </c>
      <c r="F12" s="111">
        <v>106</v>
      </c>
      <c r="G12" s="108">
        <f t="shared" si="0"/>
        <v>107</v>
      </c>
      <c r="H12" s="108">
        <f t="shared" si="1"/>
        <v>139</v>
      </c>
    </row>
    <row r="13" spans="1:8" x14ac:dyDescent="0.25">
      <c r="A13" s="127" t="s">
        <v>312</v>
      </c>
      <c r="B13" s="109" t="s">
        <v>683</v>
      </c>
      <c r="C13" s="109">
        <v>1360</v>
      </c>
      <c r="D13" s="109"/>
      <c r="E13" s="107">
        <v>78</v>
      </c>
      <c r="F13" s="107">
        <v>115</v>
      </c>
      <c r="G13" s="108">
        <f t="shared" si="0"/>
        <v>115</v>
      </c>
      <c r="H13" s="108">
        <f t="shared" si="1"/>
        <v>150</v>
      </c>
    </row>
    <row r="14" spans="1:8" x14ac:dyDescent="0.25">
      <c r="A14" s="128" t="s">
        <v>312</v>
      </c>
      <c r="B14" s="112" t="s">
        <v>682</v>
      </c>
      <c r="C14" s="112">
        <v>1560</v>
      </c>
      <c r="E14" s="111">
        <v>83</v>
      </c>
      <c r="F14" s="111">
        <v>123</v>
      </c>
      <c r="G14" s="108">
        <f t="shared" si="0"/>
        <v>122</v>
      </c>
      <c r="H14" s="108">
        <f t="shared" si="1"/>
        <v>159</v>
      </c>
    </row>
    <row r="15" spans="1:8" x14ac:dyDescent="0.25">
      <c r="A15" s="127" t="s">
        <v>312</v>
      </c>
      <c r="B15" s="109" t="s">
        <v>681</v>
      </c>
      <c r="C15" s="109">
        <v>1760</v>
      </c>
      <c r="D15" s="109"/>
      <c r="E15" s="107">
        <v>89</v>
      </c>
      <c r="F15" s="107">
        <v>132</v>
      </c>
      <c r="G15" s="108">
        <f t="shared" si="0"/>
        <v>130</v>
      </c>
      <c r="H15" s="108">
        <f t="shared" si="1"/>
        <v>169</v>
      </c>
    </row>
    <row r="16" spans="1:8" x14ac:dyDescent="0.25">
      <c r="A16" s="128" t="s">
        <v>312</v>
      </c>
      <c r="B16" s="112" t="s">
        <v>680</v>
      </c>
      <c r="C16" s="112">
        <v>1960</v>
      </c>
      <c r="E16" s="111">
        <v>95</v>
      </c>
      <c r="F16" s="111">
        <v>140</v>
      </c>
      <c r="G16" s="108">
        <f t="shared" si="0"/>
        <v>138</v>
      </c>
      <c r="H16" s="108">
        <f t="shared" si="1"/>
        <v>179</v>
      </c>
    </row>
    <row r="17" spans="1:12" x14ac:dyDescent="0.25">
      <c r="A17" s="127" t="s">
        <v>298</v>
      </c>
      <c r="B17" s="109" t="s">
        <v>298</v>
      </c>
      <c r="C17" s="109">
        <v>46</v>
      </c>
      <c r="D17" s="117">
        <v>23</v>
      </c>
      <c r="E17" s="107">
        <v>30</v>
      </c>
      <c r="F17" s="107">
        <v>39</v>
      </c>
      <c r="G17" s="108">
        <f t="shared" si="0"/>
        <v>50</v>
      </c>
      <c r="H17" s="108">
        <f t="shared" si="1"/>
        <v>65</v>
      </c>
    </row>
    <row r="18" spans="1:12" x14ac:dyDescent="0.25">
      <c r="A18" s="128" t="s">
        <v>700</v>
      </c>
      <c r="B18" s="112" t="s">
        <v>679</v>
      </c>
      <c r="C18" s="112">
        <v>0</v>
      </c>
      <c r="D18" s="117">
        <v>12</v>
      </c>
      <c r="E18" s="111">
        <v>20</v>
      </c>
      <c r="F18" s="111">
        <v>25</v>
      </c>
      <c r="G18" s="108">
        <f t="shared" si="0"/>
        <v>37</v>
      </c>
      <c r="H18" s="108">
        <f t="shared" si="1"/>
        <v>48</v>
      </c>
    </row>
    <row r="20" spans="1:12" ht="15.75" x14ac:dyDescent="0.25">
      <c r="A20" s="116"/>
      <c r="B20" s="116" t="s">
        <v>678</v>
      </c>
      <c r="C20" s="115"/>
      <c r="D20" s="115"/>
      <c r="E20" s="115"/>
      <c r="F20" s="115"/>
      <c r="G20" s="115"/>
      <c r="H20" s="115"/>
      <c r="I20" s="115"/>
      <c r="J20" s="115"/>
      <c r="K20" s="115"/>
    </row>
    <row r="21" spans="1:12" x14ac:dyDescent="0.25">
      <c r="A21" s="113" t="s">
        <v>4</v>
      </c>
      <c r="B21" s="113" t="s">
        <v>6</v>
      </c>
      <c r="C21" s="113" t="s">
        <v>677</v>
      </c>
      <c r="D21" s="113" t="s">
        <v>3</v>
      </c>
      <c r="E21" s="113" t="s">
        <v>526</v>
      </c>
      <c r="F21" s="113" t="s">
        <v>676</v>
      </c>
      <c r="G21" s="113" t="s">
        <v>675</v>
      </c>
      <c r="H21" s="114" t="s">
        <v>674</v>
      </c>
      <c r="I21" s="114" t="s">
        <v>673</v>
      </c>
      <c r="J21" s="113" t="s">
        <v>672</v>
      </c>
      <c r="K21" s="114" t="s">
        <v>671</v>
      </c>
      <c r="L21" s="114" t="s">
        <v>670</v>
      </c>
    </row>
    <row r="22" spans="1:12" x14ac:dyDescent="0.25">
      <c r="A22" s="109" t="s">
        <v>522</v>
      </c>
      <c r="B22" s="109" t="s">
        <v>669</v>
      </c>
      <c r="C22" s="109" t="str">
        <f>"Tisch 1 ("&amp;D22&amp;"x"&amp;E22&amp;")"</f>
        <v>Tisch 1 (1960x980)</v>
      </c>
      <c r="D22" s="109">
        <v>1960</v>
      </c>
      <c r="E22" s="109">
        <v>980</v>
      </c>
      <c r="F22" s="107">
        <v>265</v>
      </c>
      <c r="G22" s="107">
        <v>392</v>
      </c>
      <c r="H22" s="108">
        <f t="shared" ref="H22:H32" si="2">ROUND(F22*(1+$C$2)^$E$2+$G$3,0)</f>
        <v>366</v>
      </c>
      <c r="I22" s="108">
        <f t="shared" ref="I22:I32" si="3">ROUND(H22*$G$2,0)</f>
        <v>476</v>
      </c>
      <c r="J22" s="107">
        <v>831</v>
      </c>
      <c r="K22" s="108">
        <f t="shared" ref="K22:K32" si="4">ROUND(J22*(1+$C$2)^$E$2+$G$3,0)</f>
        <v>1127</v>
      </c>
      <c r="L22" s="108">
        <f t="shared" ref="L22:L32" si="5">ROUND(K22*$G$2,0)</f>
        <v>1465</v>
      </c>
    </row>
    <row r="23" spans="1:12" x14ac:dyDescent="0.25">
      <c r="A23" s="112" t="s">
        <v>522</v>
      </c>
      <c r="B23" s="112" t="s">
        <v>668</v>
      </c>
      <c r="C23" s="104" t="str">
        <f>"Tisch 2 ("&amp;D23&amp;"x"&amp;E23&amp;")"</f>
        <v>Tisch 2 (980x980)</v>
      </c>
      <c r="D23" s="104">
        <v>980</v>
      </c>
      <c r="E23" s="104">
        <v>980</v>
      </c>
      <c r="F23" s="111">
        <v>166</v>
      </c>
      <c r="G23" s="111">
        <v>246</v>
      </c>
      <c r="H23" s="108">
        <f t="shared" si="2"/>
        <v>233</v>
      </c>
      <c r="I23" s="108">
        <f t="shared" si="3"/>
        <v>303</v>
      </c>
      <c r="J23" s="111">
        <v>549</v>
      </c>
      <c r="K23" s="108">
        <f t="shared" si="4"/>
        <v>748</v>
      </c>
      <c r="L23" s="108">
        <f t="shared" si="5"/>
        <v>972</v>
      </c>
    </row>
    <row r="24" spans="1:12" x14ac:dyDescent="0.25">
      <c r="A24" s="109" t="s">
        <v>522</v>
      </c>
      <c r="B24" s="109" t="s">
        <v>667</v>
      </c>
      <c r="C24" s="109" t="str">
        <f>"Tisch 3 ("&amp;D24&amp;"x"&amp;E24&amp;")"</f>
        <v>Tisch 3 (1760x780)</v>
      </c>
      <c r="D24" s="109">
        <v>1760</v>
      </c>
      <c r="E24" s="109">
        <v>780</v>
      </c>
      <c r="F24" s="107">
        <v>174</v>
      </c>
      <c r="G24" s="107">
        <v>258</v>
      </c>
      <c r="H24" s="108">
        <f t="shared" si="2"/>
        <v>244</v>
      </c>
      <c r="I24" s="108">
        <f t="shared" si="3"/>
        <v>317</v>
      </c>
      <c r="J24" s="107">
        <v>684</v>
      </c>
      <c r="K24" s="108">
        <f t="shared" si="4"/>
        <v>929</v>
      </c>
      <c r="L24" s="108">
        <f t="shared" si="5"/>
        <v>1208</v>
      </c>
    </row>
    <row r="25" spans="1:12" x14ac:dyDescent="0.25">
      <c r="A25" s="112" t="s">
        <v>522</v>
      </c>
      <c r="B25" s="112" t="s">
        <v>666</v>
      </c>
      <c r="C25" s="104" t="str">
        <f>"Tisch 4 ("&amp;D25&amp;"x"&amp;E25&amp;")"</f>
        <v>Tisch 4 (1560x780)</v>
      </c>
      <c r="D25" s="104">
        <v>1560</v>
      </c>
      <c r="E25" s="104">
        <v>780</v>
      </c>
      <c r="F25" s="111">
        <v>157</v>
      </c>
      <c r="G25" s="111">
        <v>233</v>
      </c>
      <c r="H25" s="108">
        <f t="shared" si="2"/>
        <v>221</v>
      </c>
      <c r="I25" s="108">
        <f t="shared" si="3"/>
        <v>287</v>
      </c>
      <c r="J25" s="111">
        <v>635</v>
      </c>
      <c r="K25" s="108">
        <f t="shared" si="4"/>
        <v>863</v>
      </c>
      <c r="L25" s="108">
        <f t="shared" si="5"/>
        <v>1122</v>
      </c>
    </row>
    <row r="26" spans="1:12" x14ac:dyDescent="0.25">
      <c r="A26" s="109" t="s">
        <v>522</v>
      </c>
      <c r="B26" s="109" t="s">
        <v>665</v>
      </c>
      <c r="C26" s="109" t="str">
        <f>"Tisch 5 ("&amp;D26&amp;"x"&amp;E26&amp;")"</f>
        <v>Tisch 5 (1360x780)</v>
      </c>
      <c r="D26" s="109">
        <v>1360</v>
      </c>
      <c r="E26" s="109">
        <v>780</v>
      </c>
      <c r="F26" s="107">
        <v>131</v>
      </c>
      <c r="G26" s="107">
        <v>194</v>
      </c>
      <c r="H26" s="108">
        <f t="shared" si="2"/>
        <v>186</v>
      </c>
      <c r="I26" s="108">
        <f t="shared" si="3"/>
        <v>242</v>
      </c>
      <c r="J26" s="107">
        <v>586</v>
      </c>
      <c r="K26" s="108">
        <f t="shared" si="4"/>
        <v>798</v>
      </c>
      <c r="L26" s="108">
        <f t="shared" si="5"/>
        <v>1037</v>
      </c>
    </row>
    <row r="27" spans="1:12" x14ac:dyDescent="0.25">
      <c r="A27" s="112" t="s">
        <v>522</v>
      </c>
      <c r="B27" s="112" t="s">
        <v>664</v>
      </c>
      <c r="C27" s="104" t="str">
        <f>"Tisch 6 ("&amp;D27&amp;"x"&amp;E27&amp;")"</f>
        <v>Tisch 6 (1200x780)</v>
      </c>
      <c r="D27" s="104">
        <v>1200</v>
      </c>
      <c r="E27" s="104">
        <v>780</v>
      </c>
      <c r="F27" s="111">
        <v>126</v>
      </c>
      <c r="G27" s="111">
        <v>186</v>
      </c>
      <c r="H27" s="108">
        <f t="shared" si="2"/>
        <v>179</v>
      </c>
      <c r="I27" s="108">
        <f t="shared" si="3"/>
        <v>233</v>
      </c>
      <c r="J27" s="111">
        <v>546</v>
      </c>
      <c r="K27" s="108">
        <f t="shared" si="4"/>
        <v>744</v>
      </c>
      <c r="L27" s="108">
        <f t="shared" si="5"/>
        <v>967</v>
      </c>
    </row>
    <row r="28" spans="1:12" x14ac:dyDescent="0.25">
      <c r="A28" s="109" t="s">
        <v>522</v>
      </c>
      <c r="B28" s="109" t="s">
        <v>663</v>
      </c>
      <c r="C28" s="109" t="str">
        <f>"Tisch 7 ("&amp;D28&amp;"x"&amp;E28&amp;")"</f>
        <v>Tisch 7 (980x780)</v>
      </c>
      <c r="D28" s="109">
        <v>980</v>
      </c>
      <c r="E28" s="109">
        <v>780</v>
      </c>
      <c r="F28" s="107">
        <v>73</v>
      </c>
      <c r="G28" s="107">
        <v>108</v>
      </c>
      <c r="H28" s="108">
        <f t="shared" si="2"/>
        <v>108</v>
      </c>
      <c r="I28" s="108">
        <f t="shared" si="3"/>
        <v>140</v>
      </c>
      <c r="J28" s="107">
        <v>491</v>
      </c>
      <c r="K28" s="108">
        <f t="shared" si="4"/>
        <v>670</v>
      </c>
      <c r="L28" s="108">
        <f t="shared" si="5"/>
        <v>871</v>
      </c>
    </row>
    <row r="29" spans="1:12" x14ac:dyDescent="0.25">
      <c r="A29" s="112" t="s">
        <v>522</v>
      </c>
      <c r="B29" s="112" t="s">
        <v>662</v>
      </c>
      <c r="C29" s="104" t="str">
        <f>"Tisch 8 ("&amp;D29&amp;"x"&amp;E29&amp;")"</f>
        <v>Tisch 8 (780x780)</v>
      </c>
      <c r="D29" s="104">
        <v>780</v>
      </c>
      <c r="E29" s="104">
        <v>780</v>
      </c>
      <c r="F29" s="111">
        <v>72</v>
      </c>
      <c r="G29" s="111">
        <v>107</v>
      </c>
      <c r="H29" s="108">
        <f t="shared" si="2"/>
        <v>107</v>
      </c>
      <c r="I29" s="108">
        <f t="shared" si="3"/>
        <v>139</v>
      </c>
      <c r="J29" s="111">
        <v>442</v>
      </c>
      <c r="K29" s="108">
        <f t="shared" si="4"/>
        <v>604</v>
      </c>
      <c r="L29" s="108">
        <f t="shared" si="5"/>
        <v>785</v>
      </c>
    </row>
    <row r="30" spans="1:12" x14ac:dyDescent="0.25">
      <c r="A30" s="109" t="s">
        <v>522</v>
      </c>
      <c r="B30" s="109" t="s">
        <v>661</v>
      </c>
      <c r="C30" s="109" t="str">
        <f>"Tisch 9 ("&amp;D30&amp;"x"&amp;E30&amp;")"</f>
        <v>Tisch 9 (1200x580)</v>
      </c>
      <c r="D30" s="109">
        <v>1200</v>
      </c>
      <c r="E30" s="109">
        <v>580</v>
      </c>
      <c r="F30" s="107">
        <v>104</v>
      </c>
      <c r="G30" s="107">
        <v>154</v>
      </c>
      <c r="H30" s="108">
        <f t="shared" si="2"/>
        <v>150</v>
      </c>
      <c r="I30" s="108">
        <f t="shared" si="3"/>
        <v>195</v>
      </c>
      <c r="J30" s="107">
        <v>479</v>
      </c>
      <c r="K30" s="108">
        <f t="shared" si="4"/>
        <v>654</v>
      </c>
      <c r="L30" s="108">
        <f t="shared" si="5"/>
        <v>850</v>
      </c>
    </row>
    <row r="31" spans="1:12" x14ac:dyDescent="0.25">
      <c r="A31" s="112" t="s">
        <v>522</v>
      </c>
      <c r="B31" s="112" t="s">
        <v>660</v>
      </c>
      <c r="C31" s="104" t="str">
        <f>"Tisch 10 ("&amp;D31&amp;"x"&amp;E31&amp;")"</f>
        <v>Tisch 10 (980x580)</v>
      </c>
      <c r="D31" s="104">
        <v>980</v>
      </c>
      <c r="E31" s="104">
        <v>580</v>
      </c>
      <c r="F31" s="111">
        <v>71</v>
      </c>
      <c r="G31" s="111">
        <v>105</v>
      </c>
      <c r="H31" s="108">
        <f t="shared" si="2"/>
        <v>105</v>
      </c>
      <c r="I31" s="108">
        <f t="shared" si="3"/>
        <v>137</v>
      </c>
      <c r="J31" s="111">
        <v>434</v>
      </c>
      <c r="K31" s="108">
        <f t="shared" si="4"/>
        <v>593</v>
      </c>
      <c r="L31" s="108">
        <f t="shared" si="5"/>
        <v>771</v>
      </c>
    </row>
    <row r="32" spans="1:12" x14ac:dyDescent="0.25">
      <c r="A32" s="109" t="s">
        <v>522</v>
      </c>
      <c r="B32" s="109" t="s">
        <v>659</v>
      </c>
      <c r="C32" s="109" t="str">
        <f>"Tisch 11 ("&amp;D32&amp;"x"&amp;E32&amp;")"</f>
        <v>Tisch 11 (580x580)</v>
      </c>
      <c r="D32" s="109">
        <v>580</v>
      </c>
      <c r="E32" s="109">
        <v>580</v>
      </c>
      <c r="F32" s="107">
        <v>55</v>
      </c>
      <c r="G32" s="107">
        <v>81</v>
      </c>
      <c r="H32" s="108">
        <f t="shared" si="2"/>
        <v>84</v>
      </c>
      <c r="I32" s="108">
        <f t="shared" si="3"/>
        <v>109</v>
      </c>
      <c r="J32" s="107">
        <v>352</v>
      </c>
      <c r="K32" s="108">
        <f t="shared" si="4"/>
        <v>483</v>
      </c>
      <c r="L32" s="108">
        <f t="shared" si="5"/>
        <v>628</v>
      </c>
    </row>
    <row r="34" spans="2:9" ht="15.75" x14ac:dyDescent="0.25">
      <c r="B34" s="116" t="s">
        <v>658</v>
      </c>
      <c r="C34" s="115"/>
      <c r="D34" s="115"/>
      <c r="E34" s="115"/>
      <c r="F34" s="115"/>
      <c r="G34" s="115"/>
      <c r="H34" s="115"/>
      <c r="I34" s="115"/>
    </row>
    <row r="35" spans="2:9" x14ac:dyDescent="0.25">
      <c r="B35" s="113" t="s">
        <v>6</v>
      </c>
      <c r="C35" s="113" t="s">
        <v>657</v>
      </c>
      <c r="D35" s="113" t="s">
        <v>656</v>
      </c>
      <c r="E35" s="114" t="s">
        <v>655</v>
      </c>
      <c r="F35" s="113" t="s">
        <v>654</v>
      </c>
      <c r="G35" s="113" t="s">
        <v>653</v>
      </c>
      <c r="H35" s="113" t="s">
        <v>652</v>
      </c>
      <c r="I35" s="113" t="s">
        <v>651</v>
      </c>
    </row>
    <row r="36" spans="2:9" x14ac:dyDescent="0.25">
      <c r="B36" s="109" t="s">
        <v>650</v>
      </c>
      <c r="C36" s="107">
        <v>351</v>
      </c>
      <c r="D36" s="108">
        <f>ROUND(C36*$I36,0)</f>
        <v>1229</v>
      </c>
      <c r="E36" s="108">
        <f>ROUND(D36*$G$2,0)</f>
        <v>1598</v>
      </c>
      <c r="F36" s="107">
        <v>614.5</v>
      </c>
      <c r="G36" s="107">
        <f>F36-C36</f>
        <v>263.5</v>
      </c>
      <c r="H36" s="106">
        <f>G36/C36</f>
        <v>0.75071225071225067</v>
      </c>
      <c r="I36" s="105">
        <v>3.5</v>
      </c>
    </row>
    <row r="37" spans="2:9" x14ac:dyDescent="0.25">
      <c r="B37" s="112" t="s">
        <v>649</v>
      </c>
      <c r="C37" s="111">
        <v>50</v>
      </c>
      <c r="D37" s="108">
        <f>ROUND(C37*$I37,0)</f>
        <v>200</v>
      </c>
      <c r="E37" s="108">
        <f>ROUND(D37*$G$2,0)</f>
        <v>260</v>
      </c>
      <c r="F37" s="111">
        <v>100</v>
      </c>
      <c r="G37" s="111">
        <f>F37-C37</f>
        <v>50</v>
      </c>
      <c r="H37" s="110">
        <f>G37/C37</f>
        <v>1</v>
      </c>
      <c r="I37" s="105">
        <v>4</v>
      </c>
    </row>
    <row r="38" spans="2:9" x14ac:dyDescent="0.25">
      <c r="B38" s="109" t="s">
        <v>648</v>
      </c>
      <c r="C38" s="107">
        <v>15</v>
      </c>
      <c r="D38" s="108">
        <f>ROUND(C38*$I38,0)</f>
        <v>50</v>
      </c>
      <c r="E38" s="108">
        <f>ROUND(D38*$G$2,0)</f>
        <v>65</v>
      </c>
      <c r="F38" s="107">
        <v>25</v>
      </c>
      <c r="G38" s="107">
        <f>F38-C38</f>
        <v>10</v>
      </c>
      <c r="H38" s="106">
        <f>G38/C38</f>
        <v>0.66666666666666663</v>
      </c>
      <c r="I38" s="105">
        <v>3.3</v>
      </c>
    </row>
  </sheetData>
  <pageMargins left="0.7" right="0.7" top="0.78740157499999996" bottom="0.78740157499999996" header="0.3" footer="0.3"/>
  <pageSetup paperSize="9" orientation="portrait" r:id="rId1"/>
  <legacyDrawing r:id="rId2"/>
  <tableParts count="3"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2C2E-ACAC-40B7-9AB4-5B5973A78EFB}">
  <sheetPr codeName="Tabelle10"/>
  <dimension ref="A1:E45"/>
  <sheetViews>
    <sheetView zoomScaleNormal="100" workbookViewId="0">
      <selection activeCell="P14" sqref="P14"/>
    </sheetView>
  </sheetViews>
  <sheetFormatPr baseColWidth="10" defaultRowHeight="15" x14ac:dyDescent="0.25"/>
  <cols>
    <col min="1" max="5" width="11.42578125" style="104"/>
    <col min="6" max="6" width="4.5703125" style="104" customWidth="1"/>
    <col min="7" max="16384" width="11.42578125" style="104"/>
  </cols>
  <sheetData>
    <row r="1" spans="1:5" ht="15.75" thickBot="1" x14ac:dyDescent="0.3">
      <c r="A1" s="482" t="s">
        <v>1</v>
      </c>
      <c r="B1" s="483"/>
      <c r="C1" s="483"/>
      <c r="D1" s="483"/>
      <c r="E1" s="484"/>
    </row>
    <row r="2" spans="1:5" ht="15.75" thickBot="1" x14ac:dyDescent="0.3">
      <c r="A2" s="144" t="s">
        <v>786</v>
      </c>
      <c r="B2" s="145">
        <v>420</v>
      </c>
      <c r="C2" s="145">
        <v>580</v>
      </c>
      <c r="D2" s="145">
        <v>780</v>
      </c>
      <c r="E2" s="146">
        <v>980</v>
      </c>
    </row>
    <row r="3" spans="1:5" x14ac:dyDescent="0.25">
      <c r="A3" s="147">
        <v>360</v>
      </c>
      <c r="B3" s="104" t="s">
        <v>786</v>
      </c>
      <c r="C3" s="104" t="s">
        <v>786</v>
      </c>
      <c r="D3" s="104" t="s">
        <v>786</v>
      </c>
      <c r="E3" s="148" t="s">
        <v>786</v>
      </c>
    </row>
    <row r="4" spans="1:5" ht="15.75" thickBot="1" x14ac:dyDescent="0.3">
      <c r="A4" s="149">
        <v>180</v>
      </c>
      <c r="B4" s="150" t="s">
        <v>786</v>
      </c>
      <c r="C4" s="150" t="s">
        <v>786</v>
      </c>
      <c r="D4" s="150" t="s">
        <v>786</v>
      </c>
      <c r="E4" s="151" t="s">
        <v>786</v>
      </c>
    </row>
    <row r="7" spans="1:5" ht="15.75" thickBot="1" x14ac:dyDescent="0.3"/>
    <row r="8" spans="1:5" ht="15.75" thickBot="1" x14ac:dyDescent="0.3">
      <c r="A8" s="482" t="s">
        <v>2</v>
      </c>
      <c r="B8" s="483"/>
      <c r="C8" s="483"/>
      <c r="D8" s="483"/>
      <c r="E8" s="484"/>
    </row>
    <row r="9" spans="1:5" ht="15.75" thickBot="1" x14ac:dyDescent="0.3">
      <c r="A9" s="144" t="s">
        <v>787</v>
      </c>
      <c r="B9" s="145">
        <v>420</v>
      </c>
      <c r="C9" s="145">
        <v>580</v>
      </c>
      <c r="D9" s="145">
        <v>780</v>
      </c>
      <c r="E9" s="146">
        <v>980</v>
      </c>
    </row>
    <row r="10" spans="1:5" x14ac:dyDescent="0.25">
      <c r="A10" s="147">
        <v>360</v>
      </c>
      <c r="B10" s="104" t="s">
        <v>787</v>
      </c>
      <c r="C10" s="104" t="s">
        <v>787</v>
      </c>
      <c r="D10" s="104" t="s">
        <v>787</v>
      </c>
      <c r="E10" s="148" t="s">
        <v>787</v>
      </c>
    </row>
    <row r="11" spans="1:5" ht="15.75" thickBot="1" x14ac:dyDescent="0.3">
      <c r="A11" s="149">
        <v>180</v>
      </c>
      <c r="B11" s="150" t="s">
        <v>787</v>
      </c>
      <c r="C11" s="150" t="s">
        <v>787</v>
      </c>
      <c r="D11" s="150" t="s">
        <v>787</v>
      </c>
      <c r="E11" s="151" t="s">
        <v>787</v>
      </c>
    </row>
    <row r="13" spans="1:5" ht="15.75" thickBot="1" x14ac:dyDescent="0.3"/>
    <row r="14" spans="1:5" ht="15.75" thickBot="1" x14ac:dyDescent="0.3">
      <c r="A14" s="482" t="s">
        <v>788</v>
      </c>
      <c r="B14" s="483"/>
      <c r="C14" s="484"/>
      <c r="D14" s="152"/>
      <c r="E14" s="152"/>
    </row>
    <row r="15" spans="1:5" x14ac:dyDescent="0.25">
      <c r="A15" s="153" t="s">
        <v>789</v>
      </c>
      <c r="B15" s="154">
        <v>420</v>
      </c>
      <c r="C15" s="155">
        <v>580</v>
      </c>
      <c r="D15" s="152"/>
      <c r="E15" s="152"/>
    </row>
    <row r="16" spans="1:5" x14ac:dyDescent="0.25">
      <c r="A16" s="156">
        <v>360</v>
      </c>
      <c r="B16" s="157" t="s">
        <v>790</v>
      </c>
      <c r="C16" s="148" t="s">
        <v>790</v>
      </c>
    </row>
    <row r="17" spans="1:5" x14ac:dyDescent="0.25">
      <c r="A17" s="147">
        <v>720</v>
      </c>
      <c r="B17" s="157" t="s">
        <v>790</v>
      </c>
      <c r="C17" s="148" t="s">
        <v>790</v>
      </c>
    </row>
    <row r="18" spans="1:5" x14ac:dyDescent="0.25">
      <c r="A18" s="147">
        <v>1080</v>
      </c>
      <c r="B18" s="157" t="s">
        <v>790</v>
      </c>
      <c r="C18" s="148" t="s">
        <v>790</v>
      </c>
    </row>
    <row r="19" spans="1:5" x14ac:dyDescent="0.25">
      <c r="A19" s="147">
        <v>1440</v>
      </c>
      <c r="B19" s="157" t="s">
        <v>790</v>
      </c>
      <c r="C19" s="148" t="s">
        <v>790</v>
      </c>
    </row>
    <row r="20" spans="1:5" ht="15.75" thickBot="1" x14ac:dyDescent="0.3">
      <c r="A20" s="149">
        <v>1800</v>
      </c>
      <c r="B20" s="158" t="s">
        <v>790</v>
      </c>
      <c r="C20" s="151" t="s">
        <v>790</v>
      </c>
    </row>
    <row r="22" spans="1:5" ht="15.75" thickBot="1" x14ac:dyDescent="0.3"/>
    <row r="23" spans="1:5" ht="15.75" thickBot="1" x14ac:dyDescent="0.3">
      <c r="A23" s="482" t="s">
        <v>791</v>
      </c>
      <c r="B23" s="483"/>
      <c r="C23" s="484"/>
      <c r="D23" s="152"/>
      <c r="E23" s="152"/>
    </row>
    <row r="24" spans="1:5" x14ac:dyDescent="0.25">
      <c r="A24" s="153" t="s">
        <v>792</v>
      </c>
      <c r="B24" s="154">
        <v>420</v>
      </c>
      <c r="C24" s="155">
        <v>580</v>
      </c>
      <c r="D24" s="152"/>
      <c r="E24" s="152"/>
    </row>
    <row r="25" spans="1:5" x14ac:dyDescent="0.25">
      <c r="A25" s="156">
        <v>360</v>
      </c>
      <c r="B25" s="157" t="s">
        <v>790</v>
      </c>
      <c r="C25" s="148" t="s">
        <v>790</v>
      </c>
    </row>
    <row r="26" spans="1:5" x14ac:dyDescent="0.25">
      <c r="A26" s="147">
        <v>720</v>
      </c>
      <c r="B26" s="157" t="s">
        <v>790</v>
      </c>
      <c r="C26" s="148" t="s">
        <v>790</v>
      </c>
    </row>
    <row r="27" spans="1:5" x14ac:dyDescent="0.25">
      <c r="A27" s="147">
        <v>1080</v>
      </c>
      <c r="B27" s="157" t="s">
        <v>790</v>
      </c>
      <c r="C27" s="148" t="s">
        <v>790</v>
      </c>
    </row>
    <row r="28" spans="1:5" x14ac:dyDescent="0.25">
      <c r="A28" s="147">
        <v>1440</v>
      </c>
      <c r="B28" s="157" t="s">
        <v>790</v>
      </c>
      <c r="C28" s="148" t="s">
        <v>790</v>
      </c>
    </row>
    <row r="29" spans="1:5" ht="15.75" thickBot="1" x14ac:dyDescent="0.3">
      <c r="A29" s="149">
        <v>1800</v>
      </c>
      <c r="B29" s="158" t="s">
        <v>790</v>
      </c>
      <c r="C29" s="151" t="s">
        <v>790</v>
      </c>
    </row>
    <row r="37" spans="1:3" ht="15.75" thickBot="1" x14ac:dyDescent="0.3"/>
    <row r="38" spans="1:3" ht="15.75" thickBot="1" x14ac:dyDescent="0.3">
      <c r="A38" s="482" t="s">
        <v>235</v>
      </c>
      <c r="B38" s="483"/>
      <c r="C38" s="484"/>
    </row>
    <row r="39" spans="1:3" ht="15.75" thickBot="1" x14ac:dyDescent="0.3">
      <c r="A39" s="144" t="s">
        <v>341</v>
      </c>
      <c r="B39" s="145">
        <v>780</v>
      </c>
      <c r="C39" s="146">
        <v>980</v>
      </c>
    </row>
    <row r="40" spans="1:3" x14ac:dyDescent="0.25">
      <c r="A40" s="159">
        <v>360</v>
      </c>
      <c r="B40" s="104" t="s">
        <v>341</v>
      </c>
      <c r="C40" s="148" t="s">
        <v>341</v>
      </c>
    </row>
    <row r="41" spans="1:3" x14ac:dyDescent="0.25">
      <c r="A41" s="147">
        <v>660</v>
      </c>
      <c r="B41" s="104" t="s">
        <v>341</v>
      </c>
      <c r="C41" s="148" t="s">
        <v>341</v>
      </c>
    </row>
    <row r="42" spans="1:3" x14ac:dyDescent="0.25">
      <c r="A42" s="147">
        <v>720</v>
      </c>
      <c r="B42" s="104" t="s">
        <v>341</v>
      </c>
      <c r="C42" s="148" t="s">
        <v>341</v>
      </c>
    </row>
    <row r="43" spans="1:3" x14ac:dyDescent="0.25">
      <c r="A43" s="147">
        <v>1080</v>
      </c>
      <c r="B43" s="104" t="s">
        <v>341</v>
      </c>
      <c r="C43" s="148" t="s">
        <v>341</v>
      </c>
    </row>
    <row r="44" spans="1:3" x14ac:dyDescent="0.25">
      <c r="A44" s="147">
        <v>1440</v>
      </c>
      <c r="B44" s="104" t="s">
        <v>341</v>
      </c>
      <c r="C44" s="148" t="s">
        <v>341</v>
      </c>
    </row>
    <row r="45" spans="1:3" ht="15.75" thickBot="1" x14ac:dyDescent="0.3">
      <c r="A45" s="149">
        <v>1800</v>
      </c>
      <c r="B45" s="150" t="s">
        <v>341</v>
      </c>
      <c r="C45" s="151"/>
    </row>
  </sheetData>
  <mergeCells count="5">
    <mergeCell ref="A1:E1"/>
    <mergeCell ref="A8:E8"/>
    <mergeCell ref="A14:C14"/>
    <mergeCell ref="A23:C23"/>
    <mergeCell ref="A38:C38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D73DE-5D05-4840-B113-39DD17AF56B8}">
  <dimension ref="B1:P370"/>
  <sheetViews>
    <sheetView workbookViewId="0">
      <selection activeCell="C25" sqref="C25"/>
    </sheetView>
  </sheetViews>
  <sheetFormatPr baseColWidth="10" defaultRowHeight="15" x14ac:dyDescent="0.25"/>
  <cols>
    <col min="1" max="1" width="1.5703125" customWidth="1"/>
    <col min="2" max="2" width="15.28515625" customWidth="1"/>
    <col min="3" max="3" width="10.42578125" customWidth="1"/>
    <col min="4" max="4" width="26.7109375" customWidth="1"/>
    <col min="5" max="6" width="10.42578125" customWidth="1"/>
    <col min="7" max="14" width="9.85546875" customWidth="1"/>
  </cols>
  <sheetData>
    <row r="1" spans="2:16" ht="21.95" customHeight="1" x14ac:dyDescent="0.25">
      <c r="B1" s="416" t="s">
        <v>594</v>
      </c>
      <c r="C1" s="409"/>
      <c r="D1" s="409"/>
      <c r="E1" s="409"/>
      <c r="F1" s="409"/>
      <c r="G1" s="409"/>
      <c r="H1" s="409"/>
      <c r="I1" s="409"/>
      <c r="J1" s="416" t="s">
        <v>595</v>
      </c>
      <c r="K1" s="410"/>
      <c r="L1" s="410"/>
      <c r="M1" s="410"/>
      <c r="N1" s="410"/>
      <c r="O1" s="417"/>
      <c r="P1" s="417"/>
    </row>
    <row r="2" spans="2:16" ht="21.95" customHeight="1" x14ac:dyDescent="0.3">
      <c r="B2" s="411" t="s">
        <v>601</v>
      </c>
      <c r="C2" s="411" t="s">
        <v>602</v>
      </c>
      <c r="D2" s="411" t="s">
        <v>6</v>
      </c>
      <c r="E2" s="411" t="s">
        <v>3</v>
      </c>
      <c r="F2" s="411" t="s">
        <v>526</v>
      </c>
      <c r="G2" s="412" t="s">
        <v>984</v>
      </c>
      <c r="H2" s="412" t="s">
        <v>985</v>
      </c>
      <c r="I2" s="412" t="s">
        <v>986</v>
      </c>
      <c r="J2" s="412" t="s">
        <v>987</v>
      </c>
      <c r="K2" s="412" t="s">
        <v>984</v>
      </c>
      <c r="L2" s="412" t="s">
        <v>985</v>
      </c>
      <c r="M2" s="412" t="s">
        <v>986</v>
      </c>
      <c r="N2" s="412" t="s">
        <v>987</v>
      </c>
    </row>
    <row r="3" spans="2:16" ht="18" customHeight="1" x14ac:dyDescent="0.3">
      <c r="B3" s="418" t="s">
        <v>8</v>
      </c>
      <c r="C3" s="418"/>
      <c r="D3" s="418"/>
      <c r="E3" s="418"/>
      <c r="F3" s="418"/>
      <c r="G3" s="419"/>
      <c r="H3" s="419"/>
      <c r="I3" s="419"/>
      <c r="J3" s="419"/>
      <c r="K3" s="419"/>
      <c r="L3" s="419"/>
      <c r="M3" s="419"/>
      <c r="N3" s="419"/>
    </row>
    <row r="4" spans="2:16" ht="18" customHeight="1" x14ac:dyDescent="0.3">
      <c r="B4" s="415" t="str">
        <f>Aktiv!C6</f>
        <v>Boden</v>
      </c>
      <c r="C4" s="415">
        <f>Aktiv!A6</f>
        <v>3000</v>
      </c>
      <c r="D4" s="415" t="str">
        <f>Aktiv!D6</f>
        <v>Boden (360x360)</v>
      </c>
      <c r="E4" s="415">
        <f>Aktiv!E6</f>
        <v>360</v>
      </c>
      <c r="F4" s="415">
        <f>Aktiv!F6</f>
        <v>360</v>
      </c>
      <c r="G4" s="422">
        <f>Aktiv!G6</f>
        <v>25</v>
      </c>
      <c r="H4" s="422">
        <f>Aktiv!H6</f>
        <v>103</v>
      </c>
      <c r="I4" s="422">
        <f>Aktiv!I6</f>
        <v>120</v>
      </c>
      <c r="J4" s="422">
        <f>Aktiv!J6</f>
        <v>145</v>
      </c>
      <c r="K4" s="422">
        <f>Aktiv!K6</f>
        <v>29</v>
      </c>
      <c r="L4" s="422">
        <f>Aktiv!L6</f>
        <v>118</v>
      </c>
      <c r="M4" s="422">
        <f>Aktiv!M6</f>
        <v>138</v>
      </c>
      <c r="N4" s="422">
        <f>Aktiv!N6</f>
        <v>167</v>
      </c>
    </row>
    <row r="5" spans="2:16" ht="18" customHeight="1" x14ac:dyDescent="0.3">
      <c r="B5" s="414" t="str">
        <f>Aktiv!C7</f>
        <v>Boden</v>
      </c>
      <c r="C5" s="414">
        <f>Aktiv!A7</f>
        <v>3001</v>
      </c>
      <c r="D5" s="414" t="str">
        <f>Aktiv!D7</f>
        <v>Boden (420x360)</v>
      </c>
      <c r="E5" s="414">
        <f>Aktiv!E7</f>
        <v>420</v>
      </c>
      <c r="F5" s="414">
        <f>Aktiv!F7</f>
        <v>360</v>
      </c>
      <c r="G5" s="423">
        <f>Aktiv!G7</f>
        <v>27</v>
      </c>
      <c r="H5" s="423">
        <f>Aktiv!H7</f>
        <v>103</v>
      </c>
      <c r="I5" s="423">
        <f>Aktiv!I7</f>
        <v>120</v>
      </c>
      <c r="J5" s="423">
        <f>Aktiv!J7</f>
        <v>145</v>
      </c>
      <c r="K5" s="423">
        <f>Aktiv!K7</f>
        <v>31</v>
      </c>
      <c r="L5" s="423">
        <f>Aktiv!L7</f>
        <v>118</v>
      </c>
      <c r="M5" s="423">
        <f>Aktiv!M7</f>
        <v>138</v>
      </c>
      <c r="N5" s="423">
        <f>Aktiv!N7</f>
        <v>167</v>
      </c>
    </row>
    <row r="6" spans="2:16" ht="18" customHeight="1" x14ac:dyDescent="0.3">
      <c r="B6" s="413" t="str">
        <f>Aktiv!C8</f>
        <v>Boden</v>
      </c>
      <c r="C6" s="413">
        <f>Aktiv!A8</f>
        <v>3002</v>
      </c>
      <c r="D6" s="413" t="str">
        <f>Aktiv!D8</f>
        <v>Boden (580x360)</v>
      </c>
      <c r="E6" s="413">
        <f>Aktiv!E8</f>
        <v>580</v>
      </c>
      <c r="F6" s="413">
        <f>Aktiv!F8</f>
        <v>360</v>
      </c>
      <c r="G6" s="424">
        <f>Aktiv!G8</f>
        <v>37</v>
      </c>
      <c r="H6" s="424">
        <f>Aktiv!H8</f>
        <v>126</v>
      </c>
      <c r="I6" s="424">
        <f>Aktiv!I8</f>
        <v>131</v>
      </c>
      <c r="J6" s="424">
        <f>Aktiv!J8</f>
        <v>146</v>
      </c>
      <c r="K6" s="424">
        <f>Aktiv!K8</f>
        <v>43</v>
      </c>
      <c r="L6" s="424">
        <f>Aktiv!L8</f>
        <v>145</v>
      </c>
      <c r="M6" s="424">
        <f>Aktiv!M8</f>
        <v>151</v>
      </c>
      <c r="N6" s="424">
        <f>Aktiv!N8</f>
        <v>168</v>
      </c>
    </row>
    <row r="7" spans="2:16" ht="18" customHeight="1" x14ac:dyDescent="0.3">
      <c r="B7" s="414" t="str">
        <f>Aktiv!C9</f>
        <v>Boden</v>
      </c>
      <c r="C7" s="414">
        <f>Aktiv!A9</f>
        <v>3003</v>
      </c>
      <c r="D7" s="414" t="str">
        <f>Aktiv!D9</f>
        <v>Boden (780x360)</v>
      </c>
      <c r="E7" s="414">
        <f>Aktiv!E9</f>
        <v>780</v>
      </c>
      <c r="F7" s="414">
        <f>Aktiv!F9</f>
        <v>360</v>
      </c>
      <c r="G7" s="423">
        <f>Aktiv!G9</f>
        <v>49</v>
      </c>
      <c r="H7" s="423">
        <f>Aktiv!H9</f>
        <v>169</v>
      </c>
      <c r="I7" s="423">
        <f>Aktiv!I9</f>
        <v>177</v>
      </c>
      <c r="J7" s="423">
        <f>Aktiv!J9</f>
        <v>196</v>
      </c>
      <c r="K7" s="423">
        <f>Aktiv!K9</f>
        <v>56</v>
      </c>
      <c r="L7" s="423">
        <f>Aktiv!L9</f>
        <v>194</v>
      </c>
      <c r="M7" s="423">
        <f>Aktiv!M9</f>
        <v>204</v>
      </c>
      <c r="N7" s="423">
        <f>Aktiv!N9</f>
        <v>225</v>
      </c>
    </row>
    <row r="8" spans="2:16" ht="18" customHeight="1" x14ac:dyDescent="0.3">
      <c r="B8" s="413" t="str">
        <f>Aktiv!C10</f>
        <v>Boden</v>
      </c>
      <c r="C8" s="413">
        <f>Aktiv!A10</f>
        <v>3004</v>
      </c>
      <c r="D8" s="413" t="str">
        <f>Aktiv!D10</f>
        <v>Boden (980x360)</v>
      </c>
      <c r="E8" s="413">
        <f>Aktiv!E10</f>
        <v>980</v>
      </c>
      <c r="F8" s="413">
        <f>Aktiv!F10</f>
        <v>360</v>
      </c>
      <c r="G8" s="424">
        <f>Aktiv!G10</f>
        <v>62</v>
      </c>
      <c r="H8" s="424">
        <f>Aktiv!H10</f>
        <v>213</v>
      </c>
      <c r="I8" s="424">
        <f>Aktiv!I10</f>
        <v>222</v>
      </c>
      <c r="J8" s="424">
        <f>Aktiv!J10</f>
        <v>247</v>
      </c>
      <c r="K8" s="424">
        <f>Aktiv!K10</f>
        <v>71</v>
      </c>
      <c r="L8" s="424">
        <f>Aktiv!L10</f>
        <v>245</v>
      </c>
      <c r="M8" s="424">
        <f>Aktiv!M10</f>
        <v>255</v>
      </c>
      <c r="N8" s="424">
        <f>Aktiv!N10</f>
        <v>284</v>
      </c>
    </row>
    <row r="9" spans="2:16" ht="18" customHeight="1" x14ac:dyDescent="0.3">
      <c r="B9" s="414" t="str">
        <f>Aktiv!C11</f>
        <v>Boden</v>
      </c>
      <c r="C9" s="414">
        <f>Aktiv!A11</f>
        <v>3005</v>
      </c>
      <c r="D9" s="414" t="str">
        <f>Aktiv!D11</f>
        <v>Boden (360x580)</v>
      </c>
      <c r="E9" s="414">
        <f>Aktiv!E11</f>
        <v>360</v>
      </c>
      <c r="F9" s="414">
        <f>Aktiv!F11</f>
        <v>580</v>
      </c>
      <c r="G9" s="423">
        <f>Aktiv!G11</f>
        <v>37</v>
      </c>
      <c r="H9" s="423">
        <f>Aktiv!H11</f>
        <v>126</v>
      </c>
      <c r="I9" s="423">
        <f>Aktiv!I11</f>
        <v>131</v>
      </c>
      <c r="J9" s="423">
        <f>Aktiv!J11</f>
        <v>146</v>
      </c>
      <c r="K9" s="423">
        <f>Aktiv!K11</f>
        <v>43</v>
      </c>
      <c r="L9" s="423">
        <f>Aktiv!L11</f>
        <v>145</v>
      </c>
      <c r="M9" s="423">
        <f>Aktiv!M11</f>
        <v>151</v>
      </c>
      <c r="N9" s="423">
        <f>Aktiv!N11</f>
        <v>168</v>
      </c>
    </row>
    <row r="10" spans="2:16" ht="18" customHeight="1" x14ac:dyDescent="0.3">
      <c r="B10" s="413" t="str">
        <f>Aktiv!C12</f>
        <v>Boden</v>
      </c>
      <c r="C10" s="413">
        <f>Aktiv!A12</f>
        <v>3006</v>
      </c>
      <c r="D10" s="413" t="str">
        <f>Aktiv!D12</f>
        <v>Boden (420x580)</v>
      </c>
      <c r="E10" s="413">
        <f>Aktiv!E12</f>
        <v>420</v>
      </c>
      <c r="F10" s="413">
        <f>Aktiv!F12</f>
        <v>580</v>
      </c>
      <c r="G10" s="424">
        <f>Aktiv!G12</f>
        <v>43</v>
      </c>
      <c r="H10" s="424">
        <f>Aktiv!H12</f>
        <v>147</v>
      </c>
      <c r="I10" s="424">
        <f>Aktiv!I12</f>
        <v>153</v>
      </c>
      <c r="J10" s="424">
        <f>Aktiv!J12</f>
        <v>170</v>
      </c>
      <c r="K10" s="424">
        <f>Aktiv!K12</f>
        <v>49</v>
      </c>
      <c r="L10" s="424">
        <f>Aktiv!L12</f>
        <v>169</v>
      </c>
      <c r="M10" s="424">
        <f>Aktiv!M12</f>
        <v>176</v>
      </c>
      <c r="N10" s="424">
        <f>Aktiv!N12</f>
        <v>196</v>
      </c>
    </row>
    <row r="11" spans="2:16" ht="18" customHeight="1" x14ac:dyDescent="0.3">
      <c r="B11" s="414" t="str">
        <f>Aktiv!C13</f>
        <v>Boden</v>
      </c>
      <c r="C11" s="414">
        <f>Aktiv!A13</f>
        <v>3007</v>
      </c>
      <c r="D11" s="414" t="str">
        <f>Aktiv!D13</f>
        <v>Boden (580x580)</v>
      </c>
      <c r="E11" s="414">
        <f>Aktiv!E13</f>
        <v>580</v>
      </c>
      <c r="F11" s="414">
        <f>Aktiv!F13</f>
        <v>580</v>
      </c>
      <c r="G11" s="423">
        <f>Aktiv!G13</f>
        <v>59</v>
      </c>
      <c r="H11" s="423">
        <f>Aktiv!H13</f>
        <v>203</v>
      </c>
      <c r="I11" s="423">
        <f>Aktiv!I13</f>
        <v>211</v>
      </c>
      <c r="J11" s="423">
        <f>Aktiv!J13</f>
        <v>235</v>
      </c>
      <c r="K11" s="423">
        <f>Aktiv!K13</f>
        <v>68</v>
      </c>
      <c r="L11" s="423">
        <f>Aktiv!L13</f>
        <v>233</v>
      </c>
      <c r="M11" s="423">
        <f>Aktiv!M13</f>
        <v>243</v>
      </c>
      <c r="N11" s="423">
        <f>Aktiv!N13</f>
        <v>270</v>
      </c>
    </row>
    <row r="12" spans="2:16" ht="18" customHeight="1" x14ac:dyDescent="0.3">
      <c r="B12" s="413" t="str">
        <f>Aktiv!C14</f>
        <v>Boden</v>
      </c>
      <c r="C12" s="413">
        <f>Aktiv!A14</f>
        <v>3008</v>
      </c>
      <c r="D12" s="413" t="str">
        <f>Aktiv!D14</f>
        <v>Boden (780x580)</v>
      </c>
      <c r="E12" s="413">
        <f>Aktiv!E14</f>
        <v>780</v>
      </c>
      <c r="F12" s="413">
        <f>Aktiv!F14</f>
        <v>580</v>
      </c>
      <c r="G12" s="424">
        <f>Aktiv!G14</f>
        <v>80</v>
      </c>
      <c r="H12" s="424">
        <f>Aktiv!H14</f>
        <v>273</v>
      </c>
      <c r="I12" s="424">
        <f>Aktiv!I14</f>
        <v>284</v>
      </c>
      <c r="J12" s="424">
        <f>Aktiv!J14</f>
        <v>316</v>
      </c>
      <c r="K12" s="424">
        <f>Aktiv!K14</f>
        <v>92</v>
      </c>
      <c r="L12" s="424">
        <f>Aktiv!L14</f>
        <v>314</v>
      </c>
      <c r="M12" s="424">
        <f>Aktiv!M14</f>
        <v>327</v>
      </c>
      <c r="N12" s="424">
        <f>Aktiv!N14</f>
        <v>363</v>
      </c>
    </row>
    <row r="13" spans="2:16" ht="18" customHeight="1" x14ac:dyDescent="0.3">
      <c r="B13" s="414" t="str">
        <f>Aktiv!C15</f>
        <v>Boden</v>
      </c>
      <c r="C13" s="414">
        <f>Aktiv!A15</f>
        <v>3009</v>
      </c>
      <c r="D13" s="414" t="str">
        <f>Aktiv!D15</f>
        <v>Boden (980x580)</v>
      </c>
      <c r="E13" s="414">
        <f>Aktiv!E15</f>
        <v>980</v>
      </c>
      <c r="F13" s="414">
        <f>Aktiv!F15</f>
        <v>580</v>
      </c>
      <c r="G13" s="423">
        <f>Aktiv!G15</f>
        <v>100</v>
      </c>
      <c r="H13" s="423">
        <f>Aktiv!H15</f>
        <v>343</v>
      </c>
      <c r="I13" s="423">
        <f>Aktiv!I15</f>
        <v>357</v>
      </c>
      <c r="J13" s="423">
        <f>Aktiv!J15</f>
        <v>398</v>
      </c>
      <c r="K13" s="423">
        <f>Aktiv!K15</f>
        <v>115</v>
      </c>
      <c r="L13" s="423">
        <f>Aktiv!L15</f>
        <v>394</v>
      </c>
      <c r="M13" s="423">
        <f>Aktiv!M15</f>
        <v>411</v>
      </c>
      <c r="N13" s="423">
        <f>Aktiv!N15</f>
        <v>458</v>
      </c>
    </row>
    <row r="14" spans="2:16" ht="18" customHeight="1" x14ac:dyDescent="0.3">
      <c r="B14" s="413" t="str">
        <f>Aktiv!C16</f>
        <v>Boden</v>
      </c>
      <c r="C14" s="413">
        <f>Aktiv!A16</f>
        <v>3010</v>
      </c>
      <c r="D14" s="413" t="str">
        <f>Aktiv!D16</f>
        <v>Boden (780x780)</v>
      </c>
      <c r="E14" s="413">
        <f>Aktiv!E16</f>
        <v>780</v>
      </c>
      <c r="F14" s="413">
        <f>Aktiv!F16</f>
        <v>780</v>
      </c>
      <c r="G14" s="424">
        <f>Aktiv!G16</f>
        <v>107</v>
      </c>
      <c r="H14" s="424">
        <f>Aktiv!H16</f>
        <v>367</v>
      </c>
      <c r="I14" s="424">
        <f>Aktiv!I16</f>
        <v>382</v>
      </c>
      <c r="J14" s="424">
        <f>Aktiv!J16</f>
        <v>426</v>
      </c>
      <c r="K14" s="424">
        <f>Aktiv!K16</f>
        <v>123</v>
      </c>
      <c r="L14" s="424">
        <f>Aktiv!L16</f>
        <v>422</v>
      </c>
      <c r="M14" s="424">
        <f>Aktiv!M16</f>
        <v>439</v>
      </c>
      <c r="N14" s="424">
        <f>Aktiv!N16</f>
        <v>490</v>
      </c>
    </row>
    <row r="15" spans="2:16" ht="18" customHeight="1" x14ac:dyDescent="0.3">
      <c r="B15" s="414" t="str">
        <f>Aktiv!C17</f>
        <v>Boden</v>
      </c>
      <c r="C15" s="414">
        <f>Aktiv!A17</f>
        <v>3011</v>
      </c>
      <c r="D15" s="414" t="str">
        <f>Aktiv!D17</f>
        <v>Boden (980x780)</v>
      </c>
      <c r="E15" s="414">
        <f>Aktiv!E17</f>
        <v>980</v>
      </c>
      <c r="F15" s="414">
        <f>Aktiv!F17</f>
        <v>780</v>
      </c>
      <c r="G15" s="423">
        <f>Aktiv!G17</f>
        <v>135</v>
      </c>
      <c r="H15" s="423">
        <f>Aktiv!H17</f>
        <v>461</v>
      </c>
      <c r="I15" s="423">
        <f>Aktiv!I17</f>
        <v>480</v>
      </c>
      <c r="J15" s="423">
        <f>Aktiv!J17</f>
        <v>535</v>
      </c>
      <c r="K15" s="423">
        <f>Aktiv!K17</f>
        <v>155</v>
      </c>
      <c r="L15" s="423">
        <f>Aktiv!L17</f>
        <v>530</v>
      </c>
      <c r="M15" s="423">
        <f>Aktiv!M17</f>
        <v>552</v>
      </c>
      <c r="N15" s="423">
        <f>Aktiv!N17</f>
        <v>615</v>
      </c>
    </row>
    <row r="16" spans="2:16" ht="18" customHeight="1" x14ac:dyDescent="0.3">
      <c r="B16" s="413" t="str">
        <f>Aktiv!C18</f>
        <v>Boden</v>
      </c>
      <c r="C16" s="413">
        <f>Aktiv!A18</f>
        <v>3012</v>
      </c>
      <c r="D16" s="413" t="str">
        <f>Aktiv!D18</f>
        <v>Boden (980x980)</v>
      </c>
      <c r="E16" s="413">
        <f>Aktiv!E18</f>
        <v>980</v>
      </c>
      <c r="F16" s="413">
        <f>Aktiv!F18</f>
        <v>980</v>
      </c>
      <c r="G16" s="424">
        <f>Aktiv!G18</f>
        <v>169</v>
      </c>
      <c r="H16" s="424">
        <f>Aktiv!H18</f>
        <v>580</v>
      </c>
      <c r="I16" s="424">
        <f>Aktiv!I18</f>
        <v>604</v>
      </c>
      <c r="J16" s="424">
        <f>Aktiv!J18</f>
        <v>672</v>
      </c>
      <c r="K16" s="424">
        <f>Aktiv!K18</f>
        <v>194</v>
      </c>
      <c r="L16" s="424">
        <f>Aktiv!L18</f>
        <v>667</v>
      </c>
      <c r="M16" s="424">
        <f>Aktiv!M18</f>
        <v>695</v>
      </c>
      <c r="N16" s="424">
        <f>Aktiv!N18</f>
        <v>773</v>
      </c>
    </row>
    <row r="17" spans="2:14" ht="18" customHeight="1" x14ac:dyDescent="0.3">
      <c r="B17" s="414" t="str">
        <f>Aktiv!C19</f>
        <v>Boden</v>
      </c>
      <c r="C17" s="414">
        <f>Aktiv!A19</f>
        <v>3013</v>
      </c>
      <c r="D17" s="414" t="str">
        <f>Aktiv!D19</f>
        <v>Boden (420x780)</v>
      </c>
      <c r="E17" s="414">
        <f>Aktiv!E19</f>
        <v>420</v>
      </c>
      <c r="F17" s="414">
        <f>Aktiv!F19</f>
        <v>780</v>
      </c>
      <c r="G17" s="423">
        <f>Aktiv!G19</f>
        <v>58</v>
      </c>
      <c r="H17" s="423">
        <f>Aktiv!H19</f>
        <v>198</v>
      </c>
      <c r="I17" s="423">
        <f>Aktiv!I19</f>
        <v>206</v>
      </c>
      <c r="J17" s="423">
        <f>Aktiv!J19</f>
        <v>229</v>
      </c>
      <c r="K17" s="423">
        <f>Aktiv!K19</f>
        <v>67</v>
      </c>
      <c r="L17" s="423">
        <f>Aktiv!L19</f>
        <v>228</v>
      </c>
      <c r="M17" s="423">
        <f>Aktiv!M19</f>
        <v>237</v>
      </c>
      <c r="N17" s="423">
        <f>Aktiv!N19</f>
        <v>263</v>
      </c>
    </row>
    <row r="18" spans="2:14" ht="18" customHeight="1" x14ac:dyDescent="0.3">
      <c r="B18" s="413" t="str">
        <f>Aktiv!C20</f>
        <v>Boden</v>
      </c>
      <c r="C18" s="413">
        <f>Aktiv!A20</f>
        <v>3014</v>
      </c>
      <c r="D18" s="413" t="str">
        <f>Aktiv!D20</f>
        <v>Boden (420x980)</v>
      </c>
      <c r="E18" s="413">
        <f>Aktiv!E20</f>
        <v>420</v>
      </c>
      <c r="F18" s="413">
        <f>Aktiv!F20</f>
        <v>980</v>
      </c>
      <c r="G18" s="424">
        <f>Aktiv!G20</f>
        <v>72</v>
      </c>
      <c r="H18" s="424">
        <f>Aktiv!H20</f>
        <v>248</v>
      </c>
      <c r="I18" s="424">
        <f>Aktiv!I20</f>
        <v>259</v>
      </c>
      <c r="J18" s="424">
        <f>Aktiv!J20</f>
        <v>288</v>
      </c>
      <c r="K18" s="424">
        <f>Aktiv!K20</f>
        <v>83</v>
      </c>
      <c r="L18" s="424">
        <f>Aktiv!L20</f>
        <v>285</v>
      </c>
      <c r="M18" s="424">
        <f>Aktiv!M20</f>
        <v>298</v>
      </c>
      <c r="N18" s="424">
        <f>Aktiv!N20</f>
        <v>331</v>
      </c>
    </row>
    <row r="19" spans="2:14" ht="18" customHeight="1" x14ac:dyDescent="0.3">
      <c r="B19" s="414" t="str">
        <f>Aktiv!C21</f>
        <v>Boden</v>
      </c>
      <c r="C19" s="414" t="str">
        <f>Aktiv!A21</f>
        <v>S_0003</v>
      </c>
      <c r="D19" s="414" t="str">
        <f>Aktiv!D21</f>
        <v>Boden (420x420)</v>
      </c>
      <c r="E19" s="414">
        <f>Aktiv!E21</f>
        <v>420</v>
      </c>
      <c r="F19" s="414">
        <f>Aktiv!F21</f>
        <v>420</v>
      </c>
      <c r="G19" s="423">
        <f>Aktiv!G21</f>
        <v>31</v>
      </c>
      <c r="H19" s="423">
        <f>Aktiv!H21</f>
        <v>106</v>
      </c>
      <c r="I19" s="423">
        <f>Aktiv!I21</f>
        <v>120</v>
      </c>
      <c r="J19" s="423">
        <f>Aktiv!J21</f>
        <v>145</v>
      </c>
      <c r="K19" s="423">
        <f>Aktiv!K21</f>
        <v>36</v>
      </c>
      <c r="L19" s="423">
        <f>Aktiv!L21</f>
        <v>122</v>
      </c>
      <c r="M19" s="423">
        <f>Aktiv!M21</f>
        <v>138</v>
      </c>
      <c r="N19" s="423">
        <f>Aktiv!N21</f>
        <v>167</v>
      </c>
    </row>
    <row r="20" spans="2:14" ht="18" customHeight="1" x14ac:dyDescent="0.25">
      <c r="B20" s="420"/>
      <c r="C20" s="420"/>
      <c r="D20" s="420"/>
      <c r="E20" s="420"/>
      <c r="F20" s="420"/>
      <c r="G20" s="421"/>
      <c r="H20" s="421"/>
      <c r="I20" s="421"/>
      <c r="J20" s="421"/>
      <c r="K20" s="421"/>
      <c r="L20" s="421"/>
      <c r="M20" s="421"/>
      <c r="N20" s="421"/>
    </row>
    <row r="21" spans="2:14" ht="18" customHeight="1" x14ac:dyDescent="0.3">
      <c r="B21" s="418" t="s">
        <v>27</v>
      </c>
      <c r="C21" s="418"/>
      <c r="D21" s="418"/>
      <c r="E21" s="418"/>
      <c r="F21" s="418"/>
      <c r="G21" s="419"/>
      <c r="H21" s="419"/>
      <c r="I21" s="419"/>
      <c r="J21" s="419"/>
      <c r="K21" s="419"/>
      <c r="L21" s="419"/>
      <c r="M21" s="419"/>
      <c r="N21" s="419"/>
    </row>
    <row r="22" spans="2:14" ht="18" customHeight="1" x14ac:dyDescent="0.3">
      <c r="B22" s="415" t="str">
        <f>Aktiv!C23</f>
        <v>Seite außen</v>
      </c>
      <c r="C22" s="415">
        <f>Aktiv!A23</f>
        <v>3100</v>
      </c>
      <c r="D22" s="415" t="str">
        <f>Aktiv!D23</f>
        <v>Seite außen (360x180)</v>
      </c>
      <c r="E22" s="415">
        <f>Aktiv!E23</f>
        <v>360</v>
      </c>
      <c r="F22" s="415">
        <f>Aktiv!F23</f>
        <v>180</v>
      </c>
      <c r="G22" s="422">
        <f>Aktiv!G23</f>
        <v>25</v>
      </c>
      <c r="H22" s="422">
        <f>Aktiv!H23</f>
        <v>103</v>
      </c>
      <c r="I22" s="422">
        <f>Aktiv!I23</f>
        <v>120</v>
      </c>
      <c r="J22" s="422">
        <f>Aktiv!J23</f>
        <v>145</v>
      </c>
      <c r="K22" s="422">
        <f>Aktiv!K23</f>
        <v>29</v>
      </c>
      <c r="L22" s="422">
        <f>Aktiv!L23</f>
        <v>118</v>
      </c>
      <c r="M22" s="422">
        <f>Aktiv!M23</f>
        <v>138</v>
      </c>
      <c r="N22" s="422">
        <f>Aktiv!N23</f>
        <v>167</v>
      </c>
    </row>
    <row r="23" spans="2:14" ht="18" customHeight="1" x14ac:dyDescent="0.3">
      <c r="B23" s="414" t="str">
        <f>Aktiv!C24</f>
        <v>Seite außen</v>
      </c>
      <c r="C23" s="414">
        <f>Aktiv!A24</f>
        <v>3101</v>
      </c>
      <c r="D23" s="414" t="str">
        <f>Aktiv!D24</f>
        <v>Seite außen (360x360)</v>
      </c>
      <c r="E23" s="414">
        <f>Aktiv!E24</f>
        <v>360</v>
      </c>
      <c r="F23" s="414">
        <f>Aktiv!F24</f>
        <v>360</v>
      </c>
      <c r="G23" s="423">
        <f>Aktiv!G24</f>
        <v>25</v>
      </c>
      <c r="H23" s="423">
        <f>Aktiv!H24</f>
        <v>103</v>
      </c>
      <c r="I23" s="423">
        <f>Aktiv!I24</f>
        <v>120</v>
      </c>
      <c r="J23" s="423">
        <f>Aktiv!J24</f>
        <v>145</v>
      </c>
      <c r="K23" s="423">
        <f>Aktiv!K24</f>
        <v>29</v>
      </c>
      <c r="L23" s="423">
        <f>Aktiv!L24</f>
        <v>118</v>
      </c>
      <c r="M23" s="423">
        <f>Aktiv!M24</f>
        <v>138</v>
      </c>
      <c r="N23" s="423">
        <f>Aktiv!N24</f>
        <v>167</v>
      </c>
    </row>
    <row r="24" spans="2:14" ht="18" customHeight="1" x14ac:dyDescent="0.3">
      <c r="B24" s="413" t="str">
        <f>Aktiv!C25</f>
        <v>Seite außen</v>
      </c>
      <c r="C24" s="413">
        <f>Aktiv!A25</f>
        <v>3102</v>
      </c>
      <c r="D24" s="413" t="str">
        <f>Aktiv!D25</f>
        <v>Seite außen (360x720)</v>
      </c>
      <c r="E24" s="413">
        <f>Aktiv!E25</f>
        <v>360</v>
      </c>
      <c r="F24" s="413">
        <f>Aktiv!F25</f>
        <v>720</v>
      </c>
      <c r="G24" s="424">
        <f>Aktiv!G25</f>
        <v>46</v>
      </c>
      <c r="H24" s="424">
        <f>Aktiv!H25</f>
        <v>156</v>
      </c>
      <c r="I24" s="424">
        <f>Aktiv!I25</f>
        <v>163</v>
      </c>
      <c r="J24" s="424">
        <f>Aktiv!J25</f>
        <v>181</v>
      </c>
      <c r="K24" s="424">
        <f>Aktiv!K25</f>
        <v>53</v>
      </c>
      <c r="L24" s="424">
        <f>Aktiv!L25</f>
        <v>179</v>
      </c>
      <c r="M24" s="424">
        <f>Aktiv!M25</f>
        <v>187</v>
      </c>
      <c r="N24" s="424">
        <f>Aktiv!N25</f>
        <v>208</v>
      </c>
    </row>
    <row r="25" spans="2:14" ht="18" customHeight="1" x14ac:dyDescent="0.3">
      <c r="B25" s="414" t="str">
        <f>Aktiv!C26</f>
        <v>Seite außen</v>
      </c>
      <c r="C25" s="414">
        <f>Aktiv!A26</f>
        <v>3103</v>
      </c>
      <c r="D25" s="414" t="str">
        <f>Aktiv!D26</f>
        <v>Seite außen (360x1080)</v>
      </c>
      <c r="E25" s="414">
        <f>Aktiv!E26</f>
        <v>360</v>
      </c>
      <c r="F25" s="414">
        <f>Aktiv!F26</f>
        <v>1080</v>
      </c>
      <c r="G25" s="423">
        <f>Aktiv!G26</f>
        <v>68</v>
      </c>
      <c r="H25" s="423">
        <f>Aktiv!H26</f>
        <v>235</v>
      </c>
      <c r="I25" s="423">
        <f>Aktiv!I26</f>
        <v>244</v>
      </c>
      <c r="J25" s="423">
        <f>Aktiv!J26</f>
        <v>272</v>
      </c>
      <c r="K25" s="423">
        <f>Aktiv!K26</f>
        <v>78</v>
      </c>
      <c r="L25" s="423">
        <f>Aktiv!L26</f>
        <v>270</v>
      </c>
      <c r="M25" s="423">
        <f>Aktiv!M26</f>
        <v>281</v>
      </c>
      <c r="N25" s="423">
        <f>Aktiv!N26</f>
        <v>313</v>
      </c>
    </row>
    <row r="26" spans="2:14" ht="18" customHeight="1" x14ac:dyDescent="0.3">
      <c r="B26" s="413" t="str">
        <f>Aktiv!C27</f>
        <v>Seite außen</v>
      </c>
      <c r="C26" s="413">
        <f>Aktiv!A27</f>
        <v>3104</v>
      </c>
      <c r="D26" s="413" t="str">
        <f>Aktiv!D27</f>
        <v>Seite außen (360x1440)</v>
      </c>
      <c r="E26" s="413">
        <f>Aktiv!E27</f>
        <v>360</v>
      </c>
      <c r="F26" s="413">
        <f>Aktiv!F27</f>
        <v>1440</v>
      </c>
      <c r="G26" s="424">
        <f>Aktiv!G27</f>
        <v>91</v>
      </c>
      <c r="H26" s="424">
        <f>Aktiv!H27</f>
        <v>313</v>
      </c>
      <c r="I26" s="424">
        <f>Aktiv!I27</f>
        <v>326</v>
      </c>
      <c r="J26" s="424">
        <f>Aktiv!J27</f>
        <v>363</v>
      </c>
      <c r="K26" s="424">
        <f>Aktiv!K27</f>
        <v>105</v>
      </c>
      <c r="L26" s="424">
        <f>Aktiv!L27</f>
        <v>360</v>
      </c>
      <c r="M26" s="424">
        <f>Aktiv!M27</f>
        <v>375</v>
      </c>
      <c r="N26" s="424">
        <f>Aktiv!N27</f>
        <v>417</v>
      </c>
    </row>
    <row r="27" spans="2:14" ht="18" customHeight="1" x14ac:dyDescent="0.3">
      <c r="B27" s="414" t="str">
        <f>Aktiv!C28</f>
        <v>Seite außen</v>
      </c>
      <c r="C27" s="414">
        <f>Aktiv!A28</f>
        <v>3105</v>
      </c>
      <c r="D27" s="414" t="str">
        <f>Aktiv!D28</f>
        <v>Seite außen (360x1800)</v>
      </c>
      <c r="E27" s="414">
        <f>Aktiv!E28</f>
        <v>360</v>
      </c>
      <c r="F27" s="414">
        <f>Aktiv!F28</f>
        <v>1800</v>
      </c>
      <c r="G27" s="423">
        <f>Aktiv!G28</f>
        <v>114</v>
      </c>
      <c r="H27" s="423">
        <f>Aktiv!H28</f>
        <v>391</v>
      </c>
      <c r="I27" s="423">
        <f>Aktiv!I28</f>
        <v>407</v>
      </c>
      <c r="J27" s="423">
        <f>Aktiv!J28</f>
        <v>453</v>
      </c>
      <c r="K27" s="423">
        <f>Aktiv!K28</f>
        <v>131</v>
      </c>
      <c r="L27" s="423">
        <f>Aktiv!L28</f>
        <v>450</v>
      </c>
      <c r="M27" s="423">
        <f>Aktiv!M28</f>
        <v>468</v>
      </c>
      <c r="N27" s="423">
        <f>Aktiv!N28</f>
        <v>521</v>
      </c>
    </row>
    <row r="28" spans="2:14" ht="18" customHeight="1" x14ac:dyDescent="0.3">
      <c r="B28" s="413" t="str">
        <f>Aktiv!C29</f>
        <v>Seite außen</v>
      </c>
      <c r="C28" s="413">
        <f>Aktiv!A29</f>
        <v>3106</v>
      </c>
      <c r="D28" s="413" t="str">
        <f>Aktiv!D29</f>
        <v>Seite außen (580x180)</v>
      </c>
      <c r="E28" s="413">
        <f>Aktiv!E29</f>
        <v>580</v>
      </c>
      <c r="F28" s="413">
        <f>Aktiv!F29</f>
        <v>180</v>
      </c>
      <c r="G28" s="424">
        <f>Aktiv!G29</f>
        <v>25</v>
      </c>
      <c r="H28" s="424">
        <f>Aktiv!H29</f>
        <v>103</v>
      </c>
      <c r="I28" s="424">
        <f>Aktiv!I29</f>
        <v>120</v>
      </c>
      <c r="J28" s="424">
        <f>Aktiv!J29</f>
        <v>145</v>
      </c>
      <c r="K28" s="424">
        <f>Aktiv!K29</f>
        <v>29</v>
      </c>
      <c r="L28" s="424">
        <f>Aktiv!L29</f>
        <v>118</v>
      </c>
      <c r="M28" s="424">
        <f>Aktiv!M29</f>
        <v>138</v>
      </c>
      <c r="N28" s="424">
        <f>Aktiv!N29</f>
        <v>167</v>
      </c>
    </row>
    <row r="29" spans="2:14" ht="18" customHeight="1" x14ac:dyDescent="0.3">
      <c r="B29" s="414" t="str">
        <f>Aktiv!C30</f>
        <v>Seite außen</v>
      </c>
      <c r="C29" s="414">
        <f>Aktiv!A30</f>
        <v>3107</v>
      </c>
      <c r="D29" s="414" t="str">
        <f>Aktiv!D30</f>
        <v>Seite außen (580x360)</v>
      </c>
      <c r="E29" s="414">
        <f>Aktiv!E30</f>
        <v>580</v>
      </c>
      <c r="F29" s="414">
        <f>Aktiv!F30</f>
        <v>360</v>
      </c>
      <c r="G29" s="423">
        <f>Aktiv!G30</f>
        <v>37</v>
      </c>
      <c r="H29" s="423">
        <f>Aktiv!H30</f>
        <v>126</v>
      </c>
      <c r="I29" s="423">
        <f>Aktiv!I30</f>
        <v>131</v>
      </c>
      <c r="J29" s="423">
        <f>Aktiv!J30</f>
        <v>146</v>
      </c>
      <c r="K29" s="423">
        <f>Aktiv!K30</f>
        <v>43</v>
      </c>
      <c r="L29" s="423">
        <f>Aktiv!L30</f>
        <v>145</v>
      </c>
      <c r="M29" s="423">
        <f>Aktiv!M30</f>
        <v>151</v>
      </c>
      <c r="N29" s="423">
        <f>Aktiv!N30</f>
        <v>168</v>
      </c>
    </row>
    <row r="30" spans="2:14" ht="18" customHeight="1" x14ac:dyDescent="0.3">
      <c r="B30" s="413" t="str">
        <f>Aktiv!C31</f>
        <v>Seite außen</v>
      </c>
      <c r="C30" s="413">
        <f>Aktiv!A31</f>
        <v>3108</v>
      </c>
      <c r="D30" s="413" t="str">
        <f>Aktiv!D31</f>
        <v>Seite außen (580x720)</v>
      </c>
      <c r="E30" s="413">
        <f>Aktiv!E31</f>
        <v>580</v>
      </c>
      <c r="F30" s="413">
        <f>Aktiv!F31</f>
        <v>720</v>
      </c>
      <c r="G30" s="424">
        <f>Aktiv!G31</f>
        <v>73</v>
      </c>
      <c r="H30" s="424">
        <f>Aktiv!H31</f>
        <v>252</v>
      </c>
      <c r="I30" s="424">
        <f>Aktiv!I31</f>
        <v>262</v>
      </c>
      <c r="J30" s="424">
        <f>Aktiv!J31</f>
        <v>292</v>
      </c>
      <c r="K30" s="424">
        <f>Aktiv!K31</f>
        <v>84</v>
      </c>
      <c r="L30" s="424">
        <f>Aktiv!L31</f>
        <v>290</v>
      </c>
      <c r="M30" s="424">
        <f>Aktiv!M31</f>
        <v>301</v>
      </c>
      <c r="N30" s="424">
        <f>Aktiv!N31</f>
        <v>336</v>
      </c>
    </row>
    <row r="31" spans="2:14" ht="18" customHeight="1" x14ac:dyDescent="0.3">
      <c r="B31" s="414" t="str">
        <f>Aktiv!C32</f>
        <v>Seite außen</v>
      </c>
      <c r="C31" s="414">
        <f>Aktiv!A32</f>
        <v>3109</v>
      </c>
      <c r="D31" s="414" t="str">
        <f>Aktiv!D32</f>
        <v>Seite außen (580x1080)</v>
      </c>
      <c r="E31" s="414">
        <f>Aktiv!E32</f>
        <v>580</v>
      </c>
      <c r="F31" s="414">
        <f>Aktiv!F32</f>
        <v>1080</v>
      </c>
      <c r="G31" s="423">
        <f>Aktiv!G32</f>
        <v>110</v>
      </c>
      <c r="H31" s="423">
        <f>Aktiv!H32</f>
        <v>378</v>
      </c>
      <c r="I31" s="423">
        <f>Aktiv!I32</f>
        <v>394</v>
      </c>
      <c r="J31" s="423">
        <f>Aktiv!J32</f>
        <v>438</v>
      </c>
      <c r="K31" s="423">
        <f>Aktiv!K32</f>
        <v>127</v>
      </c>
      <c r="L31" s="423">
        <f>Aktiv!L32</f>
        <v>435</v>
      </c>
      <c r="M31" s="423">
        <f>Aktiv!M32</f>
        <v>453</v>
      </c>
      <c r="N31" s="423">
        <f>Aktiv!N32</f>
        <v>504</v>
      </c>
    </row>
    <row r="32" spans="2:14" ht="18" customHeight="1" x14ac:dyDescent="0.3">
      <c r="B32" s="413" t="str">
        <f>Aktiv!C33</f>
        <v>Seite außen</v>
      </c>
      <c r="C32" s="413">
        <f>Aktiv!A33</f>
        <v>3110</v>
      </c>
      <c r="D32" s="413" t="str">
        <f>Aktiv!D33</f>
        <v>Seite außen (580x1440)</v>
      </c>
      <c r="E32" s="413">
        <f>Aktiv!E33</f>
        <v>580</v>
      </c>
      <c r="F32" s="413">
        <f>Aktiv!F33</f>
        <v>1440</v>
      </c>
      <c r="G32" s="424">
        <f>Aktiv!G33</f>
        <v>147</v>
      </c>
      <c r="H32" s="424">
        <f>Aktiv!H33</f>
        <v>504</v>
      </c>
      <c r="I32" s="424">
        <f>Aktiv!I33</f>
        <v>525</v>
      </c>
      <c r="J32" s="424">
        <f>Aktiv!J33</f>
        <v>584</v>
      </c>
      <c r="K32" s="424">
        <f>Aktiv!K33</f>
        <v>169</v>
      </c>
      <c r="L32" s="424">
        <f>Aktiv!L33</f>
        <v>580</v>
      </c>
      <c r="M32" s="424">
        <f>Aktiv!M33</f>
        <v>604</v>
      </c>
      <c r="N32" s="424">
        <f>Aktiv!N33</f>
        <v>672</v>
      </c>
    </row>
    <row r="33" spans="2:14" ht="18" customHeight="1" x14ac:dyDescent="0.3">
      <c r="B33" s="414" t="str">
        <f>Aktiv!C34</f>
        <v>Seite außen</v>
      </c>
      <c r="C33" s="414">
        <f>Aktiv!A34</f>
        <v>3111</v>
      </c>
      <c r="D33" s="414" t="str">
        <f>Aktiv!D34</f>
        <v>Seite außen (580x1800)</v>
      </c>
      <c r="E33" s="414">
        <f>Aktiv!E34</f>
        <v>580</v>
      </c>
      <c r="F33" s="414">
        <f>Aktiv!F34</f>
        <v>1800</v>
      </c>
      <c r="G33" s="423">
        <f>Aktiv!G34</f>
        <v>184</v>
      </c>
      <c r="H33" s="423">
        <f>Aktiv!H34</f>
        <v>630</v>
      </c>
      <c r="I33" s="423">
        <f>Aktiv!I34</f>
        <v>656</v>
      </c>
      <c r="J33" s="423">
        <f>Aktiv!J34</f>
        <v>730</v>
      </c>
      <c r="K33" s="423">
        <f>Aktiv!K34</f>
        <v>212</v>
      </c>
      <c r="L33" s="423">
        <f>Aktiv!L34</f>
        <v>725</v>
      </c>
      <c r="M33" s="423">
        <f>Aktiv!M34</f>
        <v>754</v>
      </c>
      <c r="N33" s="423">
        <f>Aktiv!N34</f>
        <v>840</v>
      </c>
    </row>
    <row r="34" spans="2:14" ht="18" customHeight="1" x14ac:dyDescent="0.3">
      <c r="B34" s="413" t="str">
        <f>Aktiv!C35</f>
        <v>Seite außen</v>
      </c>
      <c r="C34" s="413">
        <f>Aktiv!A35</f>
        <v>3112</v>
      </c>
      <c r="D34" s="413" t="str">
        <f>Aktiv!D35</f>
        <v>Seite außen (180x780)</v>
      </c>
      <c r="E34" s="413">
        <f>Aktiv!E35</f>
        <v>180</v>
      </c>
      <c r="F34" s="413">
        <f>Aktiv!F35</f>
        <v>780</v>
      </c>
      <c r="G34" s="424">
        <f>Aktiv!G35</f>
        <v>25</v>
      </c>
      <c r="H34" s="424">
        <f>Aktiv!H35</f>
        <v>103</v>
      </c>
      <c r="I34" s="424">
        <f>Aktiv!I35</f>
        <v>120</v>
      </c>
      <c r="J34" s="424">
        <f>Aktiv!J35</f>
        <v>145</v>
      </c>
      <c r="K34" s="424">
        <f>Aktiv!K35</f>
        <v>29</v>
      </c>
      <c r="L34" s="424">
        <f>Aktiv!L35</f>
        <v>118</v>
      </c>
      <c r="M34" s="424">
        <f>Aktiv!M35</f>
        <v>138</v>
      </c>
      <c r="N34" s="424">
        <f>Aktiv!N35</f>
        <v>167</v>
      </c>
    </row>
    <row r="35" spans="2:14" ht="18" customHeight="1" x14ac:dyDescent="0.3">
      <c r="B35" s="414" t="str">
        <f>Aktiv!C36</f>
        <v>Seite außen</v>
      </c>
      <c r="C35" s="414">
        <f>Aktiv!A36</f>
        <v>3113</v>
      </c>
      <c r="D35" s="414" t="str">
        <f>Aktiv!D36</f>
        <v>Seite außen (180x980)</v>
      </c>
      <c r="E35" s="414">
        <f>Aktiv!E36</f>
        <v>180</v>
      </c>
      <c r="F35" s="414">
        <f>Aktiv!F36</f>
        <v>980</v>
      </c>
      <c r="G35" s="423">
        <f>Aktiv!G36</f>
        <v>31</v>
      </c>
      <c r="H35" s="423">
        <f>Aktiv!H36</f>
        <v>106</v>
      </c>
      <c r="I35" s="423">
        <f>Aktiv!I36</f>
        <v>120</v>
      </c>
      <c r="J35" s="423">
        <f>Aktiv!J36</f>
        <v>145</v>
      </c>
      <c r="K35" s="423">
        <f>Aktiv!K36</f>
        <v>36</v>
      </c>
      <c r="L35" s="423">
        <f>Aktiv!L36</f>
        <v>122</v>
      </c>
      <c r="M35" s="423">
        <f>Aktiv!M36</f>
        <v>138</v>
      </c>
      <c r="N35" s="423">
        <f>Aktiv!N36</f>
        <v>167</v>
      </c>
    </row>
    <row r="36" spans="2:14" ht="18" customHeight="1" x14ac:dyDescent="0.3">
      <c r="B36" s="413" t="str">
        <f>Aktiv!C37</f>
        <v>Seite außen</v>
      </c>
      <c r="C36" s="413">
        <f>Aktiv!A37</f>
        <v>3114</v>
      </c>
      <c r="D36" s="413" t="str">
        <f>Aktiv!D37</f>
        <v>Seite außen (360x780)</v>
      </c>
      <c r="E36" s="413">
        <f>Aktiv!E37</f>
        <v>360</v>
      </c>
      <c r="F36" s="413">
        <f>Aktiv!F37</f>
        <v>780</v>
      </c>
      <c r="G36" s="424">
        <f>Aktiv!G37</f>
        <v>49</v>
      </c>
      <c r="H36" s="424">
        <f>Aktiv!H37</f>
        <v>169</v>
      </c>
      <c r="I36" s="424">
        <f>Aktiv!I37</f>
        <v>177</v>
      </c>
      <c r="J36" s="424">
        <f>Aktiv!J37</f>
        <v>196</v>
      </c>
      <c r="K36" s="424">
        <f>Aktiv!K37</f>
        <v>56</v>
      </c>
      <c r="L36" s="424">
        <f>Aktiv!L37</f>
        <v>194</v>
      </c>
      <c r="M36" s="424">
        <f>Aktiv!M37</f>
        <v>204</v>
      </c>
      <c r="N36" s="424">
        <f>Aktiv!N37</f>
        <v>225</v>
      </c>
    </row>
    <row r="37" spans="2:14" ht="18" customHeight="1" x14ac:dyDescent="0.3">
      <c r="B37" s="414" t="str">
        <f>Aktiv!C38</f>
        <v>Seite außen</v>
      </c>
      <c r="C37" s="414">
        <f>Aktiv!A38</f>
        <v>3115</v>
      </c>
      <c r="D37" s="414" t="str">
        <f>Aktiv!D38</f>
        <v>Seite außen (360x980)</v>
      </c>
      <c r="E37" s="414">
        <f>Aktiv!E38</f>
        <v>360</v>
      </c>
      <c r="F37" s="414">
        <f>Aktiv!F38</f>
        <v>980</v>
      </c>
      <c r="G37" s="423">
        <f>Aktiv!G38</f>
        <v>62</v>
      </c>
      <c r="H37" s="423">
        <f>Aktiv!H38</f>
        <v>213</v>
      </c>
      <c r="I37" s="423">
        <f>Aktiv!I38</f>
        <v>222</v>
      </c>
      <c r="J37" s="423">
        <f>Aktiv!J38</f>
        <v>247</v>
      </c>
      <c r="K37" s="423">
        <f>Aktiv!K38</f>
        <v>71</v>
      </c>
      <c r="L37" s="423">
        <f>Aktiv!L38</f>
        <v>245</v>
      </c>
      <c r="M37" s="423">
        <f>Aktiv!M38</f>
        <v>255</v>
      </c>
      <c r="N37" s="423">
        <f>Aktiv!N38</f>
        <v>284</v>
      </c>
    </row>
    <row r="38" spans="2:14" ht="18" customHeight="1" x14ac:dyDescent="0.3">
      <c r="B38" s="413" t="str">
        <f>Aktiv!C39</f>
        <v>Seite außen</v>
      </c>
      <c r="C38" s="413">
        <f>Aktiv!A39</f>
        <v>3116</v>
      </c>
      <c r="D38" s="413" t="str">
        <f>Aktiv!D39</f>
        <v>Seite außen (720x780)</v>
      </c>
      <c r="E38" s="413">
        <f>Aktiv!E39</f>
        <v>720</v>
      </c>
      <c r="F38" s="413">
        <f>Aktiv!F39</f>
        <v>780</v>
      </c>
      <c r="G38" s="424">
        <f>Aktiv!G39</f>
        <v>99</v>
      </c>
      <c r="H38" s="424">
        <f>Aktiv!H39</f>
        <v>339</v>
      </c>
      <c r="I38" s="424">
        <f>Aktiv!I39</f>
        <v>353</v>
      </c>
      <c r="J38" s="424">
        <f>Aktiv!J39</f>
        <v>393</v>
      </c>
      <c r="K38" s="424">
        <f>Aktiv!K39</f>
        <v>114</v>
      </c>
      <c r="L38" s="424">
        <f>Aktiv!L39</f>
        <v>390</v>
      </c>
      <c r="M38" s="424">
        <f>Aktiv!M39</f>
        <v>406</v>
      </c>
      <c r="N38" s="424">
        <f>Aktiv!N39</f>
        <v>452</v>
      </c>
    </row>
    <row r="39" spans="2:14" ht="18" customHeight="1" x14ac:dyDescent="0.3">
      <c r="B39" s="414" t="str">
        <f>Aktiv!C40</f>
        <v>Seite außen</v>
      </c>
      <c r="C39" s="414">
        <f>Aktiv!A40</f>
        <v>3117</v>
      </c>
      <c r="D39" s="414" t="str">
        <f>Aktiv!D40</f>
        <v>Seite außen (720x980)</v>
      </c>
      <c r="E39" s="414">
        <f>Aktiv!E40</f>
        <v>720</v>
      </c>
      <c r="F39" s="414">
        <f>Aktiv!F40</f>
        <v>980</v>
      </c>
      <c r="G39" s="423">
        <f>Aktiv!G40</f>
        <v>124</v>
      </c>
      <c r="H39" s="423">
        <f>Aktiv!H40</f>
        <v>426</v>
      </c>
      <c r="I39" s="423">
        <f>Aktiv!I40</f>
        <v>444</v>
      </c>
      <c r="J39" s="423">
        <f>Aktiv!J40</f>
        <v>494</v>
      </c>
      <c r="K39" s="423">
        <f>Aktiv!K40</f>
        <v>143</v>
      </c>
      <c r="L39" s="423">
        <f>Aktiv!L40</f>
        <v>490</v>
      </c>
      <c r="M39" s="423">
        <f>Aktiv!M40</f>
        <v>511</v>
      </c>
      <c r="N39" s="423">
        <f>Aktiv!N40</f>
        <v>568</v>
      </c>
    </row>
    <row r="40" spans="2:14" ht="18" customHeight="1" x14ac:dyDescent="0.3">
      <c r="B40" s="413" t="str">
        <f>Aktiv!C41</f>
        <v>Seite außen</v>
      </c>
      <c r="C40" s="413">
        <f>Aktiv!A41</f>
        <v>3118</v>
      </c>
      <c r="D40" s="413" t="str">
        <f>Aktiv!D41</f>
        <v>Seite außen (1080x780)</v>
      </c>
      <c r="E40" s="413">
        <f>Aktiv!E41</f>
        <v>1080</v>
      </c>
      <c r="F40" s="413">
        <f>Aktiv!F41</f>
        <v>780</v>
      </c>
      <c r="G40" s="424">
        <f>Aktiv!G41</f>
        <v>148</v>
      </c>
      <c r="H40" s="424">
        <f>Aktiv!H41</f>
        <v>508</v>
      </c>
      <c r="I40" s="424">
        <f>Aktiv!I41</f>
        <v>530</v>
      </c>
      <c r="J40" s="424" t="str">
        <f>Aktiv!J41</f>
        <v>-</v>
      </c>
      <c r="K40" s="424">
        <f>Aktiv!K41</f>
        <v>170</v>
      </c>
      <c r="L40" s="424">
        <f>Aktiv!L41</f>
        <v>584</v>
      </c>
      <c r="M40" s="424">
        <f>Aktiv!M41</f>
        <v>610</v>
      </c>
      <c r="N40" s="424" t="str">
        <f>Aktiv!N41</f>
        <v>-</v>
      </c>
    </row>
    <row r="41" spans="2:14" ht="18" customHeight="1" x14ac:dyDescent="0.3">
      <c r="B41" s="414" t="str">
        <f>Aktiv!C42</f>
        <v>Seite außen</v>
      </c>
      <c r="C41" s="414">
        <f>Aktiv!A42</f>
        <v>3119</v>
      </c>
      <c r="D41" s="414" t="str">
        <f>Aktiv!D42</f>
        <v>Seite außen (1080x980)</v>
      </c>
      <c r="E41" s="414">
        <f>Aktiv!E42</f>
        <v>1080</v>
      </c>
      <c r="F41" s="414">
        <f>Aktiv!F42</f>
        <v>980</v>
      </c>
      <c r="G41" s="423">
        <f>Aktiv!G42</f>
        <v>186</v>
      </c>
      <c r="H41" s="423">
        <f>Aktiv!H42</f>
        <v>639</v>
      </c>
      <c r="I41" s="423">
        <f>Aktiv!I42</f>
        <v>665</v>
      </c>
      <c r="J41" s="423" t="str">
        <f>Aktiv!J42</f>
        <v>-</v>
      </c>
      <c r="K41" s="423">
        <f>Aktiv!K42</f>
        <v>214</v>
      </c>
      <c r="L41" s="423">
        <f>Aktiv!L42</f>
        <v>735</v>
      </c>
      <c r="M41" s="423">
        <f>Aktiv!M42</f>
        <v>765</v>
      </c>
      <c r="N41" s="423" t="str">
        <f>Aktiv!N42</f>
        <v>-</v>
      </c>
    </row>
    <row r="42" spans="2:14" ht="18" customHeight="1" x14ac:dyDescent="0.3">
      <c r="B42" s="413" t="str">
        <f>Aktiv!C43</f>
        <v>Seite außen</v>
      </c>
      <c r="C42" s="413">
        <f>Aktiv!A43</f>
        <v>3120</v>
      </c>
      <c r="D42" s="413" t="str">
        <f>Aktiv!D43</f>
        <v>Seite außen (1440x780)</v>
      </c>
      <c r="E42" s="413">
        <f>Aktiv!E43</f>
        <v>1440</v>
      </c>
      <c r="F42" s="413">
        <f>Aktiv!F43</f>
        <v>780</v>
      </c>
      <c r="G42" s="424">
        <f>Aktiv!G43</f>
        <v>198</v>
      </c>
      <c r="H42" s="424">
        <f>Aktiv!H43</f>
        <v>678</v>
      </c>
      <c r="I42" s="424">
        <f>Aktiv!I43</f>
        <v>706</v>
      </c>
      <c r="J42" s="424" t="str">
        <f>Aktiv!J43</f>
        <v>-</v>
      </c>
      <c r="K42" s="424">
        <f>Aktiv!K43</f>
        <v>228</v>
      </c>
      <c r="L42" s="424">
        <f>Aktiv!L43</f>
        <v>780</v>
      </c>
      <c r="M42" s="424">
        <f>Aktiv!M43</f>
        <v>812</v>
      </c>
      <c r="N42" s="424" t="str">
        <f>Aktiv!N43</f>
        <v>-</v>
      </c>
    </row>
    <row r="43" spans="2:14" ht="18" customHeight="1" x14ac:dyDescent="0.3">
      <c r="B43" s="414" t="str">
        <f>Aktiv!C44</f>
        <v>Seite außen</v>
      </c>
      <c r="C43" s="414">
        <f>Aktiv!A44</f>
        <v>3121</v>
      </c>
      <c r="D43" s="414" t="str">
        <f>Aktiv!D44</f>
        <v>Seite außen (1440x980)</v>
      </c>
      <c r="E43" s="414">
        <f>Aktiv!E44</f>
        <v>1440</v>
      </c>
      <c r="F43" s="414">
        <f>Aktiv!F44</f>
        <v>980</v>
      </c>
      <c r="G43" s="423">
        <f>Aktiv!G44</f>
        <v>248</v>
      </c>
      <c r="H43" s="423">
        <f>Aktiv!H44</f>
        <v>852</v>
      </c>
      <c r="I43" s="423">
        <f>Aktiv!I44</f>
        <v>887</v>
      </c>
      <c r="J43" s="423" t="str">
        <f>Aktiv!J44</f>
        <v>-</v>
      </c>
      <c r="K43" s="423">
        <f>Aktiv!K44</f>
        <v>285</v>
      </c>
      <c r="L43" s="423">
        <f>Aktiv!L44</f>
        <v>980</v>
      </c>
      <c r="M43" s="423">
        <f>Aktiv!M44</f>
        <v>1020</v>
      </c>
      <c r="N43" s="423" t="str">
        <f>Aktiv!N44</f>
        <v>-</v>
      </c>
    </row>
    <row r="44" spans="2:14" ht="18" customHeight="1" x14ac:dyDescent="0.3">
      <c r="B44" s="413" t="str">
        <f>Aktiv!C45</f>
        <v>Seite außen</v>
      </c>
      <c r="C44" s="413">
        <f>Aktiv!A45</f>
        <v>3122</v>
      </c>
      <c r="D44" s="413" t="str">
        <f>Aktiv!D45</f>
        <v>Seite außen (1800x780)</v>
      </c>
      <c r="E44" s="413">
        <f>Aktiv!E45</f>
        <v>1800</v>
      </c>
      <c r="F44" s="413">
        <f>Aktiv!F45</f>
        <v>780</v>
      </c>
      <c r="G44" s="424">
        <f>Aktiv!G45</f>
        <v>247</v>
      </c>
      <c r="H44" s="424">
        <f>Aktiv!H45</f>
        <v>847</v>
      </c>
      <c r="I44" s="424">
        <f>Aktiv!I45</f>
        <v>883</v>
      </c>
      <c r="J44" s="424" t="str">
        <f>Aktiv!J45</f>
        <v>-</v>
      </c>
      <c r="K44" s="424">
        <f>Aktiv!K45</f>
        <v>284</v>
      </c>
      <c r="L44" s="424">
        <f>Aktiv!L45</f>
        <v>974</v>
      </c>
      <c r="M44" s="424">
        <f>Aktiv!M45</f>
        <v>1015</v>
      </c>
      <c r="N44" s="424" t="str">
        <f>Aktiv!N45</f>
        <v>-</v>
      </c>
    </row>
    <row r="45" spans="2:14" ht="18" customHeight="1" x14ac:dyDescent="0.3">
      <c r="B45" s="414" t="str">
        <f>Aktiv!C46</f>
        <v>Seite außen</v>
      </c>
      <c r="C45" s="414">
        <f>Aktiv!A46</f>
        <v>3123</v>
      </c>
      <c r="D45" s="414" t="str">
        <f>Aktiv!D46</f>
        <v>Seite außen (1800x980)</v>
      </c>
      <c r="E45" s="414">
        <f>Aktiv!E46</f>
        <v>1800</v>
      </c>
      <c r="F45" s="414">
        <f>Aktiv!F46</f>
        <v>980</v>
      </c>
      <c r="G45" s="423">
        <f>Aktiv!G46</f>
        <v>310</v>
      </c>
      <c r="H45" s="423">
        <f>Aktiv!H46</f>
        <v>1064</v>
      </c>
      <c r="I45" s="423">
        <f>Aktiv!I46</f>
        <v>1109</v>
      </c>
      <c r="J45" s="423" t="str">
        <f>Aktiv!J46</f>
        <v>-</v>
      </c>
      <c r="K45" s="423">
        <f>Aktiv!K46</f>
        <v>357</v>
      </c>
      <c r="L45" s="423">
        <f>Aktiv!L46</f>
        <v>1224</v>
      </c>
      <c r="M45" s="423">
        <f>Aktiv!M46</f>
        <v>1275</v>
      </c>
      <c r="N45" s="423" t="str">
        <f>Aktiv!N46</f>
        <v>-</v>
      </c>
    </row>
    <row r="46" spans="2:14" ht="18" customHeight="1" x14ac:dyDescent="0.3">
      <c r="B46" s="413" t="str">
        <f>Aktiv!C47</f>
        <v>Seite außen</v>
      </c>
      <c r="C46" s="413">
        <f>Aktiv!A47</f>
        <v>3124</v>
      </c>
      <c r="D46" s="413" t="str">
        <f>Aktiv!D47</f>
        <v>Seite außen (580x580)</v>
      </c>
      <c r="E46" s="413">
        <f>Aktiv!E47</f>
        <v>580</v>
      </c>
      <c r="F46" s="413">
        <f>Aktiv!F47</f>
        <v>580</v>
      </c>
      <c r="G46" s="424">
        <f>Aktiv!G47</f>
        <v>59</v>
      </c>
      <c r="H46" s="424">
        <f>Aktiv!H47</f>
        <v>203</v>
      </c>
      <c r="I46" s="424">
        <f>Aktiv!I47</f>
        <v>211</v>
      </c>
      <c r="J46" s="424" t="str">
        <f>Aktiv!J47</f>
        <v>-</v>
      </c>
      <c r="K46" s="424">
        <f>Aktiv!K47</f>
        <v>68</v>
      </c>
      <c r="L46" s="424">
        <f>Aktiv!L47</f>
        <v>233</v>
      </c>
      <c r="M46" s="424">
        <f>Aktiv!M47</f>
        <v>243</v>
      </c>
      <c r="N46" s="424" t="str">
        <f>Aktiv!N47</f>
        <v>-</v>
      </c>
    </row>
    <row r="47" spans="2:14" ht="18" customHeight="1" x14ac:dyDescent="0.3">
      <c r="B47" s="414" t="str">
        <f>Aktiv!C48</f>
        <v>Seite außen</v>
      </c>
      <c r="C47" s="414" t="str">
        <f>Aktiv!A48</f>
        <v>S_0020</v>
      </c>
      <c r="D47" s="414" t="str">
        <f>Aktiv!D48</f>
        <v>Seite außen (660x360)</v>
      </c>
      <c r="E47" s="414">
        <f>Aktiv!E48</f>
        <v>660</v>
      </c>
      <c r="F47" s="414">
        <f>Aktiv!F48</f>
        <v>360</v>
      </c>
      <c r="G47" s="423">
        <f>Aktiv!G48</f>
        <v>42</v>
      </c>
      <c r="H47" s="423">
        <f>Aktiv!H48</f>
        <v>143</v>
      </c>
      <c r="I47" s="423">
        <f>Aktiv!I48</f>
        <v>149</v>
      </c>
      <c r="J47" s="423" t="str">
        <f>Aktiv!J48</f>
        <v>-</v>
      </c>
      <c r="K47" s="423">
        <f>Aktiv!K48</f>
        <v>48</v>
      </c>
      <c r="L47" s="423">
        <f>Aktiv!L48</f>
        <v>164</v>
      </c>
      <c r="M47" s="423">
        <f>Aktiv!M48</f>
        <v>171</v>
      </c>
      <c r="N47" s="423" t="str">
        <f>Aktiv!N48</f>
        <v>-</v>
      </c>
    </row>
    <row r="48" spans="2:14" ht="18" customHeight="1" x14ac:dyDescent="0.25">
      <c r="B48" s="420"/>
      <c r="C48" s="420"/>
      <c r="D48" s="420"/>
      <c r="E48" s="420"/>
      <c r="F48" s="420"/>
      <c r="G48" s="421"/>
      <c r="H48" s="421"/>
      <c r="I48" s="421"/>
      <c r="J48" s="421"/>
      <c r="K48" s="421"/>
      <c r="L48" s="421"/>
      <c r="M48" s="421"/>
      <c r="N48" s="421"/>
    </row>
    <row r="49" spans="2:14" ht="18" customHeight="1" x14ac:dyDescent="0.3">
      <c r="B49" s="418" t="s">
        <v>55</v>
      </c>
      <c r="C49" s="418"/>
      <c r="D49" s="418"/>
      <c r="E49" s="418"/>
      <c r="F49" s="418"/>
      <c r="G49" s="419"/>
      <c r="H49" s="419"/>
      <c r="I49" s="419"/>
      <c r="J49" s="419"/>
      <c r="K49" s="419"/>
      <c r="L49" s="419"/>
      <c r="M49" s="419"/>
      <c r="N49" s="419"/>
    </row>
    <row r="50" spans="2:14" ht="18" customHeight="1" x14ac:dyDescent="0.3">
      <c r="B50" s="415" t="str">
        <f>Aktiv!C50</f>
        <v>Seite außen SY32</v>
      </c>
      <c r="C50" s="415">
        <f>Aktiv!A50</f>
        <v>3200</v>
      </c>
      <c r="D50" s="415" t="str">
        <f>Aktiv!D50</f>
        <v>Seite außen SY32 (360x360)</v>
      </c>
      <c r="E50" s="415">
        <f>Aktiv!E50</f>
        <v>360</v>
      </c>
      <c r="F50" s="415">
        <f>Aktiv!F50</f>
        <v>360</v>
      </c>
      <c r="G50" s="422">
        <f>Aktiv!G50</f>
        <v>25</v>
      </c>
      <c r="H50" s="422">
        <f>Aktiv!H50</f>
        <v>103</v>
      </c>
      <c r="I50" s="422">
        <f>Aktiv!I50</f>
        <v>120</v>
      </c>
      <c r="J50" s="422">
        <f>Aktiv!J50</f>
        <v>145</v>
      </c>
      <c r="K50" s="422">
        <f>Aktiv!K50</f>
        <v>29</v>
      </c>
      <c r="L50" s="422">
        <f>Aktiv!L50</f>
        <v>118</v>
      </c>
      <c r="M50" s="422">
        <f>Aktiv!M50</f>
        <v>138</v>
      </c>
      <c r="N50" s="422" t="str">
        <f>Aktiv!N50</f>
        <v>-</v>
      </c>
    </row>
    <row r="51" spans="2:14" ht="18" customHeight="1" x14ac:dyDescent="0.3">
      <c r="B51" s="414" t="str">
        <f>Aktiv!C51</f>
        <v>Seite außen SY32</v>
      </c>
      <c r="C51" s="414">
        <f>Aktiv!A51</f>
        <v>3201</v>
      </c>
      <c r="D51" s="414" t="str">
        <f>Aktiv!D51</f>
        <v>Seite außen SY32 (360x720)</v>
      </c>
      <c r="E51" s="414">
        <f>Aktiv!E51</f>
        <v>360</v>
      </c>
      <c r="F51" s="414">
        <f>Aktiv!F51</f>
        <v>720</v>
      </c>
      <c r="G51" s="423">
        <f>Aktiv!G51</f>
        <v>46</v>
      </c>
      <c r="H51" s="423">
        <f>Aktiv!H51</f>
        <v>156</v>
      </c>
      <c r="I51" s="423">
        <f>Aktiv!I51</f>
        <v>163</v>
      </c>
      <c r="J51" s="423">
        <f>Aktiv!J51</f>
        <v>181</v>
      </c>
      <c r="K51" s="423">
        <f>Aktiv!K51</f>
        <v>53</v>
      </c>
      <c r="L51" s="423">
        <f>Aktiv!L51</f>
        <v>179</v>
      </c>
      <c r="M51" s="423">
        <f>Aktiv!M51</f>
        <v>187</v>
      </c>
      <c r="N51" s="423" t="str">
        <f>Aktiv!N51</f>
        <v>-</v>
      </c>
    </row>
    <row r="52" spans="2:14" ht="18" customHeight="1" x14ac:dyDescent="0.3">
      <c r="B52" s="413" t="str">
        <f>Aktiv!C52</f>
        <v>Seite außen SY32</v>
      </c>
      <c r="C52" s="413">
        <f>Aktiv!A52</f>
        <v>3202</v>
      </c>
      <c r="D52" s="413" t="str">
        <f>Aktiv!D52</f>
        <v>Seite außen SY32 (360x1080)</v>
      </c>
      <c r="E52" s="413">
        <f>Aktiv!E52</f>
        <v>360</v>
      </c>
      <c r="F52" s="413">
        <f>Aktiv!F52</f>
        <v>1080</v>
      </c>
      <c r="G52" s="424">
        <f>Aktiv!G52</f>
        <v>68</v>
      </c>
      <c r="H52" s="424">
        <f>Aktiv!H52</f>
        <v>235</v>
      </c>
      <c r="I52" s="424">
        <f>Aktiv!I52</f>
        <v>244</v>
      </c>
      <c r="J52" s="424">
        <f>Aktiv!J52</f>
        <v>272</v>
      </c>
      <c r="K52" s="424">
        <f>Aktiv!K52</f>
        <v>78</v>
      </c>
      <c r="L52" s="424">
        <f>Aktiv!L52</f>
        <v>270</v>
      </c>
      <c r="M52" s="424">
        <f>Aktiv!M52</f>
        <v>281</v>
      </c>
      <c r="N52" s="424" t="str">
        <f>Aktiv!N52</f>
        <v>-</v>
      </c>
    </row>
    <row r="53" spans="2:14" ht="18" customHeight="1" x14ac:dyDescent="0.3">
      <c r="B53" s="414" t="str">
        <f>Aktiv!C53</f>
        <v>Seite außen SY32</v>
      </c>
      <c r="C53" s="414">
        <f>Aktiv!A53</f>
        <v>3203</v>
      </c>
      <c r="D53" s="414" t="str">
        <f>Aktiv!D53</f>
        <v>Seite außen SY32 (360x1440)</v>
      </c>
      <c r="E53" s="414">
        <f>Aktiv!E53</f>
        <v>360</v>
      </c>
      <c r="F53" s="414">
        <f>Aktiv!F53</f>
        <v>1440</v>
      </c>
      <c r="G53" s="423">
        <f>Aktiv!G53</f>
        <v>91</v>
      </c>
      <c r="H53" s="423">
        <f>Aktiv!H53</f>
        <v>313</v>
      </c>
      <c r="I53" s="423">
        <f>Aktiv!I53</f>
        <v>326</v>
      </c>
      <c r="J53" s="423">
        <f>Aktiv!J53</f>
        <v>363</v>
      </c>
      <c r="K53" s="423">
        <f>Aktiv!K53</f>
        <v>105</v>
      </c>
      <c r="L53" s="423">
        <f>Aktiv!L53</f>
        <v>360</v>
      </c>
      <c r="M53" s="423">
        <f>Aktiv!M53</f>
        <v>375</v>
      </c>
      <c r="N53" s="423" t="str">
        <f>Aktiv!N53</f>
        <v>-</v>
      </c>
    </row>
    <row r="54" spans="2:14" ht="18" customHeight="1" x14ac:dyDescent="0.3">
      <c r="B54" s="413" t="str">
        <f>Aktiv!C54</f>
        <v>Seite außen SY32</v>
      </c>
      <c r="C54" s="413">
        <f>Aktiv!A54</f>
        <v>3204</v>
      </c>
      <c r="D54" s="413" t="str">
        <f>Aktiv!D54</f>
        <v>Seite außen SY32 (360x1800)</v>
      </c>
      <c r="E54" s="413">
        <f>Aktiv!E54</f>
        <v>360</v>
      </c>
      <c r="F54" s="413">
        <f>Aktiv!F54</f>
        <v>1800</v>
      </c>
      <c r="G54" s="424">
        <f>Aktiv!G54</f>
        <v>114</v>
      </c>
      <c r="H54" s="424">
        <f>Aktiv!H54</f>
        <v>391</v>
      </c>
      <c r="I54" s="424">
        <f>Aktiv!I54</f>
        <v>407</v>
      </c>
      <c r="J54" s="424">
        <f>Aktiv!J54</f>
        <v>453</v>
      </c>
      <c r="K54" s="424">
        <f>Aktiv!K54</f>
        <v>131</v>
      </c>
      <c r="L54" s="424">
        <f>Aktiv!L54</f>
        <v>450</v>
      </c>
      <c r="M54" s="424">
        <f>Aktiv!M54</f>
        <v>468</v>
      </c>
      <c r="N54" s="424" t="str">
        <f>Aktiv!N54</f>
        <v>-</v>
      </c>
    </row>
    <row r="55" spans="2:14" ht="18" customHeight="1" x14ac:dyDescent="0.3">
      <c r="B55" s="414" t="str">
        <f>Aktiv!C55</f>
        <v>Seite außen SY32</v>
      </c>
      <c r="C55" s="414">
        <f>Aktiv!A55</f>
        <v>3205</v>
      </c>
      <c r="D55" s="414" t="str">
        <f>Aktiv!D55</f>
        <v>Seite außen SY32 (580x360)</v>
      </c>
      <c r="E55" s="414">
        <f>Aktiv!E55</f>
        <v>580</v>
      </c>
      <c r="F55" s="414">
        <f>Aktiv!F55</f>
        <v>360</v>
      </c>
      <c r="G55" s="423">
        <f>Aktiv!G55</f>
        <v>37</v>
      </c>
      <c r="H55" s="423">
        <f>Aktiv!H55</f>
        <v>126</v>
      </c>
      <c r="I55" s="423">
        <f>Aktiv!I55</f>
        <v>131</v>
      </c>
      <c r="J55" s="423">
        <f>Aktiv!J55</f>
        <v>146</v>
      </c>
      <c r="K55" s="423">
        <f>Aktiv!K55</f>
        <v>43</v>
      </c>
      <c r="L55" s="423">
        <f>Aktiv!L55</f>
        <v>145</v>
      </c>
      <c r="M55" s="423">
        <f>Aktiv!M55</f>
        <v>151</v>
      </c>
      <c r="N55" s="423" t="str">
        <f>Aktiv!N55</f>
        <v>-</v>
      </c>
    </row>
    <row r="56" spans="2:14" ht="18" customHeight="1" x14ac:dyDescent="0.3">
      <c r="B56" s="413" t="str">
        <f>Aktiv!C56</f>
        <v>Seite außen SY32</v>
      </c>
      <c r="C56" s="413">
        <f>Aktiv!A56</f>
        <v>3206</v>
      </c>
      <c r="D56" s="413" t="str">
        <f>Aktiv!D56</f>
        <v>Seite außen SY32 (580x720)</v>
      </c>
      <c r="E56" s="413">
        <f>Aktiv!E56</f>
        <v>580</v>
      </c>
      <c r="F56" s="413">
        <f>Aktiv!F56</f>
        <v>720</v>
      </c>
      <c r="G56" s="424">
        <f>Aktiv!G56</f>
        <v>73</v>
      </c>
      <c r="H56" s="424">
        <f>Aktiv!H56</f>
        <v>252</v>
      </c>
      <c r="I56" s="424">
        <f>Aktiv!I56</f>
        <v>262</v>
      </c>
      <c r="J56" s="424">
        <f>Aktiv!J56</f>
        <v>292</v>
      </c>
      <c r="K56" s="424">
        <f>Aktiv!K56</f>
        <v>84</v>
      </c>
      <c r="L56" s="424">
        <f>Aktiv!L56</f>
        <v>290</v>
      </c>
      <c r="M56" s="424">
        <f>Aktiv!M56</f>
        <v>301</v>
      </c>
      <c r="N56" s="424" t="str">
        <f>Aktiv!N56</f>
        <v>-</v>
      </c>
    </row>
    <row r="57" spans="2:14" ht="18" customHeight="1" x14ac:dyDescent="0.3">
      <c r="B57" s="414" t="str">
        <f>Aktiv!C57</f>
        <v>Seite außen SY32</v>
      </c>
      <c r="C57" s="414">
        <f>Aktiv!A57</f>
        <v>3207</v>
      </c>
      <c r="D57" s="414" t="str">
        <f>Aktiv!D57</f>
        <v>Seite außen SY32 (580x1080)</v>
      </c>
      <c r="E57" s="414">
        <f>Aktiv!E57</f>
        <v>580</v>
      </c>
      <c r="F57" s="414">
        <f>Aktiv!F57</f>
        <v>1080</v>
      </c>
      <c r="G57" s="423">
        <f>Aktiv!G57</f>
        <v>110</v>
      </c>
      <c r="H57" s="423">
        <f>Aktiv!H57</f>
        <v>378</v>
      </c>
      <c r="I57" s="423">
        <f>Aktiv!I57</f>
        <v>394</v>
      </c>
      <c r="J57" s="423">
        <f>Aktiv!J57</f>
        <v>438</v>
      </c>
      <c r="K57" s="423">
        <f>Aktiv!K57</f>
        <v>127</v>
      </c>
      <c r="L57" s="423">
        <f>Aktiv!L57</f>
        <v>435</v>
      </c>
      <c r="M57" s="423">
        <f>Aktiv!M57</f>
        <v>453</v>
      </c>
      <c r="N57" s="423" t="str">
        <f>Aktiv!N57</f>
        <v>-</v>
      </c>
    </row>
    <row r="58" spans="2:14" ht="18" customHeight="1" x14ac:dyDescent="0.3">
      <c r="B58" s="413" t="str">
        <f>Aktiv!C58</f>
        <v>Seite außen SY32</v>
      </c>
      <c r="C58" s="413">
        <f>Aktiv!A58</f>
        <v>3208</v>
      </c>
      <c r="D58" s="413" t="str">
        <f>Aktiv!D58</f>
        <v>Seite außen SY32 (580x1440)</v>
      </c>
      <c r="E58" s="413">
        <f>Aktiv!E58</f>
        <v>580</v>
      </c>
      <c r="F58" s="413">
        <f>Aktiv!F58</f>
        <v>1440</v>
      </c>
      <c r="G58" s="424">
        <f>Aktiv!G58</f>
        <v>147</v>
      </c>
      <c r="H58" s="424">
        <f>Aktiv!H58</f>
        <v>504</v>
      </c>
      <c r="I58" s="424">
        <f>Aktiv!I58</f>
        <v>525</v>
      </c>
      <c r="J58" s="424">
        <f>Aktiv!J58</f>
        <v>584</v>
      </c>
      <c r="K58" s="424">
        <f>Aktiv!K58</f>
        <v>169</v>
      </c>
      <c r="L58" s="424">
        <f>Aktiv!L58</f>
        <v>580</v>
      </c>
      <c r="M58" s="424">
        <f>Aktiv!M58</f>
        <v>604</v>
      </c>
      <c r="N58" s="424" t="str">
        <f>Aktiv!N58</f>
        <v>-</v>
      </c>
    </row>
    <row r="59" spans="2:14" ht="18" customHeight="1" x14ac:dyDescent="0.3">
      <c r="B59" s="414" t="str">
        <f>Aktiv!C59</f>
        <v>Seite außen SY32</v>
      </c>
      <c r="C59" s="414">
        <f>Aktiv!A59</f>
        <v>3209</v>
      </c>
      <c r="D59" s="414" t="str">
        <f>Aktiv!D59</f>
        <v>Seite außen SY32 (580x1800)</v>
      </c>
      <c r="E59" s="414">
        <f>Aktiv!E59</f>
        <v>580</v>
      </c>
      <c r="F59" s="414">
        <f>Aktiv!F59</f>
        <v>1800</v>
      </c>
      <c r="G59" s="423">
        <f>Aktiv!G59</f>
        <v>184</v>
      </c>
      <c r="H59" s="423">
        <f>Aktiv!H59</f>
        <v>630</v>
      </c>
      <c r="I59" s="423">
        <f>Aktiv!I59</f>
        <v>656</v>
      </c>
      <c r="J59" s="423">
        <f>Aktiv!J59</f>
        <v>730</v>
      </c>
      <c r="K59" s="423">
        <f>Aktiv!K59</f>
        <v>212</v>
      </c>
      <c r="L59" s="423">
        <f>Aktiv!L59</f>
        <v>725</v>
      </c>
      <c r="M59" s="423">
        <f>Aktiv!M59</f>
        <v>754</v>
      </c>
      <c r="N59" s="423" t="str">
        <f>Aktiv!N59</f>
        <v>-</v>
      </c>
    </row>
    <row r="60" spans="2:14" ht="18" customHeight="1" x14ac:dyDescent="0.3">
      <c r="B60" s="413" t="str">
        <f>Aktiv!C60</f>
        <v>Seite außen SY32</v>
      </c>
      <c r="C60" s="413">
        <f>Aktiv!A60</f>
        <v>3210</v>
      </c>
      <c r="D60" s="413" t="str">
        <f>Aktiv!D60</f>
        <v>Seite außen SY32 (180x780)</v>
      </c>
      <c r="E60" s="413">
        <f>Aktiv!E60</f>
        <v>180</v>
      </c>
      <c r="F60" s="413">
        <f>Aktiv!F60</f>
        <v>780</v>
      </c>
      <c r="G60" s="424">
        <f>Aktiv!G60</f>
        <v>25</v>
      </c>
      <c r="H60" s="424">
        <f>Aktiv!H60</f>
        <v>103</v>
      </c>
      <c r="I60" s="424">
        <f>Aktiv!I60</f>
        <v>120</v>
      </c>
      <c r="J60" s="424">
        <f>Aktiv!J60</f>
        <v>145</v>
      </c>
      <c r="K60" s="424">
        <f>Aktiv!K60</f>
        <v>29</v>
      </c>
      <c r="L60" s="424">
        <f>Aktiv!L60</f>
        <v>118</v>
      </c>
      <c r="M60" s="424">
        <f>Aktiv!M60</f>
        <v>138</v>
      </c>
      <c r="N60" s="424" t="str">
        <f>Aktiv!N60</f>
        <v>-</v>
      </c>
    </row>
    <row r="61" spans="2:14" ht="18" customHeight="1" x14ac:dyDescent="0.3">
      <c r="B61" s="414" t="str">
        <f>Aktiv!C61</f>
        <v>Seite außen SY32</v>
      </c>
      <c r="C61" s="414">
        <f>Aktiv!A61</f>
        <v>3211</v>
      </c>
      <c r="D61" s="414" t="str">
        <f>Aktiv!D61</f>
        <v>Seite außen SY32 (180x980)</v>
      </c>
      <c r="E61" s="414">
        <f>Aktiv!E61</f>
        <v>180</v>
      </c>
      <c r="F61" s="414">
        <f>Aktiv!F61</f>
        <v>980</v>
      </c>
      <c r="G61" s="423">
        <f>Aktiv!G61</f>
        <v>31</v>
      </c>
      <c r="H61" s="423">
        <f>Aktiv!H61</f>
        <v>106</v>
      </c>
      <c r="I61" s="423">
        <f>Aktiv!I61</f>
        <v>120</v>
      </c>
      <c r="J61" s="423">
        <f>Aktiv!J61</f>
        <v>145</v>
      </c>
      <c r="K61" s="423">
        <f>Aktiv!K61</f>
        <v>36</v>
      </c>
      <c r="L61" s="423">
        <f>Aktiv!L61</f>
        <v>122</v>
      </c>
      <c r="M61" s="423">
        <f>Aktiv!M61</f>
        <v>138</v>
      </c>
      <c r="N61" s="423" t="str">
        <f>Aktiv!N61</f>
        <v>-</v>
      </c>
    </row>
    <row r="62" spans="2:14" ht="18" customHeight="1" x14ac:dyDescent="0.3">
      <c r="B62" s="413" t="str">
        <f>Aktiv!C62</f>
        <v>Seite außen SY32</v>
      </c>
      <c r="C62" s="413">
        <f>Aktiv!A62</f>
        <v>3212</v>
      </c>
      <c r="D62" s="413" t="str">
        <f>Aktiv!D62</f>
        <v>Seite außen SY32 (360x780)</v>
      </c>
      <c r="E62" s="413">
        <f>Aktiv!E62</f>
        <v>360</v>
      </c>
      <c r="F62" s="413">
        <f>Aktiv!F62</f>
        <v>780</v>
      </c>
      <c r="G62" s="424">
        <f>Aktiv!G62</f>
        <v>49</v>
      </c>
      <c r="H62" s="424">
        <f>Aktiv!H62</f>
        <v>169</v>
      </c>
      <c r="I62" s="424">
        <f>Aktiv!I62</f>
        <v>177</v>
      </c>
      <c r="J62" s="424">
        <f>Aktiv!J62</f>
        <v>196</v>
      </c>
      <c r="K62" s="424">
        <f>Aktiv!K62</f>
        <v>56</v>
      </c>
      <c r="L62" s="424">
        <f>Aktiv!L62</f>
        <v>194</v>
      </c>
      <c r="M62" s="424">
        <f>Aktiv!M62</f>
        <v>204</v>
      </c>
      <c r="N62" s="424" t="str">
        <f>Aktiv!N62</f>
        <v>-</v>
      </c>
    </row>
    <row r="63" spans="2:14" ht="18" customHeight="1" x14ac:dyDescent="0.3">
      <c r="B63" s="414" t="str">
        <f>Aktiv!C63</f>
        <v>Seite außen SY32</v>
      </c>
      <c r="C63" s="414">
        <f>Aktiv!A63</f>
        <v>3213</v>
      </c>
      <c r="D63" s="414" t="str">
        <f>Aktiv!D63</f>
        <v>Seite außen SY32 (360x980)</v>
      </c>
      <c r="E63" s="414">
        <f>Aktiv!E63</f>
        <v>360</v>
      </c>
      <c r="F63" s="414">
        <f>Aktiv!F63</f>
        <v>980</v>
      </c>
      <c r="G63" s="423">
        <f>Aktiv!G63</f>
        <v>62</v>
      </c>
      <c r="H63" s="423">
        <f>Aktiv!H63</f>
        <v>213</v>
      </c>
      <c r="I63" s="423">
        <f>Aktiv!I63</f>
        <v>222</v>
      </c>
      <c r="J63" s="423">
        <f>Aktiv!J63</f>
        <v>247</v>
      </c>
      <c r="K63" s="423">
        <f>Aktiv!K63</f>
        <v>71</v>
      </c>
      <c r="L63" s="423">
        <f>Aktiv!L63</f>
        <v>245</v>
      </c>
      <c r="M63" s="423">
        <f>Aktiv!M63</f>
        <v>255</v>
      </c>
      <c r="N63" s="423" t="str">
        <f>Aktiv!N63</f>
        <v>-</v>
      </c>
    </row>
    <row r="64" spans="2:14" ht="18" customHeight="1" x14ac:dyDescent="0.3">
      <c r="B64" s="413" t="str">
        <f>Aktiv!C64</f>
        <v>Seite außen SY32</v>
      </c>
      <c r="C64" s="413">
        <f>Aktiv!A64</f>
        <v>3214</v>
      </c>
      <c r="D64" s="413" t="str">
        <f>Aktiv!D64</f>
        <v>Seite außen SY32 (720x780)</v>
      </c>
      <c r="E64" s="413">
        <f>Aktiv!E64</f>
        <v>720</v>
      </c>
      <c r="F64" s="413">
        <f>Aktiv!F64</f>
        <v>780</v>
      </c>
      <c r="G64" s="424">
        <f>Aktiv!G64</f>
        <v>99</v>
      </c>
      <c r="H64" s="424">
        <f>Aktiv!H64</f>
        <v>339</v>
      </c>
      <c r="I64" s="424">
        <f>Aktiv!I64</f>
        <v>353</v>
      </c>
      <c r="J64" s="424">
        <f>Aktiv!J64</f>
        <v>393</v>
      </c>
      <c r="K64" s="424">
        <f>Aktiv!K64</f>
        <v>114</v>
      </c>
      <c r="L64" s="424">
        <f>Aktiv!L64</f>
        <v>390</v>
      </c>
      <c r="M64" s="424">
        <f>Aktiv!M64</f>
        <v>406</v>
      </c>
      <c r="N64" s="424" t="str">
        <f>Aktiv!N64</f>
        <v>-</v>
      </c>
    </row>
    <row r="65" spans="2:14" ht="18" customHeight="1" x14ac:dyDescent="0.3">
      <c r="B65" s="414" t="str">
        <f>Aktiv!C65</f>
        <v>Seite außen SY32</v>
      </c>
      <c r="C65" s="414">
        <f>Aktiv!A65</f>
        <v>3215</v>
      </c>
      <c r="D65" s="414" t="str">
        <f>Aktiv!D65</f>
        <v>Seite außen SY32 (720x980)</v>
      </c>
      <c r="E65" s="414">
        <f>Aktiv!E65</f>
        <v>720</v>
      </c>
      <c r="F65" s="414">
        <f>Aktiv!F65</f>
        <v>980</v>
      </c>
      <c r="G65" s="423">
        <f>Aktiv!G65</f>
        <v>124</v>
      </c>
      <c r="H65" s="423">
        <f>Aktiv!H65</f>
        <v>426</v>
      </c>
      <c r="I65" s="423">
        <f>Aktiv!I65</f>
        <v>444</v>
      </c>
      <c r="J65" s="423">
        <f>Aktiv!J65</f>
        <v>494</v>
      </c>
      <c r="K65" s="423">
        <f>Aktiv!K65</f>
        <v>143</v>
      </c>
      <c r="L65" s="423">
        <f>Aktiv!L65</f>
        <v>490</v>
      </c>
      <c r="M65" s="423">
        <f>Aktiv!M65</f>
        <v>511</v>
      </c>
      <c r="N65" s="423" t="str">
        <f>Aktiv!N65</f>
        <v>-</v>
      </c>
    </row>
    <row r="66" spans="2:14" ht="18" customHeight="1" x14ac:dyDescent="0.3">
      <c r="B66" s="413" t="str">
        <f>Aktiv!C66</f>
        <v>Seite außen SY32</v>
      </c>
      <c r="C66" s="413">
        <f>Aktiv!A66</f>
        <v>3216</v>
      </c>
      <c r="D66" s="413" t="str">
        <f>Aktiv!D66</f>
        <v>Seite außen SY32 (1080x780)</v>
      </c>
      <c r="E66" s="413">
        <f>Aktiv!E66</f>
        <v>1080</v>
      </c>
      <c r="F66" s="413">
        <f>Aktiv!F66</f>
        <v>780</v>
      </c>
      <c r="G66" s="424">
        <f>Aktiv!G66</f>
        <v>148</v>
      </c>
      <c r="H66" s="424">
        <f>Aktiv!H66</f>
        <v>508</v>
      </c>
      <c r="I66" s="424">
        <f>Aktiv!I66</f>
        <v>530</v>
      </c>
      <c r="J66" s="424">
        <f>Aktiv!J66</f>
        <v>589</v>
      </c>
      <c r="K66" s="424">
        <f>Aktiv!K66</f>
        <v>170</v>
      </c>
      <c r="L66" s="424">
        <f>Aktiv!L66</f>
        <v>584</v>
      </c>
      <c r="M66" s="424">
        <f>Aktiv!M66</f>
        <v>610</v>
      </c>
      <c r="N66" s="424" t="str">
        <f>Aktiv!N66</f>
        <v>-</v>
      </c>
    </row>
    <row r="67" spans="2:14" ht="18" customHeight="1" x14ac:dyDescent="0.3">
      <c r="B67" s="414" t="str">
        <f>Aktiv!C67</f>
        <v>Seite außen SY32</v>
      </c>
      <c r="C67" s="414">
        <f>Aktiv!A67</f>
        <v>3217</v>
      </c>
      <c r="D67" s="414" t="str">
        <f>Aktiv!D67</f>
        <v>Seite außen SY32 (1080x980)</v>
      </c>
      <c r="E67" s="414">
        <f>Aktiv!E67</f>
        <v>1080</v>
      </c>
      <c r="F67" s="414">
        <f>Aktiv!F67</f>
        <v>980</v>
      </c>
      <c r="G67" s="423">
        <f>Aktiv!G67</f>
        <v>186</v>
      </c>
      <c r="H67" s="423">
        <f>Aktiv!H67</f>
        <v>639</v>
      </c>
      <c r="I67" s="423">
        <f>Aktiv!I67</f>
        <v>665</v>
      </c>
      <c r="J67" s="423">
        <f>Aktiv!J67</f>
        <v>740</v>
      </c>
      <c r="K67" s="423">
        <f>Aktiv!K67</f>
        <v>214</v>
      </c>
      <c r="L67" s="423">
        <f>Aktiv!L67</f>
        <v>735</v>
      </c>
      <c r="M67" s="423">
        <f>Aktiv!M67</f>
        <v>765</v>
      </c>
      <c r="N67" s="423" t="str">
        <f>Aktiv!N67</f>
        <v>-</v>
      </c>
    </row>
    <row r="68" spans="2:14" ht="18" customHeight="1" x14ac:dyDescent="0.3">
      <c r="B68" s="413" t="str">
        <f>Aktiv!C68</f>
        <v>Seite außen SY32</v>
      </c>
      <c r="C68" s="413">
        <f>Aktiv!A68</f>
        <v>3218</v>
      </c>
      <c r="D68" s="413" t="str">
        <f>Aktiv!D68</f>
        <v>Seite außen SY32 (1440x780)</v>
      </c>
      <c r="E68" s="413">
        <f>Aktiv!E68</f>
        <v>1440</v>
      </c>
      <c r="F68" s="413">
        <f>Aktiv!F68</f>
        <v>780</v>
      </c>
      <c r="G68" s="424">
        <f>Aktiv!G68</f>
        <v>198</v>
      </c>
      <c r="H68" s="424">
        <f>Aktiv!H68</f>
        <v>678</v>
      </c>
      <c r="I68" s="424">
        <f>Aktiv!I68</f>
        <v>706</v>
      </c>
      <c r="J68" s="424">
        <f>Aktiv!J68</f>
        <v>786</v>
      </c>
      <c r="K68" s="424">
        <f>Aktiv!K68</f>
        <v>228</v>
      </c>
      <c r="L68" s="424">
        <f>Aktiv!L68</f>
        <v>780</v>
      </c>
      <c r="M68" s="424">
        <f>Aktiv!M68</f>
        <v>812</v>
      </c>
      <c r="N68" s="424" t="str">
        <f>Aktiv!N68</f>
        <v>-</v>
      </c>
    </row>
    <row r="69" spans="2:14" ht="18" customHeight="1" x14ac:dyDescent="0.3">
      <c r="B69" s="414" t="str">
        <f>Aktiv!C69</f>
        <v>Seite außen SY32</v>
      </c>
      <c r="C69" s="414">
        <f>Aktiv!A69</f>
        <v>3219</v>
      </c>
      <c r="D69" s="414" t="str">
        <f>Aktiv!D69</f>
        <v>Seite außen SY32 (1440x980)</v>
      </c>
      <c r="E69" s="414">
        <f>Aktiv!E69</f>
        <v>1440</v>
      </c>
      <c r="F69" s="414">
        <f>Aktiv!F69</f>
        <v>980</v>
      </c>
      <c r="G69" s="423">
        <f>Aktiv!G69</f>
        <v>248</v>
      </c>
      <c r="H69" s="423">
        <f>Aktiv!H69</f>
        <v>852</v>
      </c>
      <c r="I69" s="423">
        <f>Aktiv!I69</f>
        <v>887</v>
      </c>
      <c r="J69" s="423">
        <f>Aktiv!J69</f>
        <v>987</v>
      </c>
      <c r="K69" s="423">
        <f>Aktiv!K69</f>
        <v>285</v>
      </c>
      <c r="L69" s="423">
        <f>Aktiv!L69</f>
        <v>980</v>
      </c>
      <c r="M69" s="423">
        <f>Aktiv!M69</f>
        <v>1020</v>
      </c>
      <c r="N69" s="423" t="str">
        <f>Aktiv!N69</f>
        <v>-</v>
      </c>
    </row>
    <row r="70" spans="2:14" ht="18" customHeight="1" x14ac:dyDescent="0.3">
      <c r="B70" s="413" t="str">
        <f>Aktiv!C70</f>
        <v>Seite außen SY32</v>
      </c>
      <c r="C70" s="413">
        <f>Aktiv!A70</f>
        <v>3220</v>
      </c>
      <c r="D70" s="413" t="str">
        <f>Aktiv!D70</f>
        <v>Seite außen SY32 (1800x780)</v>
      </c>
      <c r="E70" s="413">
        <f>Aktiv!E70</f>
        <v>1800</v>
      </c>
      <c r="F70" s="413">
        <f>Aktiv!F70</f>
        <v>780</v>
      </c>
      <c r="G70" s="424">
        <f>Aktiv!G70</f>
        <v>247</v>
      </c>
      <c r="H70" s="424">
        <f>Aktiv!H70</f>
        <v>847</v>
      </c>
      <c r="I70" s="424">
        <f>Aktiv!I70</f>
        <v>883</v>
      </c>
      <c r="J70" s="424">
        <f>Aktiv!J70</f>
        <v>982</v>
      </c>
      <c r="K70" s="424">
        <f>Aktiv!K70</f>
        <v>284</v>
      </c>
      <c r="L70" s="424">
        <f>Aktiv!L70</f>
        <v>974</v>
      </c>
      <c r="M70" s="424">
        <f>Aktiv!M70</f>
        <v>1015</v>
      </c>
      <c r="N70" s="424" t="str">
        <f>Aktiv!N70</f>
        <v>-</v>
      </c>
    </row>
    <row r="71" spans="2:14" ht="18" customHeight="1" x14ac:dyDescent="0.3">
      <c r="B71" s="414" t="str">
        <f>Aktiv!C71</f>
        <v>Seite außen SY32</v>
      </c>
      <c r="C71" s="414">
        <f>Aktiv!A71</f>
        <v>3221</v>
      </c>
      <c r="D71" s="414" t="str">
        <f>Aktiv!D71</f>
        <v>Seite außen SY32 (1800x980)</v>
      </c>
      <c r="E71" s="414">
        <f>Aktiv!E71</f>
        <v>1800</v>
      </c>
      <c r="F71" s="414">
        <f>Aktiv!F71</f>
        <v>980</v>
      </c>
      <c r="G71" s="423">
        <f>Aktiv!G71</f>
        <v>310</v>
      </c>
      <c r="H71" s="423">
        <f>Aktiv!H71</f>
        <v>1064</v>
      </c>
      <c r="I71" s="423">
        <f>Aktiv!I71</f>
        <v>1109</v>
      </c>
      <c r="J71" s="423">
        <f>Aktiv!J71</f>
        <v>1234</v>
      </c>
      <c r="K71" s="423">
        <f>Aktiv!K71</f>
        <v>357</v>
      </c>
      <c r="L71" s="423">
        <f>Aktiv!L71</f>
        <v>1224</v>
      </c>
      <c r="M71" s="423">
        <f>Aktiv!M71</f>
        <v>1275</v>
      </c>
      <c r="N71" s="423" t="str">
        <f>Aktiv!N71</f>
        <v>-</v>
      </c>
    </row>
    <row r="72" spans="2:14" ht="18" customHeight="1" x14ac:dyDescent="0.25">
      <c r="B72" s="420"/>
      <c r="C72" s="420"/>
      <c r="D72" s="420"/>
      <c r="E72" s="420"/>
      <c r="F72" s="420"/>
      <c r="G72" s="421"/>
      <c r="H72" s="421"/>
      <c r="I72" s="421"/>
      <c r="J72" s="421"/>
      <c r="K72" s="421"/>
      <c r="L72" s="421"/>
      <c r="M72" s="421"/>
      <c r="N72" s="421"/>
    </row>
    <row r="73" spans="2:14" ht="18" customHeight="1" x14ac:dyDescent="0.3">
      <c r="B73" s="418" t="s">
        <v>78</v>
      </c>
      <c r="C73" s="418"/>
      <c r="D73" s="418"/>
      <c r="E73" s="418"/>
      <c r="F73" s="418"/>
      <c r="G73" s="419"/>
      <c r="H73" s="419"/>
      <c r="I73" s="419"/>
      <c r="J73" s="419"/>
      <c r="K73" s="419"/>
      <c r="L73" s="419"/>
      <c r="M73" s="419"/>
      <c r="N73" s="419"/>
    </row>
    <row r="74" spans="2:14" ht="18" customHeight="1" x14ac:dyDescent="0.3">
      <c r="B74" s="415" t="str">
        <f>Aktiv!C73</f>
        <v>Rücken</v>
      </c>
      <c r="C74" s="415">
        <f>Aktiv!A73</f>
        <v>3300</v>
      </c>
      <c r="D74" s="415" t="str">
        <f>Aktiv!D73</f>
        <v>Rücken (360x180)</v>
      </c>
      <c r="E74" s="415">
        <f>Aktiv!E73</f>
        <v>360</v>
      </c>
      <c r="F74" s="415">
        <f>Aktiv!F73</f>
        <v>180</v>
      </c>
      <c r="G74" s="422">
        <f>Aktiv!G73</f>
        <v>25</v>
      </c>
      <c r="H74" s="422">
        <f>Aktiv!H73</f>
        <v>103</v>
      </c>
      <c r="I74" s="422">
        <f>Aktiv!I73</f>
        <v>120</v>
      </c>
      <c r="J74" s="422">
        <f>Aktiv!J73</f>
        <v>145</v>
      </c>
      <c r="K74" s="422">
        <f>Aktiv!K73</f>
        <v>29</v>
      </c>
      <c r="L74" s="422">
        <f>Aktiv!L73</f>
        <v>118</v>
      </c>
      <c r="M74" s="422">
        <f>Aktiv!M73</f>
        <v>138</v>
      </c>
      <c r="N74" s="422">
        <f>Aktiv!N73</f>
        <v>167</v>
      </c>
    </row>
    <row r="75" spans="2:14" ht="18" customHeight="1" x14ac:dyDescent="0.3">
      <c r="B75" s="414" t="str">
        <f>Aktiv!C74</f>
        <v>Rücken</v>
      </c>
      <c r="C75" s="414">
        <f>Aktiv!A74</f>
        <v>3301</v>
      </c>
      <c r="D75" s="414" t="str">
        <f>Aktiv!D74</f>
        <v>Rücken (420x180)</v>
      </c>
      <c r="E75" s="414">
        <f>Aktiv!E74</f>
        <v>420</v>
      </c>
      <c r="F75" s="414">
        <f>Aktiv!F74</f>
        <v>180</v>
      </c>
      <c r="G75" s="423">
        <f>Aktiv!G74</f>
        <v>25</v>
      </c>
      <c r="H75" s="423">
        <f>Aktiv!H74</f>
        <v>103</v>
      </c>
      <c r="I75" s="423">
        <f>Aktiv!I74</f>
        <v>120</v>
      </c>
      <c r="J75" s="423">
        <f>Aktiv!J74</f>
        <v>145</v>
      </c>
      <c r="K75" s="423">
        <f>Aktiv!K74</f>
        <v>29</v>
      </c>
      <c r="L75" s="423">
        <f>Aktiv!L74</f>
        <v>118</v>
      </c>
      <c r="M75" s="423">
        <f>Aktiv!M74</f>
        <v>138</v>
      </c>
      <c r="N75" s="423">
        <f>Aktiv!N74</f>
        <v>167</v>
      </c>
    </row>
    <row r="76" spans="2:14" ht="18" customHeight="1" x14ac:dyDescent="0.3">
      <c r="B76" s="413" t="str">
        <f>Aktiv!C75</f>
        <v>Rücken</v>
      </c>
      <c r="C76" s="413">
        <f>Aktiv!A75</f>
        <v>3302</v>
      </c>
      <c r="D76" s="413" t="str">
        <f>Aktiv!D75</f>
        <v>Rücken (580x180)</v>
      </c>
      <c r="E76" s="413">
        <f>Aktiv!E75</f>
        <v>580</v>
      </c>
      <c r="F76" s="413">
        <f>Aktiv!F75</f>
        <v>180</v>
      </c>
      <c r="G76" s="424">
        <f>Aktiv!G75</f>
        <v>25</v>
      </c>
      <c r="H76" s="424">
        <f>Aktiv!H75</f>
        <v>103</v>
      </c>
      <c r="I76" s="424">
        <f>Aktiv!I75</f>
        <v>120</v>
      </c>
      <c r="J76" s="424">
        <f>Aktiv!J75</f>
        <v>145</v>
      </c>
      <c r="K76" s="424">
        <f>Aktiv!K75</f>
        <v>29</v>
      </c>
      <c r="L76" s="424">
        <f>Aktiv!L75</f>
        <v>118</v>
      </c>
      <c r="M76" s="424">
        <f>Aktiv!M75</f>
        <v>138</v>
      </c>
      <c r="N76" s="424">
        <f>Aktiv!N75</f>
        <v>167</v>
      </c>
    </row>
    <row r="77" spans="2:14" ht="18" customHeight="1" x14ac:dyDescent="0.3">
      <c r="B77" s="414" t="str">
        <f>Aktiv!C76</f>
        <v>Rücken</v>
      </c>
      <c r="C77" s="414">
        <f>Aktiv!A76</f>
        <v>3303</v>
      </c>
      <c r="D77" s="414" t="str">
        <f>Aktiv!D76</f>
        <v>Rücken (780x180)</v>
      </c>
      <c r="E77" s="414">
        <f>Aktiv!E76</f>
        <v>780</v>
      </c>
      <c r="F77" s="414">
        <f>Aktiv!F76</f>
        <v>180</v>
      </c>
      <c r="G77" s="423">
        <f>Aktiv!G76</f>
        <v>25</v>
      </c>
      <c r="H77" s="423">
        <f>Aktiv!H76</f>
        <v>103</v>
      </c>
      <c r="I77" s="423">
        <f>Aktiv!I76</f>
        <v>120</v>
      </c>
      <c r="J77" s="423">
        <f>Aktiv!J76</f>
        <v>145</v>
      </c>
      <c r="K77" s="423">
        <f>Aktiv!K76</f>
        <v>29</v>
      </c>
      <c r="L77" s="423">
        <f>Aktiv!L76</f>
        <v>118</v>
      </c>
      <c r="M77" s="423">
        <f>Aktiv!M76</f>
        <v>138</v>
      </c>
      <c r="N77" s="423">
        <f>Aktiv!N76</f>
        <v>167</v>
      </c>
    </row>
    <row r="78" spans="2:14" ht="18" customHeight="1" x14ac:dyDescent="0.3">
      <c r="B78" s="413" t="str">
        <f>Aktiv!C77</f>
        <v>Rücken</v>
      </c>
      <c r="C78" s="413">
        <f>Aktiv!A77</f>
        <v>3304</v>
      </c>
      <c r="D78" s="413" t="str">
        <f>Aktiv!D77</f>
        <v>Rücken (980x180)</v>
      </c>
      <c r="E78" s="413">
        <f>Aktiv!E77</f>
        <v>980</v>
      </c>
      <c r="F78" s="413">
        <f>Aktiv!F77</f>
        <v>180</v>
      </c>
      <c r="G78" s="424">
        <f>Aktiv!G77</f>
        <v>31</v>
      </c>
      <c r="H78" s="424">
        <f>Aktiv!H77</f>
        <v>106</v>
      </c>
      <c r="I78" s="424">
        <f>Aktiv!I77</f>
        <v>120</v>
      </c>
      <c r="J78" s="424">
        <f>Aktiv!J77</f>
        <v>145</v>
      </c>
      <c r="K78" s="424">
        <f>Aktiv!K77</f>
        <v>36</v>
      </c>
      <c r="L78" s="424">
        <f>Aktiv!L77</f>
        <v>122</v>
      </c>
      <c r="M78" s="424">
        <f>Aktiv!M77</f>
        <v>138</v>
      </c>
      <c r="N78" s="424">
        <f>Aktiv!N77</f>
        <v>167</v>
      </c>
    </row>
    <row r="79" spans="2:14" ht="18" customHeight="1" x14ac:dyDescent="0.3">
      <c r="B79" s="414" t="str">
        <f>Aktiv!C78</f>
        <v>Rücken</v>
      </c>
      <c r="C79" s="414">
        <f>Aktiv!A78</f>
        <v>3305</v>
      </c>
      <c r="D79" s="414" t="str">
        <f>Aktiv!D78</f>
        <v>Rücken (360x360)</v>
      </c>
      <c r="E79" s="414">
        <f>Aktiv!E78</f>
        <v>360</v>
      </c>
      <c r="F79" s="414">
        <f>Aktiv!F78</f>
        <v>360</v>
      </c>
      <c r="G79" s="423">
        <f>Aktiv!G78</f>
        <v>25</v>
      </c>
      <c r="H79" s="423">
        <f>Aktiv!H78</f>
        <v>103</v>
      </c>
      <c r="I79" s="423">
        <f>Aktiv!I78</f>
        <v>120</v>
      </c>
      <c r="J79" s="423">
        <f>Aktiv!J78</f>
        <v>145</v>
      </c>
      <c r="K79" s="423">
        <f>Aktiv!K78</f>
        <v>29</v>
      </c>
      <c r="L79" s="423">
        <f>Aktiv!L78</f>
        <v>118</v>
      </c>
      <c r="M79" s="423">
        <f>Aktiv!M78</f>
        <v>138</v>
      </c>
      <c r="N79" s="423">
        <f>Aktiv!N78</f>
        <v>167</v>
      </c>
    </row>
    <row r="80" spans="2:14" ht="18" customHeight="1" x14ac:dyDescent="0.3">
      <c r="B80" s="413" t="str">
        <f>Aktiv!C79</f>
        <v>Rücken</v>
      </c>
      <c r="C80" s="413">
        <f>Aktiv!A79</f>
        <v>3306</v>
      </c>
      <c r="D80" s="413" t="str">
        <f>Aktiv!D79</f>
        <v>Rücken (420x360)</v>
      </c>
      <c r="E80" s="413">
        <f>Aktiv!E79</f>
        <v>420</v>
      </c>
      <c r="F80" s="413">
        <f>Aktiv!F79</f>
        <v>360</v>
      </c>
      <c r="G80" s="424">
        <f>Aktiv!G79</f>
        <v>27</v>
      </c>
      <c r="H80" s="424">
        <f>Aktiv!H79</f>
        <v>103</v>
      </c>
      <c r="I80" s="424">
        <f>Aktiv!I79</f>
        <v>120</v>
      </c>
      <c r="J80" s="424">
        <f>Aktiv!J79</f>
        <v>145</v>
      </c>
      <c r="K80" s="424">
        <f>Aktiv!K79</f>
        <v>31</v>
      </c>
      <c r="L80" s="424">
        <f>Aktiv!L79</f>
        <v>118</v>
      </c>
      <c r="M80" s="424">
        <f>Aktiv!M79</f>
        <v>138</v>
      </c>
      <c r="N80" s="424">
        <f>Aktiv!N79</f>
        <v>167</v>
      </c>
    </row>
    <row r="81" spans="2:14" ht="18" customHeight="1" x14ac:dyDescent="0.3">
      <c r="B81" s="414" t="str">
        <f>Aktiv!C80</f>
        <v>Rücken</v>
      </c>
      <c r="C81" s="414">
        <f>Aktiv!A80</f>
        <v>3307</v>
      </c>
      <c r="D81" s="414" t="str">
        <f>Aktiv!D80</f>
        <v>Rücken (580x360)</v>
      </c>
      <c r="E81" s="414">
        <f>Aktiv!E80</f>
        <v>580</v>
      </c>
      <c r="F81" s="414">
        <f>Aktiv!F80</f>
        <v>360</v>
      </c>
      <c r="G81" s="423">
        <f>Aktiv!G80</f>
        <v>37</v>
      </c>
      <c r="H81" s="423">
        <f>Aktiv!H80</f>
        <v>126</v>
      </c>
      <c r="I81" s="423">
        <f>Aktiv!I80</f>
        <v>131</v>
      </c>
      <c r="J81" s="423">
        <f>Aktiv!J80</f>
        <v>146</v>
      </c>
      <c r="K81" s="423">
        <f>Aktiv!K80</f>
        <v>43</v>
      </c>
      <c r="L81" s="423">
        <f>Aktiv!L80</f>
        <v>145</v>
      </c>
      <c r="M81" s="423">
        <f>Aktiv!M80</f>
        <v>151</v>
      </c>
      <c r="N81" s="423">
        <f>Aktiv!N80</f>
        <v>168</v>
      </c>
    </row>
    <row r="82" spans="2:14" ht="18" customHeight="1" x14ac:dyDescent="0.3">
      <c r="B82" s="413" t="str">
        <f>Aktiv!C81</f>
        <v>Rücken</v>
      </c>
      <c r="C82" s="413">
        <f>Aktiv!A81</f>
        <v>3308</v>
      </c>
      <c r="D82" s="413" t="str">
        <f>Aktiv!D81</f>
        <v>Rücken (780x360)</v>
      </c>
      <c r="E82" s="413">
        <f>Aktiv!E81</f>
        <v>780</v>
      </c>
      <c r="F82" s="413">
        <f>Aktiv!F81</f>
        <v>360</v>
      </c>
      <c r="G82" s="424">
        <f>Aktiv!G81</f>
        <v>49</v>
      </c>
      <c r="H82" s="424">
        <f>Aktiv!H81</f>
        <v>169</v>
      </c>
      <c r="I82" s="424">
        <f>Aktiv!I81</f>
        <v>177</v>
      </c>
      <c r="J82" s="424">
        <f>Aktiv!J81</f>
        <v>196</v>
      </c>
      <c r="K82" s="424">
        <f>Aktiv!K81</f>
        <v>56</v>
      </c>
      <c r="L82" s="424">
        <f>Aktiv!L81</f>
        <v>194</v>
      </c>
      <c r="M82" s="424">
        <f>Aktiv!M81</f>
        <v>204</v>
      </c>
      <c r="N82" s="424">
        <f>Aktiv!N81</f>
        <v>225</v>
      </c>
    </row>
    <row r="83" spans="2:14" ht="18" customHeight="1" x14ac:dyDescent="0.3">
      <c r="B83" s="414" t="str">
        <f>Aktiv!C82</f>
        <v>Rücken</v>
      </c>
      <c r="C83" s="414">
        <f>Aktiv!A82</f>
        <v>3309</v>
      </c>
      <c r="D83" s="414" t="str">
        <f>Aktiv!D82</f>
        <v>Rücken (980x360)</v>
      </c>
      <c r="E83" s="414">
        <f>Aktiv!E82</f>
        <v>980</v>
      </c>
      <c r="F83" s="414">
        <f>Aktiv!F82</f>
        <v>360</v>
      </c>
      <c r="G83" s="423">
        <f>Aktiv!G82</f>
        <v>62</v>
      </c>
      <c r="H83" s="423">
        <f>Aktiv!H82</f>
        <v>213</v>
      </c>
      <c r="I83" s="423">
        <f>Aktiv!I82</f>
        <v>222</v>
      </c>
      <c r="J83" s="423">
        <f>Aktiv!J82</f>
        <v>247</v>
      </c>
      <c r="K83" s="423">
        <f>Aktiv!K82</f>
        <v>71</v>
      </c>
      <c r="L83" s="423">
        <f>Aktiv!L82</f>
        <v>245</v>
      </c>
      <c r="M83" s="423">
        <f>Aktiv!M82</f>
        <v>255</v>
      </c>
      <c r="N83" s="423">
        <f>Aktiv!N82</f>
        <v>284</v>
      </c>
    </row>
    <row r="84" spans="2:14" ht="18" customHeight="1" x14ac:dyDescent="0.3">
      <c r="B84" s="413" t="str">
        <f>Aktiv!C83</f>
        <v>Rücken</v>
      </c>
      <c r="C84" s="413">
        <f>Aktiv!A83</f>
        <v>3310</v>
      </c>
      <c r="D84" s="413" t="str">
        <f>Aktiv!D83</f>
        <v>Rücken (360x720)</v>
      </c>
      <c r="E84" s="413">
        <f>Aktiv!E83</f>
        <v>360</v>
      </c>
      <c r="F84" s="413">
        <f>Aktiv!F83</f>
        <v>720</v>
      </c>
      <c r="G84" s="424">
        <f>Aktiv!G83</f>
        <v>46</v>
      </c>
      <c r="H84" s="424">
        <f>Aktiv!H83</f>
        <v>156</v>
      </c>
      <c r="I84" s="424">
        <f>Aktiv!I83</f>
        <v>163</v>
      </c>
      <c r="J84" s="424">
        <f>Aktiv!J83</f>
        <v>181</v>
      </c>
      <c r="K84" s="424">
        <f>Aktiv!K83</f>
        <v>53</v>
      </c>
      <c r="L84" s="424">
        <f>Aktiv!L83</f>
        <v>179</v>
      </c>
      <c r="M84" s="424">
        <f>Aktiv!M83</f>
        <v>187</v>
      </c>
      <c r="N84" s="424">
        <f>Aktiv!N83</f>
        <v>208</v>
      </c>
    </row>
    <row r="85" spans="2:14" ht="18" customHeight="1" x14ac:dyDescent="0.3">
      <c r="B85" s="414" t="str">
        <f>Aktiv!C84</f>
        <v>Rücken</v>
      </c>
      <c r="C85" s="414">
        <f>Aktiv!A84</f>
        <v>3311</v>
      </c>
      <c r="D85" s="414" t="str">
        <f>Aktiv!D84</f>
        <v>Rücken (420x720)</v>
      </c>
      <c r="E85" s="414">
        <f>Aktiv!E84</f>
        <v>420</v>
      </c>
      <c r="F85" s="414">
        <f>Aktiv!F84</f>
        <v>720</v>
      </c>
      <c r="G85" s="423">
        <f>Aktiv!G84</f>
        <v>53</v>
      </c>
      <c r="H85" s="423">
        <f>Aktiv!H84</f>
        <v>182</v>
      </c>
      <c r="I85" s="423">
        <f>Aktiv!I84</f>
        <v>190</v>
      </c>
      <c r="J85" s="423">
        <f>Aktiv!J84</f>
        <v>212</v>
      </c>
      <c r="K85" s="423">
        <f>Aktiv!K84</f>
        <v>61</v>
      </c>
      <c r="L85" s="423">
        <f>Aktiv!L84</f>
        <v>209</v>
      </c>
      <c r="M85" s="423">
        <f>Aktiv!M84</f>
        <v>219</v>
      </c>
      <c r="N85" s="423">
        <f>Aktiv!N84</f>
        <v>244</v>
      </c>
    </row>
    <row r="86" spans="2:14" ht="18" customHeight="1" x14ac:dyDescent="0.3">
      <c r="B86" s="413" t="str">
        <f>Aktiv!C85</f>
        <v>Rücken</v>
      </c>
      <c r="C86" s="413">
        <f>Aktiv!A85</f>
        <v>3312</v>
      </c>
      <c r="D86" s="413" t="str">
        <f>Aktiv!D85</f>
        <v>Rücken (580x720)</v>
      </c>
      <c r="E86" s="413">
        <f>Aktiv!E85</f>
        <v>580</v>
      </c>
      <c r="F86" s="413">
        <f>Aktiv!F85</f>
        <v>720</v>
      </c>
      <c r="G86" s="424">
        <f>Aktiv!G85</f>
        <v>73</v>
      </c>
      <c r="H86" s="424">
        <f>Aktiv!H85</f>
        <v>252</v>
      </c>
      <c r="I86" s="424">
        <f>Aktiv!I85</f>
        <v>262</v>
      </c>
      <c r="J86" s="424">
        <f>Aktiv!J85</f>
        <v>292</v>
      </c>
      <c r="K86" s="424">
        <f>Aktiv!K85</f>
        <v>84</v>
      </c>
      <c r="L86" s="424">
        <f>Aktiv!L85</f>
        <v>290</v>
      </c>
      <c r="M86" s="424">
        <f>Aktiv!M85</f>
        <v>301</v>
      </c>
      <c r="N86" s="424">
        <f>Aktiv!N85</f>
        <v>336</v>
      </c>
    </row>
    <row r="87" spans="2:14" ht="18" customHeight="1" x14ac:dyDescent="0.3">
      <c r="B87" s="414" t="str">
        <f>Aktiv!C86</f>
        <v>Rücken</v>
      </c>
      <c r="C87" s="414">
        <f>Aktiv!A86</f>
        <v>3313</v>
      </c>
      <c r="D87" s="414" t="str">
        <f>Aktiv!D86</f>
        <v>Rücken (780x720)</v>
      </c>
      <c r="E87" s="414">
        <f>Aktiv!E86</f>
        <v>780</v>
      </c>
      <c r="F87" s="414">
        <f>Aktiv!F86</f>
        <v>720</v>
      </c>
      <c r="G87" s="423">
        <f>Aktiv!G86</f>
        <v>99</v>
      </c>
      <c r="H87" s="423">
        <f>Aktiv!H86</f>
        <v>339</v>
      </c>
      <c r="I87" s="423">
        <f>Aktiv!I86</f>
        <v>353</v>
      </c>
      <c r="J87" s="423">
        <f>Aktiv!J86</f>
        <v>393</v>
      </c>
      <c r="K87" s="423">
        <f>Aktiv!K86</f>
        <v>114</v>
      </c>
      <c r="L87" s="423">
        <f>Aktiv!L86</f>
        <v>390</v>
      </c>
      <c r="M87" s="423">
        <f>Aktiv!M86</f>
        <v>406</v>
      </c>
      <c r="N87" s="423">
        <f>Aktiv!N86</f>
        <v>452</v>
      </c>
    </row>
    <row r="88" spans="2:14" ht="18" customHeight="1" x14ac:dyDescent="0.3">
      <c r="B88" s="413" t="str">
        <f>Aktiv!C87</f>
        <v>Rücken</v>
      </c>
      <c r="C88" s="413">
        <f>Aktiv!A87</f>
        <v>3314</v>
      </c>
      <c r="D88" s="413" t="str">
        <f>Aktiv!D87</f>
        <v>Rücken (980x720)</v>
      </c>
      <c r="E88" s="413">
        <f>Aktiv!E87</f>
        <v>980</v>
      </c>
      <c r="F88" s="413">
        <f>Aktiv!F87</f>
        <v>720</v>
      </c>
      <c r="G88" s="424">
        <f>Aktiv!G87</f>
        <v>124</v>
      </c>
      <c r="H88" s="424">
        <f>Aktiv!H87</f>
        <v>426</v>
      </c>
      <c r="I88" s="424">
        <f>Aktiv!I87</f>
        <v>444</v>
      </c>
      <c r="J88" s="424">
        <f>Aktiv!J87</f>
        <v>494</v>
      </c>
      <c r="K88" s="424">
        <f>Aktiv!K87</f>
        <v>143</v>
      </c>
      <c r="L88" s="424">
        <f>Aktiv!L87</f>
        <v>490</v>
      </c>
      <c r="M88" s="424">
        <f>Aktiv!M87</f>
        <v>511</v>
      </c>
      <c r="N88" s="424">
        <f>Aktiv!N87</f>
        <v>568</v>
      </c>
    </row>
    <row r="89" spans="2:14" ht="18" customHeight="1" x14ac:dyDescent="0.3">
      <c r="B89" s="414" t="str">
        <f>Aktiv!C88</f>
        <v>Rücken</v>
      </c>
      <c r="C89" s="414">
        <f>Aktiv!A88</f>
        <v>3315</v>
      </c>
      <c r="D89" s="414" t="str">
        <f>Aktiv!D88</f>
        <v>Rücken (360x1080)</v>
      </c>
      <c r="E89" s="414">
        <f>Aktiv!E88</f>
        <v>360</v>
      </c>
      <c r="F89" s="414">
        <f>Aktiv!F88</f>
        <v>1080</v>
      </c>
      <c r="G89" s="423">
        <f>Aktiv!G88</f>
        <v>68</v>
      </c>
      <c r="H89" s="423">
        <f>Aktiv!H88</f>
        <v>235</v>
      </c>
      <c r="I89" s="423">
        <f>Aktiv!I88</f>
        <v>244</v>
      </c>
      <c r="J89" s="423">
        <f>Aktiv!J88</f>
        <v>272</v>
      </c>
      <c r="K89" s="423">
        <f>Aktiv!K88</f>
        <v>78</v>
      </c>
      <c r="L89" s="423">
        <f>Aktiv!L88</f>
        <v>270</v>
      </c>
      <c r="M89" s="423">
        <f>Aktiv!M88</f>
        <v>281</v>
      </c>
      <c r="N89" s="423" t="str">
        <f>Aktiv!N88</f>
        <v>-</v>
      </c>
    </row>
    <row r="90" spans="2:14" ht="18" customHeight="1" x14ac:dyDescent="0.3">
      <c r="B90" s="413" t="str">
        <f>Aktiv!C89</f>
        <v>Rücken</v>
      </c>
      <c r="C90" s="413">
        <f>Aktiv!A89</f>
        <v>3316</v>
      </c>
      <c r="D90" s="413" t="str">
        <f>Aktiv!D89</f>
        <v>Rücken (420x1080)</v>
      </c>
      <c r="E90" s="413">
        <f>Aktiv!E89</f>
        <v>420</v>
      </c>
      <c r="F90" s="413">
        <f>Aktiv!F89</f>
        <v>1080</v>
      </c>
      <c r="G90" s="424">
        <f>Aktiv!G89</f>
        <v>80</v>
      </c>
      <c r="H90" s="424">
        <f>Aktiv!H89</f>
        <v>274</v>
      </c>
      <c r="I90" s="424">
        <f>Aktiv!I89</f>
        <v>285</v>
      </c>
      <c r="J90" s="424">
        <f>Aktiv!J89</f>
        <v>317</v>
      </c>
      <c r="K90" s="424">
        <f>Aktiv!K89</f>
        <v>92</v>
      </c>
      <c r="L90" s="424">
        <f>Aktiv!L89</f>
        <v>315</v>
      </c>
      <c r="M90" s="424">
        <f>Aktiv!M89</f>
        <v>328</v>
      </c>
      <c r="N90" s="424" t="str">
        <f>Aktiv!N89</f>
        <v>-</v>
      </c>
    </row>
    <row r="91" spans="2:14" ht="18" customHeight="1" x14ac:dyDescent="0.3">
      <c r="B91" s="414" t="str">
        <f>Aktiv!C90</f>
        <v>Rücken</v>
      </c>
      <c r="C91" s="414">
        <f>Aktiv!A90</f>
        <v>3317</v>
      </c>
      <c r="D91" s="414" t="str">
        <f>Aktiv!D90</f>
        <v>Rücken (580x1080)</v>
      </c>
      <c r="E91" s="414">
        <f>Aktiv!E90</f>
        <v>580</v>
      </c>
      <c r="F91" s="414">
        <f>Aktiv!F90</f>
        <v>1080</v>
      </c>
      <c r="G91" s="423">
        <f>Aktiv!G90</f>
        <v>110</v>
      </c>
      <c r="H91" s="423">
        <f>Aktiv!H90</f>
        <v>378</v>
      </c>
      <c r="I91" s="423">
        <f>Aktiv!I90</f>
        <v>394</v>
      </c>
      <c r="J91" s="423">
        <f>Aktiv!J90</f>
        <v>438</v>
      </c>
      <c r="K91" s="423">
        <f>Aktiv!K90</f>
        <v>127</v>
      </c>
      <c r="L91" s="423">
        <f>Aktiv!L90</f>
        <v>435</v>
      </c>
      <c r="M91" s="423">
        <f>Aktiv!M90</f>
        <v>453</v>
      </c>
      <c r="N91" s="423" t="str">
        <f>Aktiv!N90</f>
        <v>-</v>
      </c>
    </row>
    <row r="92" spans="2:14" ht="18" customHeight="1" x14ac:dyDescent="0.3">
      <c r="B92" s="413" t="str">
        <f>Aktiv!C91</f>
        <v>Rücken</v>
      </c>
      <c r="C92" s="413">
        <f>Aktiv!A91</f>
        <v>3318</v>
      </c>
      <c r="D92" s="413" t="str">
        <f>Aktiv!D91</f>
        <v>Rücken (780x1080)</v>
      </c>
      <c r="E92" s="413">
        <f>Aktiv!E91</f>
        <v>780</v>
      </c>
      <c r="F92" s="413">
        <f>Aktiv!F91</f>
        <v>1080</v>
      </c>
      <c r="G92" s="424">
        <f>Aktiv!G91</f>
        <v>148</v>
      </c>
      <c r="H92" s="424">
        <f>Aktiv!H91</f>
        <v>508</v>
      </c>
      <c r="I92" s="424">
        <f>Aktiv!I91</f>
        <v>530</v>
      </c>
      <c r="J92" s="424">
        <f>Aktiv!J91</f>
        <v>589</v>
      </c>
      <c r="K92" s="424">
        <f>Aktiv!K91</f>
        <v>170</v>
      </c>
      <c r="L92" s="424">
        <f>Aktiv!L91</f>
        <v>584</v>
      </c>
      <c r="M92" s="424">
        <f>Aktiv!M91</f>
        <v>610</v>
      </c>
      <c r="N92" s="424" t="str">
        <f>Aktiv!N91</f>
        <v>-</v>
      </c>
    </row>
    <row r="93" spans="2:14" ht="18" customHeight="1" x14ac:dyDescent="0.3">
      <c r="B93" s="414" t="str">
        <f>Aktiv!C92</f>
        <v>Rücken</v>
      </c>
      <c r="C93" s="414">
        <f>Aktiv!A92</f>
        <v>3319</v>
      </c>
      <c r="D93" s="414" t="str">
        <f>Aktiv!D92</f>
        <v>Rücken (980x1080)</v>
      </c>
      <c r="E93" s="414">
        <f>Aktiv!E92</f>
        <v>980</v>
      </c>
      <c r="F93" s="414">
        <f>Aktiv!F92</f>
        <v>1080</v>
      </c>
      <c r="G93" s="423">
        <f>Aktiv!G92</f>
        <v>186</v>
      </c>
      <c r="H93" s="423">
        <f>Aktiv!H92</f>
        <v>639</v>
      </c>
      <c r="I93" s="423">
        <f>Aktiv!I92</f>
        <v>665</v>
      </c>
      <c r="J93" s="423">
        <f>Aktiv!J92</f>
        <v>740</v>
      </c>
      <c r="K93" s="423">
        <f>Aktiv!K92</f>
        <v>214</v>
      </c>
      <c r="L93" s="423">
        <f>Aktiv!L92</f>
        <v>735</v>
      </c>
      <c r="M93" s="423">
        <f>Aktiv!M92</f>
        <v>765</v>
      </c>
      <c r="N93" s="423" t="str">
        <f>Aktiv!N92</f>
        <v>-</v>
      </c>
    </row>
    <row r="94" spans="2:14" ht="18" customHeight="1" x14ac:dyDescent="0.3">
      <c r="B94" s="413" t="str">
        <f>Aktiv!C93</f>
        <v>Rücken</v>
      </c>
      <c r="C94" s="413">
        <f>Aktiv!A93</f>
        <v>3320</v>
      </c>
      <c r="D94" s="413" t="str">
        <f>Aktiv!D93</f>
        <v>Rücken (360x1440)</v>
      </c>
      <c r="E94" s="413">
        <f>Aktiv!E93</f>
        <v>360</v>
      </c>
      <c r="F94" s="413">
        <f>Aktiv!F93</f>
        <v>1440</v>
      </c>
      <c r="G94" s="424">
        <f>Aktiv!G93</f>
        <v>91</v>
      </c>
      <c r="H94" s="424">
        <f>Aktiv!H93</f>
        <v>313</v>
      </c>
      <c r="I94" s="424">
        <f>Aktiv!I93</f>
        <v>326</v>
      </c>
      <c r="J94" s="424">
        <f>Aktiv!J93</f>
        <v>363</v>
      </c>
      <c r="K94" s="424">
        <f>Aktiv!K93</f>
        <v>105</v>
      </c>
      <c r="L94" s="424">
        <f>Aktiv!L93</f>
        <v>360</v>
      </c>
      <c r="M94" s="424">
        <f>Aktiv!M93</f>
        <v>375</v>
      </c>
      <c r="N94" s="424" t="str">
        <f>Aktiv!N93</f>
        <v>-</v>
      </c>
    </row>
    <row r="95" spans="2:14" ht="18" customHeight="1" x14ac:dyDescent="0.3">
      <c r="B95" s="414" t="str">
        <f>Aktiv!C94</f>
        <v>Rücken</v>
      </c>
      <c r="C95" s="414">
        <f>Aktiv!A94</f>
        <v>3321</v>
      </c>
      <c r="D95" s="414" t="str">
        <f>Aktiv!D94</f>
        <v>Rücken (420x1440)</v>
      </c>
      <c r="E95" s="414">
        <f>Aktiv!E94</f>
        <v>420</v>
      </c>
      <c r="F95" s="414">
        <f>Aktiv!F94</f>
        <v>1440</v>
      </c>
      <c r="G95" s="423">
        <f>Aktiv!G94</f>
        <v>106</v>
      </c>
      <c r="H95" s="423">
        <f>Aktiv!H94</f>
        <v>365</v>
      </c>
      <c r="I95" s="423">
        <f>Aktiv!I94</f>
        <v>380</v>
      </c>
      <c r="J95" s="423">
        <f>Aktiv!J94</f>
        <v>423</v>
      </c>
      <c r="K95" s="423">
        <f>Aktiv!K94</f>
        <v>122</v>
      </c>
      <c r="L95" s="423">
        <f>Aktiv!L94</f>
        <v>420</v>
      </c>
      <c r="M95" s="423">
        <f>Aktiv!M94</f>
        <v>437</v>
      </c>
      <c r="N95" s="423" t="str">
        <f>Aktiv!N94</f>
        <v>-</v>
      </c>
    </row>
    <row r="96" spans="2:14" ht="18" customHeight="1" x14ac:dyDescent="0.3">
      <c r="B96" s="413" t="str">
        <f>Aktiv!C95</f>
        <v>Rücken</v>
      </c>
      <c r="C96" s="413">
        <f>Aktiv!A95</f>
        <v>3322</v>
      </c>
      <c r="D96" s="413" t="str">
        <f>Aktiv!D95</f>
        <v>Rücken (580x1440)</v>
      </c>
      <c r="E96" s="413">
        <f>Aktiv!E95</f>
        <v>580</v>
      </c>
      <c r="F96" s="413">
        <f>Aktiv!F95</f>
        <v>1440</v>
      </c>
      <c r="G96" s="424">
        <f>Aktiv!G95</f>
        <v>147</v>
      </c>
      <c r="H96" s="424">
        <f>Aktiv!H95</f>
        <v>504</v>
      </c>
      <c r="I96" s="424">
        <f>Aktiv!I95</f>
        <v>525</v>
      </c>
      <c r="J96" s="424">
        <f>Aktiv!J95</f>
        <v>584</v>
      </c>
      <c r="K96" s="424">
        <f>Aktiv!K95</f>
        <v>169</v>
      </c>
      <c r="L96" s="424">
        <f>Aktiv!L95</f>
        <v>580</v>
      </c>
      <c r="M96" s="424">
        <f>Aktiv!M95</f>
        <v>604</v>
      </c>
      <c r="N96" s="424" t="str">
        <f>Aktiv!N95</f>
        <v>-</v>
      </c>
    </row>
    <row r="97" spans="2:14" ht="18" customHeight="1" x14ac:dyDescent="0.3">
      <c r="B97" s="414" t="str">
        <f>Aktiv!C96</f>
        <v>Rücken</v>
      </c>
      <c r="C97" s="414">
        <f>Aktiv!A96</f>
        <v>3323</v>
      </c>
      <c r="D97" s="414" t="str">
        <f>Aktiv!D96</f>
        <v>Rücken (780x1440)</v>
      </c>
      <c r="E97" s="414">
        <f>Aktiv!E96</f>
        <v>780</v>
      </c>
      <c r="F97" s="414">
        <f>Aktiv!F96</f>
        <v>1440</v>
      </c>
      <c r="G97" s="423">
        <f>Aktiv!G96</f>
        <v>198</v>
      </c>
      <c r="H97" s="423">
        <f>Aktiv!H96</f>
        <v>678</v>
      </c>
      <c r="I97" s="423">
        <f>Aktiv!I96</f>
        <v>706</v>
      </c>
      <c r="J97" s="423">
        <f>Aktiv!J96</f>
        <v>786</v>
      </c>
      <c r="K97" s="423">
        <f>Aktiv!K96</f>
        <v>228</v>
      </c>
      <c r="L97" s="423">
        <f>Aktiv!L96</f>
        <v>780</v>
      </c>
      <c r="M97" s="423">
        <f>Aktiv!M96</f>
        <v>812</v>
      </c>
      <c r="N97" s="423" t="str">
        <f>Aktiv!N96</f>
        <v>-</v>
      </c>
    </row>
    <row r="98" spans="2:14" ht="18" customHeight="1" x14ac:dyDescent="0.3">
      <c r="B98" s="413" t="str">
        <f>Aktiv!C97</f>
        <v>Rücken</v>
      </c>
      <c r="C98" s="413">
        <f>Aktiv!A97</f>
        <v>3324</v>
      </c>
      <c r="D98" s="413" t="str">
        <f>Aktiv!D97</f>
        <v>Rücken (980x1440)</v>
      </c>
      <c r="E98" s="413">
        <f>Aktiv!E97</f>
        <v>980</v>
      </c>
      <c r="F98" s="413">
        <f>Aktiv!F97</f>
        <v>1440</v>
      </c>
      <c r="G98" s="424">
        <f>Aktiv!G97</f>
        <v>248</v>
      </c>
      <c r="H98" s="424">
        <f>Aktiv!H97</f>
        <v>852</v>
      </c>
      <c r="I98" s="424">
        <f>Aktiv!I97</f>
        <v>887</v>
      </c>
      <c r="J98" s="424">
        <f>Aktiv!J97</f>
        <v>987</v>
      </c>
      <c r="K98" s="424">
        <f>Aktiv!K97</f>
        <v>285</v>
      </c>
      <c r="L98" s="424">
        <f>Aktiv!L97</f>
        <v>980</v>
      </c>
      <c r="M98" s="424">
        <f>Aktiv!M97</f>
        <v>1020</v>
      </c>
      <c r="N98" s="424" t="str">
        <f>Aktiv!N97</f>
        <v>-</v>
      </c>
    </row>
    <row r="99" spans="2:14" ht="18" customHeight="1" x14ac:dyDescent="0.3">
      <c r="B99" s="414" t="str">
        <f>Aktiv!C98</f>
        <v>Rücken</v>
      </c>
      <c r="C99" s="414">
        <f>Aktiv!A98</f>
        <v>3325</v>
      </c>
      <c r="D99" s="414" t="str">
        <f>Aktiv!D98</f>
        <v>Rücken (360x1800)</v>
      </c>
      <c r="E99" s="414">
        <f>Aktiv!E98</f>
        <v>360</v>
      </c>
      <c r="F99" s="414">
        <f>Aktiv!F98</f>
        <v>1800</v>
      </c>
      <c r="G99" s="423">
        <f>Aktiv!G98</f>
        <v>114</v>
      </c>
      <c r="H99" s="423">
        <f>Aktiv!H98</f>
        <v>391</v>
      </c>
      <c r="I99" s="423">
        <f>Aktiv!I98</f>
        <v>407</v>
      </c>
      <c r="J99" s="423">
        <f>Aktiv!J98</f>
        <v>453</v>
      </c>
      <c r="K99" s="423">
        <f>Aktiv!K98</f>
        <v>131</v>
      </c>
      <c r="L99" s="423">
        <f>Aktiv!L98</f>
        <v>450</v>
      </c>
      <c r="M99" s="423">
        <f>Aktiv!M98</f>
        <v>468</v>
      </c>
      <c r="N99" s="423" t="str">
        <f>Aktiv!N98</f>
        <v>-</v>
      </c>
    </row>
    <row r="100" spans="2:14" ht="18" customHeight="1" x14ac:dyDescent="0.3">
      <c r="B100" s="413" t="str">
        <f>Aktiv!C99</f>
        <v>Rücken</v>
      </c>
      <c r="C100" s="413">
        <f>Aktiv!A99</f>
        <v>3326</v>
      </c>
      <c r="D100" s="413" t="str">
        <f>Aktiv!D99</f>
        <v>Rücken (420x1800)</v>
      </c>
      <c r="E100" s="413">
        <f>Aktiv!E99</f>
        <v>420</v>
      </c>
      <c r="F100" s="413">
        <f>Aktiv!F99</f>
        <v>1800</v>
      </c>
      <c r="G100" s="424">
        <f>Aktiv!G99</f>
        <v>133</v>
      </c>
      <c r="H100" s="424">
        <f>Aktiv!H99</f>
        <v>456</v>
      </c>
      <c r="I100" s="424">
        <f>Aktiv!I99</f>
        <v>475</v>
      </c>
      <c r="J100" s="424">
        <f>Aktiv!J99</f>
        <v>529</v>
      </c>
      <c r="K100" s="424">
        <f>Aktiv!K99</f>
        <v>153</v>
      </c>
      <c r="L100" s="424">
        <f>Aktiv!L99</f>
        <v>524</v>
      </c>
      <c r="M100" s="424">
        <f>Aktiv!M99</f>
        <v>546</v>
      </c>
      <c r="N100" s="424" t="str">
        <f>Aktiv!N99</f>
        <v>-</v>
      </c>
    </row>
    <row r="101" spans="2:14" ht="18" customHeight="1" x14ac:dyDescent="0.3">
      <c r="B101" s="414" t="str">
        <f>Aktiv!C100</f>
        <v>Rücken</v>
      </c>
      <c r="C101" s="414">
        <f>Aktiv!A100</f>
        <v>3327</v>
      </c>
      <c r="D101" s="414" t="str">
        <f>Aktiv!D100</f>
        <v>Rücken (580x1800)</v>
      </c>
      <c r="E101" s="414">
        <f>Aktiv!E100</f>
        <v>580</v>
      </c>
      <c r="F101" s="414">
        <f>Aktiv!F100</f>
        <v>1800</v>
      </c>
      <c r="G101" s="423">
        <f>Aktiv!G100</f>
        <v>184</v>
      </c>
      <c r="H101" s="423">
        <f>Aktiv!H100</f>
        <v>630</v>
      </c>
      <c r="I101" s="423">
        <f>Aktiv!I100</f>
        <v>656</v>
      </c>
      <c r="J101" s="423">
        <f>Aktiv!J100</f>
        <v>730</v>
      </c>
      <c r="K101" s="423">
        <f>Aktiv!K100</f>
        <v>212</v>
      </c>
      <c r="L101" s="423">
        <f>Aktiv!L100</f>
        <v>725</v>
      </c>
      <c r="M101" s="423">
        <f>Aktiv!M100</f>
        <v>754</v>
      </c>
      <c r="N101" s="423" t="str">
        <f>Aktiv!N100</f>
        <v>-</v>
      </c>
    </row>
    <row r="102" spans="2:14" ht="18" customHeight="1" x14ac:dyDescent="0.3">
      <c r="B102" s="413" t="str">
        <f>Aktiv!C101</f>
        <v>Rücken</v>
      </c>
      <c r="C102" s="413">
        <f>Aktiv!A101</f>
        <v>3328</v>
      </c>
      <c r="D102" s="413" t="str">
        <f>Aktiv!D101</f>
        <v>Rücken (780x1800)</v>
      </c>
      <c r="E102" s="413">
        <f>Aktiv!E101</f>
        <v>780</v>
      </c>
      <c r="F102" s="413">
        <f>Aktiv!F101</f>
        <v>1800</v>
      </c>
      <c r="G102" s="424" t="str">
        <f>Aktiv!G101</f>
        <v>-</v>
      </c>
      <c r="H102" s="424" t="str">
        <f>Aktiv!H101</f>
        <v>-</v>
      </c>
      <c r="I102" s="424" t="str">
        <f>Aktiv!I101</f>
        <v>-</v>
      </c>
      <c r="J102" s="424" t="str">
        <f>Aktiv!J101</f>
        <v>-</v>
      </c>
      <c r="K102" s="424" t="str">
        <f>Aktiv!K101</f>
        <v>-</v>
      </c>
      <c r="L102" s="424" t="str">
        <f>Aktiv!L101</f>
        <v>-</v>
      </c>
      <c r="M102" s="424" t="str">
        <f>Aktiv!M101</f>
        <v>-</v>
      </c>
      <c r="N102" s="424" t="str">
        <f>Aktiv!N101</f>
        <v>-</v>
      </c>
    </row>
    <row r="103" spans="2:14" ht="18" customHeight="1" x14ac:dyDescent="0.3">
      <c r="B103" s="414" t="str">
        <f>Aktiv!C102</f>
        <v>Rücken</v>
      </c>
      <c r="C103" s="414">
        <f>Aktiv!A102</f>
        <v>3329</v>
      </c>
      <c r="D103" s="414" t="str">
        <f>Aktiv!D102</f>
        <v>Rücken (980x1800)</v>
      </c>
      <c r="E103" s="414">
        <f>Aktiv!E102</f>
        <v>980</v>
      </c>
      <c r="F103" s="414">
        <f>Aktiv!F102</f>
        <v>1800</v>
      </c>
      <c r="G103" s="423" t="str">
        <f>Aktiv!G102</f>
        <v>-</v>
      </c>
      <c r="H103" s="423" t="str">
        <f>Aktiv!H102</f>
        <v>-</v>
      </c>
      <c r="I103" s="423" t="str">
        <f>Aktiv!I102</f>
        <v>-</v>
      </c>
      <c r="J103" s="423" t="str">
        <f>Aktiv!J102</f>
        <v>-</v>
      </c>
      <c r="K103" s="423" t="str">
        <f>Aktiv!K102</f>
        <v>-</v>
      </c>
      <c r="L103" s="423" t="str">
        <f>Aktiv!L102</f>
        <v>-</v>
      </c>
      <c r="M103" s="423" t="str">
        <f>Aktiv!M102</f>
        <v>-</v>
      </c>
      <c r="N103" s="423" t="str">
        <f>Aktiv!N102</f>
        <v>-</v>
      </c>
    </row>
    <row r="104" spans="2:14" ht="18" customHeight="1" x14ac:dyDescent="0.25">
      <c r="B104" s="420"/>
      <c r="C104" s="420"/>
      <c r="D104" s="420"/>
      <c r="E104" s="420"/>
      <c r="F104" s="420"/>
      <c r="G104" s="421"/>
      <c r="H104" s="421"/>
      <c r="I104" s="421"/>
      <c r="J104" s="421"/>
      <c r="K104" s="421"/>
      <c r="L104" s="421"/>
      <c r="M104" s="421"/>
      <c r="N104" s="421"/>
    </row>
    <row r="105" spans="2:14" ht="18" customHeight="1" x14ac:dyDescent="0.3">
      <c r="B105" s="418" t="s">
        <v>109</v>
      </c>
      <c r="C105" s="418"/>
      <c r="D105" s="418"/>
      <c r="E105" s="418"/>
      <c r="F105" s="418"/>
      <c r="G105" s="419"/>
      <c r="H105" s="419"/>
      <c r="I105" s="419"/>
      <c r="J105" s="419"/>
      <c r="K105" s="419"/>
      <c r="L105" s="419"/>
      <c r="M105" s="419"/>
      <c r="N105" s="419"/>
    </row>
    <row r="106" spans="2:14" ht="18" customHeight="1" x14ac:dyDescent="0.3">
      <c r="B106" s="415" t="str">
        <f>Aktiv!C104</f>
        <v>Seite innen</v>
      </c>
      <c r="C106" s="415">
        <f>Aktiv!A104</f>
        <v>3500</v>
      </c>
      <c r="D106" s="415" t="str">
        <f>Aktiv!D104</f>
        <v>Seite innen (360x180)</v>
      </c>
      <c r="E106" s="415">
        <f>Aktiv!E104</f>
        <v>360</v>
      </c>
      <c r="F106" s="415">
        <f>Aktiv!F104</f>
        <v>180</v>
      </c>
      <c r="G106" s="422">
        <f>Aktiv!G104</f>
        <v>25</v>
      </c>
      <c r="H106" s="422">
        <f>Aktiv!H104</f>
        <v>103</v>
      </c>
      <c r="I106" s="422">
        <f>Aktiv!I104</f>
        <v>120</v>
      </c>
      <c r="J106" s="422">
        <f>Aktiv!J104</f>
        <v>145</v>
      </c>
      <c r="K106" s="422">
        <f>Aktiv!K104</f>
        <v>29</v>
      </c>
      <c r="L106" s="422">
        <f>Aktiv!L104</f>
        <v>118</v>
      </c>
      <c r="M106" s="422">
        <f>Aktiv!M104</f>
        <v>138</v>
      </c>
      <c r="N106" s="422">
        <f>Aktiv!N104</f>
        <v>167</v>
      </c>
    </row>
    <row r="107" spans="2:14" ht="18" customHeight="1" x14ac:dyDescent="0.3">
      <c r="B107" s="414" t="str">
        <f>Aktiv!C105</f>
        <v>Seite innen</v>
      </c>
      <c r="C107" s="414">
        <f>Aktiv!A105</f>
        <v>3501</v>
      </c>
      <c r="D107" s="414" t="str">
        <f>Aktiv!D105</f>
        <v>Seite innen (360x360)</v>
      </c>
      <c r="E107" s="414">
        <f>Aktiv!E105</f>
        <v>360</v>
      </c>
      <c r="F107" s="414">
        <f>Aktiv!F105</f>
        <v>360</v>
      </c>
      <c r="G107" s="423">
        <f>Aktiv!G105</f>
        <v>25</v>
      </c>
      <c r="H107" s="423">
        <f>Aktiv!H105</f>
        <v>103</v>
      </c>
      <c r="I107" s="423">
        <f>Aktiv!I105</f>
        <v>120</v>
      </c>
      <c r="J107" s="423">
        <f>Aktiv!J105</f>
        <v>145</v>
      </c>
      <c r="K107" s="423">
        <f>Aktiv!K105</f>
        <v>29</v>
      </c>
      <c r="L107" s="423">
        <f>Aktiv!L105</f>
        <v>118</v>
      </c>
      <c r="M107" s="423">
        <f>Aktiv!M105</f>
        <v>138</v>
      </c>
      <c r="N107" s="423">
        <f>Aktiv!N105</f>
        <v>167</v>
      </c>
    </row>
    <row r="108" spans="2:14" ht="18" customHeight="1" x14ac:dyDescent="0.3">
      <c r="B108" s="413" t="str">
        <f>Aktiv!C106</f>
        <v>Seite innen</v>
      </c>
      <c r="C108" s="413">
        <f>Aktiv!A106</f>
        <v>3502</v>
      </c>
      <c r="D108" s="413" t="str">
        <f>Aktiv!D106</f>
        <v>Seite innen (360x720)</v>
      </c>
      <c r="E108" s="413">
        <f>Aktiv!E106</f>
        <v>360</v>
      </c>
      <c r="F108" s="413">
        <f>Aktiv!F106</f>
        <v>720</v>
      </c>
      <c r="G108" s="424">
        <f>Aktiv!G106</f>
        <v>46</v>
      </c>
      <c r="H108" s="424">
        <f>Aktiv!H106</f>
        <v>156</v>
      </c>
      <c r="I108" s="424">
        <f>Aktiv!I106</f>
        <v>163</v>
      </c>
      <c r="J108" s="424">
        <f>Aktiv!J106</f>
        <v>181</v>
      </c>
      <c r="K108" s="424">
        <f>Aktiv!K106</f>
        <v>53</v>
      </c>
      <c r="L108" s="424">
        <f>Aktiv!L106</f>
        <v>179</v>
      </c>
      <c r="M108" s="424">
        <f>Aktiv!M106</f>
        <v>187</v>
      </c>
      <c r="N108" s="424">
        <f>Aktiv!N106</f>
        <v>208</v>
      </c>
    </row>
    <row r="109" spans="2:14" ht="18" customHeight="1" x14ac:dyDescent="0.3">
      <c r="B109" s="414" t="str">
        <f>Aktiv!C107</f>
        <v>Seite innen</v>
      </c>
      <c r="C109" s="414">
        <f>Aktiv!A107</f>
        <v>3503</v>
      </c>
      <c r="D109" s="414" t="str">
        <f>Aktiv!D107</f>
        <v>Seite innen (360x1080)</v>
      </c>
      <c r="E109" s="414">
        <f>Aktiv!E107</f>
        <v>360</v>
      </c>
      <c r="F109" s="414">
        <f>Aktiv!F107</f>
        <v>1080</v>
      </c>
      <c r="G109" s="423">
        <f>Aktiv!G107</f>
        <v>68</v>
      </c>
      <c r="H109" s="423">
        <f>Aktiv!H107</f>
        <v>235</v>
      </c>
      <c r="I109" s="423">
        <f>Aktiv!I107</f>
        <v>244</v>
      </c>
      <c r="J109" s="423">
        <f>Aktiv!J107</f>
        <v>272</v>
      </c>
      <c r="K109" s="423">
        <f>Aktiv!K107</f>
        <v>78</v>
      </c>
      <c r="L109" s="423">
        <f>Aktiv!L107</f>
        <v>270</v>
      </c>
      <c r="M109" s="423">
        <f>Aktiv!M107</f>
        <v>281</v>
      </c>
      <c r="N109" s="423">
        <f>Aktiv!N107</f>
        <v>313</v>
      </c>
    </row>
    <row r="110" spans="2:14" ht="18" customHeight="1" x14ac:dyDescent="0.3">
      <c r="B110" s="413" t="str">
        <f>Aktiv!C108</f>
        <v>Seite innen</v>
      </c>
      <c r="C110" s="413">
        <f>Aktiv!A108</f>
        <v>3504</v>
      </c>
      <c r="D110" s="413" t="str">
        <f>Aktiv!D108</f>
        <v>Seite innen (360x1440)</v>
      </c>
      <c r="E110" s="413">
        <f>Aktiv!E108</f>
        <v>360</v>
      </c>
      <c r="F110" s="413">
        <f>Aktiv!F108</f>
        <v>1440</v>
      </c>
      <c r="G110" s="424">
        <f>Aktiv!G108</f>
        <v>91</v>
      </c>
      <c r="H110" s="424">
        <f>Aktiv!H108</f>
        <v>313</v>
      </c>
      <c r="I110" s="424">
        <f>Aktiv!I108</f>
        <v>326</v>
      </c>
      <c r="J110" s="424">
        <f>Aktiv!J108</f>
        <v>363</v>
      </c>
      <c r="K110" s="424">
        <f>Aktiv!K108</f>
        <v>105</v>
      </c>
      <c r="L110" s="424">
        <f>Aktiv!L108</f>
        <v>360</v>
      </c>
      <c r="M110" s="424">
        <f>Aktiv!M108</f>
        <v>375</v>
      </c>
      <c r="N110" s="424">
        <f>Aktiv!N108</f>
        <v>417</v>
      </c>
    </row>
    <row r="111" spans="2:14" ht="18" customHeight="1" x14ac:dyDescent="0.3">
      <c r="B111" s="414" t="str">
        <f>Aktiv!C109</f>
        <v>Seite innen</v>
      </c>
      <c r="C111" s="414">
        <f>Aktiv!A109</f>
        <v>3505</v>
      </c>
      <c r="D111" s="414" t="str">
        <f>Aktiv!D109</f>
        <v>Seite innen (360x1800)</v>
      </c>
      <c r="E111" s="414">
        <f>Aktiv!E109</f>
        <v>360</v>
      </c>
      <c r="F111" s="414">
        <f>Aktiv!F109</f>
        <v>1800</v>
      </c>
      <c r="G111" s="423">
        <f>Aktiv!G109</f>
        <v>114</v>
      </c>
      <c r="H111" s="423">
        <f>Aktiv!H109</f>
        <v>391</v>
      </c>
      <c r="I111" s="423">
        <f>Aktiv!I109</f>
        <v>407</v>
      </c>
      <c r="J111" s="423">
        <f>Aktiv!J109</f>
        <v>453</v>
      </c>
      <c r="K111" s="423">
        <f>Aktiv!K109</f>
        <v>131</v>
      </c>
      <c r="L111" s="423">
        <f>Aktiv!L109</f>
        <v>450</v>
      </c>
      <c r="M111" s="423">
        <f>Aktiv!M109</f>
        <v>468</v>
      </c>
      <c r="N111" s="423">
        <f>Aktiv!N109</f>
        <v>521</v>
      </c>
    </row>
    <row r="112" spans="2:14" ht="18" customHeight="1" x14ac:dyDescent="0.3">
      <c r="B112" s="413" t="str">
        <f>Aktiv!C110</f>
        <v>Seite innen</v>
      </c>
      <c r="C112" s="413">
        <f>Aktiv!A110</f>
        <v>3506</v>
      </c>
      <c r="D112" s="413" t="str">
        <f>Aktiv!D110</f>
        <v>Seite innen (580x180)</v>
      </c>
      <c r="E112" s="413">
        <f>Aktiv!E110</f>
        <v>580</v>
      </c>
      <c r="F112" s="413">
        <f>Aktiv!F110</f>
        <v>180</v>
      </c>
      <c r="G112" s="424">
        <f>Aktiv!G110</f>
        <v>25</v>
      </c>
      <c r="H112" s="424">
        <f>Aktiv!H110</f>
        <v>103</v>
      </c>
      <c r="I112" s="424">
        <f>Aktiv!I110</f>
        <v>120</v>
      </c>
      <c r="J112" s="424">
        <f>Aktiv!J110</f>
        <v>145</v>
      </c>
      <c r="K112" s="424">
        <f>Aktiv!K110</f>
        <v>29</v>
      </c>
      <c r="L112" s="424">
        <f>Aktiv!L110</f>
        <v>118</v>
      </c>
      <c r="M112" s="424">
        <f>Aktiv!M110</f>
        <v>138</v>
      </c>
      <c r="N112" s="424">
        <f>Aktiv!N110</f>
        <v>167</v>
      </c>
    </row>
    <row r="113" spans="2:14" ht="18" customHeight="1" x14ac:dyDescent="0.3">
      <c r="B113" s="414" t="str">
        <f>Aktiv!C111</f>
        <v>Seite innen</v>
      </c>
      <c r="C113" s="414">
        <f>Aktiv!A111</f>
        <v>3507</v>
      </c>
      <c r="D113" s="414" t="str">
        <f>Aktiv!D111</f>
        <v>Seite innen (580x360)</v>
      </c>
      <c r="E113" s="414">
        <f>Aktiv!E111</f>
        <v>580</v>
      </c>
      <c r="F113" s="414">
        <f>Aktiv!F111</f>
        <v>360</v>
      </c>
      <c r="G113" s="423">
        <f>Aktiv!G111</f>
        <v>37</v>
      </c>
      <c r="H113" s="423">
        <f>Aktiv!H111</f>
        <v>126</v>
      </c>
      <c r="I113" s="423">
        <f>Aktiv!I111</f>
        <v>131</v>
      </c>
      <c r="J113" s="423">
        <f>Aktiv!J111</f>
        <v>146</v>
      </c>
      <c r="K113" s="423">
        <f>Aktiv!K111</f>
        <v>43</v>
      </c>
      <c r="L113" s="423">
        <f>Aktiv!L111</f>
        <v>145</v>
      </c>
      <c r="M113" s="423">
        <f>Aktiv!M111</f>
        <v>151</v>
      </c>
      <c r="N113" s="423">
        <f>Aktiv!N111</f>
        <v>168</v>
      </c>
    </row>
    <row r="114" spans="2:14" ht="18" customHeight="1" x14ac:dyDescent="0.3">
      <c r="B114" s="413" t="str">
        <f>Aktiv!C112</f>
        <v>Seite innen</v>
      </c>
      <c r="C114" s="413">
        <f>Aktiv!A112</f>
        <v>3508</v>
      </c>
      <c r="D114" s="413" t="str">
        <f>Aktiv!D112</f>
        <v>Seite innen (580x720)</v>
      </c>
      <c r="E114" s="413">
        <f>Aktiv!E112</f>
        <v>580</v>
      </c>
      <c r="F114" s="413">
        <f>Aktiv!F112</f>
        <v>720</v>
      </c>
      <c r="G114" s="424">
        <f>Aktiv!G112</f>
        <v>73</v>
      </c>
      <c r="H114" s="424">
        <f>Aktiv!H112</f>
        <v>252</v>
      </c>
      <c r="I114" s="424">
        <f>Aktiv!I112</f>
        <v>262</v>
      </c>
      <c r="J114" s="424">
        <f>Aktiv!J112</f>
        <v>292</v>
      </c>
      <c r="K114" s="424">
        <f>Aktiv!K112</f>
        <v>84</v>
      </c>
      <c r="L114" s="424">
        <f>Aktiv!L112</f>
        <v>290</v>
      </c>
      <c r="M114" s="424">
        <f>Aktiv!M112</f>
        <v>301</v>
      </c>
      <c r="N114" s="424">
        <f>Aktiv!N112</f>
        <v>336</v>
      </c>
    </row>
    <row r="115" spans="2:14" ht="18" customHeight="1" x14ac:dyDescent="0.3">
      <c r="B115" s="414" t="str">
        <f>Aktiv!C113</f>
        <v>Seite innen</v>
      </c>
      <c r="C115" s="414">
        <f>Aktiv!A113</f>
        <v>3509</v>
      </c>
      <c r="D115" s="414" t="str">
        <f>Aktiv!D113</f>
        <v>Seite innen (580x1080)</v>
      </c>
      <c r="E115" s="414">
        <f>Aktiv!E113</f>
        <v>580</v>
      </c>
      <c r="F115" s="414">
        <f>Aktiv!F113</f>
        <v>1080</v>
      </c>
      <c r="G115" s="423">
        <f>Aktiv!G113</f>
        <v>110</v>
      </c>
      <c r="H115" s="423">
        <f>Aktiv!H113</f>
        <v>378</v>
      </c>
      <c r="I115" s="423">
        <f>Aktiv!I113</f>
        <v>394</v>
      </c>
      <c r="J115" s="423">
        <f>Aktiv!J113</f>
        <v>438</v>
      </c>
      <c r="K115" s="423">
        <f>Aktiv!K113</f>
        <v>127</v>
      </c>
      <c r="L115" s="423">
        <f>Aktiv!L113</f>
        <v>435</v>
      </c>
      <c r="M115" s="423">
        <f>Aktiv!M113</f>
        <v>453</v>
      </c>
      <c r="N115" s="423">
        <f>Aktiv!N113</f>
        <v>504</v>
      </c>
    </row>
    <row r="116" spans="2:14" ht="18" customHeight="1" x14ac:dyDescent="0.3">
      <c r="B116" s="413" t="str">
        <f>Aktiv!C114</f>
        <v>Seite innen</v>
      </c>
      <c r="C116" s="413">
        <f>Aktiv!A114</f>
        <v>3510</v>
      </c>
      <c r="D116" s="413" t="str">
        <f>Aktiv!D114</f>
        <v>Seite innen (580x1440)</v>
      </c>
      <c r="E116" s="413">
        <f>Aktiv!E114</f>
        <v>580</v>
      </c>
      <c r="F116" s="413">
        <f>Aktiv!F114</f>
        <v>1440</v>
      </c>
      <c r="G116" s="424">
        <f>Aktiv!G114</f>
        <v>147</v>
      </c>
      <c r="H116" s="424">
        <f>Aktiv!H114</f>
        <v>504</v>
      </c>
      <c r="I116" s="424">
        <f>Aktiv!I114</f>
        <v>525</v>
      </c>
      <c r="J116" s="424">
        <f>Aktiv!J114</f>
        <v>584</v>
      </c>
      <c r="K116" s="424">
        <f>Aktiv!K114</f>
        <v>169</v>
      </c>
      <c r="L116" s="424">
        <f>Aktiv!L114</f>
        <v>580</v>
      </c>
      <c r="M116" s="424">
        <f>Aktiv!M114</f>
        <v>604</v>
      </c>
      <c r="N116" s="424">
        <f>Aktiv!N114</f>
        <v>672</v>
      </c>
    </row>
    <row r="117" spans="2:14" ht="18" customHeight="1" x14ac:dyDescent="0.3">
      <c r="B117" s="414" t="str">
        <f>Aktiv!C115</f>
        <v>Seite innen</v>
      </c>
      <c r="C117" s="414">
        <f>Aktiv!A115</f>
        <v>3511</v>
      </c>
      <c r="D117" s="414" t="str">
        <f>Aktiv!D115</f>
        <v>Seite innen (580x1800)</v>
      </c>
      <c r="E117" s="414">
        <f>Aktiv!E115</f>
        <v>580</v>
      </c>
      <c r="F117" s="414">
        <f>Aktiv!F115</f>
        <v>1800</v>
      </c>
      <c r="G117" s="423">
        <f>Aktiv!G115</f>
        <v>184</v>
      </c>
      <c r="H117" s="423">
        <f>Aktiv!H115</f>
        <v>630</v>
      </c>
      <c r="I117" s="423">
        <f>Aktiv!I115</f>
        <v>656</v>
      </c>
      <c r="J117" s="423">
        <f>Aktiv!J115</f>
        <v>730</v>
      </c>
      <c r="K117" s="423">
        <f>Aktiv!K115</f>
        <v>212</v>
      </c>
      <c r="L117" s="423">
        <f>Aktiv!L115</f>
        <v>725</v>
      </c>
      <c r="M117" s="423">
        <f>Aktiv!M115</f>
        <v>754</v>
      </c>
      <c r="N117" s="423">
        <f>Aktiv!N115</f>
        <v>840</v>
      </c>
    </row>
    <row r="118" spans="2:14" ht="18" customHeight="1" x14ac:dyDescent="0.3">
      <c r="B118" s="413" t="str">
        <f>Aktiv!C116</f>
        <v>Seite innen</v>
      </c>
      <c r="C118" s="413">
        <f>Aktiv!A116</f>
        <v>3512</v>
      </c>
      <c r="D118" s="413" t="str">
        <f>Aktiv!D116</f>
        <v>Seite innen (180x780)</v>
      </c>
      <c r="E118" s="413">
        <f>Aktiv!E116</f>
        <v>180</v>
      </c>
      <c r="F118" s="413">
        <f>Aktiv!F116</f>
        <v>780</v>
      </c>
      <c r="G118" s="424" t="str">
        <f>Aktiv!G116</f>
        <v>-</v>
      </c>
      <c r="H118" s="424" t="str">
        <f>Aktiv!H116</f>
        <v>-</v>
      </c>
      <c r="I118" s="424" t="str">
        <f>Aktiv!I116</f>
        <v>-</v>
      </c>
      <c r="J118" s="424" t="str">
        <f>Aktiv!J116</f>
        <v>-</v>
      </c>
      <c r="K118" s="424" t="str">
        <f>Aktiv!K116</f>
        <v>-</v>
      </c>
      <c r="L118" s="424" t="str">
        <f>Aktiv!L116</f>
        <v>-</v>
      </c>
      <c r="M118" s="424" t="str">
        <f>Aktiv!M116</f>
        <v>-</v>
      </c>
      <c r="N118" s="424" t="str">
        <f>Aktiv!N116</f>
        <v>-</v>
      </c>
    </row>
    <row r="119" spans="2:14" ht="18" customHeight="1" x14ac:dyDescent="0.3">
      <c r="B119" s="414" t="str">
        <f>Aktiv!C117</f>
        <v>Seite innen</v>
      </c>
      <c r="C119" s="414">
        <f>Aktiv!A117</f>
        <v>3513</v>
      </c>
      <c r="D119" s="414" t="str">
        <f>Aktiv!D117</f>
        <v>Seite innen (180x980)</v>
      </c>
      <c r="E119" s="414">
        <f>Aktiv!E117</f>
        <v>180</v>
      </c>
      <c r="F119" s="414">
        <f>Aktiv!F117</f>
        <v>980</v>
      </c>
      <c r="G119" s="423" t="str">
        <f>Aktiv!G117</f>
        <v>-</v>
      </c>
      <c r="H119" s="423" t="str">
        <f>Aktiv!H117</f>
        <v>-</v>
      </c>
      <c r="I119" s="423" t="str">
        <f>Aktiv!I117</f>
        <v>-</v>
      </c>
      <c r="J119" s="423" t="str">
        <f>Aktiv!J117</f>
        <v>-</v>
      </c>
      <c r="K119" s="423" t="str">
        <f>Aktiv!K117</f>
        <v>-</v>
      </c>
      <c r="L119" s="423" t="str">
        <f>Aktiv!L117</f>
        <v>-</v>
      </c>
      <c r="M119" s="423" t="str">
        <f>Aktiv!M117</f>
        <v>-</v>
      </c>
      <c r="N119" s="423" t="str">
        <f>Aktiv!N117</f>
        <v>-</v>
      </c>
    </row>
    <row r="120" spans="2:14" ht="18" customHeight="1" x14ac:dyDescent="0.3">
      <c r="B120" s="413" t="str">
        <f>Aktiv!C118</f>
        <v>Seite innen</v>
      </c>
      <c r="C120" s="413">
        <f>Aktiv!A118</f>
        <v>3514</v>
      </c>
      <c r="D120" s="413" t="str">
        <f>Aktiv!D118</f>
        <v>Seite innen (360x780)</v>
      </c>
      <c r="E120" s="413">
        <f>Aktiv!E118</f>
        <v>360</v>
      </c>
      <c r="F120" s="413">
        <f>Aktiv!F118</f>
        <v>780</v>
      </c>
      <c r="G120" s="424" t="str">
        <f>Aktiv!G118</f>
        <v>-</v>
      </c>
      <c r="H120" s="424" t="str">
        <f>Aktiv!H118</f>
        <v>-</v>
      </c>
      <c r="I120" s="424" t="str">
        <f>Aktiv!I118</f>
        <v>-</v>
      </c>
      <c r="J120" s="424" t="str">
        <f>Aktiv!J118</f>
        <v>-</v>
      </c>
      <c r="K120" s="424" t="str">
        <f>Aktiv!K118</f>
        <v>-</v>
      </c>
      <c r="L120" s="424" t="str">
        <f>Aktiv!L118</f>
        <v>-</v>
      </c>
      <c r="M120" s="424" t="str">
        <f>Aktiv!M118</f>
        <v>-</v>
      </c>
      <c r="N120" s="424" t="str">
        <f>Aktiv!N118</f>
        <v>-</v>
      </c>
    </row>
    <row r="121" spans="2:14" ht="18" customHeight="1" x14ac:dyDescent="0.3">
      <c r="B121" s="414" t="str">
        <f>Aktiv!C119</f>
        <v>Seite innen</v>
      </c>
      <c r="C121" s="414">
        <f>Aktiv!A119</f>
        <v>3515</v>
      </c>
      <c r="D121" s="414" t="str">
        <f>Aktiv!D119</f>
        <v>Seite innen (360x980)</v>
      </c>
      <c r="E121" s="414">
        <f>Aktiv!E119</f>
        <v>360</v>
      </c>
      <c r="F121" s="414">
        <f>Aktiv!F119</f>
        <v>980</v>
      </c>
      <c r="G121" s="423" t="str">
        <f>Aktiv!G119</f>
        <v>-</v>
      </c>
      <c r="H121" s="423" t="str">
        <f>Aktiv!H119</f>
        <v>-</v>
      </c>
      <c r="I121" s="423" t="str">
        <f>Aktiv!I119</f>
        <v>-</v>
      </c>
      <c r="J121" s="423" t="str">
        <f>Aktiv!J119</f>
        <v>-</v>
      </c>
      <c r="K121" s="423" t="str">
        <f>Aktiv!K119</f>
        <v>-</v>
      </c>
      <c r="L121" s="423" t="str">
        <f>Aktiv!L119</f>
        <v>-</v>
      </c>
      <c r="M121" s="423" t="str">
        <f>Aktiv!M119</f>
        <v>-</v>
      </c>
      <c r="N121" s="423" t="str">
        <f>Aktiv!N119</f>
        <v>-</v>
      </c>
    </row>
    <row r="122" spans="2:14" ht="18" customHeight="1" x14ac:dyDescent="0.3">
      <c r="B122" s="413" t="str">
        <f>Aktiv!C120</f>
        <v>Seite innen</v>
      </c>
      <c r="C122" s="413">
        <f>Aktiv!A120</f>
        <v>3516</v>
      </c>
      <c r="D122" s="413" t="str">
        <f>Aktiv!D120</f>
        <v>Seite innen (720x780)</v>
      </c>
      <c r="E122" s="413">
        <f>Aktiv!E120</f>
        <v>720</v>
      </c>
      <c r="F122" s="413">
        <f>Aktiv!F120</f>
        <v>780</v>
      </c>
      <c r="G122" s="424" t="str">
        <f>Aktiv!G120</f>
        <v>-</v>
      </c>
      <c r="H122" s="424" t="str">
        <f>Aktiv!H120</f>
        <v>-</v>
      </c>
      <c r="I122" s="424" t="str">
        <f>Aktiv!I120</f>
        <v>-</v>
      </c>
      <c r="J122" s="424" t="str">
        <f>Aktiv!J120</f>
        <v>-</v>
      </c>
      <c r="K122" s="424" t="str">
        <f>Aktiv!K120</f>
        <v>-</v>
      </c>
      <c r="L122" s="424" t="str">
        <f>Aktiv!L120</f>
        <v>-</v>
      </c>
      <c r="M122" s="424" t="str">
        <f>Aktiv!M120</f>
        <v>-</v>
      </c>
      <c r="N122" s="424" t="str">
        <f>Aktiv!N120</f>
        <v>-</v>
      </c>
    </row>
    <row r="123" spans="2:14" ht="18" customHeight="1" x14ac:dyDescent="0.3">
      <c r="B123" s="414" t="str">
        <f>Aktiv!C121</f>
        <v>Seite innen</v>
      </c>
      <c r="C123" s="414">
        <f>Aktiv!A121</f>
        <v>3517</v>
      </c>
      <c r="D123" s="414" t="str">
        <f>Aktiv!D121</f>
        <v>Seite innen (720x980)</v>
      </c>
      <c r="E123" s="414">
        <f>Aktiv!E121</f>
        <v>720</v>
      </c>
      <c r="F123" s="414">
        <f>Aktiv!F121</f>
        <v>980</v>
      </c>
      <c r="G123" s="423" t="str">
        <f>Aktiv!G121</f>
        <v>-</v>
      </c>
      <c r="H123" s="423" t="str">
        <f>Aktiv!H121</f>
        <v>-</v>
      </c>
      <c r="I123" s="423" t="str">
        <f>Aktiv!I121</f>
        <v>-</v>
      </c>
      <c r="J123" s="423" t="str">
        <f>Aktiv!J121</f>
        <v>-</v>
      </c>
      <c r="K123" s="423" t="str">
        <f>Aktiv!K121</f>
        <v>-</v>
      </c>
      <c r="L123" s="423" t="str">
        <f>Aktiv!L121</f>
        <v>-</v>
      </c>
      <c r="M123" s="423" t="str">
        <f>Aktiv!M121</f>
        <v>-</v>
      </c>
      <c r="N123" s="423" t="str">
        <f>Aktiv!N121</f>
        <v>-</v>
      </c>
    </row>
    <row r="124" spans="2:14" ht="18" customHeight="1" x14ac:dyDescent="0.3">
      <c r="B124" s="413" t="str">
        <f>Aktiv!C122</f>
        <v>Seite innen</v>
      </c>
      <c r="C124" s="413">
        <f>Aktiv!A122</f>
        <v>3518</v>
      </c>
      <c r="D124" s="413" t="str">
        <f>Aktiv!D122</f>
        <v>Seite innen (1080x780)</v>
      </c>
      <c r="E124" s="413">
        <f>Aktiv!E122</f>
        <v>1080</v>
      </c>
      <c r="F124" s="413">
        <f>Aktiv!F122</f>
        <v>780</v>
      </c>
      <c r="G124" s="424" t="str">
        <f>Aktiv!G122</f>
        <v>-</v>
      </c>
      <c r="H124" s="424" t="str">
        <f>Aktiv!H122</f>
        <v>-</v>
      </c>
      <c r="I124" s="424" t="str">
        <f>Aktiv!I122</f>
        <v>-</v>
      </c>
      <c r="J124" s="424" t="str">
        <f>Aktiv!J122</f>
        <v>-</v>
      </c>
      <c r="K124" s="424" t="str">
        <f>Aktiv!K122</f>
        <v>-</v>
      </c>
      <c r="L124" s="424" t="str">
        <f>Aktiv!L122</f>
        <v>-</v>
      </c>
      <c r="M124" s="424" t="str">
        <f>Aktiv!M122</f>
        <v>-</v>
      </c>
      <c r="N124" s="424" t="str">
        <f>Aktiv!N122</f>
        <v>-</v>
      </c>
    </row>
    <row r="125" spans="2:14" ht="18" customHeight="1" x14ac:dyDescent="0.3">
      <c r="B125" s="414" t="str">
        <f>Aktiv!C123</f>
        <v>Seite innen</v>
      </c>
      <c r="C125" s="414">
        <f>Aktiv!A123</f>
        <v>3519</v>
      </c>
      <c r="D125" s="414" t="str">
        <f>Aktiv!D123</f>
        <v>Seite innen (1080x980)</v>
      </c>
      <c r="E125" s="414">
        <f>Aktiv!E123</f>
        <v>1080</v>
      </c>
      <c r="F125" s="414">
        <f>Aktiv!F123</f>
        <v>980</v>
      </c>
      <c r="G125" s="423" t="str">
        <f>Aktiv!G123</f>
        <v>-</v>
      </c>
      <c r="H125" s="423" t="str">
        <f>Aktiv!H123</f>
        <v>-</v>
      </c>
      <c r="I125" s="423" t="str">
        <f>Aktiv!I123</f>
        <v>-</v>
      </c>
      <c r="J125" s="423" t="str">
        <f>Aktiv!J123</f>
        <v>-</v>
      </c>
      <c r="K125" s="423" t="str">
        <f>Aktiv!K123</f>
        <v>-</v>
      </c>
      <c r="L125" s="423" t="str">
        <f>Aktiv!L123</f>
        <v>-</v>
      </c>
      <c r="M125" s="423" t="str">
        <f>Aktiv!M123</f>
        <v>-</v>
      </c>
      <c r="N125" s="423" t="str">
        <f>Aktiv!N123</f>
        <v>-</v>
      </c>
    </row>
    <row r="126" spans="2:14" ht="18" customHeight="1" x14ac:dyDescent="0.3">
      <c r="B126" s="413" t="str">
        <f>Aktiv!C124</f>
        <v>Seite innen</v>
      </c>
      <c r="C126" s="413">
        <f>Aktiv!A124</f>
        <v>3520</v>
      </c>
      <c r="D126" s="413" t="str">
        <f>Aktiv!D124</f>
        <v>Seite innen (1440x780)</v>
      </c>
      <c r="E126" s="413">
        <f>Aktiv!E124</f>
        <v>1440</v>
      </c>
      <c r="F126" s="413">
        <f>Aktiv!F124</f>
        <v>780</v>
      </c>
      <c r="G126" s="424" t="str">
        <f>Aktiv!G124</f>
        <v>-</v>
      </c>
      <c r="H126" s="424" t="str">
        <f>Aktiv!H124</f>
        <v>-</v>
      </c>
      <c r="I126" s="424" t="str">
        <f>Aktiv!I124</f>
        <v>-</v>
      </c>
      <c r="J126" s="424" t="str">
        <f>Aktiv!J124</f>
        <v>-</v>
      </c>
      <c r="K126" s="424" t="str">
        <f>Aktiv!K124</f>
        <v>-</v>
      </c>
      <c r="L126" s="424" t="str">
        <f>Aktiv!L124</f>
        <v>-</v>
      </c>
      <c r="M126" s="424" t="str">
        <f>Aktiv!M124</f>
        <v>-</v>
      </c>
      <c r="N126" s="424" t="str">
        <f>Aktiv!N124</f>
        <v>-</v>
      </c>
    </row>
    <row r="127" spans="2:14" ht="18" customHeight="1" x14ac:dyDescent="0.3">
      <c r="B127" s="414" t="str">
        <f>Aktiv!C125</f>
        <v>Seite innen</v>
      </c>
      <c r="C127" s="414">
        <f>Aktiv!A125</f>
        <v>3521</v>
      </c>
      <c r="D127" s="414" t="str">
        <f>Aktiv!D125</f>
        <v>Seite innen (1440x980)</v>
      </c>
      <c r="E127" s="414">
        <f>Aktiv!E125</f>
        <v>1440</v>
      </c>
      <c r="F127" s="414">
        <f>Aktiv!F125</f>
        <v>980</v>
      </c>
      <c r="G127" s="423" t="str">
        <f>Aktiv!G125</f>
        <v>-</v>
      </c>
      <c r="H127" s="423" t="str">
        <f>Aktiv!H125</f>
        <v>-</v>
      </c>
      <c r="I127" s="423" t="str">
        <f>Aktiv!I125</f>
        <v>-</v>
      </c>
      <c r="J127" s="423" t="str">
        <f>Aktiv!J125</f>
        <v>-</v>
      </c>
      <c r="K127" s="423" t="str">
        <f>Aktiv!K125</f>
        <v>-</v>
      </c>
      <c r="L127" s="423" t="str">
        <f>Aktiv!L125</f>
        <v>-</v>
      </c>
      <c r="M127" s="423" t="str">
        <f>Aktiv!M125</f>
        <v>-</v>
      </c>
      <c r="N127" s="423" t="str">
        <f>Aktiv!N125</f>
        <v>-</v>
      </c>
    </row>
    <row r="128" spans="2:14" ht="18" customHeight="1" x14ac:dyDescent="0.3">
      <c r="B128" s="413" t="str">
        <f>Aktiv!C126</f>
        <v>Seite innen</v>
      </c>
      <c r="C128" s="413">
        <f>Aktiv!A126</f>
        <v>3522</v>
      </c>
      <c r="D128" s="413" t="str">
        <f>Aktiv!D126</f>
        <v>Seite innen (1800x780)</v>
      </c>
      <c r="E128" s="413">
        <f>Aktiv!E126</f>
        <v>1800</v>
      </c>
      <c r="F128" s="413">
        <f>Aktiv!F126</f>
        <v>780</v>
      </c>
      <c r="G128" s="424" t="str">
        <f>Aktiv!G126</f>
        <v>-</v>
      </c>
      <c r="H128" s="424" t="str">
        <f>Aktiv!H126</f>
        <v>-</v>
      </c>
      <c r="I128" s="424" t="str">
        <f>Aktiv!I126</f>
        <v>-</v>
      </c>
      <c r="J128" s="424" t="str">
        <f>Aktiv!J126</f>
        <v>-</v>
      </c>
      <c r="K128" s="424" t="str">
        <f>Aktiv!K126</f>
        <v>-</v>
      </c>
      <c r="L128" s="424" t="str">
        <f>Aktiv!L126</f>
        <v>-</v>
      </c>
      <c r="M128" s="424" t="str">
        <f>Aktiv!M126</f>
        <v>-</v>
      </c>
      <c r="N128" s="424" t="str">
        <f>Aktiv!N126</f>
        <v>-</v>
      </c>
    </row>
    <row r="129" spans="2:14" ht="18" customHeight="1" x14ac:dyDescent="0.3">
      <c r="B129" s="414" t="str">
        <f>Aktiv!C127</f>
        <v>Seite innen</v>
      </c>
      <c r="C129" s="414">
        <f>Aktiv!A127</f>
        <v>3523</v>
      </c>
      <c r="D129" s="414" t="str">
        <f>Aktiv!D127</f>
        <v>Seite innen (1800x980)</v>
      </c>
      <c r="E129" s="414">
        <f>Aktiv!E127</f>
        <v>1800</v>
      </c>
      <c r="F129" s="414">
        <f>Aktiv!F127</f>
        <v>980</v>
      </c>
      <c r="G129" s="423" t="str">
        <f>Aktiv!G127</f>
        <v>-</v>
      </c>
      <c r="H129" s="423" t="str">
        <f>Aktiv!H127</f>
        <v>-</v>
      </c>
      <c r="I129" s="423" t="str">
        <f>Aktiv!I127</f>
        <v>-</v>
      </c>
      <c r="J129" s="423" t="str">
        <f>Aktiv!J127</f>
        <v>-</v>
      </c>
      <c r="K129" s="423" t="str">
        <f>Aktiv!K127</f>
        <v>-</v>
      </c>
      <c r="L129" s="423" t="str">
        <f>Aktiv!L127</f>
        <v>-</v>
      </c>
      <c r="M129" s="423" t="str">
        <f>Aktiv!M127</f>
        <v>-</v>
      </c>
      <c r="N129" s="423" t="str">
        <f>Aktiv!N127</f>
        <v>-</v>
      </c>
    </row>
    <row r="130" spans="2:14" ht="18" customHeight="1" x14ac:dyDescent="0.3">
      <c r="B130" s="413" t="str">
        <f>Aktiv!C128</f>
        <v>Seite innen</v>
      </c>
      <c r="C130" s="413">
        <f>Aktiv!A128</f>
        <v>3524</v>
      </c>
      <c r="D130" s="413" t="str">
        <f>Aktiv!D128</f>
        <v>Seite innen (580x580)</v>
      </c>
      <c r="E130" s="413">
        <f>Aktiv!E128</f>
        <v>580</v>
      </c>
      <c r="F130" s="413">
        <f>Aktiv!F128</f>
        <v>580</v>
      </c>
      <c r="G130" s="424" t="str">
        <f>Aktiv!G128</f>
        <v>-</v>
      </c>
      <c r="H130" s="424" t="str">
        <f>Aktiv!H128</f>
        <v>-</v>
      </c>
      <c r="I130" s="424" t="str">
        <f>Aktiv!I128</f>
        <v>-</v>
      </c>
      <c r="J130" s="424" t="str">
        <f>Aktiv!J128</f>
        <v>-</v>
      </c>
      <c r="K130" s="424" t="str">
        <f>Aktiv!K128</f>
        <v>-</v>
      </c>
      <c r="L130" s="424" t="str">
        <f>Aktiv!L128</f>
        <v>-</v>
      </c>
      <c r="M130" s="424" t="str">
        <f>Aktiv!M128</f>
        <v>-</v>
      </c>
      <c r="N130" s="424" t="str">
        <f>Aktiv!N128</f>
        <v>-</v>
      </c>
    </row>
    <row r="131" spans="2:14" ht="18" customHeight="1" x14ac:dyDescent="0.25">
      <c r="B131" s="420"/>
      <c r="C131" s="420"/>
      <c r="D131" s="420"/>
      <c r="E131" s="420"/>
      <c r="F131" s="420"/>
      <c r="G131" s="421"/>
      <c r="H131" s="421"/>
      <c r="I131" s="421"/>
      <c r="J131" s="421"/>
      <c r="K131" s="421"/>
      <c r="L131" s="421"/>
      <c r="M131" s="421"/>
      <c r="N131" s="421"/>
    </row>
    <row r="132" spans="2:14" ht="18" customHeight="1" x14ac:dyDescent="0.3">
      <c r="B132" s="418" t="s">
        <v>135</v>
      </c>
      <c r="C132" s="418"/>
      <c r="D132" s="418"/>
      <c r="E132" s="418"/>
      <c r="F132" s="418"/>
      <c r="G132" s="419"/>
      <c r="H132" s="419"/>
      <c r="I132" s="419"/>
      <c r="J132" s="419"/>
      <c r="K132" s="419"/>
      <c r="L132" s="419"/>
      <c r="M132" s="419"/>
      <c r="N132" s="419"/>
    </row>
    <row r="133" spans="2:14" ht="18" customHeight="1" x14ac:dyDescent="0.3">
      <c r="B133" s="415" t="str">
        <f>Aktiv!C130</f>
        <v>Seite innen SY32</v>
      </c>
      <c r="C133" s="415">
        <f>Aktiv!A130</f>
        <v>3600</v>
      </c>
      <c r="D133" s="415" t="str">
        <f>Aktiv!D130</f>
        <v>Seite innen SY32 (360x360)</v>
      </c>
      <c r="E133" s="415">
        <f>Aktiv!E130</f>
        <v>360</v>
      </c>
      <c r="F133" s="415">
        <f>Aktiv!F130</f>
        <v>360</v>
      </c>
      <c r="G133" s="422">
        <f>Aktiv!G130</f>
        <v>25</v>
      </c>
      <c r="H133" s="422">
        <f>Aktiv!H130</f>
        <v>103</v>
      </c>
      <c r="I133" s="422">
        <f>Aktiv!I130</f>
        <v>120</v>
      </c>
      <c r="J133" s="422">
        <f>Aktiv!J130</f>
        <v>145</v>
      </c>
      <c r="K133" s="422">
        <f>Aktiv!K130</f>
        <v>29</v>
      </c>
      <c r="L133" s="422">
        <f>Aktiv!L130</f>
        <v>118</v>
      </c>
      <c r="M133" s="422">
        <f>Aktiv!M130</f>
        <v>138</v>
      </c>
      <c r="N133" s="422" t="str">
        <f>Aktiv!N130</f>
        <v>-</v>
      </c>
    </row>
    <row r="134" spans="2:14" ht="18" customHeight="1" x14ac:dyDescent="0.3">
      <c r="B134" s="414" t="str">
        <f>Aktiv!C131</f>
        <v>Seite innen SY32</v>
      </c>
      <c r="C134" s="414">
        <f>Aktiv!A131</f>
        <v>3601</v>
      </c>
      <c r="D134" s="414" t="str">
        <f>Aktiv!D131</f>
        <v>Seite innen SY32 (360x720)</v>
      </c>
      <c r="E134" s="414">
        <f>Aktiv!E131</f>
        <v>360</v>
      </c>
      <c r="F134" s="414">
        <f>Aktiv!F131</f>
        <v>720</v>
      </c>
      <c r="G134" s="423">
        <f>Aktiv!G131</f>
        <v>46</v>
      </c>
      <c r="H134" s="423">
        <f>Aktiv!H131</f>
        <v>156</v>
      </c>
      <c r="I134" s="423">
        <f>Aktiv!I131</f>
        <v>163</v>
      </c>
      <c r="J134" s="423">
        <f>Aktiv!J131</f>
        <v>181</v>
      </c>
      <c r="K134" s="423">
        <f>Aktiv!K131</f>
        <v>53</v>
      </c>
      <c r="L134" s="423">
        <f>Aktiv!L131</f>
        <v>179</v>
      </c>
      <c r="M134" s="423">
        <f>Aktiv!M131</f>
        <v>187</v>
      </c>
      <c r="N134" s="423" t="str">
        <f>Aktiv!N131</f>
        <v>-</v>
      </c>
    </row>
    <row r="135" spans="2:14" ht="18" customHeight="1" x14ac:dyDescent="0.3">
      <c r="B135" s="413" t="str">
        <f>Aktiv!C132</f>
        <v>Seite innen SY32</v>
      </c>
      <c r="C135" s="413">
        <f>Aktiv!A132</f>
        <v>3602</v>
      </c>
      <c r="D135" s="413" t="str">
        <f>Aktiv!D132</f>
        <v>Seite innen SY32 (360x1080)</v>
      </c>
      <c r="E135" s="413">
        <f>Aktiv!E132</f>
        <v>360</v>
      </c>
      <c r="F135" s="413">
        <f>Aktiv!F132</f>
        <v>1080</v>
      </c>
      <c r="G135" s="424">
        <f>Aktiv!G132</f>
        <v>68</v>
      </c>
      <c r="H135" s="424">
        <f>Aktiv!H132</f>
        <v>235</v>
      </c>
      <c r="I135" s="424">
        <f>Aktiv!I132</f>
        <v>244</v>
      </c>
      <c r="J135" s="424">
        <f>Aktiv!J132</f>
        <v>272</v>
      </c>
      <c r="K135" s="424">
        <f>Aktiv!K132</f>
        <v>78</v>
      </c>
      <c r="L135" s="424">
        <f>Aktiv!L132</f>
        <v>270</v>
      </c>
      <c r="M135" s="424">
        <f>Aktiv!M132</f>
        <v>281</v>
      </c>
      <c r="N135" s="424" t="str">
        <f>Aktiv!N132</f>
        <v>-</v>
      </c>
    </row>
    <row r="136" spans="2:14" ht="18" customHeight="1" x14ac:dyDescent="0.3">
      <c r="B136" s="414" t="str">
        <f>Aktiv!C133</f>
        <v>Seite innen SY32</v>
      </c>
      <c r="C136" s="414">
        <f>Aktiv!A133</f>
        <v>3603</v>
      </c>
      <c r="D136" s="414" t="str">
        <f>Aktiv!D133</f>
        <v>Seite innen SY32 (360x1440)</v>
      </c>
      <c r="E136" s="414">
        <f>Aktiv!E133</f>
        <v>360</v>
      </c>
      <c r="F136" s="414">
        <f>Aktiv!F133</f>
        <v>1440</v>
      </c>
      <c r="G136" s="423">
        <f>Aktiv!G133</f>
        <v>91</v>
      </c>
      <c r="H136" s="423">
        <f>Aktiv!H133</f>
        <v>313</v>
      </c>
      <c r="I136" s="423">
        <f>Aktiv!I133</f>
        <v>326</v>
      </c>
      <c r="J136" s="423">
        <f>Aktiv!J133</f>
        <v>363</v>
      </c>
      <c r="K136" s="423">
        <f>Aktiv!K133</f>
        <v>105</v>
      </c>
      <c r="L136" s="423">
        <f>Aktiv!L133</f>
        <v>360</v>
      </c>
      <c r="M136" s="423">
        <f>Aktiv!M133</f>
        <v>375</v>
      </c>
      <c r="N136" s="423" t="str">
        <f>Aktiv!N133</f>
        <v>-</v>
      </c>
    </row>
    <row r="137" spans="2:14" ht="18" customHeight="1" x14ac:dyDescent="0.3">
      <c r="B137" s="413" t="str">
        <f>Aktiv!C134</f>
        <v>Seite innen SY32</v>
      </c>
      <c r="C137" s="413">
        <f>Aktiv!A134</f>
        <v>3604</v>
      </c>
      <c r="D137" s="413" t="str">
        <f>Aktiv!D134</f>
        <v>Seite innen SY32 (360x1800)</v>
      </c>
      <c r="E137" s="413">
        <f>Aktiv!E134</f>
        <v>360</v>
      </c>
      <c r="F137" s="413">
        <f>Aktiv!F134</f>
        <v>1800</v>
      </c>
      <c r="G137" s="424">
        <f>Aktiv!G134</f>
        <v>114</v>
      </c>
      <c r="H137" s="424">
        <f>Aktiv!H134</f>
        <v>391</v>
      </c>
      <c r="I137" s="424">
        <f>Aktiv!I134</f>
        <v>407</v>
      </c>
      <c r="J137" s="424">
        <f>Aktiv!J134</f>
        <v>453</v>
      </c>
      <c r="K137" s="424">
        <f>Aktiv!K134</f>
        <v>131</v>
      </c>
      <c r="L137" s="424">
        <f>Aktiv!L134</f>
        <v>450</v>
      </c>
      <c r="M137" s="424">
        <f>Aktiv!M134</f>
        <v>468</v>
      </c>
      <c r="N137" s="424" t="str">
        <f>Aktiv!N134</f>
        <v>-</v>
      </c>
    </row>
    <row r="138" spans="2:14" ht="18" customHeight="1" x14ac:dyDescent="0.3">
      <c r="B138" s="414" t="str">
        <f>Aktiv!C135</f>
        <v>Seite innen SY32</v>
      </c>
      <c r="C138" s="414">
        <f>Aktiv!A135</f>
        <v>3605</v>
      </c>
      <c r="D138" s="414" t="str">
        <f>Aktiv!D135</f>
        <v>Seite innen SY32 (580x360)</v>
      </c>
      <c r="E138" s="414">
        <f>Aktiv!E135</f>
        <v>580</v>
      </c>
      <c r="F138" s="414">
        <f>Aktiv!F135</f>
        <v>360</v>
      </c>
      <c r="G138" s="423">
        <f>Aktiv!G135</f>
        <v>37</v>
      </c>
      <c r="H138" s="423">
        <f>Aktiv!H135</f>
        <v>126</v>
      </c>
      <c r="I138" s="423">
        <f>Aktiv!I135</f>
        <v>131</v>
      </c>
      <c r="J138" s="423">
        <f>Aktiv!J135</f>
        <v>146</v>
      </c>
      <c r="K138" s="423">
        <f>Aktiv!K135</f>
        <v>43</v>
      </c>
      <c r="L138" s="423">
        <f>Aktiv!L135</f>
        <v>145</v>
      </c>
      <c r="M138" s="423">
        <f>Aktiv!M135</f>
        <v>151</v>
      </c>
      <c r="N138" s="423" t="str">
        <f>Aktiv!N135</f>
        <v>-</v>
      </c>
    </row>
    <row r="139" spans="2:14" ht="18" customHeight="1" x14ac:dyDescent="0.3">
      <c r="B139" s="413" t="str">
        <f>Aktiv!C136</f>
        <v>Seite innen SY32</v>
      </c>
      <c r="C139" s="413">
        <f>Aktiv!A136</f>
        <v>3606</v>
      </c>
      <c r="D139" s="413" t="str">
        <f>Aktiv!D136</f>
        <v>Seite innen SY32 (580x720)</v>
      </c>
      <c r="E139" s="413">
        <f>Aktiv!E136</f>
        <v>580</v>
      </c>
      <c r="F139" s="413">
        <f>Aktiv!F136</f>
        <v>720</v>
      </c>
      <c r="G139" s="424">
        <f>Aktiv!G136</f>
        <v>73</v>
      </c>
      <c r="H139" s="424">
        <f>Aktiv!H136</f>
        <v>252</v>
      </c>
      <c r="I139" s="424">
        <f>Aktiv!I136</f>
        <v>262</v>
      </c>
      <c r="J139" s="424">
        <f>Aktiv!J136</f>
        <v>292</v>
      </c>
      <c r="K139" s="424">
        <f>Aktiv!K136</f>
        <v>84</v>
      </c>
      <c r="L139" s="424">
        <f>Aktiv!L136</f>
        <v>290</v>
      </c>
      <c r="M139" s="424">
        <f>Aktiv!M136</f>
        <v>301</v>
      </c>
      <c r="N139" s="424" t="str">
        <f>Aktiv!N136</f>
        <v>-</v>
      </c>
    </row>
    <row r="140" spans="2:14" ht="18" customHeight="1" x14ac:dyDescent="0.3">
      <c r="B140" s="414" t="str">
        <f>Aktiv!C137</f>
        <v>Seite innen SY32</v>
      </c>
      <c r="C140" s="414">
        <f>Aktiv!A137</f>
        <v>3607</v>
      </c>
      <c r="D140" s="414" t="str">
        <f>Aktiv!D137</f>
        <v>Seite innen SY32 (580x1080)</v>
      </c>
      <c r="E140" s="414">
        <f>Aktiv!E137</f>
        <v>580</v>
      </c>
      <c r="F140" s="414">
        <f>Aktiv!F137</f>
        <v>1080</v>
      </c>
      <c r="G140" s="423">
        <f>Aktiv!G137</f>
        <v>110</v>
      </c>
      <c r="H140" s="423">
        <f>Aktiv!H137</f>
        <v>378</v>
      </c>
      <c r="I140" s="423">
        <f>Aktiv!I137</f>
        <v>394</v>
      </c>
      <c r="J140" s="423">
        <f>Aktiv!J137</f>
        <v>438</v>
      </c>
      <c r="K140" s="423">
        <f>Aktiv!K137</f>
        <v>127</v>
      </c>
      <c r="L140" s="423">
        <f>Aktiv!L137</f>
        <v>435</v>
      </c>
      <c r="M140" s="423">
        <f>Aktiv!M137</f>
        <v>453</v>
      </c>
      <c r="N140" s="423" t="str">
        <f>Aktiv!N137</f>
        <v>-</v>
      </c>
    </row>
    <row r="141" spans="2:14" ht="18" customHeight="1" x14ac:dyDescent="0.3">
      <c r="B141" s="413" t="str">
        <f>Aktiv!C138</f>
        <v>Seite innen SY32</v>
      </c>
      <c r="C141" s="413">
        <f>Aktiv!A138</f>
        <v>3608</v>
      </c>
      <c r="D141" s="413" t="str">
        <f>Aktiv!D138</f>
        <v>Seite innen SY32 (580x1440)</v>
      </c>
      <c r="E141" s="413">
        <f>Aktiv!E138</f>
        <v>580</v>
      </c>
      <c r="F141" s="413">
        <f>Aktiv!F138</f>
        <v>1440</v>
      </c>
      <c r="G141" s="424">
        <f>Aktiv!G138</f>
        <v>147</v>
      </c>
      <c r="H141" s="424">
        <f>Aktiv!H138</f>
        <v>504</v>
      </c>
      <c r="I141" s="424">
        <f>Aktiv!I138</f>
        <v>525</v>
      </c>
      <c r="J141" s="424">
        <f>Aktiv!J138</f>
        <v>584</v>
      </c>
      <c r="K141" s="424">
        <f>Aktiv!K138</f>
        <v>169</v>
      </c>
      <c r="L141" s="424">
        <f>Aktiv!L138</f>
        <v>580</v>
      </c>
      <c r="M141" s="424">
        <f>Aktiv!M138</f>
        <v>604</v>
      </c>
      <c r="N141" s="424" t="str">
        <f>Aktiv!N138</f>
        <v>-</v>
      </c>
    </row>
    <row r="142" spans="2:14" ht="18" customHeight="1" x14ac:dyDescent="0.3">
      <c r="B142" s="414" t="str">
        <f>Aktiv!C139</f>
        <v>Seite innen SY32</v>
      </c>
      <c r="C142" s="414">
        <f>Aktiv!A139</f>
        <v>3609</v>
      </c>
      <c r="D142" s="414" t="str">
        <f>Aktiv!D139</f>
        <v>Seite innen SY32 (580x1800)</v>
      </c>
      <c r="E142" s="414">
        <f>Aktiv!E139</f>
        <v>580</v>
      </c>
      <c r="F142" s="414">
        <f>Aktiv!F139</f>
        <v>1800</v>
      </c>
      <c r="G142" s="423">
        <f>Aktiv!G139</f>
        <v>184</v>
      </c>
      <c r="H142" s="423">
        <f>Aktiv!H139</f>
        <v>630</v>
      </c>
      <c r="I142" s="423">
        <f>Aktiv!I139</f>
        <v>656</v>
      </c>
      <c r="J142" s="423">
        <f>Aktiv!J139</f>
        <v>730</v>
      </c>
      <c r="K142" s="423">
        <f>Aktiv!K139</f>
        <v>212</v>
      </c>
      <c r="L142" s="423">
        <f>Aktiv!L139</f>
        <v>725</v>
      </c>
      <c r="M142" s="423">
        <f>Aktiv!M139</f>
        <v>754</v>
      </c>
      <c r="N142" s="423" t="str">
        <f>Aktiv!N139</f>
        <v>-</v>
      </c>
    </row>
    <row r="143" spans="2:14" ht="18" customHeight="1" x14ac:dyDescent="0.3">
      <c r="B143" s="413" t="str">
        <f>Aktiv!C140</f>
        <v>Seite innen SY32</v>
      </c>
      <c r="C143" s="413">
        <f>Aktiv!A140</f>
        <v>3610</v>
      </c>
      <c r="D143" s="413" t="str">
        <f>Aktiv!D140</f>
        <v>Seite innen SY32 (720x780)</v>
      </c>
      <c r="E143" s="413">
        <f>Aktiv!E140</f>
        <v>720</v>
      </c>
      <c r="F143" s="413">
        <f>Aktiv!F140</f>
        <v>780</v>
      </c>
      <c r="G143" s="424" t="str">
        <f>Aktiv!G140</f>
        <v>-</v>
      </c>
      <c r="H143" s="424" t="str">
        <f>Aktiv!H140</f>
        <v>-</v>
      </c>
      <c r="I143" s="424" t="str">
        <f>Aktiv!I140</f>
        <v>-</v>
      </c>
      <c r="J143" s="424" t="str">
        <f>Aktiv!J140</f>
        <v>-</v>
      </c>
      <c r="K143" s="424" t="str">
        <f>Aktiv!K140</f>
        <v>-</v>
      </c>
      <c r="L143" s="424" t="str">
        <f>Aktiv!L140</f>
        <v>-</v>
      </c>
      <c r="M143" s="424" t="str">
        <f>Aktiv!M140</f>
        <v>-</v>
      </c>
      <c r="N143" s="424" t="str">
        <f>Aktiv!N140</f>
        <v>-</v>
      </c>
    </row>
    <row r="144" spans="2:14" ht="18" customHeight="1" x14ac:dyDescent="0.3">
      <c r="B144" s="414" t="str">
        <f>Aktiv!C141</f>
        <v>Seite innen SY32</v>
      </c>
      <c r="C144" s="414">
        <f>Aktiv!A141</f>
        <v>3611</v>
      </c>
      <c r="D144" s="414" t="str">
        <f>Aktiv!D141</f>
        <v>Seite innen SY32 (720x980)</v>
      </c>
      <c r="E144" s="414">
        <f>Aktiv!E141</f>
        <v>720</v>
      </c>
      <c r="F144" s="414">
        <f>Aktiv!F141</f>
        <v>980</v>
      </c>
      <c r="G144" s="423" t="str">
        <f>Aktiv!G141</f>
        <v>-</v>
      </c>
      <c r="H144" s="423" t="str">
        <f>Aktiv!H141</f>
        <v>-</v>
      </c>
      <c r="I144" s="423" t="str">
        <f>Aktiv!I141</f>
        <v>-</v>
      </c>
      <c r="J144" s="423" t="str">
        <f>Aktiv!J141</f>
        <v>-</v>
      </c>
      <c r="K144" s="423" t="str">
        <f>Aktiv!K141</f>
        <v>-</v>
      </c>
      <c r="L144" s="423" t="str">
        <f>Aktiv!L141</f>
        <v>-</v>
      </c>
      <c r="M144" s="423" t="str">
        <f>Aktiv!M141</f>
        <v>-</v>
      </c>
      <c r="N144" s="423" t="str">
        <f>Aktiv!N141</f>
        <v>-</v>
      </c>
    </row>
    <row r="145" spans="2:14" ht="18" customHeight="1" x14ac:dyDescent="0.3">
      <c r="B145" s="413" t="str">
        <f>Aktiv!C142</f>
        <v>Seite innen SY32</v>
      </c>
      <c r="C145" s="413">
        <f>Aktiv!A142</f>
        <v>3612</v>
      </c>
      <c r="D145" s="413" t="str">
        <f>Aktiv!D142</f>
        <v>Seite innen SY32 (1080x780)</v>
      </c>
      <c r="E145" s="413">
        <f>Aktiv!E142</f>
        <v>1080</v>
      </c>
      <c r="F145" s="413">
        <f>Aktiv!F142</f>
        <v>780</v>
      </c>
      <c r="G145" s="424" t="str">
        <f>Aktiv!G142</f>
        <v>-</v>
      </c>
      <c r="H145" s="424" t="str">
        <f>Aktiv!H142</f>
        <v>-</v>
      </c>
      <c r="I145" s="424" t="str">
        <f>Aktiv!I142</f>
        <v>-</v>
      </c>
      <c r="J145" s="424" t="str">
        <f>Aktiv!J142</f>
        <v>-</v>
      </c>
      <c r="K145" s="424" t="str">
        <f>Aktiv!K142</f>
        <v>-</v>
      </c>
      <c r="L145" s="424" t="str">
        <f>Aktiv!L142</f>
        <v>-</v>
      </c>
      <c r="M145" s="424" t="str">
        <f>Aktiv!M142</f>
        <v>-</v>
      </c>
      <c r="N145" s="424" t="str">
        <f>Aktiv!N142</f>
        <v>-</v>
      </c>
    </row>
    <row r="146" spans="2:14" ht="18" customHeight="1" x14ac:dyDescent="0.3">
      <c r="B146" s="414" t="str">
        <f>Aktiv!C143</f>
        <v>Seite innen SY32</v>
      </c>
      <c r="C146" s="414">
        <f>Aktiv!A143</f>
        <v>3613</v>
      </c>
      <c r="D146" s="414" t="str">
        <f>Aktiv!D143</f>
        <v>Seite innen SY32 (1080x980)</v>
      </c>
      <c r="E146" s="414">
        <f>Aktiv!E143</f>
        <v>1080</v>
      </c>
      <c r="F146" s="414">
        <f>Aktiv!F143</f>
        <v>980</v>
      </c>
      <c r="G146" s="423" t="str">
        <f>Aktiv!G143</f>
        <v>-</v>
      </c>
      <c r="H146" s="423" t="str">
        <f>Aktiv!H143</f>
        <v>-</v>
      </c>
      <c r="I146" s="423" t="str">
        <f>Aktiv!I143</f>
        <v>-</v>
      </c>
      <c r="J146" s="423" t="str">
        <f>Aktiv!J143</f>
        <v>-</v>
      </c>
      <c r="K146" s="423" t="str">
        <f>Aktiv!K143</f>
        <v>-</v>
      </c>
      <c r="L146" s="423" t="str">
        <f>Aktiv!L143</f>
        <v>-</v>
      </c>
      <c r="M146" s="423" t="str">
        <f>Aktiv!M143</f>
        <v>-</v>
      </c>
      <c r="N146" s="423" t="str">
        <f>Aktiv!N143</f>
        <v>-</v>
      </c>
    </row>
    <row r="147" spans="2:14" ht="18" customHeight="1" x14ac:dyDescent="0.3">
      <c r="B147" s="413" t="str">
        <f>Aktiv!C144</f>
        <v>Seite innen SY32</v>
      </c>
      <c r="C147" s="413">
        <f>Aktiv!A144</f>
        <v>3614</v>
      </c>
      <c r="D147" s="413" t="str">
        <f>Aktiv!D144</f>
        <v>Seite innen SY32 (1440x780)</v>
      </c>
      <c r="E147" s="413">
        <f>Aktiv!E144</f>
        <v>1440</v>
      </c>
      <c r="F147" s="413">
        <f>Aktiv!F144</f>
        <v>780</v>
      </c>
      <c r="G147" s="424" t="str">
        <f>Aktiv!G144</f>
        <v>-</v>
      </c>
      <c r="H147" s="424" t="str">
        <f>Aktiv!H144</f>
        <v>-</v>
      </c>
      <c r="I147" s="424" t="str">
        <f>Aktiv!I144</f>
        <v>-</v>
      </c>
      <c r="J147" s="424" t="str">
        <f>Aktiv!J144</f>
        <v>-</v>
      </c>
      <c r="K147" s="424" t="str">
        <f>Aktiv!K144</f>
        <v>-</v>
      </c>
      <c r="L147" s="424" t="str">
        <f>Aktiv!L144</f>
        <v>-</v>
      </c>
      <c r="M147" s="424" t="str">
        <f>Aktiv!M144</f>
        <v>-</v>
      </c>
      <c r="N147" s="424" t="str">
        <f>Aktiv!N144</f>
        <v>-</v>
      </c>
    </row>
    <row r="148" spans="2:14" ht="18" customHeight="1" x14ac:dyDescent="0.3">
      <c r="B148" s="414" t="str">
        <f>Aktiv!C145</f>
        <v>Seite innen SY32</v>
      </c>
      <c r="C148" s="414">
        <f>Aktiv!A145</f>
        <v>3615</v>
      </c>
      <c r="D148" s="414" t="str">
        <f>Aktiv!D145</f>
        <v>Seite innen SY32 (1440x980)</v>
      </c>
      <c r="E148" s="414">
        <f>Aktiv!E145</f>
        <v>1440</v>
      </c>
      <c r="F148" s="414">
        <f>Aktiv!F145</f>
        <v>980</v>
      </c>
      <c r="G148" s="423" t="str">
        <f>Aktiv!G145</f>
        <v>-</v>
      </c>
      <c r="H148" s="423" t="str">
        <f>Aktiv!H145</f>
        <v>-</v>
      </c>
      <c r="I148" s="423" t="str">
        <f>Aktiv!I145</f>
        <v>-</v>
      </c>
      <c r="J148" s="423" t="str">
        <f>Aktiv!J145</f>
        <v>-</v>
      </c>
      <c r="K148" s="423" t="str">
        <f>Aktiv!K145</f>
        <v>-</v>
      </c>
      <c r="L148" s="423" t="str">
        <f>Aktiv!L145</f>
        <v>-</v>
      </c>
      <c r="M148" s="423" t="str">
        <f>Aktiv!M145</f>
        <v>-</v>
      </c>
      <c r="N148" s="423" t="str">
        <f>Aktiv!N145</f>
        <v>-</v>
      </c>
    </row>
    <row r="149" spans="2:14" ht="18" customHeight="1" x14ac:dyDescent="0.3">
      <c r="B149" s="413" t="str">
        <f>Aktiv!C146</f>
        <v>Seite innen SY32</v>
      </c>
      <c r="C149" s="413">
        <f>Aktiv!A146</f>
        <v>3616</v>
      </c>
      <c r="D149" s="413" t="str">
        <f>Aktiv!D146</f>
        <v>Seite innen SY32 (1800x780)</v>
      </c>
      <c r="E149" s="413">
        <f>Aktiv!E146</f>
        <v>1800</v>
      </c>
      <c r="F149" s="413">
        <f>Aktiv!F146</f>
        <v>780</v>
      </c>
      <c r="G149" s="424" t="str">
        <f>Aktiv!G146</f>
        <v>-</v>
      </c>
      <c r="H149" s="424" t="str">
        <f>Aktiv!H146</f>
        <v>-</v>
      </c>
      <c r="I149" s="424" t="str">
        <f>Aktiv!I146</f>
        <v>-</v>
      </c>
      <c r="J149" s="424" t="str">
        <f>Aktiv!J146</f>
        <v>-</v>
      </c>
      <c r="K149" s="424" t="str">
        <f>Aktiv!K146</f>
        <v>-</v>
      </c>
      <c r="L149" s="424" t="str">
        <f>Aktiv!L146</f>
        <v>-</v>
      </c>
      <c r="M149" s="424" t="str">
        <f>Aktiv!M146</f>
        <v>-</v>
      </c>
      <c r="N149" s="424" t="str">
        <f>Aktiv!N146</f>
        <v>-</v>
      </c>
    </row>
    <row r="150" spans="2:14" ht="18" customHeight="1" x14ac:dyDescent="0.3">
      <c r="B150" s="414" t="str">
        <f>Aktiv!C147</f>
        <v>Seite innen SY32</v>
      </c>
      <c r="C150" s="414">
        <f>Aktiv!A147</f>
        <v>3617</v>
      </c>
      <c r="D150" s="414" t="str">
        <f>Aktiv!D147</f>
        <v>Seite innen SY32 (1800x980)</v>
      </c>
      <c r="E150" s="414">
        <f>Aktiv!E147</f>
        <v>1800</v>
      </c>
      <c r="F150" s="414">
        <f>Aktiv!F147</f>
        <v>980</v>
      </c>
      <c r="G150" s="423" t="str">
        <f>Aktiv!G147</f>
        <v>-</v>
      </c>
      <c r="H150" s="423" t="str">
        <f>Aktiv!H147</f>
        <v>-</v>
      </c>
      <c r="I150" s="423" t="str">
        <f>Aktiv!I147</f>
        <v>-</v>
      </c>
      <c r="J150" s="423" t="str">
        <f>Aktiv!J147</f>
        <v>-</v>
      </c>
      <c r="K150" s="423" t="str">
        <f>Aktiv!K147</f>
        <v>-</v>
      </c>
      <c r="L150" s="423" t="str">
        <f>Aktiv!L147</f>
        <v>-</v>
      </c>
      <c r="M150" s="423" t="str">
        <f>Aktiv!M147</f>
        <v>-</v>
      </c>
      <c r="N150" s="423" t="str">
        <f>Aktiv!N147</f>
        <v>-</v>
      </c>
    </row>
    <row r="151" spans="2:14" ht="18" customHeight="1" x14ac:dyDescent="0.25">
      <c r="B151" s="420"/>
      <c r="C151" s="420"/>
      <c r="D151" s="420"/>
      <c r="E151" s="420"/>
      <c r="F151" s="420"/>
      <c r="G151" s="421"/>
      <c r="H151" s="421"/>
      <c r="I151" s="421"/>
      <c r="J151" s="421"/>
      <c r="K151" s="421"/>
      <c r="L151" s="421"/>
      <c r="M151" s="421"/>
      <c r="N151" s="421"/>
    </row>
    <row r="152" spans="2:14" ht="18" customHeight="1" x14ac:dyDescent="0.3">
      <c r="B152" s="418" t="s">
        <v>154</v>
      </c>
      <c r="C152" s="418"/>
      <c r="D152" s="418"/>
      <c r="E152" s="418"/>
      <c r="F152" s="418"/>
      <c r="G152" s="419"/>
      <c r="H152" s="419"/>
      <c r="I152" s="419"/>
      <c r="J152" s="419"/>
      <c r="K152" s="419"/>
      <c r="L152" s="419"/>
      <c r="M152" s="419"/>
      <c r="N152" s="419"/>
    </row>
    <row r="153" spans="2:14" ht="18" customHeight="1" x14ac:dyDescent="0.3">
      <c r="B153" s="415" t="str">
        <f>Aktiv!C149</f>
        <v>Seite innen SY32 DB</v>
      </c>
      <c r="C153" s="415">
        <f>Aktiv!A149</f>
        <v>3620</v>
      </c>
      <c r="D153" s="415" t="str">
        <f>Aktiv!D149</f>
        <v>Seite innen SY32 DB (360x360)</v>
      </c>
      <c r="E153" s="415">
        <f>Aktiv!E149</f>
        <v>360</v>
      </c>
      <c r="F153" s="415">
        <f>Aktiv!F149</f>
        <v>360</v>
      </c>
      <c r="G153" s="422">
        <f>Aktiv!G149</f>
        <v>25</v>
      </c>
      <c r="H153" s="422">
        <f>Aktiv!H149</f>
        <v>103</v>
      </c>
      <c r="I153" s="422">
        <f>Aktiv!I149</f>
        <v>120</v>
      </c>
      <c r="J153" s="422">
        <f>Aktiv!J149</f>
        <v>145</v>
      </c>
      <c r="K153" s="422">
        <f>Aktiv!K149</f>
        <v>29</v>
      </c>
      <c r="L153" s="422">
        <f>Aktiv!L149</f>
        <v>118</v>
      </c>
      <c r="M153" s="422">
        <f>Aktiv!M149</f>
        <v>138</v>
      </c>
      <c r="N153" s="422" t="str">
        <f>Aktiv!N149</f>
        <v>-</v>
      </c>
    </row>
    <row r="154" spans="2:14" ht="18" customHeight="1" x14ac:dyDescent="0.3">
      <c r="B154" s="414" t="str">
        <f>Aktiv!C150</f>
        <v>Seite innen SY32 DB</v>
      </c>
      <c r="C154" s="414">
        <f>Aktiv!A150</f>
        <v>3621</v>
      </c>
      <c r="D154" s="414" t="str">
        <f>Aktiv!D150</f>
        <v>Seite innen SY32 DB (360x720)</v>
      </c>
      <c r="E154" s="414">
        <f>Aktiv!E150</f>
        <v>360</v>
      </c>
      <c r="F154" s="414">
        <f>Aktiv!F150</f>
        <v>720</v>
      </c>
      <c r="G154" s="423">
        <f>Aktiv!G150</f>
        <v>46</v>
      </c>
      <c r="H154" s="423">
        <f>Aktiv!H150</f>
        <v>156</v>
      </c>
      <c r="I154" s="423">
        <f>Aktiv!I150</f>
        <v>163</v>
      </c>
      <c r="J154" s="423">
        <f>Aktiv!J150</f>
        <v>181</v>
      </c>
      <c r="K154" s="423">
        <f>Aktiv!K150</f>
        <v>53</v>
      </c>
      <c r="L154" s="423">
        <f>Aktiv!L150</f>
        <v>179</v>
      </c>
      <c r="M154" s="423">
        <f>Aktiv!M150</f>
        <v>187</v>
      </c>
      <c r="N154" s="423" t="str">
        <f>Aktiv!N150</f>
        <v>-</v>
      </c>
    </row>
    <row r="155" spans="2:14" ht="18" customHeight="1" x14ac:dyDescent="0.3">
      <c r="B155" s="413" t="str">
        <f>Aktiv!C151</f>
        <v>Seite innen SY32 DB</v>
      </c>
      <c r="C155" s="413">
        <f>Aktiv!A151</f>
        <v>3622</v>
      </c>
      <c r="D155" s="413" t="str">
        <f>Aktiv!D151</f>
        <v>Seite innen SY32 DB (360x1080)</v>
      </c>
      <c r="E155" s="413">
        <f>Aktiv!E151</f>
        <v>360</v>
      </c>
      <c r="F155" s="413">
        <f>Aktiv!F151</f>
        <v>1080</v>
      </c>
      <c r="G155" s="424">
        <f>Aktiv!G151</f>
        <v>68</v>
      </c>
      <c r="H155" s="424">
        <f>Aktiv!H151</f>
        <v>235</v>
      </c>
      <c r="I155" s="424">
        <f>Aktiv!I151</f>
        <v>244</v>
      </c>
      <c r="J155" s="424">
        <f>Aktiv!J151</f>
        <v>272</v>
      </c>
      <c r="K155" s="424">
        <f>Aktiv!K151</f>
        <v>78</v>
      </c>
      <c r="L155" s="424">
        <f>Aktiv!L151</f>
        <v>270</v>
      </c>
      <c r="M155" s="424">
        <f>Aktiv!M151</f>
        <v>281</v>
      </c>
      <c r="N155" s="424" t="str">
        <f>Aktiv!N151</f>
        <v>-</v>
      </c>
    </row>
    <row r="156" spans="2:14" ht="18" customHeight="1" x14ac:dyDescent="0.3">
      <c r="B156" s="414" t="str">
        <f>Aktiv!C152</f>
        <v>Seite innen SY32 DB</v>
      </c>
      <c r="C156" s="414">
        <f>Aktiv!A152</f>
        <v>3623</v>
      </c>
      <c r="D156" s="414" t="str">
        <f>Aktiv!D152</f>
        <v>Seite innen SY32 DB (360x1440)</v>
      </c>
      <c r="E156" s="414">
        <f>Aktiv!E152</f>
        <v>360</v>
      </c>
      <c r="F156" s="414">
        <f>Aktiv!F152</f>
        <v>1440</v>
      </c>
      <c r="G156" s="423">
        <f>Aktiv!G152</f>
        <v>91</v>
      </c>
      <c r="H156" s="423">
        <f>Aktiv!H152</f>
        <v>313</v>
      </c>
      <c r="I156" s="423">
        <f>Aktiv!I152</f>
        <v>326</v>
      </c>
      <c r="J156" s="423">
        <f>Aktiv!J152</f>
        <v>363</v>
      </c>
      <c r="K156" s="423">
        <f>Aktiv!K152</f>
        <v>105</v>
      </c>
      <c r="L156" s="423">
        <f>Aktiv!L152</f>
        <v>360</v>
      </c>
      <c r="M156" s="423">
        <f>Aktiv!M152</f>
        <v>375</v>
      </c>
      <c r="N156" s="423" t="str">
        <f>Aktiv!N152</f>
        <v>-</v>
      </c>
    </row>
    <row r="157" spans="2:14" ht="18" customHeight="1" x14ac:dyDescent="0.3">
      <c r="B157" s="413" t="str">
        <f>Aktiv!C153</f>
        <v>Seite innen SY32 DB</v>
      </c>
      <c r="C157" s="413">
        <f>Aktiv!A153</f>
        <v>3624</v>
      </c>
      <c r="D157" s="413" t="str">
        <f>Aktiv!D153</f>
        <v>Seite innen SY32 DB (360x1800)</v>
      </c>
      <c r="E157" s="413">
        <f>Aktiv!E153</f>
        <v>360</v>
      </c>
      <c r="F157" s="413">
        <f>Aktiv!F153</f>
        <v>1800</v>
      </c>
      <c r="G157" s="424">
        <f>Aktiv!G153</f>
        <v>114</v>
      </c>
      <c r="H157" s="424">
        <f>Aktiv!H153</f>
        <v>391</v>
      </c>
      <c r="I157" s="424">
        <f>Aktiv!I153</f>
        <v>407</v>
      </c>
      <c r="J157" s="424">
        <f>Aktiv!J153</f>
        <v>453</v>
      </c>
      <c r="K157" s="424">
        <f>Aktiv!K153</f>
        <v>131</v>
      </c>
      <c r="L157" s="424">
        <f>Aktiv!L153</f>
        <v>450</v>
      </c>
      <c r="M157" s="424">
        <f>Aktiv!M153</f>
        <v>468</v>
      </c>
      <c r="N157" s="424" t="str">
        <f>Aktiv!N153</f>
        <v>-</v>
      </c>
    </row>
    <row r="158" spans="2:14" ht="18" customHeight="1" x14ac:dyDescent="0.3">
      <c r="B158" s="414" t="str">
        <f>Aktiv!C154</f>
        <v>Seite innen SY32 DB</v>
      </c>
      <c r="C158" s="414">
        <f>Aktiv!A154</f>
        <v>3625</v>
      </c>
      <c r="D158" s="414" t="str">
        <f>Aktiv!D154</f>
        <v>Seite innen SY32 DB (580x360)</v>
      </c>
      <c r="E158" s="414">
        <f>Aktiv!E154</f>
        <v>580</v>
      </c>
      <c r="F158" s="414">
        <f>Aktiv!F154</f>
        <v>360</v>
      </c>
      <c r="G158" s="423">
        <f>Aktiv!G154</f>
        <v>37</v>
      </c>
      <c r="H158" s="423">
        <f>Aktiv!H154</f>
        <v>126</v>
      </c>
      <c r="I158" s="423">
        <f>Aktiv!I154</f>
        <v>131</v>
      </c>
      <c r="J158" s="423">
        <f>Aktiv!J154</f>
        <v>146</v>
      </c>
      <c r="K158" s="423">
        <f>Aktiv!K154</f>
        <v>43</v>
      </c>
      <c r="L158" s="423">
        <f>Aktiv!L154</f>
        <v>145</v>
      </c>
      <c r="M158" s="423">
        <f>Aktiv!M154</f>
        <v>151</v>
      </c>
      <c r="N158" s="423" t="str">
        <f>Aktiv!N154</f>
        <v>-</v>
      </c>
    </row>
    <row r="159" spans="2:14" ht="18" customHeight="1" x14ac:dyDescent="0.3">
      <c r="B159" s="413" t="str">
        <f>Aktiv!C155</f>
        <v>Seite innen SY32 DB</v>
      </c>
      <c r="C159" s="413">
        <f>Aktiv!A155</f>
        <v>3626</v>
      </c>
      <c r="D159" s="413" t="str">
        <f>Aktiv!D155</f>
        <v>Seite innen SY32 DB (580x720)</v>
      </c>
      <c r="E159" s="413">
        <f>Aktiv!E155</f>
        <v>580</v>
      </c>
      <c r="F159" s="413">
        <f>Aktiv!F155</f>
        <v>720</v>
      </c>
      <c r="G159" s="424">
        <f>Aktiv!G155</f>
        <v>73</v>
      </c>
      <c r="H159" s="424">
        <f>Aktiv!H155</f>
        <v>252</v>
      </c>
      <c r="I159" s="424">
        <f>Aktiv!I155</f>
        <v>262</v>
      </c>
      <c r="J159" s="424">
        <f>Aktiv!J155</f>
        <v>292</v>
      </c>
      <c r="K159" s="424">
        <f>Aktiv!K155</f>
        <v>84</v>
      </c>
      <c r="L159" s="424">
        <f>Aktiv!L155</f>
        <v>290</v>
      </c>
      <c r="M159" s="424">
        <f>Aktiv!M155</f>
        <v>301</v>
      </c>
      <c r="N159" s="424" t="str">
        <f>Aktiv!N155</f>
        <v>-</v>
      </c>
    </row>
    <row r="160" spans="2:14" ht="18" customHeight="1" x14ac:dyDescent="0.3">
      <c r="B160" s="414" t="str">
        <f>Aktiv!C156</f>
        <v>Seite innen SY32 DB</v>
      </c>
      <c r="C160" s="414">
        <f>Aktiv!A156</f>
        <v>3627</v>
      </c>
      <c r="D160" s="414" t="str">
        <f>Aktiv!D156</f>
        <v>Seite innen SY32 DB (580x1080)</v>
      </c>
      <c r="E160" s="414">
        <f>Aktiv!E156</f>
        <v>580</v>
      </c>
      <c r="F160" s="414">
        <f>Aktiv!F156</f>
        <v>1080</v>
      </c>
      <c r="G160" s="423">
        <f>Aktiv!G156</f>
        <v>110</v>
      </c>
      <c r="H160" s="423">
        <f>Aktiv!H156</f>
        <v>378</v>
      </c>
      <c r="I160" s="423">
        <f>Aktiv!I156</f>
        <v>394</v>
      </c>
      <c r="J160" s="423">
        <f>Aktiv!J156</f>
        <v>438</v>
      </c>
      <c r="K160" s="423">
        <f>Aktiv!K156</f>
        <v>127</v>
      </c>
      <c r="L160" s="423">
        <f>Aktiv!L156</f>
        <v>435</v>
      </c>
      <c r="M160" s="423">
        <f>Aktiv!M156</f>
        <v>453</v>
      </c>
      <c r="N160" s="423" t="str">
        <f>Aktiv!N156</f>
        <v>-</v>
      </c>
    </row>
    <row r="161" spans="2:14" ht="18" customHeight="1" x14ac:dyDescent="0.3">
      <c r="B161" s="413" t="str">
        <f>Aktiv!C157</f>
        <v>Seite innen SY32 DB</v>
      </c>
      <c r="C161" s="413">
        <f>Aktiv!A157</f>
        <v>3628</v>
      </c>
      <c r="D161" s="413" t="str">
        <f>Aktiv!D157</f>
        <v>Seite innen SY32 DB (580x1440)</v>
      </c>
      <c r="E161" s="413">
        <f>Aktiv!E157</f>
        <v>580</v>
      </c>
      <c r="F161" s="413">
        <f>Aktiv!F157</f>
        <v>1440</v>
      </c>
      <c r="G161" s="424">
        <f>Aktiv!G157</f>
        <v>147</v>
      </c>
      <c r="H161" s="424">
        <f>Aktiv!H157</f>
        <v>504</v>
      </c>
      <c r="I161" s="424">
        <f>Aktiv!I157</f>
        <v>525</v>
      </c>
      <c r="J161" s="424">
        <f>Aktiv!J157</f>
        <v>584</v>
      </c>
      <c r="K161" s="424">
        <f>Aktiv!K157</f>
        <v>169</v>
      </c>
      <c r="L161" s="424">
        <f>Aktiv!L157</f>
        <v>580</v>
      </c>
      <c r="M161" s="424">
        <f>Aktiv!M157</f>
        <v>604</v>
      </c>
      <c r="N161" s="424" t="str">
        <f>Aktiv!N157</f>
        <v>-</v>
      </c>
    </row>
    <row r="162" spans="2:14" ht="18" customHeight="1" x14ac:dyDescent="0.3">
      <c r="B162" s="414" t="str">
        <f>Aktiv!C158</f>
        <v>Seite innen SY32 DB</v>
      </c>
      <c r="C162" s="414">
        <f>Aktiv!A158</f>
        <v>3629</v>
      </c>
      <c r="D162" s="414" t="str">
        <f>Aktiv!D158</f>
        <v>Seite innen SY32 DB (580x1800)</v>
      </c>
      <c r="E162" s="414">
        <f>Aktiv!E158</f>
        <v>580</v>
      </c>
      <c r="F162" s="414">
        <f>Aktiv!F158</f>
        <v>1800</v>
      </c>
      <c r="G162" s="423">
        <f>Aktiv!G158</f>
        <v>184</v>
      </c>
      <c r="H162" s="423">
        <f>Aktiv!H158</f>
        <v>630</v>
      </c>
      <c r="I162" s="423">
        <f>Aktiv!I158</f>
        <v>656</v>
      </c>
      <c r="J162" s="423">
        <f>Aktiv!J158</f>
        <v>730</v>
      </c>
      <c r="K162" s="423">
        <f>Aktiv!K158</f>
        <v>212</v>
      </c>
      <c r="L162" s="423">
        <f>Aktiv!L158</f>
        <v>725</v>
      </c>
      <c r="M162" s="423">
        <f>Aktiv!M158</f>
        <v>754</v>
      </c>
      <c r="N162" s="423" t="str">
        <f>Aktiv!N158</f>
        <v>-</v>
      </c>
    </row>
    <row r="163" spans="2:14" ht="18" customHeight="1" x14ac:dyDescent="0.25">
      <c r="B163" s="420"/>
      <c r="C163" s="420"/>
      <c r="D163" s="420"/>
      <c r="E163" s="420"/>
      <c r="F163" s="420"/>
      <c r="G163" s="421"/>
      <c r="H163" s="421"/>
      <c r="I163" s="421"/>
      <c r="J163" s="421"/>
      <c r="K163" s="421"/>
      <c r="L163" s="421"/>
      <c r="M163" s="421"/>
      <c r="N163" s="421"/>
    </row>
    <row r="164" spans="2:14" ht="18" customHeight="1" x14ac:dyDescent="0.3">
      <c r="B164" s="418" t="s">
        <v>165</v>
      </c>
      <c r="C164" s="418"/>
      <c r="D164" s="418"/>
      <c r="E164" s="418"/>
      <c r="F164" s="418"/>
      <c r="G164" s="419"/>
      <c r="H164" s="419"/>
      <c r="I164" s="419"/>
      <c r="J164" s="419"/>
      <c r="K164" s="419"/>
      <c r="L164" s="419"/>
      <c r="M164" s="419"/>
      <c r="N164" s="419"/>
    </row>
    <row r="165" spans="2:14" ht="18" customHeight="1" x14ac:dyDescent="0.3">
      <c r="B165" s="415" t="str">
        <f>Aktiv!C160</f>
        <v>Fachboden klein</v>
      </c>
      <c r="C165" s="415">
        <f>Aktiv!A160</f>
        <v>3700</v>
      </c>
      <c r="D165" s="415" t="str">
        <f>Aktiv!D160</f>
        <v>Fachboden klein (360x360)</v>
      </c>
      <c r="E165" s="415">
        <f>Aktiv!E160</f>
        <v>360</v>
      </c>
      <c r="F165" s="415">
        <f>Aktiv!F160</f>
        <v>360</v>
      </c>
      <c r="G165" s="422">
        <f>Aktiv!G160</f>
        <v>25</v>
      </c>
      <c r="H165" s="422">
        <f>Aktiv!H160</f>
        <v>103</v>
      </c>
      <c r="I165" s="422">
        <f>Aktiv!I160</f>
        <v>120</v>
      </c>
      <c r="J165" s="422">
        <f>Aktiv!J160</f>
        <v>145</v>
      </c>
      <c r="K165" s="422">
        <f>Aktiv!K160</f>
        <v>29</v>
      </c>
      <c r="L165" s="422">
        <f>Aktiv!L160</f>
        <v>118</v>
      </c>
      <c r="M165" s="422">
        <f>Aktiv!M160</f>
        <v>138</v>
      </c>
      <c r="N165" s="422">
        <f>Aktiv!N160</f>
        <v>167</v>
      </c>
    </row>
    <row r="166" spans="2:14" ht="18" customHeight="1" x14ac:dyDescent="0.3">
      <c r="B166" s="414" t="str">
        <f>Aktiv!C161</f>
        <v>Fachboden klein</v>
      </c>
      <c r="C166" s="414">
        <f>Aktiv!A161</f>
        <v>3701</v>
      </c>
      <c r="D166" s="414" t="str">
        <f>Aktiv!D161</f>
        <v>Fachboden klein (420x360)</v>
      </c>
      <c r="E166" s="414">
        <f>Aktiv!E161</f>
        <v>420</v>
      </c>
      <c r="F166" s="414">
        <f>Aktiv!F161</f>
        <v>360</v>
      </c>
      <c r="G166" s="423">
        <f>Aktiv!G161</f>
        <v>27</v>
      </c>
      <c r="H166" s="423">
        <f>Aktiv!H161</f>
        <v>103</v>
      </c>
      <c r="I166" s="423">
        <f>Aktiv!I161</f>
        <v>120</v>
      </c>
      <c r="J166" s="423">
        <f>Aktiv!J161</f>
        <v>145</v>
      </c>
      <c r="K166" s="423">
        <f>Aktiv!K161</f>
        <v>31</v>
      </c>
      <c r="L166" s="423">
        <f>Aktiv!L161</f>
        <v>118</v>
      </c>
      <c r="M166" s="423">
        <f>Aktiv!M161</f>
        <v>138</v>
      </c>
      <c r="N166" s="423">
        <f>Aktiv!N161</f>
        <v>167</v>
      </c>
    </row>
    <row r="167" spans="2:14" ht="18" customHeight="1" x14ac:dyDescent="0.3">
      <c r="B167" s="413" t="str">
        <f>Aktiv!C162</f>
        <v>Fachboden klein</v>
      </c>
      <c r="C167" s="413">
        <f>Aktiv!A162</f>
        <v>3702</v>
      </c>
      <c r="D167" s="413" t="str">
        <f>Aktiv!D162</f>
        <v>Fachboden klein (580x360)</v>
      </c>
      <c r="E167" s="413">
        <f>Aktiv!E162</f>
        <v>580</v>
      </c>
      <c r="F167" s="413">
        <f>Aktiv!F162</f>
        <v>360</v>
      </c>
      <c r="G167" s="424">
        <f>Aktiv!G162</f>
        <v>37</v>
      </c>
      <c r="H167" s="424">
        <f>Aktiv!H162</f>
        <v>126</v>
      </c>
      <c r="I167" s="424">
        <f>Aktiv!I162</f>
        <v>131</v>
      </c>
      <c r="J167" s="424">
        <f>Aktiv!J162</f>
        <v>146</v>
      </c>
      <c r="K167" s="424">
        <f>Aktiv!K162</f>
        <v>43</v>
      </c>
      <c r="L167" s="424">
        <f>Aktiv!L162</f>
        <v>145</v>
      </c>
      <c r="M167" s="424">
        <f>Aktiv!M162</f>
        <v>151</v>
      </c>
      <c r="N167" s="424">
        <f>Aktiv!N162</f>
        <v>168</v>
      </c>
    </row>
    <row r="168" spans="2:14" ht="18" customHeight="1" x14ac:dyDescent="0.3">
      <c r="B168" s="414" t="str">
        <f>Aktiv!C163</f>
        <v>Fachboden klein</v>
      </c>
      <c r="C168" s="414">
        <f>Aktiv!A163</f>
        <v>3703</v>
      </c>
      <c r="D168" s="414" t="str">
        <f>Aktiv!D163</f>
        <v>Fachboden klein (780x360)</v>
      </c>
      <c r="E168" s="414">
        <f>Aktiv!E163</f>
        <v>780</v>
      </c>
      <c r="F168" s="414">
        <f>Aktiv!F163</f>
        <v>360</v>
      </c>
      <c r="G168" s="423">
        <f>Aktiv!G163</f>
        <v>49</v>
      </c>
      <c r="H168" s="423">
        <f>Aktiv!H163</f>
        <v>169</v>
      </c>
      <c r="I168" s="423">
        <f>Aktiv!I163</f>
        <v>177</v>
      </c>
      <c r="J168" s="423">
        <f>Aktiv!J163</f>
        <v>196</v>
      </c>
      <c r="K168" s="423">
        <f>Aktiv!K163</f>
        <v>56</v>
      </c>
      <c r="L168" s="423">
        <f>Aktiv!L163</f>
        <v>194</v>
      </c>
      <c r="M168" s="423">
        <f>Aktiv!M163</f>
        <v>204</v>
      </c>
      <c r="N168" s="423">
        <f>Aktiv!N163</f>
        <v>225</v>
      </c>
    </row>
    <row r="169" spans="2:14" ht="18" customHeight="1" x14ac:dyDescent="0.3">
      <c r="B169" s="413" t="str">
        <f>Aktiv!C164</f>
        <v>Fachboden klein</v>
      </c>
      <c r="C169" s="413">
        <f>Aktiv!A164</f>
        <v>3704</v>
      </c>
      <c r="D169" s="413" t="str">
        <f>Aktiv!D164</f>
        <v>Fachboden klein (980x360)</v>
      </c>
      <c r="E169" s="413">
        <f>Aktiv!E164</f>
        <v>980</v>
      </c>
      <c r="F169" s="413">
        <f>Aktiv!F164</f>
        <v>360</v>
      </c>
      <c r="G169" s="424">
        <f>Aktiv!G164</f>
        <v>62</v>
      </c>
      <c r="H169" s="424">
        <f>Aktiv!H164</f>
        <v>213</v>
      </c>
      <c r="I169" s="424">
        <f>Aktiv!I164</f>
        <v>222</v>
      </c>
      <c r="J169" s="424">
        <f>Aktiv!J164</f>
        <v>247</v>
      </c>
      <c r="K169" s="424">
        <f>Aktiv!K164</f>
        <v>71</v>
      </c>
      <c r="L169" s="424">
        <f>Aktiv!L164</f>
        <v>245</v>
      </c>
      <c r="M169" s="424">
        <f>Aktiv!M164</f>
        <v>255</v>
      </c>
      <c r="N169" s="424">
        <f>Aktiv!N164</f>
        <v>284</v>
      </c>
    </row>
    <row r="170" spans="2:14" ht="18" customHeight="1" x14ac:dyDescent="0.3">
      <c r="B170" s="414" t="str">
        <f>Aktiv!C165</f>
        <v>Fachboden klein</v>
      </c>
      <c r="C170" s="414">
        <f>Aktiv!A165</f>
        <v>3705</v>
      </c>
      <c r="D170" s="414" t="str">
        <f>Aktiv!D165</f>
        <v>Fachboden klein (360x580)</v>
      </c>
      <c r="E170" s="414">
        <f>Aktiv!E165</f>
        <v>360</v>
      </c>
      <c r="F170" s="414">
        <f>Aktiv!F165</f>
        <v>580</v>
      </c>
      <c r="G170" s="423">
        <f>Aktiv!G165</f>
        <v>37</v>
      </c>
      <c r="H170" s="423">
        <f>Aktiv!H165</f>
        <v>126</v>
      </c>
      <c r="I170" s="423">
        <f>Aktiv!I165</f>
        <v>131</v>
      </c>
      <c r="J170" s="423">
        <f>Aktiv!J165</f>
        <v>146</v>
      </c>
      <c r="K170" s="423">
        <f>Aktiv!K165</f>
        <v>43</v>
      </c>
      <c r="L170" s="423">
        <f>Aktiv!L165</f>
        <v>145</v>
      </c>
      <c r="M170" s="423">
        <f>Aktiv!M165</f>
        <v>151</v>
      </c>
      <c r="N170" s="423">
        <f>Aktiv!N165</f>
        <v>168</v>
      </c>
    </row>
    <row r="171" spans="2:14" ht="18" customHeight="1" x14ac:dyDescent="0.3">
      <c r="B171" s="413" t="str">
        <f>Aktiv!C166</f>
        <v>Fachboden klein</v>
      </c>
      <c r="C171" s="413">
        <f>Aktiv!A166</f>
        <v>3706</v>
      </c>
      <c r="D171" s="413" t="str">
        <f>Aktiv!D166</f>
        <v>Fachboden klein (420x580)</v>
      </c>
      <c r="E171" s="413">
        <f>Aktiv!E166</f>
        <v>420</v>
      </c>
      <c r="F171" s="413">
        <f>Aktiv!F166</f>
        <v>580</v>
      </c>
      <c r="G171" s="424">
        <f>Aktiv!G166</f>
        <v>43</v>
      </c>
      <c r="H171" s="424">
        <f>Aktiv!H166</f>
        <v>147</v>
      </c>
      <c r="I171" s="424">
        <f>Aktiv!I166</f>
        <v>153</v>
      </c>
      <c r="J171" s="424">
        <f>Aktiv!J166</f>
        <v>170</v>
      </c>
      <c r="K171" s="424">
        <f>Aktiv!K166</f>
        <v>49</v>
      </c>
      <c r="L171" s="424">
        <f>Aktiv!L166</f>
        <v>169</v>
      </c>
      <c r="M171" s="424">
        <f>Aktiv!M166</f>
        <v>176</v>
      </c>
      <c r="N171" s="424">
        <f>Aktiv!N166</f>
        <v>196</v>
      </c>
    </row>
    <row r="172" spans="2:14" ht="18" customHeight="1" x14ac:dyDescent="0.3">
      <c r="B172" s="414" t="str">
        <f>Aktiv!C167</f>
        <v>Fachboden klein</v>
      </c>
      <c r="C172" s="414">
        <f>Aktiv!A167</f>
        <v>3707</v>
      </c>
      <c r="D172" s="414" t="str">
        <f>Aktiv!D167</f>
        <v>Fachboden klein (580x580)</v>
      </c>
      <c r="E172" s="414">
        <f>Aktiv!E167</f>
        <v>580</v>
      </c>
      <c r="F172" s="414">
        <f>Aktiv!F167</f>
        <v>580</v>
      </c>
      <c r="G172" s="423">
        <f>Aktiv!G167</f>
        <v>59</v>
      </c>
      <c r="H172" s="423">
        <f>Aktiv!H167</f>
        <v>203</v>
      </c>
      <c r="I172" s="423">
        <f>Aktiv!I167</f>
        <v>211</v>
      </c>
      <c r="J172" s="423">
        <f>Aktiv!J167</f>
        <v>235</v>
      </c>
      <c r="K172" s="423">
        <f>Aktiv!K167</f>
        <v>68</v>
      </c>
      <c r="L172" s="423">
        <f>Aktiv!L167</f>
        <v>233</v>
      </c>
      <c r="M172" s="423">
        <f>Aktiv!M167</f>
        <v>243</v>
      </c>
      <c r="N172" s="423">
        <f>Aktiv!N167</f>
        <v>270</v>
      </c>
    </row>
    <row r="173" spans="2:14" ht="18" customHeight="1" x14ac:dyDescent="0.3">
      <c r="B173" s="413" t="str">
        <f>Aktiv!C168</f>
        <v>Fachboden klein</v>
      </c>
      <c r="C173" s="413">
        <f>Aktiv!A168</f>
        <v>3708</v>
      </c>
      <c r="D173" s="413" t="str">
        <f>Aktiv!D168</f>
        <v>Fachboden klein (780x580)</v>
      </c>
      <c r="E173" s="413">
        <f>Aktiv!E168</f>
        <v>780</v>
      </c>
      <c r="F173" s="413">
        <f>Aktiv!F168</f>
        <v>580</v>
      </c>
      <c r="G173" s="424">
        <f>Aktiv!G168</f>
        <v>80</v>
      </c>
      <c r="H173" s="424">
        <f>Aktiv!H168</f>
        <v>273</v>
      </c>
      <c r="I173" s="424">
        <f>Aktiv!I168</f>
        <v>284</v>
      </c>
      <c r="J173" s="424">
        <f>Aktiv!J168</f>
        <v>316</v>
      </c>
      <c r="K173" s="424">
        <f>Aktiv!K168</f>
        <v>92</v>
      </c>
      <c r="L173" s="424">
        <f>Aktiv!L168</f>
        <v>314</v>
      </c>
      <c r="M173" s="424">
        <f>Aktiv!M168</f>
        <v>327</v>
      </c>
      <c r="N173" s="424">
        <f>Aktiv!N168</f>
        <v>363</v>
      </c>
    </row>
    <row r="174" spans="2:14" ht="18" customHeight="1" x14ac:dyDescent="0.3">
      <c r="B174" s="414" t="str">
        <f>Aktiv!C169</f>
        <v>Fachboden klein</v>
      </c>
      <c r="C174" s="414">
        <f>Aktiv!A169</f>
        <v>3709</v>
      </c>
      <c r="D174" s="414" t="str">
        <f>Aktiv!D169</f>
        <v>Fachboden klein (980x580)</v>
      </c>
      <c r="E174" s="414">
        <f>Aktiv!E169</f>
        <v>980</v>
      </c>
      <c r="F174" s="414">
        <f>Aktiv!F169</f>
        <v>580</v>
      </c>
      <c r="G174" s="423">
        <f>Aktiv!G169</f>
        <v>100</v>
      </c>
      <c r="H174" s="423">
        <f>Aktiv!H169</f>
        <v>343</v>
      </c>
      <c r="I174" s="423">
        <f>Aktiv!I169</f>
        <v>357</v>
      </c>
      <c r="J174" s="423">
        <f>Aktiv!J169</f>
        <v>398</v>
      </c>
      <c r="K174" s="423">
        <f>Aktiv!K169</f>
        <v>115</v>
      </c>
      <c r="L174" s="423">
        <f>Aktiv!L169</f>
        <v>394</v>
      </c>
      <c r="M174" s="423">
        <f>Aktiv!M169</f>
        <v>411</v>
      </c>
      <c r="N174" s="423">
        <f>Aktiv!N169</f>
        <v>458</v>
      </c>
    </row>
    <row r="175" spans="2:14" ht="18" customHeight="1" x14ac:dyDescent="0.3">
      <c r="B175" s="413" t="str">
        <f>Aktiv!C170</f>
        <v>Fachboden klein</v>
      </c>
      <c r="C175" s="413">
        <f>Aktiv!A170</f>
        <v>3710</v>
      </c>
      <c r="D175" s="413" t="str">
        <f>Aktiv!D170</f>
        <v>Fachboden klein (780x780)</v>
      </c>
      <c r="E175" s="413">
        <f>Aktiv!E170</f>
        <v>780</v>
      </c>
      <c r="F175" s="413">
        <f>Aktiv!F170</f>
        <v>780</v>
      </c>
      <c r="G175" s="424" t="str">
        <f>Aktiv!G170</f>
        <v>-</v>
      </c>
      <c r="H175" s="424" t="str">
        <f>Aktiv!H170</f>
        <v>-</v>
      </c>
      <c r="I175" s="424" t="str">
        <f>Aktiv!I170</f>
        <v>-</v>
      </c>
      <c r="J175" s="424" t="str">
        <f>Aktiv!J170</f>
        <v>-</v>
      </c>
      <c r="K175" s="424" t="str">
        <f>Aktiv!K170</f>
        <v>-</v>
      </c>
      <c r="L175" s="424" t="str">
        <f>Aktiv!L170</f>
        <v>-</v>
      </c>
      <c r="M175" s="424" t="str">
        <f>Aktiv!M170</f>
        <v>-</v>
      </c>
      <c r="N175" s="424" t="str">
        <f>Aktiv!N170</f>
        <v>-</v>
      </c>
    </row>
    <row r="176" spans="2:14" ht="18" customHeight="1" x14ac:dyDescent="0.3">
      <c r="B176" s="414" t="str">
        <f>Aktiv!C171</f>
        <v>Fachboden klein</v>
      </c>
      <c r="C176" s="414">
        <f>Aktiv!A171</f>
        <v>3711</v>
      </c>
      <c r="D176" s="414" t="str">
        <f>Aktiv!D171</f>
        <v>Fachboden klein (980x780)</v>
      </c>
      <c r="E176" s="414">
        <f>Aktiv!E171</f>
        <v>980</v>
      </c>
      <c r="F176" s="414">
        <f>Aktiv!F171</f>
        <v>780</v>
      </c>
      <c r="G176" s="423" t="str">
        <f>Aktiv!G171</f>
        <v>-</v>
      </c>
      <c r="H176" s="423" t="str">
        <f>Aktiv!H171</f>
        <v>-</v>
      </c>
      <c r="I176" s="423" t="str">
        <f>Aktiv!I171</f>
        <v>-</v>
      </c>
      <c r="J176" s="423" t="str">
        <f>Aktiv!J171</f>
        <v>-</v>
      </c>
      <c r="K176" s="423" t="str">
        <f>Aktiv!K171</f>
        <v>-</v>
      </c>
      <c r="L176" s="423" t="str">
        <f>Aktiv!L171</f>
        <v>-</v>
      </c>
      <c r="M176" s="423" t="str">
        <f>Aktiv!M171</f>
        <v>-</v>
      </c>
      <c r="N176" s="423" t="str">
        <f>Aktiv!N171</f>
        <v>-</v>
      </c>
    </row>
    <row r="177" spans="2:14" ht="18" customHeight="1" x14ac:dyDescent="0.3">
      <c r="B177" s="413" t="str">
        <f>Aktiv!C172</f>
        <v>Fachboden klein</v>
      </c>
      <c r="C177" s="413">
        <f>Aktiv!A172</f>
        <v>3712</v>
      </c>
      <c r="D177" s="413" t="str">
        <f>Aktiv!D172</f>
        <v>Fachboden klein (980x980)</v>
      </c>
      <c r="E177" s="413">
        <f>Aktiv!E172</f>
        <v>980</v>
      </c>
      <c r="F177" s="413">
        <f>Aktiv!F172</f>
        <v>980</v>
      </c>
      <c r="G177" s="424" t="str">
        <f>Aktiv!G172</f>
        <v>-</v>
      </c>
      <c r="H177" s="424" t="str">
        <f>Aktiv!H172</f>
        <v>-</v>
      </c>
      <c r="I177" s="424" t="str">
        <f>Aktiv!I172</f>
        <v>-</v>
      </c>
      <c r="J177" s="424" t="str">
        <f>Aktiv!J172</f>
        <v>-</v>
      </c>
      <c r="K177" s="424" t="str">
        <f>Aktiv!K172</f>
        <v>-</v>
      </c>
      <c r="L177" s="424" t="str">
        <f>Aktiv!L172</f>
        <v>-</v>
      </c>
      <c r="M177" s="424" t="str">
        <f>Aktiv!M172</f>
        <v>-</v>
      </c>
      <c r="N177" s="424" t="str">
        <f>Aktiv!N172</f>
        <v>-</v>
      </c>
    </row>
    <row r="178" spans="2:14" ht="18" customHeight="1" x14ac:dyDescent="0.25">
      <c r="B178" s="420"/>
      <c r="C178" s="420"/>
      <c r="D178" s="420"/>
      <c r="E178" s="420"/>
      <c r="F178" s="420"/>
      <c r="G178" s="421"/>
      <c r="H178" s="421"/>
      <c r="I178" s="421"/>
      <c r="J178" s="421"/>
      <c r="K178" s="421"/>
      <c r="L178" s="421"/>
      <c r="M178" s="421"/>
      <c r="N178" s="421"/>
    </row>
    <row r="179" spans="2:14" ht="18" customHeight="1" x14ac:dyDescent="0.3">
      <c r="B179" s="418" t="s">
        <v>179</v>
      </c>
      <c r="C179" s="418"/>
      <c r="D179" s="418"/>
      <c r="E179" s="418"/>
      <c r="F179" s="418"/>
      <c r="G179" s="419"/>
      <c r="H179" s="419"/>
      <c r="I179" s="419"/>
      <c r="J179" s="419"/>
      <c r="K179" s="419"/>
      <c r="L179" s="419"/>
      <c r="M179" s="419"/>
      <c r="N179" s="419"/>
    </row>
    <row r="180" spans="2:14" ht="18" customHeight="1" x14ac:dyDescent="0.3">
      <c r="B180" s="415" t="str">
        <f>Aktiv!C174</f>
        <v>Fachboden groß</v>
      </c>
      <c r="C180" s="415">
        <f>Aktiv!A174</f>
        <v>3750</v>
      </c>
      <c r="D180" s="415" t="str">
        <f>Aktiv!D174</f>
        <v>Fachboden groß (360x360)</v>
      </c>
      <c r="E180" s="415">
        <f>Aktiv!E174</f>
        <v>360</v>
      </c>
      <c r="F180" s="415">
        <f>Aktiv!F174</f>
        <v>360</v>
      </c>
      <c r="G180" s="422">
        <f>Aktiv!G174</f>
        <v>25</v>
      </c>
      <c r="H180" s="422">
        <f>Aktiv!H174</f>
        <v>103</v>
      </c>
      <c r="I180" s="422">
        <f>Aktiv!I174</f>
        <v>120</v>
      </c>
      <c r="J180" s="422">
        <f>Aktiv!J174</f>
        <v>145</v>
      </c>
      <c r="K180" s="422">
        <f>Aktiv!K174</f>
        <v>29</v>
      </c>
      <c r="L180" s="422">
        <f>Aktiv!L174</f>
        <v>118</v>
      </c>
      <c r="M180" s="422">
        <f>Aktiv!M174</f>
        <v>138</v>
      </c>
      <c r="N180" s="422">
        <f>Aktiv!N174</f>
        <v>167</v>
      </c>
    </row>
    <row r="181" spans="2:14" ht="18" customHeight="1" x14ac:dyDescent="0.3">
      <c r="B181" s="414" t="str">
        <f>Aktiv!C175</f>
        <v>Fachboden groß</v>
      </c>
      <c r="C181" s="414">
        <f>Aktiv!A175</f>
        <v>3751</v>
      </c>
      <c r="D181" s="414" t="str">
        <f>Aktiv!D175</f>
        <v>Fachboden groß (420x360)</v>
      </c>
      <c r="E181" s="414">
        <f>Aktiv!E175</f>
        <v>420</v>
      </c>
      <c r="F181" s="414">
        <f>Aktiv!F175</f>
        <v>360</v>
      </c>
      <c r="G181" s="423">
        <f>Aktiv!G175</f>
        <v>27</v>
      </c>
      <c r="H181" s="423">
        <f>Aktiv!H175</f>
        <v>103</v>
      </c>
      <c r="I181" s="423">
        <f>Aktiv!I175</f>
        <v>120</v>
      </c>
      <c r="J181" s="423">
        <f>Aktiv!J175</f>
        <v>145</v>
      </c>
      <c r="K181" s="423">
        <f>Aktiv!K175</f>
        <v>31</v>
      </c>
      <c r="L181" s="423">
        <f>Aktiv!L175</f>
        <v>118</v>
      </c>
      <c r="M181" s="423">
        <f>Aktiv!M175</f>
        <v>138</v>
      </c>
      <c r="N181" s="423">
        <f>Aktiv!N175</f>
        <v>167</v>
      </c>
    </row>
    <row r="182" spans="2:14" ht="18" customHeight="1" x14ac:dyDescent="0.3">
      <c r="B182" s="413" t="str">
        <f>Aktiv!C176</f>
        <v>Fachboden groß</v>
      </c>
      <c r="C182" s="413">
        <f>Aktiv!A176</f>
        <v>3752</v>
      </c>
      <c r="D182" s="413" t="str">
        <f>Aktiv!D176</f>
        <v>Fachboden groß (580x360)</v>
      </c>
      <c r="E182" s="413">
        <f>Aktiv!E176</f>
        <v>580</v>
      </c>
      <c r="F182" s="413">
        <f>Aktiv!F176</f>
        <v>360</v>
      </c>
      <c r="G182" s="424">
        <f>Aktiv!G176</f>
        <v>37</v>
      </c>
      <c r="H182" s="424">
        <f>Aktiv!H176</f>
        <v>126</v>
      </c>
      <c r="I182" s="424">
        <f>Aktiv!I176</f>
        <v>131</v>
      </c>
      <c r="J182" s="424">
        <f>Aktiv!J176</f>
        <v>146</v>
      </c>
      <c r="K182" s="424">
        <f>Aktiv!K176</f>
        <v>43</v>
      </c>
      <c r="L182" s="424">
        <f>Aktiv!L176</f>
        <v>145</v>
      </c>
      <c r="M182" s="424">
        <f>Aktiv!M176</f>
        <v>151</v>
      </c>
      <c r="N182" s="424">
        <f>Aktiv!N176</f>
        <v>168</v>
      </c>
    </row>
    <row r="183" spans="2:14" ht="18" customHeight="1" x14ac:dyDescent="0.3">
      <c r="B183" s="414" t="str">
        <f>Aktiv!C177</f>
        <v>Fachboden groß</v>
      </c>
      <c r="C183" s="414">
        <f>Aktiv!A177</f>
        <v>3753</v>
      </c>
      <c r="D183" s="414" t="str">
        <f>Aktiv!D177</f>
        <v>Fachboden groß (780x360)</v>
      </c>
      <c r="E183" s="414">
        <f>Aktiv!E177</f>
        <v>780</v>
      </c>
      <c r="F183" s="414">
        <f>Aktiv!F177</f>
        <v>360</v>
      </c>
      <c r="G183" s="423">
        <f>Aktiv!G177</f>
        <v>49</v>
      </c>
      <c r="H183" s="423">
        <f>Aktiv!H177</f>
        <v>169</v>
      </c>
      <c r="I183" s="423">
        <f>Aktiv!I177</f>
        <v>177</v>
      </c>
      <c r="J183" s="423">
        <f>Aktiv!J177</f>
        <v>196</v>
      </c>
      <c r="K183" s="423">
        <f>Aktiv!K177</f>
        <v>56</v>
      </c>
      <c r="L183" s="423">
        <f>Aktiv!L177</f>
        <v>194</v>
      </c>
      <c r="M183" s="423">
        <f>Aktiv!M177</f>
        <v>204</v>
      </c>
      <c r="N183" s="423">
        <f>Aktiv!N177</f>
        <v>225</v>
      </c>
    </row>
    <row r="184" spans="2:14" ht="18" customHeight="1" x14ac:dyDescent="0.3">
      <c r="B184" s="413" t="str">
        <f>Aktiv!C178</f>
        <v>Fachboden groß</v>
      </c>
      <c r="C184" s="413">
        <f>Aktiv!A178</f>
        <v>3754</v>
      </c>
      <c r="D184" s="413" t="str">
        <f>Aktiv!D178</f>
        <v>Fachboden groß (980x360)</v>
      </c>
      <c r="E184" s="413">
        <f>Aktiv!E178</f>
        <v>980</v>
      </c>
      <c r="F184" s="413">
        <f>Aktiv!F178</f>
        <v>360</v>
      </c>
      <c r="G184" s="424">
        <f>Aktiv!G178</f>
        <v>62</v>
      </c>
      <c r="H184" s="424">
        <f>Aktiv!H178</f>
        <v>213</v>
      </c>
      <c r="I184" s="424">
        <f>Aktiv!I178</f>
        <v>222</v>
      </c>
      <c r="J184" s="424">
        <f>Aktiv!J178</f>
        <v>247</v>
      </c>
      <c r="K184" s="424">
        <f>Aktiv!K178</f>
        <v>71</v>
      </c>
      <c r="L184" s="424">
        <f>Aktiv!L178</f>
        <v>245</v>
      </c>
      <c r="M184" s="424">
        <f>Aktiv!M178</f>
        <v>255</v>
      </c>
      <c r="N184" s="424">
        <f>Aktiv!N178</f>
        <v>284</v>
      </c>
    </row>
    <row r="185" spans="2:14" ht="18" customHeight="1" x14ac:dyDescent="0.3">
      <c r="B185" s="414" t="str">
        <f>Aktiv!C179</f>
        <v>Fachboden groß</v>
      </c>
      <c r="C185" s="414">
        <f>Aktiv!A179</f>
        <v>3755</v>
      </c>
      <c r="D185" s="414" t="str">
        <f>Aktiv!D179</f>
        <v>Fachboden groß (360x580)</v>
      </c>
      <c r="E185" s="414">
        <f>Aktiv!E179</f>
        <v>360</v>
      </c>
      <c r="F185" s="414">
        <f>Aktiv!F179</f>
        <v>580</v>
      </c>
      <c r="G185" s="423">
        <f>Aktiv!G179</f>
        <v>37</v>
      </c>
      <c r="H185" s="423">
        <f>Aktiv!H179</f>
        <v>126</v>
      </c>
      <c r="I185" s="423">
        <f>Aktiv!I179</f>
        <v>131</v>
      </c>
      <c r="J185" s="423">
        <f>Aktiv!J179</f>
        <v>146</v>
      </c>
      <c r="K185" s="423">
        <f>Aktiv!K179</f>
        <v>43</v>
      </c>
      <c r="L185" s="423">
        <f>Aktiv!L179</f>
        <v>145</v>
      </c>
      <c r="M185" s="423">
        <f>Aktiv!M179</f>
        <v>151</v>
      </c>
      <c r="N185" s="423">
        <f>Aktiv!N179</f>
        <v>168</v>
      </c>
    </row>
    <row r="186" spans="2:14" ht="18" customHeight="1" x14ac:dyDescent="0.3">
      <c r="B186" s="413" t="str">
        <f>Aktiv!C180</f>
        <v>Fachboden groß</v>
      </c>
      <c r="C186" s="413">
        <f>Aktiv!A180</f>
        <v>3756</v>
      </c>
      <c r="D186" s="413" t="str">
        <f>Aktiv!D180</f>
        <v>Fachboden groß (420x580)</v>
      </c>
      <c r="E186" s="413">
        <f>Aktiv!E180</f>
        <v>420</v>
      </c>
      <c r="F186" s="413">
        <f>Aktiv!F180</f>
        <v>580</v>
      </c>
      <c r="G186" s="424">
        <f>Aktiv!G180</f>
        <v>43</v>
      </c>
      <c r="H186" s="424">
        <f>Aktiv!H180</f>
        <v>147</v>
      </c>
      <c r="I186" s="424">
        <f>Aktiv!I180</f>
        <v>153</v>
      </c>
      <c r="J186" s="424">
        <f>Aktiv!J180</f>
        <v>170</v>
      </c>
      <c r="K186" s="424">
        <f>Aktiv!K180</f>
        <v>49</v>
      </c>
      <c r="L186" s="424">
        <f>Aktiv!L180</f>
        <v>169</v>
      </c>
      <c r="M186" s="424">
        <f>Aktiv!M180</f>
        <v>176</v>
      </c>
      <c r="N186" s="424">
        <f>Aktiv!N180</f>
        <v>196</v>
      </c>
    </row>
    <row r="187" spans="2:14" ht="18" customHeight="1" x14ac:dyDescent="0.3">
      <c r="B187" s="414" t="str">
        <f>Aktiv!C181</f>
        <v>Fachboden groß</v>
      </c>
      <c r="C187" s="414">
        <f>Aktiv!A181</f>
        <v>3757</v>
      </c>
      <c r="D187" s="414" t="str">
        <f>Aktiv!D181</f>
        <v>Fachboden groß (580x580)</v>
      </c>
      <c r="E187" s="414">
        <f>Aktiv!E181</f>
        <v>580</v>
      </c>
      <c r="F187" s="414">
        <f>Aktiv!F181</f>
        <v>580</v>
      </c>
      <c r="G187" s="423">
        <f>Aktiv!G181</f>
        <v>59</v>
      </c>
      <c r="H187" s="423">
        <f>Aktiv!H181</f>
        <v>203</v>
      </c>
      <c r="I187" s="423">
        <f>Aktiv!I181</f>
        <v>211</v>
      </c>
      <c r="J187" s="423">
        <f>Aktiv!J181</f>
        <v>235</v>
      </c>
      <c r="K187" s="423">
        <f>Aktiv!K181</f>
        <v>68</v>
      </c>
      <c r="L187" s="423">
        <f>Aktiv!L181</f>
        <v>233</v>
      </c>
      <c r="M187" s="423">
        <f>Aktiv!M181</f>
        <v>243</v>
      </c>
      <c r="N187" s="423">
        <f>Aktiv!N181</f>
        <v>270</v>
      </c>
    </row>
    <row r="188" spans="2:14" ht="18" customHeight="1" x14ac:dyDescent="0.3">
      <c r="B188" s="413" t="str">
        <f>Aktiv!C182</f>
        <v>Fachboden groß</v>
      </c>
      <c r="C188" s="413">
        <f>Aktiv!A182</f>
        <v>3758</v>
      </c>
      <c r="D188" s="413" t="str">
        <f>Aktiv!D182</f>
        <v>Fachboden groß (780x580)</v>
      </c>
      <c r="E188" s="413">
        <f>Aktiv!E182</f>
        <v>780</v>
      </c>
      <c r="F188" s="413">
        <f>Aktiv!F182</f>
        <v>580</v>
      </c>
      <c r="G188" s="424">
        <f>Aktiv!G182</f>
        <v>80</v>
      </c>
      <c r="H188" s="424">
        <f>Aktiv!H182</f>
        <v>273</v>
      </c>
      <c r="I188" s="424">
        <f>Aktiv!I182</f>
        <v>284</v>
      </c>
      <c r="J188" s="424">
        <f>Aktiv!J182</f>
        <v>316</v>
      </c>
      <c r="K188" s="424">
        <f>Aktiv!K182</f>
        <v>92</v>
      </c>
      <c r="L188" s="424">
        <f>Aktiv!L182</f>
        <v>314</v>
      </c>
      <c r="M188" s="424">
        <f>Aktiv!M182</f>
        <v>327</v>
      </c>
      <c r="N188" s="424">
        <f>Aktiv!N182</f>
        <v>363</v>
      </c>
    </row>
    <row r="189" spans="2:14" ht="18" customHeight="1" x14ac:dyDescent="0.3">
      <c r="B189" s="414" t="str">
        <f>Aktiv!C183</f>
        <v>Fachboden groß</v>
      </c>
      <c r="C189" s="414">
        <f>Aktiv!A183</f>
        <v>3759</v>
      </c>
      <c r="D189" s="414" t="str">
        <f>Aktiv!D183</f>
        <v>Fachboden groß (980x580)</v>
      </c>
      <c r="E189" s="414">
        <f>Aktiv!E183</f>
        <v>980</v>
      </c>
      <c r="F189" s="414">
        <f>Aktiv!F183</f>
        <v>580</v>
      </c>
      <c r="G189" s="423">
        <f>Aktiv!G183</f>
        <v>100</v>
      </c>
      <c r="H189" s="423">
        <f>Aktiv!H183</f>
        <v>343</v>
      </c>
      <c r="I189" s="423">
        <f>Aktiv!I183</f>
        <v>357</v>
      </c>
      <c r="J189" s="423">
        <f>Aktiv!J183</f>
        <v>398</v>
      </c>
      <c r="K189" s="423">
        <f>Aktiv!K183</f>
        <v>115</v>
      </c>
      <c r="L189" s="423">
        <f>Aktiv!L183</f>
        <v>394</v>
      </c>
      <c r="M189" s="423">
        <f>Aktiv!M183</f>
        <v>411</v>
      </c>
      <c r="N189" s="423">
        <f>Aktiv!N183</f>
        <v>458</v>
      </c>
    </row>
    <row r="190" spans="2:14" ht="18" customHeight="1" x14ac:dyDescent="0.3">
      <c r="B190" s="413" t="str">
        <f>Aktiv!C184</f>
        <v>Fachboden groß</v>
      </c>
      <c r="C190" s="413">
        <f>Aktiv!A184</f>
        <v>3760</v>
      </c>
      <c r="D190" s="413" t="str">
        <f>Aktiv!D184</f>
        <v>Fachboden groß (780x780)</v>
      </c>
      <c r="E190" s="413">
        <f>Aktiv!E184</f>
        <v>780</v>
      </c>
      <c r="F190" s="413">
        <f>Aktiv!F184</f>
        <v>780</v>
      </c>
      <c r="G190" s="424" t="str">
        <f>Aktiv!G184</f>
        <v>-</v>
      </c>
      <c r="H190" s="424" t="str">
        <f>Aktiv!H184</f>
        <v>-</v>
      </c>
      <c r="I190" s="424" t="str">
        <f>Aktiv!I184</f>
        <v>-</v>
      </c>
      <c r="J190" s="424" t="str">
        <f>Aktiv!J184</f>
        <v>-</v>
      </c>
      <c r="K190" s="424" t="str">
        <f>Aktiv!K184</f>
        <v>-</v>
      </c>
      <c r="L190" s="424" t="str">
        <f>Aktiv!L184</f>
        <v>-</v>
      </c>
      <c r="M190" s="424" t="str">
        <f>Aktiv!M184</f>
        <v>-</v>
      </c>
      <c r="N190" s="424" t="str">
        <f>Aktiv!N184</f>
        <v>-</v>
      </c>
    </row>
    <row r="191" spans="2:14" ht="18" customHeight="1" x14ac:dyDescent="0.3">
      <c r="B191" s="414" t="str">
        <f>Aktiv!C185</f>
        <v>Fachboden groß</v>
      </c>
      <c r="C191" s="414">
        <f>Aktiv!A185</f>
        <v>3761</v>
      </c>
      <c r="D191" s="414" t="str">
        <f>Aktiv!D185</f>
        <v>Fachboden groß (980x780)</v>
      </c>
      <c r="E191" s="414">
        <f>Aktiv!E185</f>
        <v>980</v>
      </c>
      <c r="F191" s="414">
        <f>Aktiv!F185</f>
        <v>780</v>
      </c>
      <c r="G191" s="423" t="str">
        <f>Aktiv!G185</f>
        <v>-</v>
      </c>
      <c r="H191" s="423" t="str">
        <f>Aktiv!H185</f>
        <v>-</v>
      </c>
      <c r="I191" s="423" t="str">
        <f>Aktiv!I185</f>
        <v>-</v>
      </c>
      <c r="J191" s="423" t="str">
        <f>Aktiv!J185</f>
        <v>-</v>
      </c>
      <c r="K191" s="423" t="str">
        <f>Aktiv!K185</f>
        <v>-</v>
      </c>
      <c r="L191" s="423" t="str">
        <f>Aktiv!L185</f>
        <v>-</v>
      </c>
      <c r="M191" s="423" t="str">
        <f>Aktiv!M185</f>
        <v>-</v>
      </c>
      <c r="N191" s="423" t="str">
        <f>Aktiv!N185</f>
        <v>-</v>
      </c>
    </row>
    <row r="192" spans="2:14" ht="18" customHeight="1" x14ac:dyDescent="0.3">
      <c r="B192" s="413" t="str">
        <f>Aktiv!C186</f>
        <v>Fachboden groß</v>
      </c>
      <c r="C192" s="413">
        <f>Aktiv!A186</f>
        <v>3762</v>
      </c>
      <c r="D192" s="413" t="str">
        <f>Aktiv!D186</f>
        <v>Fachboden groß (980x980)</v>
      </c>
      <c r="E192" s="413">
        <f>Aktiv!E186</f>
        <v>980</v>
      </c>
      <c r="F192" s="413">
        <f>Aktiv!F186</f>
        <v>980</v>
      </c>
      <c r="G192" s="424" t="str">
        <f>Aktiv!G186</f>
        <v>-</v>
      </c>
      <c r="H192" s="424" t="str">
        <f>Aktiv!H186</f>
        <v>-</v>
      </c>
      <c r="I192" s="424" t="str">
        <f>Aktiv!I186</f>
        <v>-</v>
      </c>
      <c r="J192" s="424" t="str">
        <f>Aktiv!J186</f>
        <v>-</v>
      </c>
      <c r="K192" s="424" t="str">
        <f>Aktiv!K186</f>
        <v>-</v>
      </c>
      <c r="L192" s="424" t="str">
        <f>Aktiv!L186</f>
        <v>-</v>
      </c>
      <c r="M192" s="424" t="str">
        <f>Aktiv!M186</f>
        <v>-</v>
      </c>
      <c r="N192" s="424" t="str">
        <f>Aktiv!N186</f>
        <v>-</v>
      </c>
    </row>
    <row r="193" spans="2:14" ht="18" customHeight="1" x14ac:dyDescent="0.25">
      <c r="B193" s="420"/>
      <c r="C193" s="420"/>
      <c r="D193" s="420"/>
      <c r="E193" s="420"/>
      <c r="F193" s="420"/>
      <c r="G193" s="421"/>
      <c r="H193" s="421"/>
      <c r="I193" s="421"/>
      <c r="J193" s="421"/>
      <c r="K193" s="421"/>
      <c r="L193" s="421"/>
      <c r="M193" s="421"/>
      <c r="N193" s="421"/>
    </row>
    <row r="194" spans="2:14" ht="18" customHeight="1" x14ac:dyDescent="0.3">
      <c r="B194" s="418" t="s">
        <v>193</v>
      </c>
      <c r="C194" s="418"/>
      <c r="D194" s="418"/>
      <c r="E194" s="418"/>
      <c r="F194" s="418"/>
      <c r="G194" s="419"/>
      <c r="H194" s="419"/>
      <c r="I194" s="419"/>
      <c r="J194" s="419"/>
      <c r="K194" s="419"/>
      <c r="L194" s="419"/>
      <c r="M194" s="419"/>
      <c r="N194" s="419"/>
    </row>
    <row r="195" spans="2:14" ht="18" customHeight="1" x14ac:dyDescent="0.3">
      <c r="B195" s="415" t="str">
        <f>Aktiv!C188</f>
        <v>Klappenboden</v>
      </c>
      <c r="C195" s="415">
        <f>Aktiv!A188</f>
        <v>3800</v>
      </c>
      <c r="D195" s="415" t="str">
        <f>Aktiv!D188</f>
        <v>Klappenboden (360x360)</v>
      </c>
      <c r="E195" s="415">
        <f>Aktiv!E188</f>
        <v>360</v>
      </c>
      <c r="F195" s="415">
        <f>Aktiv!F188</f>
        <v>360</v>
      </c>
      <c r="G195" s="422">
        <f>Aktiv!G188</f>
        <v>25</v>
      </c>
      <c r="H195" s="422">
        <f>Aktiv!H188</f>
        <v>103</v>
      </c>
      <c r="I195" s="422">
        <f>Aktiv!I188</f>
        <v>120</v>
      </c>
      <c r="J195" s="422">
        <f>Aktiv!J188</f>
        <v>145</v>
      </c>
      <c r="K195" s="422">
        <f>Aktiv!K188</f>
        <v>29</v>
      </c>
      <c r="L195" s="422">
        <f>Aktiv!L188</f>
        <v>118</v>
      </c>
      <c r="M195" s="422">
        <f>Aktiv!M188</f>
        <v>138</v>
      </c>
      <c r="N195" s="422" t="str">
        <f>Aktiv!N188</f>
        <v>-</v>
      </c>
    </row>
    <row r="196" spans="2:14" ht="18" customHeight="1" x14ac:dyDescent="0.3">
      <c r="B196" s="414" t="str">
        <f>Aktiv!C189</f>
        <v>Klappenboden</v>
      </c>
      <c r="C196" s="414">
        <f>Aktiv!A189</f>
        <v>3801</v>
      </c>
      <c r="D196" s="414" t="str">
        <f>Aktiv!D189</f>
        <v>Klappenboden (420x360)</v>
      </c>
      <c r="E196" s="414">
        <f>Aktiv!E189</f>
        <v>420</v>
      </c>
      <c r="F196" s="414">
        <f>Aktiv!F189</f>
        <v>360</v>
      </c>
      <c r="G196" s="423">
        <f>Aktiv!G189</f>
        <v>27</v>
      </c>
      <c r="H196" s="423">
        <f>Aktiv!H189</f>
        <v>103</v>
      </c>
      <c r="I196" s="423">
        <f>Aktiv!I189</f>
        <v>120</v>
      </c>
      <c r="J196" s="423">
        <f>Aktiv!J189</f>
        <v>145</v>
      </c>
      <c r="K196" s="423">
        <f>Aktiv!K189</f>
        <v>31</v>
      </c>
      <c r="L196" s="423">
        <f>Aktiv!L189</f>
        <v>118</v>
      </c>
      <c r="M196" s="423">
        <f>Aktiv!M189</f>
        <v>138</v>
      </c>
      <c r="N196" s="423" t="str">
        <f>Aktiv!N189</f>
        <v>-</v>
      </c>
    </row>
    <row r="197" spans="2:14" ht="18" customHeight="1" x14ac:dyDescent="0.3">
      <c r="B197" s="413" t="str">
        <f>Aktiv!C190</f>
        <v>Klappenboden</v>
      </c>
      <c r="C197" s="413">
        <f>Aktiv!A190</f>
        <v>3802</v>
      </c>
      <c r="D197" s="413" t="str">
        <f>Aktiv!D190</f>
        <v>Klappenboden (580x360)</v>
      </c>
      <c r="E197" s="413">
        <f>Aktiv!E190</f>
        <v>580</v>
      </c>
      <c r="F197" s="413">
        <f>Aktiv!F190</f>
        <v>360</v>
      </c>
      <c r="G197" s="424">
        <f>Aktiv!G190</f>
        <v>37</v>
      </c>
      <c r="H197" s="424">
        <f>Aktiv!H190</f>
        <v>126</v>
      </c>
      <c r="I197" s="424">
        <f>Aktiv!I190</f>
        <v>131</v>
      </c>
      <c r="J197" s="424">
        <f>Aktiv!J190</f>
        <v>146</v>
      </c>
      <c r="K197" s="424">
        <f>Aktiv!K190</f>
        <v>43</v>
      </c>
      <c r="L197" s="424">
        <f>Aktiv!L190</f>
        <v>145</v>
      </c>
      <c r="M197" s="424">
        <f>Aktiv!M190</f>
        <v>151</v>
      </c>
      <c r="N197" s="424" t="str">
        <f>Aktiv!N190</f>
        <v>-</v>
      </c>
    </row>
    <row r="198" spans="2:14" ht="18" customHeight="1" x14ac:dyDescent="0.3">
      <c r="B198" s="414" t="str">
        <f>Aktiv!C191</f>
        <v>Klappenboden</v>
      </c>
      <c r="C198" s="414">
        <f>Aktiv!A191</f>
        <v>3803</v>
      </c>
      <c r="D198" s="414" t="str">
        <f>Aktiv!D191</f>
        <v>Klappenboden (780x360)</v>
      </c>
      <c r="E198" s="414">
        <f>Aktiv!E191</f>
        <v>780</v>
      </c>
      <c r="F198" s="414">
        <f>Aktiv!F191</f>
        <v>360</v>
      </c>
      <c r="G198" s="423">
        <f>Aktiv!G191</f>
        <v>49</v>
      </c>
      <c r="H198" s="423">
        <f>Aktiv!H191</f>
        <v>169</v>
      </c>
      <c r="I198" s="423">
        <f>Aktiv!I191</f>
        <v>177</v>
      </c>
      <c r="J198" s="423">
        <f>Aktiv!J191</f>
        <v>196</v>
      </c>
      <c r="K198" s="423">
        <f>Aktiv!K191</f>
        <v>56</v>
      </c>
      <c r="L198" s="423">
        <f>Aktiv!L191</f>
        <v>194</v>
      </c>
      <c r="M198" s="423">
        <f>Aktiv!M191</f>
        <v>204</v>
      </c>
      <c r="N198" s="423" t="str">
        <f>Aktiv!N191</f>
        <v>-</v>
      </c>
    </row>
    <row r="199" spans="2:14" ht="18" customHeight="1" x14ac:dyDescent="0.3">
      <c r="B199" s="413" t="str">
        <f>Aktiv!C192</f>
        <v>Klappenboden</v>
      </c>
      <c r="C199" s="413">
        <f>Aktiv!A192</f>
        <v>3804</v>
      </c>
      <c r="D199" s="413" t="str">
        <f>Aktiv!D192</f>
        <v>Klappenboden (980x360)</v>
      </c>
      <c r="E199" s="413">
        <f>Aktiv!E192</f>
        <v>980</v>
      </c>
      <c r="F199" s="413">
        <f>Aktiv!F192</f>
        <v>360</v>
      </c>
      <c r="G199" s="424">
        <f>Aktiv!G192</f>
        <v>62</v>
      </c>
      <c r="H199" s="424">
        <f>Aktiv!H192</f>
        <v>213</v>
      </c>
      <c r="I199" s="424">
        <f>Aktiv!I192</f>
        <v>222</v>
      </c>
      <c r="J199" s="424">
        <f>Aktiv!J192</f>
        <v>247</v>
      </c>
      <c r="K199" s="424">
        <f>Aktiv!K192</f>
        <v>71</v>
      </c>
      <c r="L199" s="424">
        <f>Aktiv!L192</f>
        <v>245</v>
      </c>
      <c r="M199" s="424">
        <f>Aktiv!M192</f>
        <v>255</v>
      </c>
      <c r="N199" s="424" t="str">
        <f>Aktiv!N192</f>
        <v>-</v>
      </c>
    </row>
    <row r="200" spans="2:14" ht="18" customHeight="1" x14ac:dyDescent="0.3">
      <c r="B200" s="414" t="str">
        <f>Aktiv!C193</f>
        <v>Klappenboden</v>
      </c>
      <c r="C200" s="414">
        <f>Aktiv!A193</f>
        <v>3805</v>
      </c>
      <c r="D200" s="414" t="str">
        <f>Aktiv!D193</f>
        <v>Klappenboden (360x580)</v>
      </c>
      <c r="E200" s="414">
        <f>Aktiv!E193</f>
        <v>360</v>
      </c>
      <c r="F200" s="414">
        <f>Aktiv!F193</f>
        <v>580</v>
      </c>
      <c r="G200" s="423">
        <f>Aktiv!G193</f>
        <v>37</v>
      </c>
      <c r="H200" s="423">
        <f>Aktiv!H193</f>
        <v>126</v>
      </c>
      <c r="I200" s="423">
        <f>Aktiv!I193</f>
        <v>131</v>
      </c>
      <c r="J200" s="423">
        <f>Aktiv!J193</f>
        <v>146</v>
      </c>
      <c r="K200" s="423">
        <f>Aktiv!K193</f>
        <v>43</v>
      </c>
      <c r="L200" s="423">
        <f>Aktiv!L193</f>
        <v>145</v>
      </c>
      <c r="M200" s="423">
        <f>Aktiv!M193</f>
        <v>151</v>
      </c>
      <c r="N200" s="423" t="str">
        <f>Aktiv!N193</f>
        <v>-</v>
      </c>
    </row>
    <row r="201" spans="2:14" ht="18" customHeight="1" x14ac:dyDescent="0.3">
      <c r="B201" s="413" t="str">
        <f>Aktiv!C194</f>
        <v>Klappenboden</v>
      </c>
      <c r="C201" s="413">
        <f>Aktiv!A194</f>
        <v>3806</v>
      </c>
      <c r="D201" s="413" t="str">
        <f>Aktiv!D194</f>
        <v>Klappenboden (420x580)</v>
      </c>
      <c r="E201" s="413">
        <f>Aktiv!E194</f>
        <v>420</v>
      </c>
      <c r="F201" s="413">
        <f>Aktiv!F194</f>
        <v>580</v>
      </c>
      <c r="G201" s="424">
        <f>Aktiv!G194</f>
        <v>43</v>
      </c>
      <c r="H201" s="424">
        <f>Aktiv!H194</f>
        <v>147</v>
      </c>
      <c r="I201" s="424">
        <f>Aktiv!I194</f>
        <v>153</v>
      </c>
      <c r="J201" s="424">
        <f>Aktiv!J194</f>
        <v>170</v>
      </c>
      <c r="K201" s="424">
        <f>Aktiv!K194</f>
        <v>49</v>
      </c>
      <c r="L201" s="424">
        <f>Aktiv!L194</f>
        <v>169</v>
      </c>
      <c r="M201" s="424">
        <f>Aktiv!M194</f>
        <v>176</v>
      </c>
      <c r="N201" s="424" t="str">
        <f>Aktiv!N194</f>
        <v>-</v>
      </c>
    </row>
    <row r="202" spans="2:14" ht="18" customHeight="1" x14ac:dyDescent="0.3">
      <c r="B202" s="414" t="str">
        <f>Aktiv!C195</f>
        <v>Klappenboden</v>
      </c>
      <c r="C202" s="414">
        <f>Aktiv!A195</f>
        <v>3807</v>
      </c>
      <c r="D202" s="414" t="str">
        <f>Aktiv!D195</f>
        <v>Klappenboden (580x580)</v>
      </c>
      <c r="E202" s="414">
        <f>Aktiv!E195</f>
        <v>580</v>
      </c>
      <c r="F202" s="414">
        <f>Aktiv!F195</f>
        <v>580</v>
      </c>
      <c r="G202" s="423">
        <f>Aktiv!G195</f>
        <v>59</v>
      </c>
      <c r="H202" s="423">
        <f>Aktiv!H195</f>
        <v>203</v>
      </c>
      <c r="I202" s="423">
        <f>Aktiv!I195</f>
        <v>211</v>
      </c>
      <c r="J202" s="423">
        <f>Aktiv!J195</f>
        <v>235</v>
      </c>
      <c r="K202" s="423">
        <f>Aktiv!K195</f>
        <v>68</v>
      </c>
      <c r="L202" s="423">
        <f>Aktiv!L195</f>
        <v>233</v>
      </c>
      <c r="M202" s="423">
        <f>Aktiv!M195</f>
        <v>243</v>
      </c>
      <c r="N202" s="423" t="str">
        <f>Aktiv!N195</f>
        <v>-</v>
      </c>
    </row>
    <row r="203" spans="2:14" ht="18" customHeight="1" x14ac:dyDescent="0.3">
      <c r="B203" s="413" t="str">
        <f>Aktiv!C196</f>
        <v>Klappenboden</v>
      </c>
      <c r="C203" s="413">
        <f>Aktiv!A196</f>
        <v>3808</v>
      </c>
      <c r="D203" s="413" t="str">
        <f>Aktiv!D196</f>
        <v>Klappenboden (780x580)</v>
      </c>
      <c r="E203" s="413">
        <f>Aktiv!E196</f>
        <v>780</v>
      </c>
      <c r="F203" s="413">
        <f>Aktiv!F196</f>
        <v>580</v>
      </c>
      <c r="G203" s="424">
        <f>Aktiv!G196</f>
        <v>80</v>
      </c>
      <c r="H203" s="424">
        <f>Aktiv!H196</f>
        <v>273</v>
      </c>
      <c r="I203" s="424">
        <f>Aktiv!I196</f>
        <v>284</v>
      </c>
      <c r="J203" s="424">
        <f>Aktiv!J196</f>
        <v>316</v>
      </c>
      <c r="K203" s="424">
        <f>Aktiv!K196</f>
        <v>92</v>
      </c>
      <c r="L203" s="424">
        <f>Aktiv!L196</f>
        <v>314</v>
      </c>
      <c r="M203" s="424">
        <f>Aktiv!M196</f>
        <v>327</v>
      </c>
      <c r="N203" s="424" t="str">
        <f>Aktiv!N196</f>
        <v>-</v>
      </c>
    </row>
    <row r="204" spans="2:14" ht="18" customHeight="1" x14ac:dyDescent="0.3">
      <c r="B204" s="414" t="str">
        <f>Aktiv!C197</f>
        <v>Klappenboden</v>
      </c>
      <c r="C204" s="414">
        <f>Aktiv!A197</f>
        <v>3809</v>
      </c>
      <c r="D204" s="414" t="str">
        <f>Aktiv!D197</f>
        <v>Klappenboden (980x580)</v>
      </c>
      <c r="E204" s="414">
        <f>Aktiv!E197</f>
        <v>980</v>
      </c>
      <c r="F204" s="414">
        <f>Aktiv!F197</f>
        <v>580</v>
      </c>
      <c r="G204" s="423">
        <f>Aktiv!G197</f>
        <v>100</v>
      </c>
      <c r="H204" s="423">
        <f>Aktiv!H197</f>
        <v>343</v>
      </c>
      <c r="I204" s="423">
        <f>Aktiv!I197</f>
        <v>357</v>
      </c>
      <c r="J204" s="423">
        <f>Aktiv!J197</f>
        <v>398</v>
      </c>
      <c r="K204" s="423">
        <f>Aktiv!K197</f>
        <v>115</v>
      </c>
      <c r="L204" s="423">
        <f>Aktiv!L197</f>
        <v>394</v>
      </c>
      <c r="M204" s="423">
        <f>Aktiv!M197</f>
        <v>411</v>
      </c>
      <c r="N204" s="423" t="str">
        <f>Aktiv!N197</f>
        <v>-</v>
      </c>
    </row>
    <row r="205" spans="2:14" ht="18" customHeight="1" x14ac:dyDescent="0.3">
      <c r="B205" s="413" t="str">
        <f>Aktiv!C198</f>
        <v>Klappenboden</v>
      </c>
      <c r="C205" s="413">
        <f>Aktiv!A198</f>
        <v>3810</v>
      </c>
      <c r="D205" s="413" t="str">
        <f>Aktiv!D198</f>
        <v>Klappenboden (420x780)</v>
      </c>
      <c r="E205" s="413">
        <f>Aktiv!E198</f>
        <v>420</v>
      </c>
      <c r="F205" s="413">
        <f>Aktiv!F198</f>
        <v>780</v>
      </c>
      <c r="G205" s="424" t="str">
        <f>Aktiv!G198</f>
        <v>-</v>
      </c>
      <c r="H205" s="424" t="str">
        <f>Aktiv!H198</f>
        <v>-</v>
      </c>
      <c r="I205" s="424" t="str">
        <f>Aktiv!I198</f>
        <v>-</v>
      </c>
      <c r="J205" s="424" t="str">
        <f>Aktiv!J198</f>
        <v>-</v>
      </c>
      <c r="K205" s="424" t="str">
        <f>Aktiv!K198</f>
        <v>-</v>
      </c>
      <c r="L205" s="424" t="str">
        <f>Aktiv!L198</f>
        <v>-</v>
      </c>
      <c r="M205" s="424" t="str">
        <f>Aktiv!M198</f>
        <v>-</v>
      </c>
      <c r="N205" s="424" t="str">
        <f>Aktiv!N198</f>
        <v>-</v>
      </c>
    </row>
    <row r="206" spans="2:14" ht="18" customHeight="1" x14ac:dyDescent="0.3">
      <c r="B206" s="414" t="str">
        <f>Aktiv!C199</f>
        <v>Klappenboden</v>
      </c>
      <c r="C206" s="414">
        <f>Aktiv!A199</f>
        <v>3811</v>
      </c>
      <c r="D206" s="414" t="str">
        <f>Aktiv!D199</f>
        <v>Klappenboden (420x980)</v>
      </c>
      <c r="E206" s="414">
        <f>Aktiv!E199</f>
        <v>420</v>
      </c>
      <c r="F206" s="414">
        <f>Aktiv!F199</f>
        <v>980</v>
      </c>
      <c r="G206" s="423" t="str">
        <f>Aktiv!G199</f>
        <v>-</v>
      </c>
      <c r="H206" s="423" t="str">
        <f>Aktiv!H199</f>
        <v>-</v>
      </c>
      <c r="I206" s="423" t="str">
        <f>Aktiv!I199</f>
        <v>-</v>
      </c>
      <c r="J206" s="423" t="str">
        <f>Aktiv!J199</f>
        <v>-</v>
      </c>
      <c r="K206" s="423" t="str">
        <f>Aktiv!K199</f>
        <v>-</v>
      </c>
      <c r="L206" s="423" t="str">
        <f>Aktiv!L199</f>
        <v>-</v>
      </c>
      <c r="M206" s="423" t="str">
        <f>Aktiv!M199</f>
        <v>-</v>
      </c>
      <c r="N206" s="423" t="str">
        <f>Aktiv!N199</f>
        <v>-</v>
      </c>
    </row>
    <row r="207" spans="2:14" ht="18" customHeight="1" x14ac:dyDescent="0.3">
      <c r="B207" s="413" t="str">
        <f>Aktiv!C200</f>
        <v>Klappenboden</v>
      </c>
      <c r="C207" s="413">
        <f>Aktiv!A200</f>
        <v>3812</v>
      </c>
      <c r="D207" s="413" t="str">
        <f>Aktiv!D200</f>
        <v>Klappenboden (780x780)</v>
      </c>
      <c r="E207" s="413">
        <f>Aktiv!E200</f>
        <v>780</v>
      </c>
      <c r="F207" s="413">
        <f>Aktiv!F200</f>
        <v>780</v>
      </c>
      <c r="G207" s="424" t="str">
        <f>Aktiv!G200</f>
        <v>-</v>
      </c>
      <c r="H207" s="424" t="str">
        <f>Aktiv!H200</f>
        <v>-</v>
      </c>
      <c r="I207" s="424" t="str">
        <f>Aktiv!I200</f>
        <v>-</v>
      </c>
      <c r="J207" s="424" t="str">
        <f>Aktiv!J200</f>
        <v>-</v>
      </c>
      <c r="K207" s="424" t="str">
        <f>Aktiv!K200</f>
        <v>-</v>
      </c>
      <c r="L207" s="424" t="str">
        <f>Aktiv!L200</f>
        <v>-</v>
      </c>
      <c r="M207" s="424" t="str">
        <f>Aktiv!M200</f>
        <v>-</v>
      </c>
      <c r="N207" s="424" t="str">
        <f>Aktiv!N200</f>
        <v>-</v>
      </c>
    </row>
    <row r="208" spans="2:14" ht="18" customHeight="1" x14ac:dyDescent="0.3">
      <c r="B208" s="414" t="str">
        <f>Aktiv!C201</f>
        <v>Klappenboden</v>
      </c>
      <c r="C208" s="414">
        <f>Aktiv!A201</f>
        <v>3813</v>
      </c>
      <c r="D208" s="414" t="str">
        <f>Aktiv!D201</f>
        <v>Klappenboden (780x980)</v>
      </c>
      <c r="E208" s="414">
        <f>Aktiv!E201</f>
        <v>780</v>
      </c>
      <c r="F208" s="414">
        <f>Aktiv!F201</f>
        <v>980</v>
      </c>
      <c r="G208" s="423" t="str">
        <f>Aktiv!G201</f>
        <v>-</v>
      </c>
      <c r="H208" s="423" t="str">
        <f>Aktiv!H201</f>
        <v>-</v>
      </c>
      <c r="I208" s="423" t="str">
        <f>Aktiv!I201</f>
        <v>-</v>
      </c>
      <c r="J208" s="423" t="str">
        <f>Aktiv!J201</f>
        <v>-</v>
      </c>
      <c r="K208" s="423" t="str">
        <f>Aktiv!K201</f>
        <v>-</v>
      </c>
      <c r="L208" s="423" t="str">
        <f>Aktiv!L201</f>
        <v>-</v>
      </c>
      <c r="M208" s="423" t="str">
        <f>Aktiv!M201</f>
        <v>-</v>
      </c>
      <c r="N208" s="423" t="str">
        <f>Aktiv!N201</f>
        <v>-</v>
      </c>
    </row>
    <row r="209" spans="2:14" ht="18" customHeight="1" x14ac:dyDescent="0.3">
      <c r="B209" s="413" t="str">
        <f>Aktiv!C202</f>
        <v>Klappenboden</v>
      </c>
      <c r="C209" s="413">
        <f>Aktiv!A202</f>
        <v>3814</v>
      </c>
      <c r="D209" s="413" t="str">
        <f>Aktiv!D202</f>
        <v>Klappenboden (980x780)</v>
      </c>
      <c r="E209" s="413">
        <f>Aktiv!E202</f>
        <v>980</v>
      </c>
      <c r="F209" s="413">
        <f>Aktiv!F202</f>
        <v>780</v>
      </c>
      <c r="G209" s="424" t="str">
        <f>Aktiv!G202</f>
        <v>-</v>
      </c>
      <c r="H209" s="424" t="str">
        <f>Aktiv!H202</f>
        <v>-</v>
      </c>
      <c r="I209" s="424" t="str">
        <f>Aktiv!I202</f>
        <v>-</v>
      </c>
      <c r="J209" s="424" t="str">
        <f>Aktiv!J202</f>
        <v>-</v>
      </c>
      <c r="K209" s="424" t="str">
        <f>Aktiv!K202</f>
        <v>-</v>
      </c>
      <c r="L209" s="424" t="str">
        <f>Aktiv!L202</f>
        <v>-</v>
      </c>
      <c r="M209" s="424" t="str">
        <f>Aktiv!M202</f>
        <v>-</v>
      </c>
      <c r="N209" s="424" t="str">
        <f>Aktiv!N202</f>
        <v>-</v>
      </c>
    </row>
    <row r="210" spans="2:14" ht="18" customHeight="1" x14ac:dyDescent="0.3">
      <c r="B210" s="414" t="str">
        <f>Aktiv!C203</f>
        <v>Klappenboden</v>
      </c>
      <c r="C210" s="414">
        <f>Aktiv!A203</f>
        <v>3815</v>
      </c>
      <c r="D210" s="414" t="str">
        <f>Aktiv!D203</f>
        <v>Klappenboden (980x980)</v>
      </c>
      <c r="E210" s="414">
        <f>Aktiv!E203</f>
        <v>980</v>
      </c>
      <c r="F210" s="414">
        <f>Aktiv!F203</f>
        <v>980</v>
      </c>
      <c r="G210" s="423" t="str">
        <f>Aktiv!G203</f>
        <v>-</v>
      </c>
      <c r="H210" s="423" t="str">
        <f>Aktiv!H203</f>
        <v>-</v>
      </c>
      <c r="I210" s="423" t="str">
        <f>Aktiv!I203</f>
        <v>-</v>
      </c>
      <c r="J210" s="423" t="str">
        <f>Aktiv!J203</f>
        <v>-</v>
      </c>
      <c r="K210" s="423" t="str">
        <f>Aktiv!K203</f>
        <v>-</v>
      </c>
      <c r="L210" s="423" t="str">
        <f>Aktiv!L203</f>
        <v>-</v>
      </c>
      <c r="M210" s="423" t="str">
        <f>Aktiv!M203</f>
        <v>-</v>
      </c>
      <c r="N210" s="423" t="str">
        <f>Aktiv!N203</f>
        <v>-</v>
      </c>
    </row>
    <row r="211" spans="2:14" ht="18" customHeight="1" x14ac:dyDescent="0.25">
      <c r="B211" s="420"/>
      <c r="C211" s="420"/>
      <c r="D211" s="420"/>
      <c r="E211" s="420"/>
      <c r="F211" s="420"/>
      <c r="G211" s="421"/>
      <c r="H211" s="421"/>
      <c r="I211" s="421"/>
      <c r="J211" s="421"/>
      <c r="K211" s="421"/>
      <c r="L211" s="421"/>
      <c r="M211" s="421"/>
      <c r="N211" s="421"/>
    </row>
    <row r="212" spans="2:14" ht="18" customHeight="1" x14ac:dyDescent="0.3">
      <c r="B212" s="418" t="s">
        <v>1</v>
      </c>
      <c r="C212" s="418"/>
      <c r="D212" s="418"/>
      <c r="E212" s="418"/>
      <c r="F212" s="418"/>
      <c r="G212" s="419"/>
      <c r="H212" s="419"/>
      <c r="I212" s="419"/>
      <c r="J212" s="419"/>
      <c r="K212" s="419"/>
      <c r="L212" s="419"/>
      <c r="M212" s="419"/>
      <c r="N212" s="419"/>
    </row>
    <row r="213" spans="2:14" ht="18" customHeight="1" x14ac:dyDescent="0.3">
      <c r="B213" s="415" t="str">
        <f>Aktiv!C205</f>
        <v>Klappe</v>
      </c>
      <c r="C213" s="415">
        <f>Aktiv!A205</f>
        <v>5000</v>
      </c>
      <c r="D213" s="415" t="str">
        <f>Aktiv!D205</f>
        <v>Klappe (420x180)</v>
      </c>
      <c r="E213" s="415">
        <f>Aktiv!E205</f>
        <v>420</v>
      </c>
      <c r="F213" s="415">
        <f>Aktiv!F205</f>
        <v>180</v>
      </c>
      <c r="G213" s="422">
        <f>Aktiv!G205</f>
        <v>103</v>
      </c>
      <c r="H213" s="422">
        <f>Aktiv!H205</f>
        <v>171</v>
      </c>
      <c r="I213" s="422">
        <f>Aktiv!I205</f>
        <v>180</v>
      </c>
      <c r="J213" s="422">
        <f>Aktiv!J205</f>
        <v>243</v>
      </c>
      <c r="K213" s="422">
        <f>Aktiv!K205</f>
        <v>118</v>
      </c>
      <c r="L213" s="422">
        <f>Aktiv!L205</f>
        <v>197</v>
      </c>
      <c r="M213" s="422">
        <f>Aktiv!M205</f>
        <v>207</v>
      </c>
      <c r="N213" s="422" t="str">
        <f>Aktiv!N205</f>
        <v>-</v>
      </c>
    </row>
    <row r="214" spans="2:14" ht="18" customHeight="1" x14ac:dyDescent="0.3">
      <c r="B214" s="414" t="str">
        <f>Aktiv!C206</f>
        <v>Klappe</v>
      </c>
      <c r="C214" s="414">
        <f>Aktiv!A206</f>
        <v>5001</v>
      </c>
      <c r="D214" s="414" t="str">
        <f>Aktiv!D206</f>
        <v>Klappe (420x360)</v>
      </c>
      <c r="E214" s="414">
        <f>Aktiv!E206</f>
        <v>420</v>
      </c>
      <c r="F214" s="414">
        <f>Aktiv!F206</f>
        <v>360</v>
      </c>
      <c r="G214" s="423">
        <f>Aktiv!G206</f>
        <v>146</v>
      </c>
      <c r="H214" s="423">
        <f>Aktiv!H206</f>
        <v>242</v>
      </c>
      <c r="I214" s="423">
        <f>Aktiv!I206</f>
        <v>254</v>
      </c>
      <c r="J214" s="423">
        <f>Aktiv!J206</f>
        <v>344</v>
      </c>
      <c r="K214" s="423">
        <f>Aktiv!K206</f>
        <v>168</v>
      </c>
      <c r="L214" s="423">
        <f>Aktiv!L206</f>
        <v>278</v>
      </c>
      <c r="M214" s="423">
        <f>Aktiv!M206</f>
        <v>292</v>
      </c>
      <c r="N214" s="423" t="str">
        <f>Aktiv!N206</f>
        <v>-</v>
      </c>
    </row>
    <row r="215" spans="2:14" ht="18" customHeight="1" x14ac:dyDescent="0.3">
      <c r="B215" s="413" t="str">
        <f>Aktiv!C207</f>
        <v>Klappe</v>
      </c>
      <c r="C215" s="413">
        <f>Aktiv!A207</f>
        <v>5002</v>
      </c>
      <c r="D215" s="413" t="str">
        <f>Aktiv!D207</f>
        <v>Klappe (580x180)</v>
      </c>
      <c r="E215" s="413">
        <f>Aktiv!E207</f>
        <v>580</v>
      </c>
      <c r="F215" s="413">
        <f>Aktiv!F207</f>
        <v>180</v>
      </c>
      <c r="G215" s="424">
        <f>Aktiv!G207</f>
        <v>122</v>
      </c>
      <c r="H215" s="424">
        <f>Aktiv!H207</f>
        <v>201</v>
      </c>
      <c r="I215" s="424">
        <f>Aktiv!I207</f>
        <v>211</v>
      </c>
      <c r="J215" s="424">
        <f>Aktiv!J207</f>
        <v>285</v>
      </c>
      <c r="K215" s="424">
        <f>Aktiv!K207</f>
        <v>140</v>
      </c>
      <c r="L215" s="424">
        <f>Aktiv!L207</f>
        <v>231</v>
      </c>
      <c r="M215" s="424">
        <f>Aktiv!M207</f>
        <v>243</v>
      </c>
      <c r="N215" s="424" t="str">
        <f>Aktiv!N207</f>
        <v>-</v>
      </c>
    </row>
    <row r="216" spans="2:14" ht="18" customHeight="1" x14ac:dyDescent="0.3">
      <c r="B216" s="414" t="str">
        <f>Aktiv!C208</f>
        <v>Klappe</v>
      </c>
      <c r="C216" s="414">
        <f>Aktiv!A208</f>
        <v>5003</v>
      </c>
      <c r="D216" s="414" t="str">
        <f>Aktiv!D208</f>
        <v>Klappe (580x360)</v>
      </c>
      <c r="E216" s="414">
        <f>Aktiv!E208</f>
        <v>580</v>
      </c>
      <c r="F216" s="414">
        <f>Aktiv!F208</f>
        <v>360</v>
      </c>
      <c r="G216" s="423">
        <f>Aktiv!G208</f>
        <v>172</v>
      </c>
      <c r="H216" s="423">
        <f>Aktiv!H208</f>
        <v>284</v>
      </c>
      <c r="I216" s="423">
        <f>Aktiv!I208</f>
        <v>299</v>
      </c>
      <c r="J216" s="423">
        <f>Aktiv!J208</f>
        <v>404</v>
      </c>
      <c r="K216" s="423">
        <f>Aktiv!K208</f>
        <v>198</v>
      </c>
      <c r="L216" s="423">
        <f>Aktiv!L208</f>
        <v>327</v>
      </c>
      <c r="M216" s="423">
        <f>Aktiv!M208</f>
        <v>344</v>
      </c>
      <c r="N216" s="423" t="str">
        <f>Aktiv!N208</f>
        <v>-</v>
      </c>
    </row>
    <row r="217" spans="2:14" ht="18" customHeight="1" x14ac:dyDescent="0.3">
      <c r="B217" s="413" t="str">
        <f>Aktiv!C209</f>
        <v>Klappe</v>
      </c>
      <c r="C217" s="413">
        <f>Aktiv!A209</f>
        <v>5004</v>
      </c>
      <c r="D217" s="413" t="str">
        <f>Aktiv!D209</f>
        <v>Klappe (780x180)</v>
      </c>
      <c r="E217" s="413">
        <f>Aktiv!E209</f>
        <v>780</v>
      </c>
      <c r="F217" s="413">
        <f>Aktiv!F209</f>
        <v>180</v>
      </c>
      <c r="G217" s="424">
        <f>Aktiv!G209</f>
        <v>141</v>
      </c>
      <c r="H217" s="424">
        <f>Aktiv!H209</f>
        <v>233</v>
      </c>
      <c r="I217" s="424">
        <f>Aktiv!I209</f>
        <v>245</v>
      </c>
      <c r="J217" s="424">
        <f>Aktiv!J209</f>
        <v>331</v>
      </c>
      <c r="K217" s="424">
        <f>Aktiv!K209</f>
        <v>162</v>
      </c>
      <c r="L217" s="424">
        <f>Aktiv!L209</f>
        <v>268</v>
      </c>
      <c r="M217" s="424">
        <f>Aktiv!M209</f>
        <v>282</v>
      </c>
      <c r="N217" s="424" t="str">
        <f>Aktiv!N209</f>
        <v>-</v>
      </c>
    </row>
    <row r="218" spans="2:14" ht="18" customHeight="1" x14ac:dyDescent="0.3">
      <c r="B218" s="414" t="str">
        <f>Aktiv!C210</f>
        <v>Klappe</v>
      </c>
      <c r="C218" s="414">
        <f>Aktiv!A210</f>
        <v>5005</v>
      </c>
      <c r="D218" s="414" t="str">
        <f>Aktiv!D210</f>
        <v>Klappe (780x360)</v>
      </c>
      <c r="E218" s="414">
        <f>Aktiv!E210</f>
        <v>780</v>
      </c>
      <c r="F218" s="414">
        <f>Aktiv!F210</f>
        <v>360</v>
      </c>
      <c r="G218" s="423">
        <f>Aktiv!G210</f>
        <v>199</v>
      </c>
      <c r="H218" s="423">
        <f>Aktiv!H210</f>
        <v>329</v>
      </c>
      <c r="I218" s="423">
        <f>Aktiv!I210</f>
        <v>347</v>
      </c>
      <c r="J218" s="423">
        <f>Aktiv!J210</f>
        <v>468</v>
      </c>
      <c r="K218" s="423">
        <f>Aktiv!K210</f>
        <v>229</v>
      </c>
      <c r="L218" s="423">
        <f>Aktiv!L210</f>
        <v>378</v>
      </c>
      <c r="M218" s="423">
        <f>Aktiv!M210</f>
        <v>399</v>
      </c>
      <c r="N218" s="423" t="str">
        <f>Aktiv!N210</f>
        <v>-</v>
      </c>
    </row>
    <row r="219" spans="2:14" ht="18" customHeight="1" x14ac:dyDescent="0.3">
      <c r="B219" s="413" t="str">
        <f>Aktiv!C211</f>
        <v>Klappe</v>
      </c>
      <c r="C219" s="413">
        <f>Aktiv!A211</f>
        <v>5006</v>
      </c>
      <c r="D219" s="413" t="str">
        <f>Aktiv!D211</f>
        <v>Klappe (980x180)</v>
      </c>
      <c r="E219" s="413">
        <f>Aktiv!E211</f>
        <v>980</v>
      </c>
      <c r="F219" s="413">
        <f>Aktiv!F211</f>
        <v>180</v>
      </c>
      <c r="G219" s="424">
        <f>Aktiv!G211</f>
        <v>158</v>
      </c>
      <c r="H219" s="424">
        <f>Aktiv!H211</f>
        <v>261</v>
      </c>
      <c r="I219" s="424">
        <f>Aktiv!I211</f>
        <v>275</v>
      </c>
      <c r="J219" s="424">
        <f>Aktiv!J211</f>
        <v>371</v>
      </c>
      <c r="K219" s="424">
        <f>Aktiv!K211</f>
        <v>182</v>
      </c>
      <c r="L219" s="424">
        <f>Aktiv!L211</f>
        <v>300</v>
      </c>
      <c r="M219" s="424">
        <f>Aktiv!M211</f>
        <v>316</v>
      </c>
      <c r="N219" s="424" t="str">
        <f>Aktiv!N211</f>
        <v>-</v>
      </c>
    </row>
    <row r="220" spans="2:14" ht="18" customHeight="1" x14ac:dyDescent="0.3">
      <c r="B220" s="414" t="str">
        <f>Aktiv!C212</f>
        <v>Klappe</v>
      </c>
      <c r="C220" s="414">
        <f>Aktiv!A212</f>
        <v>5007</v>
      </c>
      <c r="D220" s="414" t="str">
        <f>Aktiv!D212</f>
        <v>Klappe (980x360)</v>
      </c>
      <c r="E220" s="414">
        <f>Aktiv!E212</f>
        <v>980</v>
      </c>
      <c r="F220" s="414">
        <f>Aktiv!F212</f>
        <v>360</v>
      </c>
      <c r="G220" s="423">
        <f>Aktiv!G212</f>
        <v>224</v>
      </c>
      <c r="H220" s="423">
        <f>Aktiv!H212</f>
        <v>369</v>
      </c>
      <c r="I220" s="423">
        <f>Aktiv!I212</f>
        <v>389</v>
      </c>
      <c r="J220" s="423">
        <f>Aktiv!J212</f>
        <v>525</v>
      </c>
      <c r="K220" s="423">
        <f>Aktiv!K212</f>
        <v>258</v>
      </c>
      <c r="L220" s="423">
        <f>Aktiv!L212</f>
        <v>424</v>
      </c>
      <c r="M220" s="423">
        <f>Aktiv!M212</f>
        <v>447</v>
      </c>
      <c r="N220" s="423" t="str">
        <f>Aktiv!N212</f>
        <v>-</v>
      </c>
    </row>
    <row r="221" spans="2:14" ht="18" customHeight="1" x14ac:dyDescent="0.3">
      <c r="B221" s="413" t="str">
        <f>Aktiv!C213</f>
        <v>Klappe</v>
      </c>
      <c r="C221" s="413">
        <f>Aktiv!A213</f>
        <v>5009</v>
      </c>
      <c r="D221" s="413" t="str">
        <f>Aktiv!D213</f>
        <v>Klappe (360x180)</v>
      </c>
      <c r="E221" s="413">
        <f>Aktiv!E213</f>
        <v>360</v>
      </c>
      <c r="F221" s="413">
        <f>Aktiv!F213</f>
        <v>180</v>
      </c>
      <c r="G221" s="424" t="str">
        <f>Aktiv!G213</f>
        <v>-</v>
      </c>
      <c r="H221" s="424" t="str">
        <f>Aktiv!H213</f>
        <v>-</v>
      </c>
      <c r="I221" s="424" t="str">
        <f>Aktiv!I213</f>
        <v>-</v>
      </c>
      <c r="J221" s="424" t="str">
        <f>Aktiv!J213</f>
        <v>-</v>
      </c>
      <c r="K221" s="424" t="str">
        <f>Aktiv!K213</f>
        <v>-</v>
      </c>
      <c r="L221" s="424" t="str">
        <f>Aktiv!L213</f>
        <v>-</v>
      </c>
      <c r="M221" s="424" t="str">
        <f>Aktiv!M213</f>
        <v>-</v>
      </c>
      <c r="N221" s="424" t="str">
        <f>Aktiv!N213</f>
        <v>-</v>
      </c>
    </row>
    <row r="222" spans="2:14" ht="18" customHeight="1" x14ac:dyDescent="0.3">
      <c r="B222" s="414" t="str">
        <f>Aktiv!C214</f>
        <v>Klappe</v>
      </c>
      <c r="C222" s="414">
        <f>Aktiv!A214</f>
        <v>5008</v>
      </c>
      <c r="D222" s="414" t="str">
        <f>Aktiv!D214</f>
        <v>Klappe (360x360)</v>
      </c>
      <c r="E222" s="414">
        <f>Aktiv!E214</f>
        <v>360</v>
      </c>
      <c r="F222" s="414">
        <f>Aktiv!F214</f>
        <v>360</v>
      </c>
      <c r="G222" s="423" t="str">
        <f>Aktiv!G214</f>
        <v>-</v>
      </c>
      <c r="H222" s="423" t="str">
        <f>Aktiv!H214</f>
        <v>-</v>
      </c>
      <c r="I222" s="423" t="str">
        <f>Aktiv!I214</f>
        <v>-</v>
      </c>
      <c r="J222" s="423" t="str">
        <f>Aktiv!J214</f>
        <v>-</v>
      </c>
      <c r="K222" s="423" t="str">
        <f>Aktiv!K214</f>
        <v>-</v>
      </c>
      <c r="L222" s="423" t="str">
        <f>Aktiv!L214</f>
        <v>-</v>
      </c>
      <c r="M222" s="423" t="str">
        <f>Aktiv!M214</f>
        <v>-</v>
      </c>
      <c r="N222" s="423" t="str">
        <f>Aktiv!N214</f>
        <v>-</v>
      </c>
    </row>
    <row r="223" spans="2:14" ht="18" customHeight="1" x14ac:dyDescent="0.3">
      <c r="B223" s="413" t="str">
        <f>Aktiv!C215</f>
        <v>Klappe</v>
      </c>
      <c r="C223" s="413" t="str">
        <f>Aktiv!A215</f>
        <v>S_0046</v>
      </c>
      <c r="D223" s="413" t="str">
        <f>Aktiv!D215</f>
        <v>Klappe (980x420)</v>
      </c>
      <c r="E223" s="413">
        <f>Aktiv!E215</f>
        <v>980</v>
      </c>
      <c r="F223" s="413">
        <f>Aktiv!F215</f>
        <v>420</v>
      </c>
      <c r="G223" s="424" t="str">
        <f>Aktiv!G215</f>
        <v>-</v>
      </c>
      <c r="H223" s="424" t="str">
        <f>Aktiv!H215</f>
        <v>-</v>
      </c>
      <c r="I223" s="424" t="str">
        <f>Aktiv!I215</f>
        <v>-</v>
      </c>
      <c r="J223" s="424" t="str">
        <f>Aktiv!J215</f>
        <v>-</v>
      </c>
      <c r="K223" s="424" t="str">
        <f>Aktiv!K215</f>
        <v>-</v>
      </c>
      <c r="L223" s="424" t="str">
        <f>Aktiv!L215</f>
        <v>-</v>
      </c>
      <c r="M223" s="424" t="str">
        <f>Aktiv!M215</f>
        <v>-</v>
      </c>
      <c r="N223" s="424" t="str">
        <f>Aktiv!N215</f>
        <v>-</v>
      </c>
    </row>
    <row r="224" spans="2:14" ht="18" customHeight="1" x14ac:dyDescent="0.25">
      <c r="B224" s="420"/>
      <c r="C224" s="420"/>
      <c r="D224" s="420"/>
      <c r="E224" s="420"/>
      <c r="F224" s="420"/>
      <c r="G224" s="421"/>
      <c r="H224" s="421"/>
      <c r="I224" s="421"/>
      <c r="J224" s="421"/>
      <c r="K224" s="421"/>
      <c r="L224" s="421"/>
      <c r="M224" s="421"/>
      <c r="N224" s="421"/>
    </row>
    <row r="225" spans="2:14" ht="18" customHeight="1" x14ac:dyDescent="0.3">
      <c r="B225" s="418" t="s">
        <v>222</v>
      </c>
      <c r="C225" s="418"/>
      <c r="D225" s="418"/>
      <c r="E225" s="418"/>
      <c r="F225" s="418"/>
      <c r="G225" s="419"/>
      <c r="H225" s="419"/>
      <c r="I225" s="419"/>
      <c r="J225" s="419"/>
      <c r="K225" s="419"/>
      <c r="L225" s="419"/>
      <c r="M225" s="419"/>
      <c r="N225" s="419"/>
    </row>
    <row r="226" spans="2:14" ht="18" customHeight="1" x14ac:dyDescent="0.3">
      <c r="B226" s="415" t="str">
        <f>Aktiv!C217</f>
        <v>Tür</v>
      </c>
      <c r="C226" s="415">
        <f>Aktiv!A217</f>
        <v>5100</v>
      </c>
      <c r="D226" s="415" t="str">
        <f>Aktiv!D217</f>
        <v>Tür (420x360)</v>
      </c>
      <c r="E226" s="415">
        <f>Aktiv!E217</f>
        <v>420</v>
      </c>
      <c r="F226" s="415">
        <f>Aktiv!F217</f>
        <v>360</v>
      </c>
      <c r="G226" s="422">
        <f>Aktiv!G217</f>
        <v>127</v>
      </c>
      <c r="H226" s="422">
        <f>Aktiv!H217</f>
        <v>273</v>
      </c>
      <c r="I226" s="422">
        <f>Aktiv!I217</f>
        <v>298</v>
      </c>
      <c r="J226" s="422">
        <f>Aktiv!J217</f>
        <v>433</v>
      </c>
      <c r="K226" s="422">
        <f>Aktiv!K217</f>
        <v>146</v>
      </c>
      <c r="L226" s="422">
        <f>Aktiv!L217</f>
        <v>314</v>
      </c>
      <c r="M226" s="422">
        <f>Aktiv!M217</f>
        <v>343</v>
      </c>
      <c r="N226" s="422" t="str">
        <f>Aktiv!N217</f>
        <v>-</v>
      </c>
    </row>
    <row r="227" spans="2:14" ht="18" customHeight="1" x14ac:dyDescent="0.3">
      <c r="B227" s="414" t="str">
        <f>Aktiv!C218</f>
        <v>Tür</v>
      </c>
      <c r="C227" s="414">
        <f>Aktiv!A218</f>
        <v>5101</v>
      </c>
      <c r="D227" s="414" t="str">
        <f>Aktiv!D218</f>
        <v>Tür (420x720)</v>
      </c>
      <c r="E227" s="414">
        <f>Aktiv!E218</f>
        <v>420</v>
      </c>
      <c r="F227" s="414">
        <f>Aktiv!F218</f>
        <v>720</v>
      </c>
      <c r="G227" s="423">
        <f>Aktiv!G218</f>
        <v>180</v>
      </c>
      <c r="H227" s="423">
        <f>Aktiv!H218</f>
        <v>386</v>
      </c>
      <c r="I227" s="423">
        <f>Aktiv!I218</f>
        <v>422</v>
      </c>
      <c r="J227" s="423">
        <f>Aktiv!J218</f>
        <v>612</v>
      </c>
      <c r="K227" s="423">
        <f>Aktiv!K218</f>
        <v>207</v>
      </c>
      <c r="L227" s="423">
        <f>Aktiv!L218</f>
        <v>444</v>
      </c>
      <c r="M227" s="423">
        <f>Aktiv!M218</f>
        <v>485</v>
      </c>
      <c r="N227" s="423" t="str">
        <f>Aktiv!N218</f>
        <v>-</v>
      </c>
    </row>
    <row r="228" spans="2:14" ht="18" customHeight="1" x14ac:dyDescent="0.3">
      <c r="B228" s="413" t="str">
        <f>Aktiv!C219</f>
        <v>Tür</v>
      </c>
      <c r="C228" s="413">
        <f>Aktiv!A219</f>
        <v>5102</v>
      </c>
      <c r="D228" s="413" t="str">
        <f>Aktiv!D219</f>
        <v>Tür (420x1080)</v>
      </c>
      <c r="E228" s="413">
        <f>Aktiv!E219</f>
        <v>420</v>
      </c>
      <c r="F228" s="413">
        <f>Aktiv!F219</f>
        <v>1080</v>
      </c>
      <c r="G228" s="424">
        <f>Aktiv!G219</f>
        <v>220</v>
      </c>
      <c r="H228" s="424">
        <f>Aktiv!H219</f>
        <v>473</v>
      </c>
      <c r="I228" s="424">
        <f>Aktiv!I219</f>
        <v>517</v>
      </c>
      <c r="J228" s="424">
        <f>Aktiv!J219</f>
        <v>750</v>
      </c>
      <c r="K228" s="424">
        <f>Aktiv!K219</f>
        <v>253</v>
      </c>
      <c r="L228" s="424">
        <f>Aktiv!L219</f>
        <v>544</v>
      </c>
      <c r="M228" s="424">
        <f>Aktiv!M219</f>
        <v>595</v>
      </c>
      <c r="N228" s="424" t="str">
        <f>Aktiv!N219</f>
        <v>-</v>
      </c>
    </row>
    <row r="229" spans="2:14" ht="18" customHeight="1" x14ac:dyDescent="0.3">
      <c r="B229" s="414" t="str">
        <f>Aktiv!C220</f>
        <v>Tür</v>
      </c>
      <c r="C229" s="414">
        <f>Aktiv!A220</f>
        <v>5103</v>
      </c>
      <c r="D229" s="414" t="str">
        <f>Aktiv!D220</f>
        <v>Tür (420x1440)</v>
      </c>
      <c r="E229" s="414">
        <f>Aktiv!E220</f>
        <v>420</v>
      </c>
      <c r="F229" s="414">
        <f>Aktiv!F220</f>
        <v>1440</v>
      </c>
      <c r="G229" s="423">
        <f>Aktiv!G220</f>
        <v>254</v>
      </c>
      <c r="H229" s="423">
        <f>Aktiv!H220</f>
        <v>546</v>
      </c>
      <c r="I229" s="423">
        <f>Aktiv!I220</f>
        <v>597</v>
      </c>
      <c r="J229" s="423">
        <f>Aktiv!J220</f>
        <v>866</v>
      </c>
      <c r="K229" s="423">
        <f>Aktiv!K220</f>
        <v>292</v>
      </c>
      <c r="L229" s="423">
        <f>Aktiv!L220</f>
        <v>628</v>
      </c>
      <c r="M229" s="423">
        <f>Aktiv!M220</f>
        <v>687</v>
      </c>
      <c r="N229" s="423" t="str">
        <f>Aktiv!N220</f>
        <v>-</v>
      </c>
    </row>
    <row r="230" spans="2:14" ht="18" customHeight="1" x14ac:dyDescent="0.3">
      <c r="B230" s="413" t="str">
        <f>Aktiv!C221</f>
        <v>Tür</v>
      </c>
      <c r="C230" s="413">
        <f>Aktiv!A221</f>
        <v>5104</v>
      </c>
      <c r="D230" s="413" t="str">
        <f>Aktiv!D221</f>
        <v>Tür (420x1800)</v>
      </c>
      <c r="E230" s="413">
        <f>Aktiv!E221</f>
        <v>420</v>
      </c>
      <c r="F230" s="413">
        <f>Aktiv!F221</f>
        <v>1800</v>
      </c>
      <c r="G230" s="424">
        <f>Aktiv!G221</f>
        <v>285</v>
      </c>
      <c r="H230" s="424">
        <f>Aktiv!H221</f>
        <v>610</v>
      </c>
      <c r="I230" s="424">
        <f>Aktiv!I221</f>
        <v>667</v>
      </c>
      <c r="J230" s="424">
        <f>Aktiv!J221</f>
        <v>968</v>
      </c>
      <c r="K230" s="424">
        <f>Aktiv!K221</f>
        <v>328</v>
      </c>
      <c r="L230" s="424">
        <f>Aktiv!L221</f>
        <v>702</v>
      </c>
      <c r="M230" s="424">
        <f>Aktiv!M221</f>
        <v>767</v>
      </c>
      <c r="N230" s="424" t="str">
        <f>Aktiv!N221</f>
        <v>-</v>
      </c>
    </row>
    <row r="231" spans="2:14" ht="18" customHeight="1" x14ac:dyDescent="0.3">
      <c r="B231" s="414" t="str">
        <f>Aktiv!C222</f>
        <v>Tür</v>
      </c>
      <c r="C231" s="414">
        <f>Aktiv!A222</f>
        <v>5105</v>
      </c>
      <c r="D231" s="414" t="str">
        <f>Aktiv!D222</f>
        <v>Tür (580x360)</v>
      </c>
      <c r="E231" s="414">
        <f>Aktiv!E222</f>
        <v>580</v>
      </c>
      <c r="F231" s="414">
        <f>Aktiv!F222</f>
        <v>360</v>
      </c>
      <c r="G231" s="423">
        <f>Aktiv!G222</f>
        <v>150</v>
      </c>
      <c r="H231" s="423">
        <f>Aktiv!H222</f>
        <v>321</v>
      </c>
      <c r="I231" s="423">
        <f>Aktiv!I222</f>
        <v>351</v>
      </c>
      <c r="J231" s="423">
        <f>Aktiv!J222</f>
        <v>509</v>
      </c>
      <c r="K231" s="423">
        <f>Aktiv!K222</f>
        <v>173</v>
      </c>
      <c r="L231" s="423">
        <f>Aktiv!L222</f>
        <v>369</v>
      </c>
      <c r="M231" s="423">
        <f>Aktiv!M222</f>
        <v>404</v>
      </c>
      <c r="N231" s="423" t="str">
        <f>Aktiv!N222</f>
        <v>-</v>
      </c>
    </row>
    <row r="232" spans="2:14" ht="18" customHeight="1" x14ac:dyDescent="0.3">
      <c r="B232" s="413" t="str">
        <f>Aktiv!C223</f>
        <v>Tür</v>
      </c>
      <c r="C232" s="413">
        <f>Aktiv!A223</f>
        <v>5106</v>
      </c>
      <c r="D232" s="413" t="str">
        <f>Aktiv!D223</f>
        <v>Tür (580x720)</v>
      </c>
      <c r="E232" s="413">
        <f>Aktiv!E223</f>
        <v>580</v>
      </c>
      <c r="F232" s="413">
        <f>Aktiv!F223</f>
        <v>720</v>
      </c>
      <c r="G232" s="424">
        <f>Aktiv!G223</f>
        <v>211</v>
      </c>
      <c r="H232" s="424">
        <f>Aktiv!H223</f>
        <v>454</v>
      </c>
      <c r="I232" s="424">
        <f>Aktiv!I223</f>
        <v>496</v>
      </c>
      <c r="J232" s="424">
        <f>Aktiv!J223</f>
        <v>720</v>
      </c>
      <c r="K232" s="424">
        <f>Aktiv!K223</f>
        <v>243</v>
      </c>
      <c r="L232" s="424">
        <f>Aktiv!L223</f>
        <v>522</v>
      </c>
      <c r="M232" s="424">
        <f>Aktiv!M223</f>
        <v>570</v>
      </c>
      <c r="N232" s="424" t="str">
        <f>Aktiv!N223</f>
        <v>-</v>
      </c>
    </row>
    <row r="233" spans="2:14" ht="18" customHeight="1" x14ac:dyDescent="0.3">
      <c r="B233" s="414" t="str">
        <f>Aktiv!C224</f>
        <v>Tür</v>
      </c>
      <c r="C233" s="414">
        <f>Aktiv!A224</f>
        <v>5107</v>
      </c>
      <c r="D233" s="414" t="str">
        <f>Aktiv!D224</f>
        <v>Tür (580x1080)</v>
      </c>
      <c r="E233" s="414">
        <f>Aktiv!E224</f>
        <v>580</v>
      </c>
      <c r="F233" s="414">
        <f>Aktiv!F224</f>
        <v>1080</v>
      </c>
      <c r="G233" s="423">
        <f>Aktiv!G224</f>
        <v>259</v>
      </c>
      <c r="H233" s="423">
        <f>Aktiv!H224</f>
        <v>556</v>
      </c>
      <c r="I233" s="423">
        <f>Aktiv!I224</f>
        <v>607</v>
      </c>
      <c r="J233" s="423">
        <f>Aktiv!J224</f>
        <v>882</v>
      </c>
      <c r="K233" s="423">
        <f>Aktiv!K224</f>
        <v>298</v>
      </c>
      <c r="L233" s="423">
        <f>Aktiv!L224</f>
        <v>639</v>
      </c>
      <c r="M233" s="423">
        <f>Aktiv!M224</f>
        <v>698</v>
      </c>
      <c r="N233" s="423" t="str">
        <f>Aktiv!N224</f>
        <v>-</v>
      </c>
    </row>
    <row r="234" spans="2:14" ht="18" customHeight="1" x14ac:dyDescent="0.3">
      <c r="B234" s="413" t="str">
        <f>Aktiv!C225</f>
        <v>Tür</v>
      </c>
      <c r="C234" s="413">
        <f>Aktiv!A225</f>
        <v>5108</v>
      </c>
      <c r="D234" s="413" t="str">
        <f>Aktiv!D225</f>
        <v>Tür (580x1440)</v>
      </c>
      <c r="E234" s="413">
        <f>Aktiv!E225</f>
        <v>580</v>
      </c>
      <c r="F234" s="413">
        <f>Aktiv!F225</f>
        <v>1440</v>
      </c>
      <c r="G234" s="424">
        <f>Aktiv!G225</f>
        <v>299</v>
      </c>
      <c r="H234" s="424">
        <f>Aktiv!H225</f>
        <v>641</v>
      </c>
      <c r="I234" s="424">
        <f>Aktiv!I225</f>
        <v>701</v>
      </c>
      <c r="J234" s="424">
        <f>Aktiv!J225</f>
        <v>1018</v>
      </c>
      <c r="K234" s="424">
        <f>Aktiv!K225</f>
        <v>344</v>
      </c>
      <c r="L234" s="424">
        <f>Aktiv!L225</f>
        <v>737</v>
      </c>
      <c r="M234" s="424">
        <f>Aktiv!M225</f>
        <v>806</v>
      </c>
      <c r="N234" s="424" t="str">
        <f>Aktiv!N225</f>
        <v>-</v>
      </c>
    </row>
    <row r="235" spans="2:14" ht="18" customHeight="1" x14ac:dyDescent="0.3">
      <c r="B235" s="414" t="str">
        <f>Aktiv!C226</f>
        <v>Tür</v>
      </c>
      <c r="C235" s="414">
        <f>Aktiv!A226</f>
        <v>5109</v>
      </c>
      <c r="D235" s="414" t="str">
        <f>Aktiv!D226</f>
        <v>Tür (580x1800)</v>
      </c>
      <c r="E235" s="414">
        <f>Aktiv!E226</f>
        <v>580</v>
      </c>
      <c r="F235" s="414">
        <f>Aktiv!F226</f>
        <v>1800</v>
      </c>
      <c r="G235" s="423">
        <f>Aktiv!G226</f>
        <v>334</v>
      </c>
      <c r="H235" s="423">
        <f>Aktiv!H226</f>
        <v>717</v>
      </c>
      <c r="I235" s="423">
        <f>Aktiv!I226</f>
        <v>784</v>
      </c>
      <c r="J235" s="423">
        <f>Aktiv!J226</f>
        <v>1138</v>
      </c>
      <c r="K235" s="423">
        <f>Aktiv!K226</f>
        <v>384</v>
      </c>
      <c r="L235" s="423">
        <f>Aktiv!L226</f>
        <v>825</v>
      </c>
      <c r="M235" s="423">
        <f>Aktiv!M226</f>
        <v>902</v>
      </c>
      <c r="N235" s="423" t="str">
        <f>Aktiv!N226</f>
        <v>-</v>
      </c>
    </row>
    <row r="236" spans="2:14" ht="18" customHeight="1" x14ac:dyDescent="0.3">
      <c r="B236" s="413" t="str">
        <f>Aktiv!C227</f>
        <v>Tür</v>
      </c>
      <c r="C236" s="413">
        <f>Aktiv!A227</f>
        <v>5110</v>
      </c>
      <c r="D236" s="413" t="str">
        <f>Aktiv!D227</f>
        <v>Tür (360x360)</v>
      </c>
      <c r="E236" s="413">
        <f>Aktiv!E227</f>
        <v>360</v>
      </c>
      <c r="F236" s="413">
        <f>Aktiv!F227</f>
        <v>360</v>
      </c>
      <c r="G236" s="424" t="str">
        <f>Aktiv!G227</f>
        <v>-</v>
      </c>
      <c r="H236" s="424" t="str">
        <f>Aktiv!H227</f>
        <v>-</v>
      </c>
      <c r="I236" s="424" t="str">
        <f>Aktiv!I227</f>
        <v>-</v>
      </c>
      <c r="J236" s="424" t="str">
        <f>Aktiv!J227</f>
        <v>-</v>
      </c>
      <c r="K236" s="424" t="str">
        <f>Aktiv!K227</f>
        <v>-</v>
      </c>
      <c r="L236" s="424" t="str">
        <f>Aktiv!L227</f>
        <v>-</v>
      </c>
      <c r="M236" s="424" t="str">
        <f>Aktiv!M227</f>
        <v>-</v>
      </c>
      <c r="N236" s="424" t="str">
        <f>Aktiv!N227</f>
        <v>-</v>
      </c>
    </row>
    <row r="237" spans="2:14" ht="18" customHeight="1" x14ac:dyDescent="0.3">
      <c r="B237" s="414" t="str">
        <f>Aktiv!C228</f>
        <v>Tür</v>
      </c>
      <c r="C237" s="414">
        <f>Aktiv!A228</f>
        <v>5111</v>
      </c>
      <c r="D237" s="414" t="str">
        <f>Aktiv!D228</f>
        <v>Tür (780x360)</v>
      </c>
      <c r="E237" s="414">
        <f>Aktiv!E228</f>
        <v>780</v>
      </c>
      <c r="F237" s="414">
        <f>Aktiv!F228</f>
        <v>360</v>
      </c>
      <c r="G237" s="423" t="str">
        <f>Aktiv!G228</f>
        <v>-</v>
      </c>
      <c r="H237" s="423" t="str">
        <f>Aktiv!H228</f>
        <v>-</v>
      </c>
      <c r="I237" s="423" t="str">
        <f>Aktiv!I228</f>
        <v>-</v>
      </c>
      <c r="J237" s="423" t="str">
        <f>Aktiv!J228</f>
        <v>-</v>
      </c>
      <c r="K237" s="423" t="str">
        <f>Aktiv!K228</f>
        <v>-</v>
      </c>
      <c r="L237" s="423" t="str">
        <f>Aktiv!L228</f>
        <v>-</v>
      </c>
      <c r="M237" s="423" t="str">
        <f>Aktiv!M228</f>
        <v>-</v>
      </c>
      <c r="N237" s="423" t="str">
        <f>Aktiv!N228</f>
        <v>-</v>
      </c>
    </row>
    <row r="238" spans="2:14" ht="18" customHeight="1" x14ac:dyDescent="0.25">
      <c r="B238" s="420"/>
      <c r="C238" s="420"/>
      <c r="D238" s="420"/>
      <c r="E238" s="420"/>
      <c r="F238" s="420"/>
      <c r="G238" s="421"/>
      <c r="H238" s="421"/>
      <c r="I238" s="421"/>
      <c r="J238" s="421"/>
      <c r="K238" s="421"/>
      <c r="L238" s="421"/>
      <c r="M238" s="421"/>
      <c r="N238" s="421"/>
    </row>
    <row r="239" spans="2:14" ht="18" customHeight="1" x14ac:dyDescent="0.3">
      <c r="B239" s="418" t="s">
        <v>235</v>
      </c>
      <c r="C239" s="418"/>
      <c r="D239" s="418"/>
      <c r="E239" s="418"/>
      <c r="F239" s="418"/>
      <c r="G239" s="419"/>
      <c r="H239" s="419"/>
      <c r="I239" s="419"/>
      <c r="J239" s="419"/>
      <c r="K239" s="419"/>
      <c r="L239" s="419"/>
      <c r="M239" s="419"/>
      <c r="N239" s="419"/>
    </row>
    <row r="240" spans="2:14" ht="18" customHeight="1" x14ac:dyDescent="0.3">
      <c r="B240" s="415" t="str">
        <f>Aktiv!C230</f>
        <v>Doppeltür</v>
      </c>
      <c r="C240" s="415">
        <f>Aktiv!A230</f>
        <v>5200</v>
      </c>
      <c r="D240" s="415" t="str">
        <f>Aktiv!D230</f>
        <v>Doppeltür (780x360)</v>
      </c>
      <c r="E240" s="415">
        <f>Aktiv!E230</f>
        <v>780</v>
      </c>
      <c r="F240" s="415">
        <f>Aktiv!F230</f>
        <v>360</v>
      </c>
      <c r="G240" s="422">
        <f>Aktiv!G230</f>
        <v>212</v>
      </c>
      <c r="H240" s="422">
        <f>Aktiv!H230</f>
        <v>300</v>
      </c>
      <c r="I240" s="422">
        <f>Aktiv!I230</f>
        <v>316</v>
      </c>
      <c r="J240" s="422">
        <f>Aktiv!J230</f>
        <v>697</v>
      </c>
      <c r="K240" s="422">
        <f>Aktiv!K230</f>
        <v>244</v>
      </c>
      <c r="L240" s="422">
        <f>Aktiv!L230</f>
        <v>345</v>
      </c>
      <c r="M240" s="422">
        <f>Aktiv!M230</f>
        <v>363</v>
      </c>
      <c r="N240" s="422" t="str">
        <f>Aktiv!N230</f>
        <v>-</v>
      </c>
    </row>
    <row r="241" spans="2:14" ht="18" customHeight="1" x14ac:dyDescent="0.3">
      <c r="B241" s="414" t="str">
        <f>Aktiv!C231</f>
        <v>Doppeltür</v>
      </c>
      <c r="C241" s="414">
        <f>Aktiv!A231</f>
        <v>5210</v>
      </c>
      <c r="D241" s="414" t="str">
        <f>Aktiv!D231</f>
        <v>Doppeltür (780x660)</v>
      </c>
      <c r="E241" s="414">
        <f>Aktiv!E231</f>
        <v>780</v>
      </c>
      <c r="F241" s="414">
        <f>Aktiv!F231</f>
        <v>660</v>
      </c>
      <c r="G241" s="423">
        <f>Aktiv!G231</f>
        <v>323</v>
      </c>
      <c r="H241" s="423">
        <f>Aktiv!H231</f>
        <v>458</v>
      </c>
      <c r="I241" s="423">
        <f>Aktiv!I231</f>
        <v>483</v>
      </c>
      <c r="J241" s="423">
        <f>Aktiv!J231</f>
        <v>1065</v>
      </c>
      <c r="K241" s="423">
        <f>Aktiv!K231</f>
        <v>371</v>
      </c>
      <c r="L241" s="423">
        <f>Aktiv!L231</f>
        <v>527</v>
      </c>
      <c r="M241" s="423">
        <f>Aktiv!M231</f>
        <v>555</v>
      </c>
      <c r="N241" s="423" t="str">
        <f>Aktiv!N231</f>
        <v>-</v>
      </c>
    </row>
    <row r="242" spans="2:14" ht="18" customHeight="1" x14ac:dyDescent="0.3">
      <c r="B242" s="413" t="str">
        <f>Aktiv!C232</f>
        <v>Doppeltür</v>
      </c>
      <c r="C242" s="413">
        <f>Aktiv!A232</f>
        <v>5201</v>
      </c>
      <c r="D242" s="413" t="str">
        <f>Aktiv!D232</f>
        <v>Doppeltür (780x720)</v>
      </c>
      <c r="E242" s="413">
        <f>Aktiv!E232</f>
        <v>780</v>
      </c>
      <c r="F242" s="413">
        <f>Aktiv!F232</f>
        <v>720</v>
      </c>
      <c r="G242" s="424">
        <f>Aktiv!G232</f>
        <v>344</v>
      </c>
      <c r="H242" s="424">
        <f>Aktiv!H232</f>
        <v>487</v>
      </c>
      <c r="I242" s="424">
        <f>Aktiv!I232</f>
        <v>514</v>
      </c>
      <c r="J242" s="424">
        <f>Aktiv!J232</f>
        <v>1132</v>
      </c>
      <c r="K242" s="424">
        <f>Aktiv!K232</f>
        <v>396</v>
      </c>
      <c r="L242" s="424">
        <f>Aktiv!L232</f>
        <v>560</v>
      </c>
      <c r="M242" s="424">
        <f>Aktiv!M232</f>
        <v>591</v>
      </c>
      <c r="N242" s="424" t="str">
        <f>Aktiv!N232</f>
        <v>-</v>
      </c>
    </row>
    <row r="243" spans="2:14" ht="18" customHeight="1" x14ac:dyDescent="0.3">
      <c r="B243" s="414" t="str">
        <f>Aktiv!C233</f>
        <v>Doppeltür</v>
      </c>
      <c r="C243" s="414">
        <f>Aktiv!A233</f>
        <v>5202</v>
      </c>
      <c r="D243" s="414" t="str">
        <f>Aktiv!D233</f>
        <v>Doppeltür (780x1080)</v>
      </c>
      <c r="E243" s="414">
        <f>Aktiv!E233</f>
        <v>780</v>
      </c>
      <c r="F243" s="414">
        <f>Aktiv!F233</f>
        <v>1080</v>
      </c>
      <c r="G243" s="423">
        <f>Aktiv!G233</f>
        <v>456</v>
      </c>
      <c r="H243" s="423">
        <f>Aktiv!H233</f>
        <v>646</v>
      </c>
      <c r="I243" s="423">
        <f>Aktiv!I233</f>
        <v>682</v>
      </c>
      <c r="J243" s="423">
        <f>Aktiv!J233</f>
        <v>1504</v>
      </c>
      <c r="K243" s="423">
        <f>Aktiv!K233</f>
        <v>524</v>
      </c>
      <c r="L243" s="423">
        <f>Aktiv!L233</f>
        <v>743</v>
      </c>
      <c r="M243" s="423">
        <f>Aktiv!M233</f>
        <v>784</v>
      </c>
      <c r="N243" s="423" t="str">
        <f>Aktiv!N233</f>
        <v>-</v>
      </c>
    </row>
    <row r="244" spans="2:14" ht="18" customHeight="1" x14ac:dyDescent="0.3">
      <c r="B244" s="413" t="str">
        <f>Aktiv!C234</f>
        <v>Doppeltür</v>
      </c>
      <c r="C244" s="413">
        <f>Aktiv!A234</f>
        <v>5203</v>
      </c>
      <c r="D244" s="413" t="str">
        <f>Aktiv!D234</f>
        <v>Doppeltür (780x1440)</v>
      </c>
      <c r="E244" s="413">
        <f>Aktiv!E234</f>
        <v>780</v>
      </c>
      <c r="F244" s="413">
        <f>Aktiv!F234</f>
        <v>1440</v>
      </c>
      <c r="G244" s="424">
        <f>Aktiv!G234</f>
        <v>558</v>
      </c>
      <c r="H244" s="424">
        <f>Aktiv!H234</f>
        <v>790</v>
      </c>
      <c r="I244" s="424">
        <f>Aktiv!I234</f>
        <v>834</v>
      </c>
      <c r="J244" s="424">
        <f>Aktiv!J234</f>
        <v>1839</v>
      </c>
      <c r="K244" s="424">
        <f>Aktiv!K234</f>
        <v>642</v>
      </c>
      <c r="L244" s="424">
        <f>Aktiv!L234</f>
        <v>909</v>
      </c>
      <c r="M244" s="424">
        <f>Aktiv!M234</f>
        <v>959</v>
      </c>
      <c r="N244" s="424" t="str">
        <f>Aktiv!N234</f>
        <v>-</v>
      </c>
    </row>
    <row r="245" spans="2:14" ht="18" customHeight="1" x14ac:dyDescent="0.3">
      <c r="B245" s="414" t="str">
        <f>Aktiv!C235</f>
        <v>Doppeltür</v>
      </c>
      <c r="C245" s="414">
        <f>Aktiv!A235</f>
        <v>5204</v>
      </c>
      <c r="D245" s="414" t="str">
        <f>Aktiv!D235</f>
        <v>Doppeltür (780x1800)</v>
      </c>
      <c r="E245" s="414">
        <f>Aktiv!E235</f>
        <v>780</v>
      </c>
      <c r="F245" s="414">
        <f>Aktiv!F235</f>
        <v>1800</v>
      </c>
      <c r="G245" s="423">
        <f>Aktiv!G235</f>
        <v>653</v>
      </c>
      <c r="H245" s="423">
        <f>Aktiv!H235</f>
        <v>924</v>
      </c>
      <c r="I245" s="423">
        <f>Aktiv!I235</f>
        <v>975</v>
      </c>
      <c r="J245" s="423">
        <f>Aktiv!J235</f>
        <v>2150</v>
      </c>
      <c r="K245" s="423">
        <f>Aktiv!K235</f>
        <v>751</v>
      </c>
      <c r="L245" s="423">
        <f>Aktiv!L235</f>
        <v>1063</v>
      </c>
      <c r="M245" s="423">
        <f>Aktiv!M235</f>
        <v>1121</v>
      </c>
      <c r="N245" s="423" t="str">
        <f>Aktiv!N235</f>
        <v>-</v>
      </c>
    </row>
    <row r="246" spans="2:14" ht="18" customHeight="1" x14ac:dyDescent="0.3">
      <c r="B246" s="413" t="str">
        <f>Aktiv!C236</f>
        <v>Doppeltür</v>
      </c>
      <c r="C246" s="413">
        <f>Aktiv!A236</f>
        <v>5205</v>
      </c>
      <c r="D246" s="413" t="str">
        <f>Aktiv!D236</f>
        <v>Doppeltür (980x360)</v>
      </c>
      <c r="E246" s="413">
        <f>Aktiv!E236</f>
        <v>980</v>
      </c>
      <c r="F246" s="413">
        <f>Aktiv!F236</f>
        <v>360</v>
      </c>
      <c r="G246" s="424">
        <f>Aktiv!G236</f>
        <v>248</v>
      </c>
      <c r="H246" s="424">
        <f>Aktiv!H236</f>
        <v>351</v>
      </c>
      <c r="I246" s="424">
        <f>Aktiv!I236</f>
        <v>371</v>
      </c>
      <c r="J246" s="424">
        <f>Aktiv!J236</f>
        <v>818</v>
      </c>
      <c r="K246" s="424">
        <f>Aktiv!K236</f>
        <v>285</v>
      </c>
      <c r="L246" s="424">
        <f>Aktiv!L236</f>
        <v>404</v>
      </c>
      <c r="M246" s="424">
        <f>Aktiv!M236</f>
        <v>427</v>
      </c>
      <c r="N246" s="424" t="str">
        <f>Aktiv!N236</f>
        <v>-</v>
      </c>
    </row>
    <row r="247" spans="2:14" ht="18" customHeight="1" x14ac:dyDescent="0.3">
      <c r="B247" s="414" t="str">
        <f>Aktiv!C237</f>
        <v>Doppeltür</v>
      </c>
      <c r="C247" s="414">
        <f>Aktiv!A237</f>
        <v>5206</v>
      </c>
      <c r="D247" s="414" t="str">
        <f>Aktiv!D237</f>
        <v>Doppeltür (980x720)</v>
      </c>
      <c r="E247" s="414">
        <f>Aktiv!E237</f>
        <v>980</v>
      </c>
      <c r="F247" s="414">
        <f>Aktiv!F237</f>
        <v>720</v>
      </c>
      <c r="G247" s="423">
        <f>Aktiv!G237</f>
        <v>403</v>
      </c>
      <c r="H247" s="423">
        <f>Aktiv!H237</f>
        <v>571</v>
      </c>
      <c r="I247" s="423">
        <f>Aktiv!I237</f>
        <v>602</v>
      </c>
      <c r="J247" s="423">
        <f>Aktiv!J237</f>
        <v>1328</v>
      </c>
      <c r="K247" s="423">
        <f>Aktiv!K237</f>
        <v>463</v>
      </c>
      <c r="L247" s="423">
        <f>Aktiv!L237</f>
        <v>657</v>
      </c>
      <c r="M247" s="423">
        <f>Aktiv!M237</f>
        <v>692</v>
      </c>
      <c r="N247" s="423" t="str">
        <f>Aktiv!N237</f>
        <v>-</v>
      </c>
    </row>
    <row r="248" spans="2:14" ht="18" customHeight="1" x14ac:dyDescent="0.3">
      <c r="B248" s="413" t="str">
        <f>Aktiv!C238</f>
        <v>Doppeltür</v>
      </c>
      <c r="C248" s="413">
        <f>Aktiv!A238</f>
        <v>5207</v>
      </c>
      <c r="D248" s="413" t="str">
        <f>Aktiv!D238</f>
        <v>Doppeltür (980x1080)</v>
      </c>
      <c r="E248" s="413">
        <f>Aktiv!E238</f>
        <v>980</v>
      </c>
      <c r="F248" s="413">
        <f>Aktiv!F238</f>
        <v>1080</v>
      </c>
      <c r="G248" s="424">
        <f>Aktiv!G238</f>
        <v>536</v>
      </c>
      <c r="H248" s="424">
        <f>Aktiv!H238</f>
        <v>758</v>
      </c>
      <c r="I248" s="424">
        <f>Aktiv!I238</f>
        <v>800</v>
      </c>
      <c r="J248" s="424">
        <f>Aktiv!J238</f>
        <v>1764</v>
      </c>
      <c r="K248" s="424">
        <f>Aktiv!K238</f>
        <v>616</v>
      </c>
      <c r="L248" s="424">
        <f>Aktiv!L238</f>
        <v>872</v>
      </c>
      <c r="M248" s="424">
        <f>Aktiv!M238</f>
        <v>920</v>
      </c>
      <c r="N248" s="424" t="str">
        <f>Aktiv!N238</f>
        <v>-</v>
      </c>
    </row>
    <row r="249" spans="2:14" ht="18" customHeight="1" x14ac:dyDescent="0.3">
      <c r="B249" s="414" t="str">
        <f>Aktiv!C239</f>
        <v>Doppeltür</v>
      </c>
      <c r="C249" s="414">
        <f>Aktiv!A239</f>
        <v>5208</v>
      </c>
      <c r="D249" s="414" t="str">
        <f>Aktiv!D239</f>
        <v>Doppeltür (980x1440)</v>
      </c>
      <c r="E249" s="414">
        <f>Aktiv!E239</f>
        <v>980</v>
      </c>
      <c r="F249" s="414">
        <f>Aktiv!F239</f>
        <v>1440</v>
      </c>
      <c r="G249" s="423" t="str">
        <f>Aktiv!G239</f>
        <v>-</v>
      </c>
      <c r="H249" s="423" t="str">
        <f>Aktiv!H239</f>
        <v>-</v>
      </c>
      <c r="I249" s="423" t="str">
        <f>Aktiv!I239</f>
        <v>-</v>
      </c>
      <c r="J249" s="423" t="str">
        <f>Aktiv!J239</f>
        <v>-</v>
      </c>
      <c r="K249" s="423" t="str">
        <f>Aktiv!K239</f>
        <v>-</v>
      </c>
      <c r="L249" s="423" t="str">
        <f>Aktiv!L239</f>
        <v>-</v>
      </c>
      <c r="M249" s="423" t="str">
        <f>Aktiv!M239</f>
        <v>-</v>
      </c>
      <c r="N249" s="423" t="str">
        <f>Aktiv!N239</f>
        <v>-</v>
      </c>
    </row>
    <row r="250" spans="2:14" ht="18" customHeight="1" x14ac:dyDescent="0.3">
      <c r="B250" s="413" t="str">
        <f>Aktiv!C240</f>
        <v>Doppeltür</v>
      </c>
      <c r="C250" s="413">
        <f>Aktiv!A240</f>
        <v>5209</v>
      </c>
      <c r="D250" s="413" t="str">
        <f>Aktiv!D240</f>
        <v>Doppeltür (980x1800)</v>
      </c>
      <c r="E250" s="413">
        <f>Aktiv!E240</f>
        <v>980</v>
      </c>
      <c r="F250" s="413">
        <f>Aktiv!F240</f>
        <v>1800</v>
      </c>
      <c r="G250" s="424" t="str">
        <f>Aktiv!G240</f>
        <v>-</v>
      </c>
      <c r="H250" s="424" t="str">
        <f>Aktiv!H240</f>
        <v>-</v>
      </c>
      <c r="I250" s="424" t="str">
        <f>Aktiv!I240</f>
        <v>-</v>
      </c>
      <c r="J250" s="424" t="str">
        <f>Aktiv!J240</f>
        <v>-</v>
      </c>
      <c r="K250" s="424" t="str">
        <f>Aktiv!K240</f>
        <v>-</v>
      </c>
      <c r="L250" s="424" t="str">
        <f>Aktiv!L240</f>
        <v>-</v>
      </c>
      <c r="M250" s="424" t="str">
        <f>Aktiv!M240</f>
        <v>-</v>
      </c>
      <c r="N250" s="424" t="str">
        <f>Aktiv!N240</f>
        <v>-</v>
      </c>
    </row>
    <row r="251" spans="2:14" ht="18" customHeight="1" x14ac:dyDescent="0.25">
      <c r="B251" s="420"/>
      <c r="C251" s="420"/>
      <c r="D251" s="420"/>
      <c r="E251" s="420"/>
      <c r="F251" s="420"/>
      <c r="G251" s="421"/>
      <c r="H251" s="421"/>
      <c r="I251" s="421"/>
      <c r="J251" s="421"/>
      <c r="K251" s="421"/>
      <c r="L251" s="421"/>
      <c r="M251" s="421"/>
      <c r="N251" s="421"/>
    </row>
    <row r="252" spans="2:14" ht="18" customHeight="1" x14ac:dyDescent="0.3">
      <c r="B252" s="418" t="s">
        <v>2</v>
      </c>
      <c r="C252" s="418"/>
      <c r="D252" s="418"/>
      <c r="E252" s="418"/>
      <c r="F252" s="418"/>
      <c r="G252" s="419"/>
      <c r="H252" s="419"/>
      <c r="I252" s="419"/>
      <c r="J252" s="419"/>
      <c r="K252" s="419"/>
      <c r="L252" s="419"/>
      <c r="M252" s="419"/>
      <c r="N252" s="419"/>
    </row>
    <row r="253" spans="2:14" ht="18" customHeight="1" x14ac:dyDescent="0.3">
      <c r="B253" s="415" t="str">
        <f>Aktiv!C242</f>
        <v>Schublade</v>
      </c>
      <c r="C253" s="415">
        <f>Aktiv!A242</f>
        <v>5300</v>
      </c>
      <c r="D253" s="415" t="str">
        <f>Aktiv!D242</f>
        <v>Schublade (420x180)</v>
      </c>
      <c r="E253" s="415">
        <f>Aktiv!E242</f>
        <v>420</v>
      </c>
      <c r="F253" s="415">
        <f>Aktiv!F242</f>
        <v>180</v>
      </c>
      <c r="G253" s="422">
        <f>Aktiv!G242</f>
        <v>299</v>
      </c>
      <c r="H253" s="422">
        <f>Aktiv!H242</f>
        <v>355</v>
      </c>
      <c r="I253" s="422">
        <f>Aktiv!I242</f>
        <v>386</v>
      </c>
      <c r="J253" s="422" t="str">
        <f>Aktiv!J242</f>
        <v>-</v>
      </c>
      <c r="K253" s="422">
        <f>Aktiv!K242</f>
        <v>344</v>
      </c>
      <c r="L253" s="422">
        <f>Aktiv!L242</f>
        <v>408</v>
      </c>
      <c r="M253" s="422">
        <f>Aktiv!M242</f>
        <v>444</v>
      </c>
      <c r="N253" s="422" t="str">
        <f>Aktiv!N242</f>
        <v>-</v>
      </c>
    </row>
    <row r="254" spans="2:14" ht="18" customHeight="1" x14ac:dyDescent="0.3">
      <c r="B254" s="414" t="str">
        <f>Aktiv!C243</f>
        <v>Schublade</v>
      </c>
      <c r="C254" s="414">
        <f>Aktiv!A243</f>
        <v>5301</v>
      </c>
      <c r="D254" s="414" t="str">
        <f>Aktiv!D243</f>
        <v>Schublade (420x360)</v>
      </c>
      <c r="E254" s="414">
        <f>Aktiv!E243</f>
        <v>420</v>
      </c>
      <c r="F254" s="414">
        <f>Aktiv!F243</f>
        <v>360</v>
      </c>
      <c r="G254" s="423">
        <f>Aktiv!G243</f>
        <v>320</v>
      </c>
      <c r="H254" s="423">
        <f>Aktiv!H243</f>
        <v>381</v>
      </c>
      <c r="I254" s="423">
        <f>Aktiv!I243</f>
        <v>414</v>
      </c>
      <c r="J254" s="423" t="str">
        <f>Aktiv!J243</f>
        <v>-</v>
      </c>
      <c r="K254" s="423">
        <f>Aktiv!K243</f>
        <v>368</v>
      </c>
      <c r="L254" s="423">
        <f>Aktiv!L243</f>
        <v>438</v>
      </c>
      <c r="M254" s="423">
        <f>Aktiv!M243</f>
        <v>476</v>
      </c>
      <c r="N254" s="423" t="str">
        <f>Aktiv!N243</f>
        <v>-</v>
      </c>
    </row>
    <row r="255" spans="2:14" ht="18" customHeight="1" x14ac:dyDescent="0.3">
      <c r="B255" s="413" t="str">
        <f>Aktiv!C244</f>
        <v>Schublade</v>
      </c>
      <c r="C255" s="413">
        <f>Aktiv!A244</f>
        <v>5302</v>
      </c>
      <c r="D255" s="413" t="str">
        <f>Aktiv!D244</f>
        <v>Schublade (580x180)</v>
      </c>
      <c r="E255" s="413">
        <f>Aktiv!E244</f>
        <v>580</v>
      </c>
      <c r="F255" s="413">
        <f>Aktiv!F244</f>
        <v>180</v>
      </c>
      <c r="G255" s="424">
        <f>Aktiv!G244</f>
        <v>309</v>
      </c>
      <c r="H255" s="424">
        <f>Aktiv!H244</f>
        <v>367</v>
      </c>
      <c r="I255" s="424">
        <f>Aktiv!I244</f>
        <v>399</v>
      </c>
      <c r="J255" s="424" t="str">
        <f>Aktiv!J244</f>
        <v>-</v>
      </c>
      <c r="K255" s="424">
        <f>Aktiv!K244</f>
        <v>355</v>
      </c>
      <c r="L255" s="424">
        <f>Aktiv!L244</f>
        <v>422</v>
      </c>
      <c r="M255" s="424">
        <f>Aktiv!M244</f>
        <v>459</v>
      </c>
      <c r="N255" s="424" t="str">
        <f>Aktiv!N244</f>
        <v>-</v>
      </c>
    </row>
    <row r="256" spans="2:14" ht="18" customHeight="1" x14ac:dyDescent="0.3">
      <c r="B256" s="414" t="str">
        <f>Aktiv!C245</f>
        <v>Schublade</v>
      </c>
      <c r="C256" s="414">
        <f>Aktiv!A245</f>
        <v>5303</v>
      </c>
      <c r="D256" s="414" t="str">
        <f>Aktiv!D245</f>
        <v>Schublade (580x360)</v>
      </c>
      <c r="E256" s="414">
        <f>Aktiv!E245</f>
        <v>580</v>
      </c>
      <c r="F256" s="414">
        <f>Aktiv!F245</f>
        <v>360</v>
      </c>
      <c r="G256" s="423">
        <f>Aktiv!G245</f>
        <v>331</v>
      </c>
      <c r="H256" s="423">
        <f>Aktiv!H245</f>
        <v>393</v>
      </c>
      <c r="I256" s="423">
        <f>Aktiv!I245</f>
        <v>428</v>
      </c>
      <c r="J256" s="423" t="str">
        <f>Aktiv!J245</f>
        <v>-</v>
      </c>
      <c r="K256" s="423">
        <f>Aktiv!K245</f>
        <v>381</v>
      </c>
      <c r="L256" s="423">
        <f>Aktiv!L245</f>
        <v>452</v>
      </c>
      <c r="M256" s="423">
        <f>Aktiv!M245</f>
        <v>492</v>
      </c>
      <c r="N256" s="423" t="str">
        <f>Aktiv!N245</f>
        <v>-</v>
      </c>
    </row>
    <row r="257" spans="2:14" ht="18" customHeight="1" x14ac:dyDescent="0.3">
      <c r="B257" s="413" t="str">
        <f>Aktiv!C246</f>
        <v>Schublade</v>
      </c>
      <c r="C257" s="413">
        <f>Aktiv!A246</f>
        <v>5304</v>
      </c>
      <c r="D257" s="413" t="str">
        <f>Aktiv!D246</f>
        <v>Schublade (780x180)</v>
      </c>
      <c r="E257" s="413">
        <f>Aktiv!E246</f>
        <v>780</v>
      </c>
      <c r="F257" s="413">
        <f>Aktiv!F246</f>
        <v>180</v>
      </c>
      <c r="G257" s="424">
        <f>Aktiv!G246</f>
        <v>318</v>
      </c>
      <c r="H257" s="424">
        <f>Aktiv!H246</f>
        <v>378</v>
      </c>
      <c r="I257" s="424">
        <f>Aktiv!I246</f>
        <v>411</v>
      </c>
      <c r="J257" s="424" t="str">
        <f>Aktiv!J246</f>
        <v>-</v>
      </c>
      <c r="K257" s="424">
        <f>Aktiv!K246</f>
        <v>366</v>
      </c>
      <c r="L257" s="424">
        <f>Aktiv!L246</f>
        <v>435</v>
      </c>
      <c r="M257" s="424">
        <f>Aktiv!M246</f>
        <v>473</v>
      </c>
      <c r="N257" s="424" t="str">
        <f>Aktiv!N246</f>
        <v>-</v>
      </c>
    </row>
    <row r="258" spans="2:14" ht="18" customHeight="1" x14ac:dyDescent="0.3">
      <c r="B258" s="414" t="str">
        <f>Aktiv!C247</f>
        <v>Schublade</v>
      </c>
      <c r="C258" s="414">
        <f>Aktiv!A247</f>
        <v>5305</v>
      </c>
      <c r="D258" s="414" t="str">
        <f>Aktiv!D247</f>
        <v>Schublade (780x360)</v>
      </c>
      <c r="E258" s="414">
        <f>Aktiv!E247</f>
        <v>780</v>
      </c>
      <c r="F258" s="414">
        <f>Aktiv!F247</f>
        <v>360</v>
      </c>
      <c r="G258" s="423">
        <f>Aktiv!G247</f>
        <v>341</v>
      </c>
      <c r="H258" s="423">
        <f>Aktiv!H247</f>
        <v>405</v>
      </c>
      <c r="I258" s="423">
        <f>Aktiv!I247</f>
        <v>441</v>
      </c>
      <c r="J258" s="423" t="str">
        <f>Aktiv!J247</f>
        <v>-</v>
      </c>
      <c r="K258" s="423">
        <f>Aktiv!K247</f>
        <v>392</v>
      </c>
      <c r="L258" s="423">
        <f>Aktiv!L247</f>
        <v>466</v>
      </c>
      <c r="M258" s="423">
        <f>Aktiv!M247</f>
        <v>507</v>
      </c>
      <c r="N258" s="423" t="str">
        <f>Aktiv!N247</f>
        <v>-</v>
      </c>
    </row>
    <row r="259" spans="2:14" ht="18" customHeight="1" x14ac:dyDescent="0.3">
      <c r="B259" s="413" t="str">
        <f>Aktiv!C248</f>
        <v>Schublade</v>
      </c>
      <c r="C259" s="413">
        <f>Aktiv!A248</f>
        <v>5306</v>
      </c>
      <c r="D259" s="413" t="str">
        <f>Aktiv!D248</f>
        <v>Schublade (980x180)</v>
      </c>
      <c r="E259" s="413">
        <f>Aktiv!E248</f>
        <v>980</v>
      </c>
      <c r="F259" s="413">
        <f>Aktiv!F248</f>
        <v>180</v>
      </c>
      <c r="G259" s="424">
        <f>Aktiv!G248</f>
        <v>325</v>
      </c>
      <c r="H259" s="424">
        <f>Aktiv!H248</f>
        <v>386</v>
      </c>
      <c r="I259" s="424">
        <f>Aktiv!I248</f>
        <v>421</v>
      </c>
      <c r="J259" s="424" t="str">
        <f>Aktiv!J248</f>
        <v>-</v>
      </c>
      <c r="K259" s="424">
        <f>Aktiv!K248</f>
        <v>374</v>
      </c>
      <c r="L259" s="424">
        <f>Aktiv!L248</f>
        <v>444</v>
      </c>
      <c r="M259" s="424">
        <f>Aktiv!M248</f>
        <v>484</v>
      </c>
      <c r="N259" s="424" t="str">
        <f>Aktiv!N248</f>
        <v>-</v>
      </c>
    </row>
    <row r="260" spans="2:14" ht="18" customHeight="1" x14ac:dyDescent="0.3">
      <c r="B260" s="414" t="str">
        <f>Aktiv!C249</f>
        <v>Schublade</v>
      </c>
      <c r="C260" s="414">
        <f>Aktiv!A249</f>
        <v>5307</v>
      </c>
      <c r="D260" s="414" t="str">
        <f>Aktiv!D249</f>
        <v>Schublade (980x360)</v>
      </c>
      <c r="E260" s="414">
        <f>Aktiv!E249</f>
        <v>980</v>
      </c>
      <c r="F260" s="414">
        <f>Aktiv!F249</f>
        <v>360</v>
      </c>
      <c r="G260" s="423">
        <f>Aktiv!G249</f>
        <v>349</v>
      </c>
      <c r="H260" s="423">
        <f>Aktiv!H249</f>
        <v>414</v>
      </c>
      <c r="I260" s="423">
        <f>Aktiv!I249</f>
        <v>451</v>
      </c>
      <c r="J260" s="423" t="str">
        <f>Aktiv!J249</f>
        <v>-</v>
      </c>
      <c r="K260" s="423">
        <f>Aktiv!K249</f>
        <v>401</v>
      </c>
      <c r="L260" s="423">
        <f>Aktiv!L249</f>
        <v>476</v>
      </c>
      <c r="M260" s="423">
        <f>Aktiv!M249</f>
        <v>519</v>
      </c>
      <c r="N260" s="423" t="str">
        <f>Aktiv!N249</f>
        <v>-</v>
      </c>
    </row>
    <row r="261" spans="2:14" ht="18" customHeight="1" x14ac:dyDescent="0.3">
      <c r="B261" s="413" t="str">
        <f>Aktiv!C250</f>
        <v>Schublade</v>
      </c>
      <c r="C261" s="413" t="str">
        <f>Aktiv!A250</f>
        <v>S_0044</v>
      </c>
      <c r="D261" s="413" t="str">
        <f>Aktiv!D250</f>
        <v>Schublade (780x180)</v>
      </c>
      <c r="E261" s="413">
        <f>Aktiv!E250</f>
        <v>780</v>
      </c>
      <c r="F261" s="413">
        <f>Aktiv!F250</f>
        <v>180</v>
      </c>
      <c r="G261" s="424">
        <f>Aktiv!G250</f>
        <v>318</v>
      </c>
      <c r="H261" s="424">
        <f>Aktiv!H250</f>
        <v>378</v>
      </c>
      <c r="I261" s="424">
        <f>Aktiv!I250</f>
        <v>411</v>
      </c>
      <c r="J261" s="424" t="str">
        <f>Aktiv!J250</f>
        <v>-</v>
      </c>
      <c r="K261" s="424">
        <f>Aktiv!K250</f>
        <v>366</v>
      </c>
      <c r="L261" s="424">
        <f>Aktiv!L250</f>
        <v>435</v>
      </c>
      <c r="M261" s="424">
        <f>Aktiv!M250</f>
        <v>473</v>
      </c>
      <c r="N261" s="424" t="str">
        <f>Aktiv!N250</f>
        <v>-</v>
      </c>
    </row>
    <row r="262" spans="2:14" ht="18" customHeight="1" x14ac:dyDescent="0.3">
      <c r="B262" s="414" t="str">
        <f>Aktiv!C251</f>
        <v>Schublade</v>
      </c>
      <c r="C262" s="414" t="str">
        <f>Aktiv!A251</f>
        <v>S_0001</v>
      </c>
      <c r="D262" s="414" t="str">
        <f>Aktiv!D251</f>
        <v>Schublade (420x134)</v>
      </c>
      <c r="E262" s="414">
        <f>Aktiv!E251</f>
        <v>420</v>
      </c>
      <c r="F262" s="414">
        <f>Aktiv!F251</f>
        <v>134</v>
      </c>
      <c r="G262" s="423" t="str">
        <f>Aktiv!G251</f>
        <v>-</v>
      </c>
      <c r="H262" s="423" t="str">
        <f>Aktiv!H251</f>
        <v>-</v>
      </c>
      <c r="I262" s="423" t="str">
        <f>Aktiv!I251</f>
        <v>-</v>
      </c>
      <c r="J262" s="423" t="str">
        <f>Aktiv!J251</f>
        <v>-</v>
      </c>
      <c r="K262" s="423" t="str">
        <f>Aktiv!K251</f>
        <v>-</v>
      </c>
      <c r="L262" s="423" t="str">
        <f>Aktiv!L251</f>
        <v>-</v>
      </c>
      <c r="M262" s="423" t="str">
        <f>Aktiv!M251</f>
        <v>-</v>
      </c>
      <c r="N262" s="423" t="str">
        <f>Aktiv!N251</f>
        <v>-</v>
      </c>
    </row>
    <row r="263" spans="2:14" ht="18" customHeight="1" x14ac:dyDescent="0.3">
      <c r="B263" s="413" t="str">
        <f>Aktiv!C252</f>
        <v>Schublade</v>
      </c>
      <c r="C263" s="413" t="str">
        <f>Aktiv!A252</f>
        <v>S_0002</v>
      </c>
      <c r="D263" s="413" t="str">
        <f>Aktiv!D252</f>
        <v>Schublade (420x220)</v>
      </c>
      <c r="E263" s="413">
        <f>Aktiv!E252</f>
        <v>420</v>
      </c>
      <c r="F263" s="413">
        <f>Aktiv!F252</f>
        <v>220</v>
      </c>
      <c r="G263" s="424" t="str">
        <f>Aktiv!G252</f>
        <v>-</v>
      </c>
      <c r="H263" s="424" t="str">
        <f>Aktiv!H252</f>
        <v>-</v>
      </c>
      <c r="I263" s="424" t="str">
        <f>Aktiv!I252</f>
        <v>-</v>
      </c>
      <c r="J263" s="424" t="str">
        <f>Aktiv!J252</f>
        <v>-</v>
      </c>
      <c r="K263" s="424" t="str">
        <f>Aktiv!K252</f>
        <v>-</v>
      </c>
      <c r="L263" s="424" t="str">
        <f>Aktiv!L252</f>
        <v>-</v>
      </c>
      <c r="M263" s="424" t="str">
        <f>Aktiv!M252</f>
        <v>-</v>
      </c>
      <c r="N263" s="424" t="str">
        <f>Aktiv!N252</f>
        <v>-</v>
      </c>
    </row>
    <row r="264" spans="2:14" ht="18" customHeight="1" x14ac:dyDescent="0.3">
      <c r="B264" s="414" t="str">
        <f>Aktiv!C253</f>
        <v>Schublade</v>
      </c>
      <c r="C264" s="414" t="str">
        <f>Aktiv!A253</f>
        <v>S_0009</v>
      </c>
      <c r="D264" s="414" t="str">
        <f>Aktiv!D253</f>
        <v>Schublade (412x121)</v>
      </c>
      <c r="E264" s="414">
        <f>Aktiv!E253</f>
        <v>412</v>
      </c>
      <c r="F264" s="414">
        <f>Aktiv!F253</f>
        <v>121</v>
      </c>
      <c r="G264" s="423" t="str">
        <f>Aktiv!G253</f>
        <v>-</v>
      </c>
      <c r="H264" s="423" t="str">
        <f>Aktiv!H253</f>
        <v>-</v>
      </c>
      <c r="I264" s="423" t="str">
        <f>Aktiv!I253</f>
        <v>-</v>
      </c>
      <c r="J264" s="423" t="str">
        <f>Aktiv!J253</f>
        <v>-</v>
      </c>
      <c r="K264" s="423" t="str">
        <f>Aktiv!K253</f>
        <v>-</v>
      </c>
      <c r="L264" s="423" t="str">
        <f>Aktiv!L253</f>
        <v>-</v>
      </c>
      <c r="M264" s="423" t="str">
        <f>Aktiv!M253</f>
        <v>-</v>
      </c>
      <c r="N264" s="423" t="str">
        <f>Aktiv!N253</f>
        <v>-</v>
      </c>
    </row>
    <row r="265" spans="2:14" ht="18" customHeight="1" x14ac:dyDescent="0.3">
      <c r="B265" s="413" t="str">
        <f>Aktiv!C254</f>
        <v>Schublade</v>
      </c>
      <c r="C265" s="413" t="str">
        <f>Aktiv!A254</f>
        <v>S_0010</v>
      </c>
      <c r="D265" s="413" t="str">
        <f>Aktiv!D254</f>
        <v>Schublade (412x400)</v>
      </c>
      <c r="E265" s="413">
        <f>Aktiv!E254</f>
        <v>412</v>
      </c>
      <c r="F265" s="413">
        <f>Aktiv!F254</f>
        <v>400</v>
      </c>
      <c r="G265" s="424" t="str">
        <f>Aktiv!G254</f>
        <v>-</v>
      </c>
      <c r="H265" s="424" t="str">
        <f>Aktiv!H254</f>
        <v>-</v>
      </c>
      <c r="I265" s="424" t="str">
        <f>Aktiv!I254</f>
        <v>-</v>
      </c>
      <c r="J265" s="424" t="str">
        <f>Aktiv!J254</f>
        <v>-</v>
      </c>
      <c r="K265" s="424" t="str">
        <f>Aktiv!K254</f>
        <v>-</v>
      </c>
      <c r="L265" s="424" t="str">
        <f>Aktiv!L254</f>
        <v>-</v>
      </c>
      <c r="M265" s="424" t="str">
        <f>Aktiv!M254</f>
        <v>-</v>
      </c>
      <c r="N265" s="424" t="str">
        <f>Aktiv!N254</f>
        <v>-</v>
      </c>
    </row>
    <row r="266" spans="2:14" ht="18" customHeight="1" x14ac:dyDescent="0.3">
      <c r="B266" s="414" t="str">
        <f>Aktiv!C255</f>
        <v>Schublade</v>
      </c>
      <c r="C266" s="414" t="str">
        <f>Aktiv!A255</f>
        <v>S_0017</v>
      </c>
      <c r="D266" s="414" t="str">
        <f>Aktiv!D255</f>
        <v>Schublade (420x145)</v>
      </c>
      <c r="E266" s="414">
        <f>Aktiv!E255</f>
        <v>420</v>
      </c>
      <c r="F266" s="414">
        <f>Aktiv!F255</f>
        <v>145</v>
      </c>
      <c r="G266" s="423" t="str">
        <f>Aktiv!G255</f>
        <v>-</v>
      </c>
      <c r="H266" s="423" t="str">
        <f>Aktiv!H255</f>
        <v>-</v>
      </c>
      <c r="I266" s="423" t="str">
        <f>Aktiv!I255</f>
        <v>-</v>
      </c>
      <c r="J266" s="423" t="str">
        <f>Aktiv!J255</f>
        <v>-</v>
      </c>
      <c r="K266" s="423" t="str">
        <f>Aktiv!K255</f>
        <v>-</v>
      </c>
      <c r="L266" s="423" t="str">
        <f>Aktiv!L255</f>
        <v>-</v>
      </c>
      <c r="M266" s="423" t="str">
        <f>Aktiv!M255</f>
        <v>-</v>
      </c>
      <c r="N266" s="423" t="str">
        <f>Aktiv!N255</f>
        <v>-</v>
      </c>
    </row>
    <row r="267" spans="2:14" ht="18" customHeight="1" x14ac:dyDescent="0.3">
      <c r="B267" s="413" t="str">
        <f>Aktiv!C256</f>
        <v>Schublade</v>
      </c>
      <c r="C267" s="413" t="str">
        <f>Aktiv!A256</f>
        <v>S_0018</v>
      </c>
      <c r="D267" s="413" t="str">
        <f>Aktiv!D256</f>
        <v>Schublade (420x293)</v>
      </c>
      <c r="E267" s="413">
        <f>Aktiv!E256</f>
        <v>420</v>
      </c>
      <c r="F267" s="413">
        <f>Aktiv!F256</f>
        <v>293</v>
      </c>
      <c r="G267" s="424" t="str">
        <f>Aktiv!G256</f>
        <v>-</v>
      </c>
      <c r="H267" s="424" t="str">
        <f>Aktiv!H256</f>
        <v>-</v>
      </c>
      <c r="I267" s="424" t="str">
        <f>Aktiv!I256</f>
        <v>-</v>
      </c>
      <c r="J267" s="424" t="str">
        <f>Aktiv!J256</f>
        <v>-</v>
      </c>
      <c r="K267" s="424" t="str">
        <f>Aktiv!K256</f>
        <v>-</v>
      </c>
      <c r="L267" s="424" t="str">
        <f>Aktiv!L256</f>
        <v>-</v>
      </c>
      <c r="M267" s="424" t="str">
        <f>Aktiv!M256</f>
        <v>-</v>
      </c>
      <c r="N267" s="424" t="str">
        <f>Aktiv!N256</f>
        <v>-</v>
      </c>
    </row>
    <row r="268" spans="2:14" ht="18" customHeight="1" x14ac:dyDescent="0.3">
      <c r="B268" s="414" t="str">
        <f>Aktiv!C257</f>
        <v>Schublade</v>
      </c>
      <c r="C268" s="414" t="str">
        <f>Aktiv!A257</f>
        <v>S_0029</v>
      </c>
      <c r="D268" s="414" t="str">
        <f>Aktiv!D257</f>
        <v>Schublade (420x67)</v>
      </c>
      <c r="E268" s="414">
        <f>Aktiv!E257</f>
        <v>420</v>
      </c>
      <c r="F268" s="414">
        <f>Aktiv!F257</f>
        <v>67</v>
      </c>
      <c r="G268" s="423" t="str">
        <f>Aktiv!G257</f>
        <v>-</v>
      </c>
      <c r="H268" s="423" t="str">
        <f>Aktiv!H257</f>
        <v>-</v>
      </c>
      <c r="I268" s="423" t="str">
        <f>Aktiv!I257</f>
        <v>-</v>
      </c>
      <c r="J268" s="423" t="str">
        <f>Aktiv!J257</f>
        <v>-</v>
      </c>
      <c r="K268" s="423" t="str">
        <f>Aktiv!K257</f>
        <v>-</v>
      </c>
      <c r="L268" s="423" t="str">
        <f>Aktiv!L257</f>
        <v>-</v>
      </c>
      <c r="M268" s="423" t="str">
        <f>Aktiv!M257</f>
        <v>-</v>
      </c>
      <c r="N268" s="423" t="str">
        <f>Aktiv!N257</f>
        <v>-</v>
      </c>
    </row>
    <row r="269" spans="2:14" ht="18" customHeight="1" x14ac:dyDescent="0.3">
      <c r="B269" s="413" t="str">
        <f>Aktiv!C258</f>
        <v>Schublade</v>
      </c>
      <c r="C269" s="413" t="str">
        <f>Aktiv!A258</f>
        <v>S_0033</v>
      </c>
      <c r="D269" s="413" t="str">
        <f>Aktiv!D258</f>
        <v>Schublade (420x142)</v>
      </c>
      <c r="E269" s="413">
        <f>Aktiv!E258</f>
        <v>420</v>
      </c>
      <c r="F269" s="413">
        <f>Aktiv!F258</f>
        <v>142</v>
      </c>
      <c r="G269" s="424" t="str">
        <f>Aktiv!G258</f>
        <v>-</v>
      </c>
      <c r="H269" s="424" t="str">
        <f>Aktiv!H258</f>
        <v>-</v>
      </c>
      <c r="I269" s="424" t="str">
        <f>Aktiv!I258</f>
        <v>-</v>
      </c>
      <c r="J269" s="424" t="str">
        <f>Aktiv!J258</f>
        <v>-</v>
      </c>
      <c r="K269" s="424" t="str">
        <f>Aktiv!K258</f>
        <v>-</v>
      </c>
      <c r="L269" s="424" t="str">
        <f>Aktiv!L258</f>
        <v>-</v>
      </c>
      <c r="M269" s="424" t="str">
        <f>Aktiv!M258</f>
        <v>-</v>
      </c>
      <c r="N269" s="424" t="str">
        <f>Aktiv!N258</f>
        <v>-</v>
      </c>
    </row>
    <row r="270" spans="2:14" ht="18" customHeight="1" x14ac:dyDescent="0.3">
      <c r="B270" s="414" t="str">
        <f>Aktiv!C259</f>
        <v>Schublade</v>
      </c>
      <c r="C270" s="414" t="str">
        <f>Aktiv!A259</f>
        <v>S_0034</v>
      </c>
      <c r="D270" s="414" t="str">
        <f>Aktiv!D259</f>
        <v>Schublade (420x280)</v>
      </c>
      <c r="E270" s="414">
        <f>Aktiv!E259</f>
        <v>420</v>
      </c>
      <c r="F270" s="414">
        <f>Aktiv!F259</f>
        <v>280</v>
      </c>
      <c r="G270" s="423" t="str">
        <f>Aktiv!G259</f>
        <v>-</v>
      </c>
      <c r="H270" s="423" t="str">
        <f>Aktiv!H259</f>
        <v>-</v>
      </c>
      <c r="I270" s="423" t="str">
        <f>Aktiv!I259</f>
        <v>-</v>
      </c>
      <c r="J270" s="423" t="str">
        <f>Aktiv!J259</f>
        <v>-</v>
      </c>
      <c r="K270" s="423" t="str">
        <f>Aktiv!K259</f>
        <v>-</v>
      </c>
      <c r="L270" s="423" t="str">
        <f>Aktiv!L259</f>
        <v>-</v>
      </c>
      <c r="M270" s="423" t="str">
        <f>Aktiv!M259</f>
        <v>-</v>
      </c>
      <c r="N270" s="423" t="str">
        <f>Aktiv!N259</f>
        <v>-</v>
      </c>
    </row>
    <row r="271" spans="2:14" ht="18" customHeight="1" x14ac:dyDescent="0.3">
      <c r="B271" s="413" t="str">
        <f>Aktiv!C260</f>
        <v>Schublade</v>
      </c>
      <c r="C271" s="413" t="str">
        <f>Aktiv!A260</f>
        <v>S_0037</v>
      </c>
      <c r="D271" s="413" t="str">
        <f>Aktiv!D260</f>
        <v>Schublade (420x141)</v>
      </c>
      <c r="E271" s="413">
        <f>Aktiv!E260</f>
        <v>420</v>
      </c>
      <c r="F271" s="413">
        <f>Aktiv!F260</f>
        <v>141</v>
      </c>
      <c r="G271" s="424" t="str">
        <f>Aktiv!G260</f>
        <v>-</v>
      </c>
      <c r="H271" s="424" t="str">
        <f>Aktiv!H260</f>
        <v>-</v>
      </c>
      <c r="I271" s="424" t="str">
        <f>Aktiv!I260</f>
        <v>-</v>
      </c>
      <c r="J271" s="424" t="str">
        <f>Aktiv!J260</f>
        <v>-</v>
      </c>
      <c r="K271" s="424" t="str">
        <f>Aktiv!K260</f>
        <v>-</v>
      </c>
      <c r="L271" s="424" t="str">
        <f>Aktiv!L260</f>
        <v>-</v>
      </c>
      <c r="M271" s="424" t="str">
        <f>Aktiv!M260</f>
        <v>-</v>
      </c>
      <c r="N271" s="424" t="str">
        <f>Aktiv!N260</f>
        <v>-</v>
      </c>
    </row>
    <row r="272" spans="2:14" ht="18" customHeight="1" x14ac:dyDescent="0.25">
      <c r="B272" s="420"/>
      <c r="C272" s="420"/>
      <c r="D272" s="420"/>
      <c r="E272" s="420"/>
      <c r="F272" s="420"/>
      <c r="G272" s="421"/>
      <c r="H272" s="421"/>
      <c r="I272" s="421"/>
      <c r="J272" s="421"/>
      <c r="K272" s="421"/>
      <c r="L272" s="421"/>
      <c r="M272" s="421"/>
      <c r="N272" s="421"/>
    </row>
    <row r="273" spans="2:14" ht="18" customHeight="1" x14ac:dyDescent="0.3">
      <c r="B273" s="418" t="s">
        <v>278</v>
      </c>
      <c r="C273" s="418"/>
      <c r="D273" s="418"/>
      <c r="E273" s="418"/>
      <c r="F273" s="418"/>
      <c r="G273" s="419"/>
      <c r="H273" s="419"/>
      <c r="I273" s="419"/>
      <c r="J273" s="419"/>
      <c r="K273" s="419"/>
      <c r="L273" s="419"/>
      <c r="M273" s="419"/>
      <c r="N273" s="419"/>
    </row>
    <row r="274" spans="2:14" ht="18" customHeight="1" x14ac:dyDescent="0.3">
      <c r="B274" s="415" t="str">
        <f>Aktiv!C262</f>
        <v>Schublade LB 1</v>
      </c>
      <c r="C274" s="415">
        <f>Aktiv!A262</f>
        <v>5400</v>
      </c>
      <c r="D274" s="415" t="str">
        <f>Aktiv!D262</f>
        <v>Schublade LB 1 (420x180)</v>
      </c>
      <c r="E274" s="415">
        <f>Aktiv!E262</f>
        <v>420</v>
      </c>
      <c r="F274" s="415">
        <f>Aktiv!F262</f>
        <v>180</v>
      </c>
      <c r="G274" s="422">
        <f>Aktiv!G262</f>
        <v>299</v>
      </c>
      <c r="H274" s="422">
        <f>Aktiv!H262</f>
        <v>355</v>
      </c>
      <c r="I274" s="422">
        <f>Aktiv!I262</f>
        <v>386</v>
      </c>
      <c r="J274" s="422" t="str">
        <f>Aktiv!J262</f>
        <v>-</v>
      </c>
      <c r="K274" s="422">
        <f>Aktiv!K262</f>
        <v>344</v>
      </c>
      <c r="L274" s="422">
        <f>Aktiv!L262</f>
        <v>408</v>
      </c>
      <c r="M274" s="422">
        <f>Aktiv!M262</f>
        <v>444</v>
      </c>
      <c r="N274" s="422" t="str">
        <f>Aktiv!N262</f>
        <v>-</v>
      </c>
    </row>
    <row r="275" spans="2:14" ht="18" customHeight="1" x14ac:dyDescent="0.3">
      <c r="B275" s="414" t="str">
        <f>Aktiv!C263</f>
        <v>Schublade LB 1</v>
      </c>
      <c r="C275" s="414">
        <f>Aktiv!A263</f>
        <v>5401</v>
      </c>
      <c r="D275" s="414" t="str">
        <f>Aktiv!D263</f>
        <v>Schublade LB 1 (420x360)</v>
      </c>
      <c r="E275" s="414">
        <f>Aktiv!E263</f>
        <v>420</v>
      </c>
      <c r="F275" s="414">
        <f>Aktiv!F263</f>
        <v>360</v>
      </c>
      <c r="G275" s="423">
        <f>Aktiv!G263</f>
        <v>320</v>
      </c>
      <c r="H275" s="423">
        <f>Aktiv!H263</f>
        <v>381</v>
      </c>
      <c r="I275" s="423">
        <f>Aktiv!I263</f>
        <v>414</v>
      </c>
      <c r="J275" s="423" t="str">
        <f>Aktiv!J263</f>
        <v>-</v>
      </c>
      <c r="K275" s="423">
        <f>Aktiv!K263</f>
        <v>368</v>
      </c>
      <c r="L275" s="423">
        <f>Aktiv!L263</f>
        <v>438</v>
      </c>
      <c r="M275" s="423">
        <f>Aktiv!M263</f>
        <v>476</v>
      </c>
      <c r="N275" s="423" t="str">
        <f>Aktiv!N263</f>
        <v>-</v>
      </c>
    </row>
    <row r="276" spans="2:14" ht="18" customHeight="1" x14ac:dyDescent="0.3">
      <c r="B276" s="413" t="str">
        <f>Aktiv!C264</f>
        <v>Schublade LB 1</v>
      </c>
      <c r="C276" s="413">
        <f>Aktiv!A264</f>
        <v>5402</v>
      </c>
      <c r="D276" s="413" t="str">
        <f>Aktiv!D264</f>
        <v>Schublade LB 1 (580x180)</v>
      </c>
      <c r="E276" s="413">
        <f>Aktiv!E264</f>
        <v>580</v>
      </c>
      <c r="F276" s="413">
        <f>Aktiv!F264</f>
        <v>180</v>
      </c>
      <c r="G276" s="424">
        <f>Aktiv!G264</f>
        <v>309</v>
      </c>
      <c r="H276" s="424">
        <f>Aktiv!H264</f>
        <v>367</v>
      </c>
      <c r="I276" s="424">
        <f>Aktiv!I264</f>
        <v>399</v>
      </c>
      <c r="J276" s="424" t="str">
        <f>Aktiv!J264</f>
        <v>-</v>
      </c>
      <c r="K276" s="424">
        <f>Aktiv!K264</f>
        <v>355</v>
      </c>
      <c r="L276" s="424">
        <f>Aktiv!L264</f>
        <v>422</v>
      </c>
      <c r="M276" s="424">
        <f>Aktiv!M264</f>
        <v>459</v>
      </c>
      <c r="N276" s="424" t="str">
        <f>Aktiv!N264</f>
        <v>-</v>
      </c>
    </row>
    <row r="277" spans="2:14" ht="18" customHeight="1" x14ac:dyDescent="0.3">
      <c r="B277" s="414" t="str">
        <f>Aktiv!C265</f>
        <v>Schublade LB 1</v>
      </c>
      <c r="C277" s="414">
        <f>Aktiv!A265</f>
        <v>5403</v>
      </c>
      <c r="D277" s="414" t="str">
        <f>Aktiv!D265</f>
        <v>Schublade LB 1 (580x360)</v>
      </c>
      <c r="E277" s="414">
        <f>Aktiv!E265</f>
        <v>580</v>
      </c>
      <c r="F277" s="414">
        <f>Aktiv!F265</f>
        <v>360</v>
      </c>
      <c r="G277" s="423">
        <f>Aktiv!G265</f>
        <v>331</v>
      </c>
      <c r="H277" s="423">
        <f>Aktiv!H265</f>
        <v>393</v>
      </c>
      <c r="I277" s="423">
        <f>Aktiv!I265</f>
        <v>428</v>
      </c>
      <c r="J277" s="423" t="str">
        <f>Aktiv!J265</f>
        <v>-</v>
      </c>
      <c r="K277" s="423">
        <f>Aktiv!K265</f>
        <v>381</v>
      </c>
      <c r="L277" s="423">
        <f>Aktiv!L265</f>
        <v>452</v>
      </c>
      <c r="M277" s="423">
        <f>Aktiv!M265</f>
        <v>492</v>
      </c>
      <c r="N277" s="423" t="str">
        <f>Aktiv!N265</f>
        <v>-</v>
      </c>
    </row>
    <row r="278" spans="2:14" ht="18" customHeight="1" x14ac:dyDescent="0.3">
      <c r="B278" s="413" t="str">
        <f>Aktiv!C266</f>
        <v>Schublade LB 1</v>
      </c>
      <c r="C278" s="413">
        <f>Aktiv!A266</f>
        <v>5404</v>
      </c>
      <c r="D278" s="413" t="str">
        <f>Aktiv!D266</f>
        <v>Schublade LB 1 (780x180)</v>
      </c>
      <c r="E278" s="413">
        <f>Aktiv!E266</f>
        <v>780</v>
      </c>
      <c r="F278" s="413">
        <f>Aktiv!F266</f>
        <v>180</v>
      </c>
      <c r="G278" s="424">
        <f>Aktiv!G266</f>
        <v>318</v>
      </c>
      <c r="H278" s="424">
        <f>Aktiv!H266</f>
        <v>378</v>
      </c>
      <c r="I278" s="424">
        <f>Aktiv!I266</f>
        <v>411</v>
      </c>
      <c r="J278" s="424" t="str">
        <f>Aktiv!J266</f>
        <v>-</v>
      </c>
      <c r="K278" s="424">
        <f>Aktiv!K266</f>
        <v>366</v>
      </c>
      <c r="L278" s="424">
        <f>Aktiv!L266</f>
        <v>435</v>
      </c>
      <c r="M278" s="424">
        <f>Aktiv!M266</f>
        <v>473</v>
      </c>
      <c r="N278" s="424" t="str">
        <f>Aktiv!N266</f>
        <v>-</v>
      </c>
    </row>
    <row r="279" spans="2:14" ht="18" customHeight="1" x14ac:dyDescent="0.3">
      <c r="B279" s="414" t="str">
        <f>Aktiv!C267</f>
        <v>Schublade LB 1</v>
      </c>
      <c r="C279" s="414">
        <f>Aktiv!A267</f>
        <v>5405</v>
      </c>
      <c r="D279" s="414" t="str">
        <f>Aktiv!D267</f>
        <v>Schublade LB 1 (780x360)</v>
      </c>
      <c r="E279" s="414">
        <f>Aktiv!E267</f>
        <v>780</v>
      </c>
      <c r="F279" s="414">
        <f>Aktiv!F267</f>
        <v>360</v>
      </c>
      <c r="G279" s="423">
        <f>Aktiv!G267</f>
        <v>341</v>
      </c>
      <c r="H279" s="423">
        <f>Aktiv!H267</f>
        <v>405</v>
      </c>
      <c r="I279" s="423">
        <f>Aktiv!I267</f>
        <v>441</v>
      </c>
      <c r="J279" s="423" t="str">
        <f>Aktiv!J267</f>
        <v>-</v>
      </c>
      <c r="K279" s="423">
        <f>Aktiv!K267</f>
        <v>392</v>
      </c>
      <c r="L279" s="423">
        <f>Aktiv!L267</f>
        <v>466</v>
      </c>
      <c r="M279" s="423">
        <f>Aktiv!M267</f>
        <v>507</v>
      </c>
      <c r="N279" s="423" t="str">
        <f>Aktiv!N267</f>
        <v>-</v>
      </c>
    </row>
    <row r="280" spans="2:14" ht="18" customHeight="1" x14ac:dyDescent="0.3">
      <c r="B280" s="413" t="str">
        <f>Aktiv!C268</f>
        <v>Schublade LB 1</v>
      </c>
      <c r="C280" s="413">
        <f>Aktiv!A268</f>
        <v>5406</v>
      </c>
      <c r="D280" s="413" t="str">
        <f>Aktiv!D268</f>
        <v>Schublade LB 1 (980x180)</v>
      </c>
      <c r="E280" s="413">
        <f>Aktiv!E268</f>
        <v>980</v>
      </c>
      <c r="F280" s="413">
        <f>Aktiv!F268</f>
        <v>180</v>
      </c>
      <c r="G280" s="424">
        <f>Aktiv!G268</f>
        <v>325</v>
      </c>
      <c r="H280" s="424">
        <f>Aktiv!H268</f>
        <v>386</v>
      </c>
      <c r="I280" s="424">
        <f>Aktiv!I268</f>
        <v>421</v>
      </c>
      <c r="J280" s="424" t="str">
        <f>Aktiv!J268</f>
        <v>-</v>
      </c>
      <c r="K280" s="424">
        <f>Aktiv!K268</f>
        <v>374</v>
      </c>
      <c r="L280" s="424">
        <f>Aktiv!L268</f>
        <v>444</v>
      </c>
      <c r="M280" s="424">
        <f>Aktiv!M268</f>
        <v>484</v>
      </c>
      <c r="N280" s="424" t="str">
        <f>Aktiv!N268</f>
        <v>-</v>
      </c>
    </row>
    <row r="281" spans="2:14" ht="18" customHeight="1" x14ac:dyDescent="0.3">
      <c r="B281" s="414" t="str">
        <f>Aktiv!C269</f>
        <v>Schublade LB 1</v>
      </c>
      <c r="C281" s="414">
        <f>Aktiv!A269</f>
        <v>5407</v>
      </c>
      <c r="D281" s="414" t="str">
        <f>Aktiv!D269</f>
        <v>Schublade LB 1 (980x360)</v>
      </c>
      <c r="E281" s="414">
        <f>Aktiv!E269</f>
        <v>980</v>
      </c>
      <c r="F281" s="414">
        <f>Aktiv!F269</f>
        <v>360</v>
      </c>
      <c r="G281" s="423">
        <f>Aktiv!G269</f>
        <v>349</v>
      </c>
      <c r="H281" s="423">
        <f>Aktiv!H269</f>
        <v>414</v>
      </c>
      <c r="I281" s="423">
        <f>Aktiv!I269</f>
        <v>451</v>
      </c>
      <c r="J281" s="423" t="str">
        <f>Aktiv!J269</f>
        <v>-</v>
      </c>
      <c r="K281" s="423">
        <f>Aktiv!K269</f>
        <v>401</v>
      </c>
      <c r="L281" s="423">
        <f>Aktiv!L269</f>
        <v>476</v>
      </c>
      <c r="M281" s="423">
        <f>Aktiv!M269</f>
        <v>519</v>
      </c>
      <c r="N281" s="423" t="str">
        <f>Aktiv!N269</f>
        <v>-</v>
      </c>
    </row>
    <row r="282" spans="2:14" ht="18" customHeight="1" x14ac:dyDescent="0.25">
      <c r="B282" s="420"/>
      <c r="C282" s="420"/>
      <c r="D282" s="420"/>
      <c r="E282" s="420"/>
      <c r="F282" s="420"/>
      <c r="G282" s="421"/>
      <c r="H282" s="421"/>
      <c r="I282" s="421"/>
      <c r="J282" s="421"/>
      <c r="K282" s="421"/>
      <c r="L282" s="421"/>
      <c r="M282" s="421"/>
      <c r="N282" s="421"/>
    </row>
    <row r="283" spans="2:14" ht="18" customHeight="1" x14ac:dyDescent="0.3">
      <c r="B283" s="418" t="s">
        <v>287</v>
      </c>
      <c r="C283" s="418"/>
      <c r="D283" s="418"/>
      <c r="E283" s="418"/>
      <c r="F283" s="418"/>
      <c r="G283" s="419"/>
      <c r="H283" s="419"/>
      <c r="I283" s="419"/>
      <c r="J283" s="419"/>
      <c r="K283" s="419"/>
      <c r="L283" s="419"/>
      <c r="M283" s="419"/>
      <c r="N283" s="419"/>
    </row>
    <row r="284" spans="2:14" ht="18" customHeight="1" x14ac:dyDescent="0.3">
      <c r="B284" s="415" t="str">
        <f>Aktiv!C271</f>
        <v>Schublade LB 2</v>
      </c>
      <c r="C284" s="415">
        <f>Aktiv!A271</f>
        <v>5500</v>
      </c>
      <c r="D284" s="415" t="str">
        <f>Aktiv!D271</f>
        <v>Schublade LB 2 (420x180)</v>
      </c>
      <c r="E284" s="415">
        <f>Aktiv!E271</f>
        <v>420</v>
      </c>
      <c r="F284" s="415">
        <f>Aktiv!F271</f>
        <v>180</v>
      </c>
      <c r="G284" s="422">
        <f>Aktiv!G271</f>
        <v>299</v>
      </c>
      <c r="H284" s="422">
        <f>Aktiv!H271</f>
        <v>355</v>
      </c>
      <c r="I284" s="422">
        <f>Aktiv!I271</f>
        <v>386</v>
      </c>
      <c r="J284" s="422" t="str">
        <f>Aktiv!J271</f>
        <v>-</v>
      </c>
      <c r="K284" s="422">
        <f>Aktiv!K271</f>
        <v>344</v>
      </c>
      <c r="L284" s="422">
        <f>Aktiv!L271</f>
        <v>408</v>
      </c>
      <c r="M284" s="422">
        <f>Aktiv!M271</f>
        <v>444</v>
      </c>
      <c r="N284" s="422" t="str">
        <f>Aktiv!N271</f>
        <v>-</v>
      </c>
    </row>
    <row r="285" spans="2:14" ht="18" customHeight="1" x14ac:dyDescent="0.3">
      <c r="B285" s="414" t="str">
        <f>Aktiv!C272</f>
        <v>Schublade LB 2</v>
      </c>
      <c r="C285" s="414">
        <f>Aktiv!A272</f>
        <v>5501</v>
      </c>
      <c r="D285" s="414" t="str">
        <f>Aktiv!D272</f>
        <v>Schublade LB 2 (420x360)</v>
      </c>
      <c r="E285" s="414">
        <f>Aktiv!E272</f>
        <v>420</v>
      </c>
      <c r="F285" s="414">
        <f>Aktiv!F272</f>
        <v>360</v>
      </c>
      <c r="G285" s="423">
        <f>Aktiv!G272</f>
        <v>320</v>
      </c>
      <c r="H285" s="423">
        <f>Aktiv!H272</f>
        <v>381</v>
      </c>
      <c r="I285" s="423">
        <f>Aktiv!I272</f>
        <v>414</v>
      </c>
      <c r="J285" s="423" t="str">
        <f>Aktiv!J272</f>
        <v>-</v>
      </c>
      <c r="K285" s="423">
        <f>Aktiv!K272</f>
        <v>368</v>
      </c>
      <c r="L285" s="423">
        <f>Aktiv!L272</f>
        <v>438</v>
      </c>
      <c r="M285" s="423">
        <f>Aktiv!M272</f>
        <v>476</v>
      </c>
      <c r="N285" s="423" t="str">
        <f>Aktiv!N272</f>
        <v>-</v>
      </c>
    </row>
    <row r="286" spans="2:14" ht="18" customHeight="1" x14ac:dyDescent="0.3">
      <c r="B286" s="413" t="str">
        <f>Aktiv!C273</f>
        <v>Schublade LB 2</v>
      </c>
      <c r="C286" s="413">
        <f>Aktiv!A273</f>
        <v>5502</v>
      </c>
      <c r="D286" s="413" t="str">
        <f>Aktiv!D273</f>
        <v>Schublade LB 2 (580x180)</v>
      </c>
      <c r="E286" s="413">
        <f>Aktiv!E273</f>
        <v>580</v>
      </c>
      <c r="F286" s="413">
        <f>Aktiv!F273</f>
        <v>180</v>
      </c>
      <c r="G286" s="424">
        <f>Aktiv!G273</f>
        <v>309</v>
      </c>
      <c r="H286" s="424">
        <f>Aktiv!H273</f>
        <v>367</v>
      </c>
      <c r="I286" s="424">
        <f>Aktiv!I273</f>
        <v>399</v>
      </c>
      <c r="J286" s="424" t="str">
        <f>Aktiv!J273</f>
        <v>-</v>
      </c>
      <c r="K286" s="424">
        <f>Aktiv!K273</f>
        <v>355</v>
      </c>
      <c r="L286" s="424">
        <f>Aktiv!L273</f>
        <v>422</v>
      </c>
      <c r="M286" s="424">
        <f>Aktiv!M273</f>
        <v>459</v>
      </c>
      <c r="N286" s="424" t="str">
        <f>Aktiv!N273</f>
        <v>-</v>
      </c>
    </row>
    <row r="287" spans="2:14" ht="18" customHeight="1" x14ac:dyDescent="0.3">
      <c r="B287" s="414" t="str">
        <f>Aktiv!C274</f>
        <v>Schublade LB 2</v>
      </c>
      <c r="C287" s="414">
        <f>Aktiv!A274</f>
        <v>5503</v>
      </c>
      <c r="D287" s="414" t="str">
        <f>Aktiv!D274</f>
        <v>Schublade LB 2 (580x360)</v>
      </c>
      <c r="E287" s="414">
        <f>Aktiv!E274</f>
        <v>580</v>
      </c>
      <c r="F287" s="414">
        <f>Aktiv!F274</f>
        <v>360</v>
      </c>
      <c r="G287" s="423">
        <f>Aktiv!G274</f>
        <v>331</v>
      </c>
      <c r="H287" s="423">
        <f>Aktiv!H274</f>
        <v>393</v>
      </c>
      <c r="I287" s="423">
        <f>Aktiv!I274</f>
        <v>428</v>
      </c>
      <c r="J287" s="423" t="str">
        <f>Aktiv!J274</f>
        <v>-</v>
      </c>
      <c r="K287" s="423">
        <f>Aktiv!K274</f>
        <v>381</v>
      </c>
      <c r="L287" s="423">
        <f>Aktiv!L274</f>
        <v>452</v>
      </c>
      <c r="M287" s="423">
        <f>Aktiv!M274</f>
        <v>492</v>
      </c>
      <c r="N287" s="423" t="str">
        <f>Aktiv!N274</f>
        <v>-</v>
      </c>
    </row>
    <row r="288" spans="2:14" ht="18" customHeight="1" x14ac:dyDescent="0.3">
      <c r="B288" s="413" t="str">
        <f>Aktiv!C275</f>
        <v>Schublade LB 2</v>
      </c>
      <c r="C288" s="413">
        <f>Aktiv!A275</f>
        <v>5504</v>
      </c>
      <c r="D288" s="413" t="str">
        <f>Aktiv!D275</f>
        <v>Schublade LB 2 (780x180)</v>
      </c>
      <c r="E288" s="413">
        <f>Aktiv!E275</f>
        <v>780</v>
      </c>
      <c r="F288" s="413">
        <f>Aktiv!F275</f>
        <v>180</v>
      </c>
      <c r="G288" s="424">
        <f>Aktiv!G275</f>
        <v>318</v>
      </c>
      <c r="H288" s="424">
        <f>Aktiv!H275</f>
        <v>378</v>
      </c>
      <c r="I288" s="424">
        <f>Aktiv!I275</f>
        <v>411</v>
      </c>
      <c r="J288" s="424" t="str">
        <f>Aktiv!J275</f>
        <v>-</v>
      </c>
      <c r="K288" s="424">
        <f>Aktiv!K275</f>
        <v>366</v>
      </c>
      <c r="L288" s="424">
        <f>Aktiv!L275</f>
        <v>435</v>
      </c>
      <c r="M288" s="424">
        <f>Aktiv!M275</f>
        <v>473</v>
      </c>
      <c r="N288" s="424" t="str">
        <f>Aktiv!N275</f>
        <v>-</v>
      </c>
    </row>
    <row r="289" spans="2:14" ht="18" customHeight="1" x14ac:dyDescent="0.3">
      <c r="B289" s="414" t="str">
        <f>Aktiv!C276</f>
        <v>Schublade LB 2</v>
      </c>
      <c r="C289" s="414">
        <f>Aktiv!A276</f>
        <v>5505</v>
      </c>
      <c r="D289" s="414" t="str">
        <f>Aktiv!D276</f>
        <v>Schublade LB 2 (780x360)</v>
      </c>
      <c r="E289" s="414">
        <f>Aktiv!E276</f>
        <v>780</v>
      </c>
      <c r="F289" s="414">
        <f>Aktiv!F276</f>
        <v>360</v>
      </c>
      <c r="G289" s="423">
        <f>Aktiv!G276</f>
        <v>341</v>
      </c>
      <c r="H289" s="423">
        <f>Aktiv!H276</f>
        <v>405</v>
      </c>
      <c r="I289" s="423">
        <f>Aktiv!I276</f>
        <v>441</v>
      </c>
      <c r="J289" s="423" t="str">
        <f>Aktiv!J276</f>
        <v>-</v>
      </c>
      <c r="K289" s="423">
        <f>Aktiv!K276</f>
        <v>392</v>
      </c>
      <c r="L289" s="423">
        <f>Aktiv!L276</f>
        <v>466</v>
      </c>
      <c r="M289" s="423">
        <f>Aktiv!M276</f>
        <v>507</v>
      </c>
      <c r="N289" s="423" t="str">
        <f>Aktiv!N276</f>
        <v>-</v>
      </c>
    </row>
    <row r="290" spans="2:14" ht="18" customHeight="1" x14ac:dyDescent="0.3">
      <c r="B290" s="413" t="str">
        <f>Aktiv!C277</f>
        <v>Schublade LB 2</v>
      </c>
      <c r="C290" s="413">
        <f>Aktiv!A277</f>
        <v>5506</v>
      </c>
      <c r="D290" s="413" t="str">
        <f>Aktiv!D277</f>
        <v>Schublade LB 2 (980x180)</v>
      </c>
      <c r="E290" s="413">
        <f>Aktiv!E277</f>
        <v>980</v>
      </c>
      <c r="F290" s="413">
        <f>Aktiv!F277</f>
        <v>180</v>
      </c>
      <c r="G290" s="424">
        <f>Aktiv!G277</f>
        <v>325</v>
      </c>
      <c r="H290" s="424">
        <f>Aktiv!H277</f>
        <v>386</v>
      </c>
      <c r="I290" s="424">
        <f>Aktiv!I277</f>
        <v>421</v>
      </c>
      <c r="J290" s="424" t="str">
        <f>Aktiv!J277</f>
        <v>-</v>
      </c>
      <c r="K290" s="424">
        <f>Aktiv!K277</f>
        <v>374</v>
      </c>
      <c r="L290" s="424">
        <f>Aktiv!L277</f>
        <v>444</v>
      </c>
      <c r="M290" s="424">
        <f>Aktiv!M277</f>
        <v>484</v>
      </c>
      <c r="N290" s="424" t="str">
        <f>Aktiv!N277</f>
        <v>-</v>
      </c>
    </row>
    <row r="291" spans="2:14" ht="18" customHeight="1" x14ac:dyDescent="0.3">
      <c r="B291" s="414" t="str">
        <f>Aktiv!C278</f>
        <v>Schublade LB 2</v>
      </c>
      <c r="C291" s="414">
        <f>Aktiv!A278</f>
        <v>5507</v>
      </c>
      <c r="D291" s="414" t="str">
        <f>Aktiv!D278</f>
        <v>Schublade LB 2 (980x360)</v>
      </c>
      <c r="E291" s="414">
        <f>Aktiv!E278</f>
        <v>980</v>
      </c>
      <c r="F291" s="414">
        <f>Aktiv!F278</f>
        <v>360</v>
      </c>
      <c r="G291" s="423">
        <f>Aktiv!G278</f>
        <v>349</v>
      </c>
      <c r="H291" s="423">
        <f>Aktiv!H278</f>
        <v>414</v>
      </c>
      <c r="I291" s="423">
        <f>Aktiv!I278</f>
        <v>451</v>
      </c>
      <c r="J291" s="423" t="str">
        <f>Aktiv!J278</f>
        <v>-</v>
      </c>
      <c r="K291" s="423">
        <f>Aktiv!K278</f>
        <v>401</v>
      </c>
      <c r="L291" s="423">
        <f>Aktiv!L278</f>
        <v>476</v>
      </c>
      <c r="M291" s="423">
        <f>Aktiv!M278</f>
        <v>519</v>
      </c>
      <c r="N291" s="423" t="str">
        <f>Aktiv!N278</f>
        <v>-</v>
      </c>
    </row>
    <row r="292" spans="2:14" ht="18" customHeight="1" x14ac:dyDescent="0.25">
      <c r="B292" s="420"/>
      <c r="C292" s="420"/>
      <c r="D292" s="420"/>
      <c r="E292" s="420"/>
      <c r="F292" s="420"/>
      <c r="G292" s="421"/>
      <c r="H292" s="421"/>
      <c r="I292" s="421"/>
      <c r="J292" s="421"/>
      <c r="K292" s="421"/>
      <c r="L292" s="421"/>
      <c r="M292" s="421"/>
      <c r="N292" s="421"/>
    </row>
    <row r="293" spans="2:14" ht="18" customHeight="1" x14ac:dyDescent="0.3">
      <c r="B293" s="418" t="s">
        <v>296</v>
      </c>
      <c r="C293" s="418"/>
      <c r="D293" s="418"/>
      <c r="E293" s="418"/>
      <c r="F293" s="418"/>
      <c r="G293" s="419"/>
      <c r="H293" s="419"/>
      <c r="I293" s="419"/>
      <c r="J293" s="419"/>
      <c r="K293" s="419"/>
      <c r="L293" s="419"/>
      <c r="M293" s="419"/>
      <c r="N293" s="419"/>
    </row>
    <row r="294" spans="2:14" ht="18" customHeight="1" x14ac:dyDescent="0.3">
      <c r="B294" s="415" t="str">
        <f>Aktiv!C280</f>
        <v>Würfel</v>
      </c>
      <c r="C294" s="415">
        <f>Aktiv!A280</f>
        <v>1000</v>
      </c>
      <c r="D294" s="415" t="str">
        <f>Aktiv!D280</f>
        <v>Würfel 30mm</v>
      </c>
      <c r="E294" s="415">
        <f>Aktiv!E280</f>
        <v>0</v>
      </c>
      <c r="F294" s="415">
        <f>Aktiv!F280</f>
        <v>0</v>
      </c>
      <c r="G294" s="422">
        <f>Aktiv!G280</f>
        <v>6</v>
      </c>
      <c r="H294" s="422">
        <f>Aktiv!H280</f>
        <v>6</v>
      </c>
      <c r="I294" s="422">
        <f>Aktiv!I280</f>
        <v>6</v>
      </c>
      <c r="J294" s="422">
        <f>Aktiv!J280</f>
        <v>6</v>
      </c>
      <c r="K294" s="422">
        <f>Aktiv!K280</f>
        <v>7</v>
      </c>
      <c r="L294" s="422">
        <f>Aktiv!L280</f>
        <v>7</v>
      </c>
      <c r="M294" s="422">
        <f>Aktiv!M280</f>
        <v>7</v>
      </c>
      <c r="N294" s="422">
        <f>Aktiv!N280</f>
        <v>7</v>
      </c>
    </row>
    <row r="295" spans="2:14" ht="18" customHeight="1" x14ac:dyDescent="0.3">
      <c r="B295" s="414" t="str">
        <f>Aktiv!C281</f>
        <v>Würfel</v>
      </c>
      <c r="C295" s="414">
        <f>Aktiv!A281</f>
        <v>1001</v>
      </c>
      <c r="D295" s="414" t="str">
        <f>Aktiv!D281</f>
        <v>Würfel 30mm</v>
      </c>
      <c r="E295" s="414">
        <f>Aktiv!E281</f>
        <v>0</v>
      </c>
      <c r="F295" s="414">
        <f>Aktiv!F281</f>
        <v>0</v>
      </c>
      <c r="G295" s="423">
        <f>Aktiv!G281</f>
        <v>6</v>
      </c>
      <c r="H295" s="423">
        <f>Aktiv!H281</f>
        <v>6</v>
      </c>
      <c r="I295" s="423">
        <f>Aktiv!I281</f>
        <v>6</v>
      </c>
      <c r="J295" s="423">
        <f>Aktiv!J281</f>
        <v>6</v>
      </c>
      <c r="K295" s="423">
        <f>Aktiv!K281</f>
        <v>7</v>
      </c>
      <c r="L295" s="423">
        <f>Aktiv!L281</f>
        <v>7</v>
      </c>
      <c r="M295" s="423">
        <f>Aktiv!M281</f>
        <v>7</v>
      </c>
      <c r="N295" s="423">
        <f>Aktiv!N281</f>
        <v>7</v>
      </c>
    </row>
    <row r="296" spans="2:14" ht="18" customHeight="1" x14ac:dyDescent="0.3">
      <c r="B296" s="413" t="str">
        <f>Aktiv!C282</f>
        <v>Würfel</v>
      </c>
      <c r="C296" s="413">
        <f>Aktiv!A282</f>
        <v>1002</v>
      </c>
      <c r="D296" s="413" t="str">
        <f>Aktiv!D282</f>
        <v>Würfel 30mm</v>
      </c>
      <c r="E296" s="413">
        <f>Aktiv!E282</f>
        <v>0</v>
      </c>
      <c r="F296" s="413">
        <f>Aktiv!F282</f>
        <v>0</v>
      </c>
      <c r="G296" s="424">
        <f>Aktiv!G282</f>
        <v>6</v>
      </c>
      <c r="H296" s="424">
        <f>Aktiv!H282</f>
        <v>6</v>
      </c>
      <c r="I296" s="424">
        <f>Aktiv!I282</f>
        <v>6</v>
      </c>
      <c r="J296" s="424">
        <f>Aktiv!J282</f>
        <v>6</v>
      </c>
      <c r="K296" s="424">
        <f>Aktiv!K282</f>
        <v>7</v>
      </c>
      <c r="L296" s="424">
        <f>Aktiv!L282</f>
        <v>7</v>
      </c>
      <c r="M296" s="424">
        <f>Aktiv!M282</f>
        <v>7</v>
      </c>
      <c r="N296" s="424">
        <f>Aktiv!N282</f>
        <v>7</v>
      </c>
    </row>
    <row r="297" spans="2:14" ht="18" customHeight="1" x14ac:dyDescent="0.3">
      <c r="B297" s="414" t="str">
        <f>Aktiv!C283</f>
        <v>Würfel</v>
      </c>
      <c r="C297" s="414">
        <f>Aktiv!A283</f>
        <v>1100</v>
      </c>
      <c r="D297" s="414" t="str">
        <f>Aktiv!D283</f>
        <v>Würfel 46mm</v>
      </c>
      <c r="E297" s="414">
        <f>Aktiv!E283</f>
        <v>0</v>
      </c>
      <c r="F297" s="414">
        <f>Aktiv!F283</f>
        <v>0</v>
      </c>
      <c r="G297" s="423">
        <f>Aktiv!G283</f>
        <v>6</v>
      </c>
      <c r="H297" s="423">
        <f>Aktiv!H283</f>
        <v>6</v>
      </c>
      <c r="I297" s="423">
        <f>Aktiv!I283</f>
        <v>6</v>
      </c>
      <c r="J297" s="423">
        <f>Aktiv!J283</f>
        <v>6</v>
      </c>
      <c r="K297" s="423">
        <f>Aktiv!K283</f>
        <v>7</v>
      </c>
      <c r="L297" s="423">
        <f>Aktiv!L283</f>
        <v>7</v>
      </c>
      <c r="M297" s="423">
        <f>Aktiv!M283</f>
        <v>7</v>
      </c>
      <c r="N297" s="423">
        <f>Aktiv!N283</f>
        <v>7</v>
      </c>
    </row>
    <row r="298" spans="2:14" ht="18" customHeight="1" x14ac:dyDescent="0.3">
      <c r="B298" s="413" t="str">
        <f>Aktiv!C284</f>
        <v>Würfel</v>
      </c>
      <c r="C298" s="413">
        <f>Aktiv!A284</f>
        <v>1101</v>
      </c>
      <c r="D298" s="413" t="str">
        <f>Aktiv!D284</f>
        <v>Würfel 46mm</v>
      </c>
      <c r="E298" s="413">
        <f>Aktiv!E284</f>
        <v>0</v>
      </c>
      <c r="F298" s="413">
        <f>Aktiv!F284</f>
        <v>0</v>
      </c>
      <c r="G298" s="424">
        <f>Aktiv!G284</f>
        <v>6</v>
      </c>
      <c r="H298" s="424">
        <f>Aktiv!H284</f>
        <v>6</v>
      </c>
      <c r="I298" s="424">
        <f>Aktiv!I284</f>
        <v>6</v>
      </c>
      <c r="J298" s="424">
        <f>Aktiv!J284</f>
        <v>6</v>
      </c>
      <c r="K298" s="424">
        <f>Aktiv!K284</f>
        <v>7</v>
      </c>
      <c r="L298" s="424">
        <f>Aktiv!L284</f>
        <v>7</v>
      </c>
      <c r="M298" s="424">
        <f>Aktiv!M284</f>
        <v>7</v>
      </c>
      <c r="N298" s="424">
        <f>Aktiv!N284</f>
        <v>7</v>
      </c>
    </row>
    <row r="299" spans="2:14" ht="18" customHeight="1" x14ac:dyDescent="0.3">
      <c r="B299" s="414" t="str">
        <f>Aktiv!C285</f>
        <v>Würfel</v>
      </c>
      <c r="C299" s="414">
        <f>Aktiv!A285</f>
        <v>1102</v>
      </c>
      <c r="D299" s="414" t="str">
        <f>Aktiv!D285</f>
        <v>Würfel 46mm</v>
      </c>
      <c r="E299" s="414">
        <f>Aktiv!E285</f>
        <v>0</v>
      </c>
      <c r="F299" s="414">
        <f>Aktiv!F285</f>
        <v>0</v>
      </c>
      <c r="G299" s="423">
        <f>Aktiv!G285</f>
        <v>6</v>
      </c>
      <c r="H299" s="423">
        <f>Aktiv!H285</f>
        <v>6</v>
      </c>
      <c r="I299" s="423">
        <f>Aktiv!I285</f>
        <v>6</v>
      </c>
      <c r="J299" s="423">
        <f>Aktiv!J285</f>
        <v>6</v>
      </c>
      <c r="K299" s="423">
        <f>Aktiv!K285</f>
        <v>7</v>
      </c>
      <c r="L299" s="423">
        <f>Aktiv!L285</f>
        <v>7</v>
      </c>
      <c r="M299" s="423">
        <f>Aktiv!M285</f>
        <v>7</v>
      </c>
      <c r="N299" s="423">
        <f>Aktiv!N285</f>
        <v>7</v>
      </c>
    </row>
    <row r="300" spans="2:14" ht="18" customHeight="1" x14ac:dyDescent="0.3">
      <c r="B300" s="413" t="str">
        <f>Aktiv!C286</f>
        <v>Profil</v>
      </c>
      <c r="C300" s="413">
        <f>Aktiv!A286</f>
        <v>2000</v>
      </c>
      <c r="D300" s="413" t="str">
        <f>Aktiv!D286</f>
        <v>Profil 30mm roh</v>
      </c>
      <c r="E300" s="413">
        <f>Aktiv!E286</f>
        <v>0</v>
      </c>
      <c r="F300" s="413">
        <f>Aktiv!F286</f>
        <v>0</v>
      </c>
      <c r="G300" s="424">
        <f>Aktiv!G286</f>
        <v>80</v>
      </c>
      <c r="H300" s="424">
        <f>Aktiv!H286</f>
        <v>80</v>
      </c>
      <c r="I300" s="424">
        <f>Aktiv!I286</f>
        <v>80</v>
      </c>
      <c r="J300" s="424">
        <f>Aktiv!J286</f>
        <v>80</v>
      </c>
      <c r="K300" s="424">
        <f>Aktiv!K286</f>
        <v>92</v>
      </c>
      <c r="L300" s="424">
        <f>Aktiv!L286</f>
        <v>92</v>
      </c>
      <c r="M300" s="424">
        <f>Aktiv!M286</f>
        <v>92</v>
      </c>
      <c r="N300" s="424">
        <f>Aktiv!N286</f>
        <v>92</v>
      </c>
    </row>
    <row r="301" spans="2:14" ht="18" customHeight="1" x14ac:dyDescent="0.3">
      <c r="B301" s="414" t="str">
        <f>Aktiv!C287</f>
        <v>Profil</v>
      </c>
      <c r="C301" s="414">
        <f>Aktiv!A287</f>
        <v>2001</v>
      </c>
      <c r="D301" s="414" t="str">
        <f>Aktiv!D287</f>
        <v>Profil 30mm roh</v>
      </c>
      <c r="E301" s="414">
        <f>Aktiv!E287</f>
        <v>0</v>
      </c>
      <c r="F301" s="414">
        <f>Aktiv!F287</f>
        <v>0</v>
      </c>
      <c r="G301" s="423">
        <f>Aktiv!G287</f>
        <v>40</v>
      </c>
      <c r="H301" s="423">
        <f>Aktiv!H287</f>
        <v>40</v>
      </c>
      <c r="I301" s="423">
        <f>Aktiv!I287</f>
        <v>40</v>
      </c>
      <c r="J301" s="423">
        <f>Aktiv!J287</f>
        <v>40</v>
      </c>
      <c r="K301" s="423">
        <f>Aktiv!K287</f>
        <v>46</v>
      </c>
      <c r="L301" s="423">
        <f>Aktiv!L287</f>
        <v>46</v>
      </c>
      <c r="M301" s="423">
        <f>Aktiv!M287</f>
        <v>46</v>
      </c>
      <c r="N301" s="423">
        <f>Aktiv!N287</f>
        <v>46</v>
      </c>
    </row>
    <row r="302" spans="2:14" ht="18" customHeight="1" x14ac:dyDescent="0.3">
      <c r="B302" s="413" t="str">
        <f>Aktiv!C288</f>
        <v>Profil</v>
      </c>
      <c r="C302" s="413">
        <f>Aktiv!A288</f>
        <v>2005</v>
      </c>
      <c r="D302" s="413" t="str">
        <f>Aktiv!D288</f>
        <v>Profil 30mm 180</v>
      </c>
      <c r="E302" s="413">
        <f>Aktiv!E288</f>
        <v>0</v>
      </c>
      <c r="F302" s="413">
        <f>Aktiv!F288</f>
        <v>0</v>
      </c>
      <c r="G302" s="424">
        <f>Aktiv!G288</f>
        <v>20</v>
      </c>
      <c r="H302" s="424">
        <f>Aktiv!H288</f>
        <v>20</v>
      </c>
      <c r="I302" s="424">
        <f>Aktiv!I288</f>
        <v>20</v>
      </c>
      <c r="J302" s="424">
        <f>Aktiv!J288</f>
        <v>20</v>
      </c>
      <c r="K302" s="424">
        <f>Aktiv!K288</f>
        <v>23</v>
      </c>
      <c r="L302" s="424">
        <f>Aktiv!L288</f>
        <v>23</v>
      </c>
      <c r="M302" s="424">
        <f>Aktiv!M288</f>
        <v>23</v>
      </c>
      <c r="N302" s="424">
        <f>Aktiv!N288</f>
        <v>23</v>
      </c>
    </row>
    <row r="303" spans="2:14" ht="18" customHeight="1" x14ac:dyDescent="0.3">
      <c r="B303" s="414" t="str">
        <f>Aktiv!C289</f>
        <v>Profil</v>
      </c>
      <c r="C303" s="414">
        <f>Aktiv!A289</f>
        <v>2010</v>
      </c>
      <c r="D303" s="414" t="str">
        <f>Aktiv!D289</f>
        <v>Profil 30mm 360</v>
      </c>
      <c r="E303" s="414">
        <f>Aktiv!E289</f>
        <v>0</v>
      </c>
      <c r="F303" s="414">
        <f>Aktiv!F289</f>
        <v>0</v>
      </c>
      <c r="G303" s="423">
        <f>Aktiv!G289</f>
        <v>20</v>
      </c>
      <c r="H303" s="423">
        <f>Aktiv!H289</f>
        <v>20</v>
      </c>
      <c r="I303" s="423">
        <f>Aktiv!I289</f>
        <v>20</v>
      </c>
      <c r="J303" s="423">
        <f>Aktiv!J289</f>
        <v>20</v>
      </c>
      <c r="K303" s="423">
        <f>Aktiv!K289</f>
        <v>23</v>
      </c>
      <c r="L303" s="423">
        <f>Aktiv!L289</f>
        <v>23</v>
      </c>
      <c r="M303" s="423">
        <f>Aktiv!M289</f>
        <v>23</v>
      </c>
      <c r="N303" s="423">
        <f>Aktiv!N289</f>
        <v>23</v>
      </c>
    </row>
    <row r="304" spans="2:14" ht="18" customHeight="1" x14ac:dyDescent="0.3">
      <c r="B304" s="413" t="str">
        <f>Aktiv!C290</f>
        <v>Profil</v>
      </c>
      <c r="C304" s="413">
        <f>Aktiv!A290</f>
        <v>2015</v>
      </c>
      <c r="D304" s="413" t="str">
        <f>Aktiv!D290</f>
        <v>Profil 30mm 420</v>
      </c>
      <c r="E304" s="413">
        <f>Aktiv!E290</f>
        <v>0</v>
      </c>
      <c r="F304" s="413">
        <f>Aktiv!F290</f>
        <v>0</v>
      </c>
      <c r="G304" s="424">
        <f>Aktiv!G290</f>
        <v>20</v>
      </c>
      <c r="H304" s="424">
        <f>Aktiv!H290</f>
        <v>20</v>
      </c>
      <c r="I304" s="424">
        <f>Aktiv!I290</f>
        <v>20</v>
      </c>
      <c r="J304" s="424">
        <f>Aktiv!J290</f>
        <v>20</v>
      </c>
      <c r="K304" s="424">
        <f>Aktiv!K290</f>
        <v>23</v>
      </c>
      <c r="L304" s="424">
        <f>Aktiv!L290</f>
        <v>23</v>
      </c>
      <c r="M304" s="424">
        <f>Aktiv!M290</f>
        <v>23</v>
      </c>
      <c r="N304" s="424">
        <f>Aktiv!N290</f>
        <v>23</v>
      </c>
    </row>
    <row r="305" spans="2:14" ht="18" customHeight="1" x14ac:dyDescent="0.3">
      <c r="B305" s="414" t="str">
        <f>Aktiv!C291</f>
        <v>Profil</v>
      </c>
      <c r="C305" s="414">
        <f>Aktiv!A291</f>
        <v>2020</v>
      </c>
      <c r="D305" s="414" t="str">
        <f>Aktiv!D291</f>
        <v>Profil 30mm 580</v>
      </c>
      <c r="E305" s="414">
        <f>Aktiv!E291</f>
        <v>0</v>
      </c>
      <c r="F305" s="414">
        <f>Aktiv!F291</f>
        <v>0</v>
      </c>
      <c r="G305" s="423">
        <f>Aktiv!G291</f>
        <v>22</v>
      </c>
      <c r="H305" s="423">
        <f>Aktiv!H291</f>
        <v>22</v>
      </c>
      <c r="I305" s="423">
        <f>Aktiv!I291</f>
        <v>22</v>
      </c>
      <c r="J305" s="423">
        <f>Aktiv!J291</f>
        <v>22</v>
      </c>
      <c r="K305" s="423">
        <f>Aktiv!K291</f>
        <v>25</v>
      </c>
      <c r="L305" s="423">
        <f>Aktiv!L291</f>
        <v>25</v>
      </c>
      <c r="M305" s="423">
        <f>Aktiv!M291</f>
        <v>25</v>
      </c>
      <c r="N305" s="423">
        <f>Aktiv!N291</f>
        <v>25</v>
      </c>
    </row>
    <row r="306" spans="2:14" ht="18" customHeight="1" x14ac:dyDescent="0.3">
      <c r="B306" s="413" t="str">
        <f>Aktiv!C292</f>
        <v>Profil</v>
      </c>
      <c r="C306" s="413">
        <f>Aktiv!A292</f>
        <v>2021</v>
      </c>
      <c r="D306" s="413" t="str">
        <f>Aktiv!D292</f>
        <v>Profil 30mm 660</v>
      </c>
      <c r="E306" s="413">
        <f>Aktiv!E292</f>
        <v>0</v>
      </c>
      <c r="F306" s="413">
        <f>Aktiv!F292</f>
        <v>0</v>
      </c>
      <c r="G306" s="424">
        <f>Aktiv!G292</f>
        <v>22</v>
      </c>
      <c r="H306" s="424">
        <f>Aktiv!H292</f>
        <v>22</v>
      </c>
      <c r="I306" s="424">
        <f>Aktiv!I292</f>
        <v>22</v>
      </c>
      <c r="J306" s="424">
        <f>Aktiv!J292</f>
        <v>22</v>
      </c>
      <c r="K306" s="424">
        <f>Aktiv!K292</f>
        <v>25</v>
      </c>
      <c r="L306" s="424">
        <f>Aktiv!L292</f>
        <v>25</v>
      </c>
      <c r="M306" s="424">
        <f>Aktiv!M292</f>
        <v>25</v>
      </c>
      <c r="N306" s="424">
        <f>Aktiv!N292</f>
        <v>25</v>
      </c>
    </row>
    <row r="307" spans="2:14" ht="18" customHeight="1" x14ac:dyDescent="0.3">
      <c r="B307" s="414" t="str">
        <f>Aktiv!C293</f>
        <v>Profil</v>
      </c>
      <c r="C307" s="414">
        <f>Aktiv!A293</f>
        <v>2025</v>
      </c>
      <c r="D307" s="414" t="str">
        <f>Aktiv!D293</f>
        <v>Profil 30mm 720</v>
      </c>
      <c r="E307" s="414">
        <f>Aktiv!E293</f>
        <v>0</v>
      </c>
      <c r="F307" s="414">
        <f>Aktiv!F293</f>
        <v>0</v>
      </c>
      <c r="G307" s="423">
        <f>Aktiv!G293</f>
        <v>25</v>
      </c>
      <c r="H307" s="423">
        <f>Aktiv!H293</f>
        <v>25</v>
      </c>
      <c r="I307" s="423">
        <f>Aktiv!I293</f>
        <v>25</v>
      </c>
      <c r="J307" s="423">
        <f>Aktiv!J293</f>
        <v>25</v>
      </c>
      <c r="K307" s="423">
        <f>Aktiv!K293</f>
        <v>29</v>
      </c>
      <c r="L307" s="423">
        <f>Aktiv!L293</f>
        <v>29</v>
      </c>
      <c r="M307" s="423">
        <f>Aktiv!M293</f>
        <v>29</v>
      </c>
      <c r="N307" s="423">
        <f>Aktiv!N293</f>
        <v>29</v>
      </c>
    </row>
    <row r="308" spans="2:14" ht="18" customHeight="1" x14ac:dyDescent="0.3">
      <c r="B308" s="413" t="str">
        <f>Aktiv!C294</f>
        <v>Profil</v>
      </c>
      <c r="C308" s="413">
        <f>Aktiv!A294</f>
        <v>2030</v>
      </c>
      <c r="D308" s="413" t="str">
        <f>Aktiv!D294</f>
        <v>Profil 30mm 780</v>
      </c>
      <c r="E308" s="413">
        <f>Aktiv!E294</f>
        <v>0</v>
      </c>
      <c r="F308" s="413">
        <f>Aktiv!F294</f>
        <v>0</v>
      </c>
      <c r="G308" s="424">
        <f>Aktiv!G294</f>
        <v>25</v>
      </c>
      <c r="H308" s="424">
        <f>Aktiv!H294</f>
        <v>25</v>
      </c>
      <c r="I308" s="424">
        <f>Aktiv!I294</f>
        <v>25</v>
      </c>
      <c r="J308" s="424">
        <f>Aktiv!J294</f>
        <v>25</v>
      </c>
      <c r="K308" s="424">
        <f>Aktiv!K294</f>
        <v>29</v>
      </c>
      <c r="L308" s="424">
        <f>Aktiv!L294</f>
        <v>29</v>
      </c>
      <c r="M308" s="424">
        <f>Aktiv!M294</f>
        <v>29</v>
      </c>
      <c r="N308" s="424">
        <f>Aktiv!N294</f>
        <v>29</v>
      </c>
    </row>
    <row r="309" spans="2:14" ht="18" customHeight="1" x14ac:dyDescent="0.3">
      <c r="B309" s="414" t="str">
        <f>Aktiv!C295</f>
        <v>Profil</v>
      </c>
      <c r="C309" s="414">
        <f>Aktiv!A295</f>
        <v>2035</v>
      </c>
      <c r="D309" s="414" t="str">
        <f>Aktiv!D295</f>
        <v>Profil 30mm 980</v>
      </c>
      <c r="E309" s="414">
        <f>Aktiv!E295</f>
        <v>0</v>
      </c>
      <c r="F309" s="414">
        <f>Aktiv!F295</f>
        <v>0</v>
      </c>
      <c r="G309" s="423">
        <f>Aktiv!G295</f>
        <v>27</v>
      </c>
      <c r="H309" s="423">
        <f>Aktiv!H295</f>
        <v>27</v>
      </c>
      <c r="I309" s="423">
        <f>Aktiv!I295</f>
        <v>27</v>
      </c>
      <c r="J309" s="423">
        <f>Aktiv!J295</f>
        <v>27</v>
      </c>
      <c r="K309" s="423">
        <f>Aktiv!K295</f>
        <v>31</v>
      </c>
      <c r="L309" s="423">
        <f>Aktiv!L295</f>
        <v>31</v>
      </c>
      <c r="M309" s="423">
        <f>Aktiv!M295</f>
        <v>31</v>
      </c>
      <c r="N309" s="423">
        <f>Aktiv!N295</f>
        <v>31</v>
      </c>
    </row>
    <row r="310" spans="2:14" ht="18" customHeight="1" x14ac:dyDescent="0.3">
      <c r="B310" s="413" t="str">
        <f>Aktiv!C296</f>
        <v>Profil</v>
      </c>
      <c r="C310" s="413">
        <f>Aktiv!A296</f>
        <v>2040</v>
      </c>
      <c r="D310" s="413" t="str">
        <f>Aktiv!D296</f>
        <v>Profil 30mm 1080</v>
      </c>
      <c r="E310" s="413">
        <f>Aktiv!E296</f>
        <v>0</v>
      </c>
      <c r="F310" s="413">
        <f>Aktiv!F296</f>
        <v>0</v>
      </c>
      <c r="G310" s="424">
        <f>Aktiv!G296</f>
        <v>29</v>
      </c>
      <c r="H310" s="424">
        <f>Aktiv!H296</f>
        <v>29</v>
      </c>
      <c r="I310" s="424">
        <f>Aktiv!I296</f>
        <v>29</v>
      </c>
      <c r="J310" s="424">
        <f>Aktiv!J296</f>
        <v>29</v>
      </c>
      <c r="K310" s="424">
        <f>Aktiv!K296</f>
        <v>33</v>
      </c>
      <c r="L310" s="424">
        <f>Aktiv!L296</f>
        <v>33</v>
      </c>
      <c r="M310" s="424">
        <f>Aktiv!M296</f>
        <v>33</v>
      </c>
      <c r="N310" s="424">
        <f>Aktiv!N296</f>
        <v>33</v>
      </c>
    </row>
    <row r="311" spans="2:14" ht="18" customHeight="1" x14ac:dyDescent="0.3">
      <c r="B311" s="414" t="str">
        <f>Aktiv!C297</f>
        <v>Profil</v>
      </c>
      <c r="C311" s="414">
        <f>Aktiv!A297</f>
        <v>2045</v>
      </c>
      <c r="D311" s="414" t="str">
        <f>Aktiv!D297</f>
        <v>Profil 30mm 1440</v>
      </c>
      <c r="E311" s="414">
        <f>Aktiv!E297</f>
        <v>0</v>
      </c>
      <c r="F311" s="414">
        <f>Aktiv!F297</f>
        <v>0</v>
      </c>
      <c r="G311" s="423">
        <f>Aktiv!G297</f>
        <v>35</v>
      </c>
      <c r="H311" s="423">
        <f>Aktiv!H297</f>
        <v>35</v>
      </c>
      <c r="I311" s="423">
        <f>Aktiv!I297</f>
        <v>35</v>
      </c>
      <c r="J311" s="423">
        <f>Aktiv!J297</f>
        <v>35</v>
      </c>
      <c r="K311" s="423">
        <f>Aktiv!K297</f>
        <v>40</v>
      </c>
      <c r="L311" s="423">
        <f>Aktiv!L297</f>
        <v>40</v>
      </c>
      <c r="M311" s="423">
        <f>Aktiv!M297</f>
        <v>40</v>
      </c>
      <c r="N311" s="423">
        <f>Aktiv!N297</f>
        <v>40</v>
      </c>
    </row>
    <row r="312" spans="2:14" ht="18" customHeight="1" x14ac:dyDescent="0.3">
      <c r="B312" s="413" t="str">
        <f>Aktiv!C298</f>
        <v>Profil</v>
      </c>
      <c r="C312" s="413">
        <f>Aktiv!A298</f>
        <v>2050</v>
      </c>
      <c r="D312" s="413" t="str">
        <f>Aktiv!D298</f>
        <v>Profil 30mm 1800</v>
      </c>
      <c r="E312" s="413">
        <f>Aktiv!E298</f>
        <v>0</v>
      </c>
      <c r="F312" s="413">
        <f>Aktiv!F298</f>
        <v>0</v>
      </c>
      <c r="G312" s="424">
        <f>Aktiv!G298</f>
        <v>39</v>
      </c>
      <c r="H312" s="424">
        <f>Aktiv!H298</f>
        <v>39</v>
      </c>
      <c r="I312" s="424">
        <f>Aktiv!I298</f>
        <v>39</v>
      </c>
      <c r="J312" s="424">
        <f>Aktiv!J298</f>
        <v>39</v>
      </c>
      <c r="K312" s="424">
        <f>Aktiv!K298</f>
        <v>45</v>
      </c>
      <c r="L312" s="424">
        <f>Aktiv!L298</f>
        <v>45</v>
      </c>
      <c r="M312" s="424">
        <f>Aktiv!M298</f>
        <v>45</v>
      </c>
      <c r="N312" s="424">
        <f>Aktiv!N298</f>
        <v>45</v>
      </c>
    </row>
    <row r="313" spans="2:14" ht="18" customHeight="1" x14ac:dyDescent="0.3">
      <c r="B313" s="414" t="str">
        <f>Aktiv!C299</f>
        <v>Profil</v>
      </c>
      <c r="C313" s="414">
        <f>Aktiv!A299</f>
        <v>2300</v>
      </c>
      <c r="D313" s="414" t="str">
        <f>Aktiv!D299</f>
        <v>Profil 46mm</v>
      </c>
      <c r="E313" s="414">
        <f>Aktiv!E299</f>
        <v>0</v>
      </c>
      <c r="F313" s="414">
        <f>Aktiv!F299</f>
        <v>0</v>
      </c>
      <c r="G313" s="423">
        <f>Aktiv!G299</f>
        <v>100</v>
      </c>
      <c r="H313" s="423">
        <f>Aktiv!H299</f>
        <v>100</v>
      </c>
      <c r="I313" s="423">
        <f>Aktiv!I299</f>
        <v>100</v>
      </c>
      <c r="J313" s="423">
        <f>Aktiv!J299</f>
        <v>100</v>
      </c>
      <c r="K313" s="423">
        <f>Aktiv!K299</f>
        <v>115</v>
      </c>
      <c r="L313" s="423">
        <f>Aktiv!L299</f>
        <v>115</v>
      </c>
      <c r="M313" s="423">
        <f>Aktiv!M299</f>
        <v>115</v>
      </c>
      <c r="N313" s="423">
        <f>Aktiv!N299</f>
        <v>115</v>
      </c>
    </row>
    <row r="314" spans="2:14" ht="18" customHeight="1" x14ac:dyDescent="0.3">
      <c r="B314" s="413" t="str">
        <f>Aktiv!C300</f>
        <v>Schlösser</v>
      </c>
      <c r="C314" s="413">
        <f>Aktiv!A300</f>
        <v>8140</v>
      </c>
      <c r="D314" s="413" t="str">
        <f>Aktiv!D300</f>
        <v>Schloss</v>
      </c>
      <c r="E314" s="413">
        <f>Aktiv!E300</f>
        <v>0</v>
      </c>
      <c r="F314" s="413">
        <f>Aktiv!F300</f>
        <v>0</v>
      </c>
      <c r="G314" s="424">
        <f>Aktiv!G300</f>
        <v>180</v>
      </c>
      <c r="H314" s="424">
        <f>Aktiv!H300</f>
        <v>180</v>
      </c>
      <c r="I314" s="424">
        <f>Aktiv!I300</f>
        <v>180</v>
      </c>
      <c r="J314" s="424">
        <f>Aktiv!J300</f>
        <v>180</v>
      </c>
      <c r="K314" s="424">
        <f>Aktiv!K300</f>
        <v>207</v>
      </c>
      <c r="L314" s="424">
        <f>Aktiv!L300</f>
        <v>207</v>
      </c>
      <c r="M314" s="424">
        <f>Aktiv!M300</f>
        <v>207</v>
      </c>
      <c r="N314" s="424">
        <f>Aktiv!N300</f>
        <v>207</v>
      </c>
    </row>
    <row r="315" spans="2:14" ht="18" customHeight="1" x14ac:dyDescent="0.3">
      <c r="B315" s="414" t="str">
        <f>Aktiv!C301</f>
        <v>Griff</v>
      </c>
      <c r="C315" s="414">
        <f>Aktiv!A301</f>
        <v>8300</v>
      </c>
      <c r="D315" s="414" t="str">
        <f>Aktiv!D301</f>
        <v>Push to open / Blanko</v>
      </c>
      <c r="E315" s="414">
        <f>Aktiv!E301</f>
        <v>0</v>
      </c>
      <c r="F315" s="414">
        <f>Aktiv!F301</f>
        <v>0</v>
      </c>
      <c r="G315" s="423">
        <f>Aktiv!G301</f>
        <v>25</v>
      </c>
      <c r="H315" s="423">
        <f>Aktiv!H301</f>
        <v>25</v>
      </c>
      <c r="I315" s="423">
        <f>Aktiv!I301</f>
        <v>25</v>
      </c>
      <c r="J315" s="423">
        <f>Aktiv!J301</f>
        <v>25</v>
      </c>
      <c r="K315" s="423">
        <f>Aktiv!K301</f>
        <v>29</v>
      </c>
      <c r="L315" s="423">
        <f>Aktiv!L301</f>
        <v>29</v>
      </c>
      <c r="M315" s="423">
        <f>Aktiv!M301</f>
        <v>29</v>
      </c>
      <c r="N315" s="423">
        <f>Aktiv!N301</f>
        <v>29</v>
      </c>
    </row>
    <row r="316" spans="2:14" ht="18" customHeight="1" x14ac:dyDescent="0.3">
      <c r="B316" s="413" t="str">
        <f>Aktiv!C302</f>
        <v>Griff</v>
      </c>
      <c r="C316" s="413">
        <f>Aktiv!A302</f>
        <v>8301</v>
      </c>
      <c r="D316" s="413" t="str">
        <f>Aktiv!D302</f>
        <v>Luno</v>
      </c>
      <c r="E316" s="413">
        <f>Aktiv!E302</f>
        <v>0</v>
      </c>
      <c r="F316" s="413">
        <f>Aktiv!F302</f>
        <v>0</v>
      </c>
      <c r="G316" s="424">
        <f>Aktiv!G302</f>
        <v>29</v>
      </c>
      <c r="H316" s="424">
        <f>Aktiv!H302</f>
        <v>29</v>
      </c>
      <c r="I316" s="424">
        <f>Aktiv!I302</f>
        <v>29</v>
      </c>
      <c r="J316" s="424">
        <f>Aktiv!J302</f>
        <v>29</v>
      </c>
      <c r="K316" s="424">
        <f>Aktiv!K302</f>
        <v>33</v>
      </c>
      <c r="L316" s="424">
        <f>Aktiv!L302</f>
        <v>33</v>
      </c>
      <c r="M316" s="424">
        <f>Aktiv!M302</f>
        <v>33</v>
      </c>
      <c r="N316" s="424">
        <f>Aktiv!N302</f>
        <v>33</v>
      </c>
    </row>
    <row r="317" spans="2:14" ht="18" customHeight="1" x14ac:dyDescent="0.3">
      <c r="B317" s="414" t="str">
        <f>Aktiv!C303</f>
        <v>Griff</v>
      </c>
      <c r="C317" s="414">
        <f>Aktiv!A303</f>
        <v>8302</v>
      </c>
      <c r="D317" s="414" t="str">
        <f>Aktiv!D303</f>
        <v>Linea</v>
      </c>
      <c r="E317" s="414">
        <f>Aktiv!E303</f>
        <v>0</v>
      </c>
      <c r="F317" s="414">
        <f>Aktiv!F303</f>
        <v>0</v>
      </c>
      <c r="G317" s="423">
        <f>Aktiv!G303</f>
        <v>17</v>
      </c>
      <c r="H317" s="423">
        <f>Aktiv!H303</f>
        <v>17</v>
      </c>
      <c r="I317" s="423">
        <f>Aktiv!I303</f>
        <v>17</v>
      </c>
      <c r="J317" s="423">
        <f>Aktiv!J303</f>
        <v>17</v>
      </c>
      <c r="K317" s="423">
        <f>Aktiv!K303</f>
        <v>20</v>
      </c>
      <c r="L317" s="423">
        <f>Aktiv!L303</f>
        <v>20</v>
      </c>
      <c r="M317" s="423">
        <f>Aktiv!M303</f>
        <v>20</v>
      </c>
      <c r="N317" s="423">
        <f>Aktiv!N303</f>
        <v>20</v>
      </c>
    </row>
    <row r="318" spans="2:14" ht="18" customHeight="1" x14ac:dyDescent="0.3">
      <c r="B318" s="413" t="str">
        <f>Aktiv!C304</f>
        <v>Griff</v>
      </c>
      <c r="C318" s="413">
        <f>Aktiv!A304</f>
        <v>8303</v>
      </c>
      <c r="D318" s="413" t="str">
        <f>Aktiv!D304</f>
        <v>Rondo</v>
      </c>
      <c r="E318" s="413">
        <f>Aktiv!E304</f>
        <v>0</v>
      </c>
      <c r="F318" s="413">
        <f>Aktiv!F304</f>
        <v>0</v>
      </c>
      <c r="G318" s="424">
        <f>Aktiv!G304</f>
        <v>10</v>
      </c>
      <c r="H318" s="424">
        <f>Aktiv!H304</f>
        <v>10</v>
      </c>
      <c r="I318" s="424">
        <f>Aktiv!I304</f>
        <v>10</v>
      </c>
      <c r="J318" s="424">
        <f>Aktiv!J304</f>
        <v>10</v>
      </c>
      <c r="K318" s="424">
        <f>Aktiv!K304</f>
        <v>12</v>
      </c>
      <c r="L318" s="424">
        <f>Aktiv!L304</f>
        <v>12</v>
      </c>
      <c r="M318" s="424">
        <f>Aktiv!M304</f>
        <v>12</v>
      </c>
      <c r="N318" s="424">
        <f>Aktiv!N304</f>
        <v>12</v>
      </c>
    </row>
    <row r="319" spans="2:14" ht="18" customHeight="1" x14ac:dyDescent="0.3">
      <c r="B319" s="414" t="str">
        <f>Aktiv!C305</f>
        <v>Griff</v>
      </c>
      <c r="C319" s="414">
        <f>Aktiv!A305</f>
        <v>8304</v>
      </c>
      <c r="D319" s="414" t="str">
        <f>Aktiv!D305</f>
        <v xml:space="preserve">Axio </v>
      </c>
      <c r="E319" s="414">
        <f>Aktiv!E305</f>
        <v>0</v>
      </c>
      <c r="F319" s="414">
        <f>Aktiv!F305</f>
        <v>0</v>
      </c>
      <c r="G319" s="423">
        <f>Aktiv!G305</f>
        <v>29</v>
      </c>
      <c r="H319" s="423">
        <f>Aktiv!H305</f>
        <v>29</v>
      </c>
      <c r="I319" s="423">
        <f>Aktiv!I305</f>
        <v>29</v>
      </c>
      <c r="J319" s="423">
        <f>Aktiv!J305</f>
        <v>29</v>
      </c>
      <c r="K319" s="423">
        <f>Aktiv!K305</f>
        <v>33</v>
      </c>
      <c r="L319" s="423">
        <f>Aktiv!L305</f>
        <v>33</v>
      </c>
      <c r="M319" s="423">
        <f>Aktiv!M305</f>
        <v>33</v>
      </c>
      <c r="N319" s="423">
        <f>Aktiv!N305</f>
        <v>33</v>
      </c>
    </row>
    <row r="320" spans="2:14" ht="18" customHeight="1" x14ac:dyDescent="0.3">
      <c r="B320" s="413" t="str">
        <f>Aktiv!C306</f>
        <v>Griff</v>
      </c>
      <c r="C320" s="413">
        <f>Aktiv!A306</f>
        <v>8305</v>
      </c>
      <c r="D320" s="413" t="str">
        <f>Aktiv!D306</f>
        <v>Axio groß</v>
      </c>
      <c r="E320" s="413">
        <f>Aktiv!E306</f>
        <v>0</v>
      </c>
      <c r="F320" s="413">
        <f>Aktiv!F306</f>
        <v>0</v>
      </c>
      <c r="G320" s="424">
        <f>Aktiv!G306</f>
        <v>41</v>
      </c>
      <c r="H320" s="424">
        <f>Aktiv!H306</f>
        <v>41</v>
      </c>
      <c r="I320" s="424">
        <f>Aktiv!I306</f>
        <v>41</v>
      </c>
      <c r="J320" s="424">
        <f>Aktiv!J306</f>
        <v>41</v>
      </c>
      <c r="K320" s="424">
        <f>Aktiv!K306</f>
        <v>47</v>
      </c>
      <c r="L320" s="424">
        <f>Aktiv!L306</f>
        <v>47</v>
      </c>
      <c r="M320" s="424">
        <f>Aktiv!M306</f>
        <v>47</v>
      </c>
      <c r="N320" s="424">
        <f>Aktiv!N306</f>
        <v>47</v>
      </c>
    </row>
    <row r="321" spans="2:14" ht="18" customHeight="1" x14ac:dyDescent="0.3">
      <c r="B321" s="414" t="str">
        <f>Aktiv!C307</f>
        <v>Griff</v>
      </c>
      <c r="C321" s="414">
        <f>Aktiv!A307</f>
        <v>8306</v>
      </c>
      <c r="D321" s="414" t="str">
        <f>Aktiv!D307</f>
        <v>Retrox</v>
      </c>
      <c r="E321" s="414">
        <f>Aktiv!E307</f>
        <v>0</v>
      </c>
      <c r="F321" s="414">
        <f>Aktiv!F307</f>
        <v>0</v>
      </c>
      <c r="G321" s="423">
        <f>Aktiv!G307</f>
        <v>19</v>
      </c>
      <c r="H321" s="423">
        <f>Aktiv!H307</f>
        <v>19</v>
      </c>
      <c r="I321" s="423">
        <f>Aktiv!I307</f>
        <v>19</v>
      </c>
      <c r="J321" s="423">
        <f>Aktiv!J307</f>
        <v>19</v>
      </c>
      <c r="K321" s="423">
        <f>Aktiv!K307</f>
        <v>22</v>
      </c>
      <c r="L321" s="423">
        <f>Aktiv!L307</f>
        <v>22</v>
      </c>
      <c r="M321" s="423">
        <f>Aktiv!M307</f>
        <v>22</v>
      </c>
      <c r="N321" s="423">
        <f>Aktiv!N307</f>
        <v>22</v>
      </c>
    </row>
    <row r="322" spans="2:14" ht="18" customHeight="1" x14ac:dyDescent="0.3">
      <c r="B322" s="413" t="str">
        <f>Aktiv!C308</f>
        <v>Griff</v>
      </c>
      <c r="C322" s="413">
        <f>Aktiv!A308</f>
        <v>8307</v>
      </c>
      <c r="D322" s="413" t="str">
        <f>Aktiv!D308</f>
        <v>Reling</v>
      </c>
      <c r="E322" s="413">
        <f>Aktiv!E308</f>
        <v>0</v>
      </c>
      <c r="F322" s="413">
        <f>Aktiv!F308</f>
        <v>0</v>
      </c>
      <c r="G322" s="424">
        <f>Aktiv!G308</f>
        <v>12</v>
      </c>
      <c r="H322" s="424">
        <f>Aktiv!H308</f>
        <v>12</v>
      </c>
      <c r="I322" s="424">
        <f>Aktiv!I308</f>
        <v>12</v>
      </c>
      <c r="J322" s="424">
        <f>Aktiv!J308</f>
        <v>12</v>
      </c>
      <c r="K322" s="424">
        <f>Aktiv!K308</f>
        <v>14</v>
      </c>
      <c r="L322" s="424">
        <f>Aktiv!L308</f>
        <v>14</v>
      </c>
      <c r="M322" s="424">
        <f>Aktiv!M308</f>
        <v>14</v>
      </c>
      <c r="N322" s="424">
        <f>Aktiv!N308</f>
        <v>14</v>
      </c>
    </row>
    <row r="323" spans="2:14" ht="18" customHeight="1" x14ac:dyDescent="0.3">
      <c r="B323" s="414" t="str">
        <f>Aktiv!C309</f>
        <v>Griff</v>
      </c>
      <c r="C323" s="414">
        <f>Aktiv!A309</f>
        <v>8308</v>
      </c>
      <c r="D323" s="414" t="str">
        <f>Aktiv!D309</f>
        <v>Reling gross</v>
      </c>
      <c r="E323" s="414">
        <f>Aktiv!E309</f>
        <v>0</v>
      </c>
      <c r="F323" s="414">
        <f>Aktiv!F309</f>
        <v>0</v>
      </c>
      <c r="G323" s="423">
        <f>Aktiv!G309</f>
        <v>15</v>
      </c>
      <c r="H323" s="423">
        <f>Aktiv!H309</f>
        <v>15</v>
      </c>
      <c r="I323" s="423">
        <f>Aktiv!I309</f>
        <v>15</v>
      </c>
      <c r="J323" s="423">
        <f>Aktiv!J309</f>
        <v>15</v>
      </c>
      <c r="K323" s="423">
        <f>Aktiv!K309</f>
        <v>17</v>
      </c>
      <c r="L323" s="423">
        <f>Aktiv!L309</f>
        <v>17</v>
      </c>
      <c r="M323" s="423">
        <f>Aktiv!M309</f>
        <v>17</v>
      </c>
      <c r="N323" s="423">
        <f>Aktiv!N309</f>
        <v>17</v>
      </c>
    </row>
    <row r="324" spans="2:14" ht="18" customHeight="1" x14ac:dyDescent="0.3">
      <c r="B324" s="413" t="str">
        <f>Aktiv!C310</f>
        <v>Griff</v>
      </c>
      <c r="C324" s="413">
        <f>Aktiv!A310</f>
        <v>8309</v>
      </c>
      <c r="D324" s="413" t="str">
        <f>Aktiv!D310</f>
        <v>Uno</v>
      </c>
      <c r="E324" s="413">
        <f>Aktiv!E310</f>
        <v>0</v>
      </c>
      <c r="F324" s="413">
        <f>Aktiv!F310</f>
        <v>0</v>
      </c>
      <c r="G324" s="424">
        <f>Aktiv!G310</f>
        <v>18</v>
      </c>
      <c r="H324" s="424">
        <f>Aktiv!H310</f>
        <v>18</v>
      </c>
      <c r="I324" s="424">
        <f>Aktiv!I310</f>
        <v>18</v>
      </c>
      <c r="J324" s="424">
        <f>Aktiv!J310</f>
        <v>18</v>
      </c>
      <c r="K324" s="424">
        <f>Aktiv!K310</f>
        <v>21</v>
      </c>
      <c r="L324" s="424">
        <f>Aktiv!L310</f>
        <v>21</v>
      </c>
      <c r="M324" s="424">
        <f>Aktiv!M310</f>
        <v>21</v>
      </c>
      <c r="N324" s="424">
        <f>Aktiv!N310</f>
        <v>21</v>
      </c>
    </row>
    <row r="325" spans="2:14" ht="18" customHeight="1" x14ac:dyDescent="0.3">
      <c r="B325" s="414" t="str">
        <f>Aktiv!C311</f>
        <v>Griff</v>
      </c>
      <c r="C325" s="414">
        <f>Aktiv!A311</f>
        <v>8310</v>
      </c>
      <c r="D325" s="414" t="str">
        <f>Aktiv!D311</f>
        <v>Ombra</v>
      </c>
      <c r="E325" s="414">
        <f>Aktiv!E311</f>
        <v>0</v>
      </c>
      <c r="F325" s="414">
        <f>Aktiv!F311</f>
        <v>0</v>
      </c>
      <c r="G325" s="423">
        <f>Aktiv!G311</f>
        <v>39</v>
      </c>
      <c r="H325" s="423">
        <f>Aktiv!H311</f>
        <v>39</v>
      </c>
      <c r="I325" s="423">
        <f>Aktiv!I311</f>
        <v>39</v>
      </c>
      <c r="J325" s="423">
        <f>Aktiv!J311</f>
        <v>39</v>
      </c>
      <c r="K325" s="423">
        <f>Aktiv!K311</f>
        <v>45</v>
      </c>
      <c r="L325" s="423">
        <f>Aktiv!L311</f>
        <v>45</v>
      </c>
      <c r="M325" s="423">
        <f>Aktiv!M311</f>
        <v>45</v>
      </c>
      <c r="N325" s="423">
        <f>Aktiv!N311</f>
        <v>45</v>
      </c>
    </row>
    <row r="326" spans="2:14" ht="18" customHeight="1" x14ac:dyDescent="0.3">
      <c r="B326" s="413" t="str">
        <f>Aktiv!C312</f>
        <v>Griff</v>
      </c>
      <c r="C326" s="413">
        <f>Aktiv!A312</f>
        <v>8311</v>
      </c>
      <c r="D326" s="413" t="str">
        <f>Aktiv!D312</f>
        <v>Solano</v>
      </c>
      <c r="E326" s="413">
        <f>Aktiv!E312</f>
        <v>0</v>
      </c>
      <c r="F326" s="413">
        <f>Aktiv!F312</f>
        <v>0</v>
      </c>
      <c r="G326" s="424">
        <f>Aktiv!G312</f>
        <v>44</v>
      </c>
      <c r="H326" s="424">
        <f>Aktiv!H312</f>
        <v>44</v>
      </c>
      <c r="I326" s="424">
        <f>Aktiv!I312</f>
        <v>44</v>
      </c>
      <c r="J326" s="424">
        <f>Aktiv!J312</f>
        <v>44</v>
      </c>
      <c r="K326" s="424">
        <f>Aktiv!K312</f>
        <v>51</v>
      </c>
      <c r="L326" s="424">
        <f>Aktiv!L312</f>
        <v>51</v>
      </c>
      <c r="M326" s="424">
        <f>Aktiv!M312</f>
        <v>51</v>
      </c>
      <c r="N326" s="424">
        <f>Aktiv!N312</f>
        <v>51</v>
      </c>
    </row>
    <row r="327" spans="2:14" ht="18" customHeight="1" x14ac:dyDescent="0.3">
      <c r="B327" s="414" t="str">
        <f>Aktiv!C313</f>
        <v>Griff</v>
      </c>
      <c r="C327" s="414">
        <f>Aktiv!A313</f>
        <v>8312</v>
      </c>
      <c r="D327" s="414" t="str">
        <f>Aktiv!D313</f>
        <v>Arcano</v>
      </c>
      <c r="E327" s="414">
        <f>Aktiv!E313</f>
        <v>0</v>
      </c>
      <c r="F327" s="414">
        <f>Aktiv!F313</f>
        <v>0</v>
      </c>
      <c r="G327" s="423">
        <f>Aktiv!G313</f>
        <v>38</v>
      </c>
      <c r="H327" s="423">
        <f>Aktiv!H313</f>
        <v>38</v>
      </c>
      <c r="I327" s="423">
        <f>Aktiv!I313</f>
        <v>38</v>
      </c>
      <c r="J327" s="423">
        <f>Aktiv!J313</f>
        <v>38</v>
      </c>
      <c r="K327" s="423">
        <f>Aktiv!K313</f>
        <v>44</v>
      </c>
      <c r="L327" s="423">
        <f>Aktiv!L313</f>
        <v>44</v>
      </c>
      <c r="M327" s="423">
        <f>Aktiv!M313</f>
        <v>44</v>
      </c>
      <c r="N327" s="423">
        <f>Aktiv!N313</f>
        <v>44</v>
      </c>
    </row>
    <row r="328" spans="2:14" ht="18" customHeight="1" x14ac:dyDescent="0.3">
      <c r="B328" s="413" t="str">
        <f>Aktiv!C314</f>
        <v>Griff</v>
      </c>
      <c r="C328" s="413">
        <f>Aktiv!A314</f>
        <v>8313</v>
      </c>
      <c r="D328" s="413" t="str">
        <f>Aktiv!D314</f>
        <v>Bridge</v>
      </c>
      <c r="E328" s="413">
        <f>Aktiv!E314</f>
        <v>0</v>
      </c>
      <c r="F328" s="413">
        <f>Aktiv!F314</f>
        <v>0</v>
      </c>
      <c r="G328" s="424">
        <f>Aktiv!G314</f>
        <v>19</v>
      </c>
      <c r="H328" s="424">
        <f>Aktiv!H314</f>
        <v>19</v>
      </c>
      <c r="I328" s="424">
        <f>Aktiv!I314</f>
        <v>19</v>
      </c>
      <c r="J328" s="424">
        <f>Aktiv!J314</f>
        <v>19</v>
      </c>
      <c r="K328" s="424">
        <f>Aktiv!K314</f>
        <v>22</v>
      </c>
      <c r="L328" s="424">
        <f>Aktiv!L314</f>
        <v>22</v>
      </c>
      <c r="M328" s="424">
        <f>Aktiv!M314</f>
        <v>22</v>
      </c>
      <c r="N328" s="424">
        <f>Aktiv!N314</f>
        <v>22</v>
      </c>
    </row>
    <row r="329" spans="2:14" ht="18" customHeight="1" x14ac:dyDescent="0.3">
      <c r="B329" s="414" t="str">
        <f>Aktiv!C315</f>
        <v>Griff</v>
      </c>
      <c r="C329" s="414">
        <f>Aktiv!A315</f>
        <v>8314</v>
      </c>
      <c r="D329" s="414" t="str">
        <f>Aktiv!D315</f>
        <v>Bridge groß</v>
      </c>
      <c r="E329" s="414">
        <f>Aktiv!E315</f>
        <v>0</v>
      </c>
      <c r="F329" s="414">
        <f>Aktiv!F315</f>
        <v>0</v>
      </c>
      <c r="G329" s="423">
        <f>Aktiv!G315</f>
        <v>22</v>
      </c>
      <c r="H329" s="423">
        <f>Aktiv!H315</f>
        <v>22</v>
      </c>
      <c r="I329" s="423">
        <f>Aktiv!I315</f>
        <v>22</v>
      </c>
      <c r="J329" s="423">
        <f>Aktiv!J315</f>
        <v>22</v>
      </c>
      <c r="K329" s="423">
        <f>Aktiv!K315</f>
        <v>25</v>
      </c>
      <c r="L329" s="423">
        <f>Aktiv!L315</f>
        <v>25</v>
      </c>
      <c r="M329" s="423">
        <f>Aktiv!M315</f>
        <v>25</v>
      </c>
      <c r="N329" s="423">
        <f>Aktiv!N315</f>
        <v>25</v>
      </c>
    </row>
    <row r="330" spans="2:14" ht="18" customHeight="1" x14ac:dyDescent="0.3">
      <c r="B330" s="413" t="str">
        <f>Aktiv!C316</f>
        <v>Griff</v>
      </c>
      <c r="C330" s="413">
        <f>Aktiv!A316</f>
        <v>8315</v>
      </c>
      <c r="D330" s="413" t="str">
        <f>Aktiv!D316</f>
        <v>Allungo</v>
      </c>
      <c r="E330" s="413">
        <f>Aktiv!E316</f>
        <v>0</v>
      </c>
      <c r="F330" s="413">
        <f>Aktiv!F316</f>
        <v>0</v>
      </c>
      <c r="G330" s="424">
        <f>Aktiv!G316</f>
        <v>29</v>
      </c>
      <c r="H330" s="424">
        <f>Aktiv!H316</f>
        <v>29</v>
      </c>
      <c r="I330" s="424">
        <f>Aktiv!I316</f>
        <v>29</v>
      </c>
      <c r="J330" s="424">
        <f>Aktiv!J316</f>
        <v>29</v>
      </c>
      <c r="K330" s="424">
        <f>Aktiv!K316</f>
        <v>33</v>
      </c>
      <c r="L330" s="424">
        <f>Aktiv!L316</f>
        <v>33</v>
      </c>
      <c r="M330" s="424">
        <f>Aktiv!M316</f>
        <v>33</v>
      </c>
      <c r="N330" s="424">
        <f>Aktiv!N316</f>
        <v>33</v>
      </c>
    </row>
    <row r="331" spans="2:14" ht="18" customHeight="1" x14ac:dyDescent="0.3">
      <c r="B331" s="414" t="str">
        <f>Aktiv!C317</f>
        <v>Hängeregister</v>
      </c>
      <c r="C331" s="414">
        <f>Aktiv!A317</f>
        <v>8503</v>
      </c>
      <c r="D331" s="414" t="str">
        <f>Aktiv!D317</f>
        <v>Hängeregister</v>
      </c>
      <c r="E331" s="414">
        <f>Aktiv!E317</f>
        <v>0</v>
      </c>
      <c r="F331" s="414">
        <f>Aktiv!F317</f>
        <v>0</v>
      </c>
      <c r="G331" s="423">
        <f>Aktiv!G317</f>
        <v>262</v>
      </c>
      <c r="H331" s="423">
        <f>Aktiv!H317</f>
        <v>262</v>
      </c>
      <c r="I331" s="423">
        <f>Aktiv!I317</f>
        <v>262</v>
      </c>
      <c r="J331" s="423">
        <f>Aktiv!J317</f>
        <v>262</v>
      </c>
      <c r="K331" s="423">
        <f>Aktiv!K317</f>
        <v>301</v>
      </c>
      <c r="L331" s="423">
        <f>Aktiv!L317</f>
        <v>301</v>
      </c>
      <c r="M331" s="423">
        <f>Aktiv!M317</f>
        <v>301</v>
      </c>
      <c r="N331" s="423">
        <f>Aktiv!N317</f>
        <v>301</v>
      </c>
    </row>
    <row r="332" spans="2:14" ht="18" customHeight="1" x14ac:dyDescent="0.3">
      <c r="B332" s="413" t="str">
        <f>Aktiv!C318</f>
        <v>Hängeregister</v>
      </c>
      <c r="C332" s="413">
        <f>Aktiv!A318</f>
        <v>8504</v>
      </c>
      <c r="D332" s="413" t="str">
        <f>Aktiv!D318</f>
        <v>Hängeregister</v>
      </c>
      <c r="E332" s="413">
        <f>Aktiv!E318</f>
        <v>0</v>
      </c>
      <c r="F332" s="413">
        <f>Aktiv!F318</f>
        <v>0</v>
      </c>
      <c r="G332" s="424">
        <f>Aktiv!G318</f>
        <v>263</v>
      </c>
      <c r="H332" s="424">
        <f>Aktiv!H318</f>
        <v>263</v>
      </c>
      <c r="I332" s="424">
        <f>Aktiv!I318</f>
        <v>263</v>
      </c>
      <c r="J332" s="424">
        <f>Aktiv!J318</f>
        <v>263</v>
      </c>
      <c r="K332" s="424">
        <f>Aktiv!K318</f>
        <v>302</v>
      </c>
      <c r="L332" s="424">
        <f>Aktiv!L318</f>
        <v>302</v>
      </c>
      <c r="M332" s="424">
        <f>Aktiv!M318</f>
        <v>302</v>
      </c>
      <c r="N332" s="424">
        <f>Aktiv!N318</f>
        <v>302</v>
      </c>
    </row>
    <row r="333" spans="2:14" ht="18" customHeight="1" x14ac:dyDescent="0.3">
      <c r="B333" s="414" t="str">
        <f>Aktiv!C319</f>
        <v>Hängeregister</v>
      </c>
      <c r="C333" s="414">
        <f>Aktiv!A319</f>
        <v>8505</v>
      </c>
      <c r="D333" s="414" t="str">
        <f>Aktiv!D319</f>
        <v>Hängeregister</v>
      </c>
      <c r="E333" s="414">
        <f>Aktiv!E319</f>
        <v>0</v>
      </c>
      <c r="F333" s="414">
        <f>Aktiv!F319</f>
        <v>0</v>
      </c>
      <c r="G333" s="423">
        <f>Aktiv!G319</f>
        <v>265</v>
      </c>
      <c r="H333" s="423">
        <f>Aktiv!H319</f>
        <v>265</v>
      </c>
      <c r="I333" s="423">
        <f>Aktiv!I319</f>
        <v>265</v>
      </c>
      <c r="J333" s="423">
        <f>Aktiv!J319</f>
        <v>265</v>
      </c>
      <c r="K333" s="423">
        <f>Aktiv!K319</f>
        <v>305</v>
      </c>
      <c r="L333" s="423">
        <f>Aktiv!L319</f>
        <v>305</v>
      </c>
      <c r="M333" s="423">
        <f>Aktiv!M319</f>
        <v>305</v>
      </c>
      <c r="N333" s="423">
        <f>Aktiv!N319</f>
        <v>305</v>
      </c>
    </row>
    <row r="334" spans="2:14" ht="18" customHeight="1" x14ac:dyDescent="0.3">
      <c r="B334" s="413" t="str">
        <f>Aktiv!C320</f>
        <v>Hängeregister</v>
      </c>
      <c r="C334" s="413">
        <f>Aktiv!A320</f>
        <v>8506</v>
      </c>
      <c r="D334" s="413" t="str">
        <f>Aktiv!D320</f>
        <v>Hängeregister</v>
      </c>
      <c r="E334" s="413">
        <f>Aktiv!E320</f>
        <v>0</v>
      </c>
      <c r="F334" s="413">
        <f>Aktiv!F320</f>
        <v>0</v>
      </c>
      <c r="G334" s="424">
        <f>Aktiv!G320</f>
        <v>319</v>
      </c>
      <c r="H334" s="424">
        <f>Aktiv!H320</f>
        <v>319</v>
      </c>
      <c r="I334" s="424">
        <f>Aktiv!I320</f>
        <v>319</v>
      </c>
      <c r="J334" s="424">
        <f>Aktiv!J320</f>
        <v>319</v>
      </c>
      <c r="K334" s="424">
        <f>Aktiv!K320</f>
        <v>367</v>
      </c>
      <c r="L334" s="424">
        <f>Aktiv!L320</f>
        <v>367</v>
      </c>
      <c r="M334" s="424">
        <f>Aktiv!M320</f>
        <v>367</v>
      </c>
      <c r="N334" s="424">
        <f>Aktiv!N320</f>
        <v>367</v>
      </c>
    </row>
    <row r="335" spans="2:14" ht="18" customHeight="1" x14ac:dyDescent="0.3">
      <c r="B335" s="414" t="str">
        <f>Aktiv!C321</f>
        <v>Zubehör &amp; Sonstiges</v>
      </c>
      <c r="C335" s="414">
        <f>Aktiv!A321</f>
        <v>8050</v>
      </c>
      <c r="D335" s="414" t="str">
        <f>Aktiv!D321</f>
        <v>Rolle Teppich</v>
      </c>
      <c r="E335" s="414">
        <f>Aktiv!E321</f>
        <v>0</v>
      </c>
      <c r="F335" s="414">
        <f>Aktiv!F321</f>
        <v>0</v>
      </c>
      <c r="G335" s="423">
        <f>Aktiv!G321</f>
        <v>5</v>
      </c>
      <c r="H335" s="423">
        <f>Aktiv!H321</f>
        <v>5</v>
      </c>
      <c r="I335" s="423">
        <f>Aktiv!I321</f>
        <v>5</v>
      </c>
      <c r="J335" s="423">
        <f>Aktiv!J321</f>
        <v>5</v>
      </c>
      <c r="K335" s="423">
        <f>Aktiv!K321</f>
        <v>6</v>
      </c>
      <c r="L335" s="423">
        <f>Aktiv!L321</f>
        <v>6</v>
      </c>
      <c r="M335" s="423">
        <f>Aktiv!M321</f>
        <v>6</v>
      </c>
      <c r="N335" s="423">
        <f>Aktiv!N321</f>
        <v>6</v>
      </c>
    </row>
    <row r="336" spans="2:14" ht="18" customHeight="1" x14ac:dyDescent="0.3">
      <c r="B336" s="413" t="str">
        <f>Aktiv!C322</f>
        <v>Zubehör &amp; Sonstiges</v>
      </c>
      <c r="C336" s="413">
        <f>Aktiv!A322</f>
        <v>8051</v>
      </c>
      <c r="D336" s="413" t="str">
        <f>Aktiv!D322</f>
        <v>Rolle Parkett</v>
      </c>
      <c r="E336" s="413">
        <f>Aktiv!E322</f>
        <v>0</v>
      </c>
      <c r="F336" s="413">
        <f>Aktiv!F322</f>
        <v>0</v>
      </c>
      <c r="G336" s="424">
        <f>Aktiv!G322</f>
        <v>5</v>
      </c>
      <c r="H336" s="424">
        <f>Aktiv!H322</f>
        <v>5</v>
      </c>
      <c r="I336" s="424">
        <f>Aktiv!I322</f>
        <v>5</v>
      </c>
      <c r="J336" s="424">
        <f>Aktiv!J322</f>
        <v>5</v>
      </c>
      <c r="K336" s="424">
        <f>Aktiv!K322</f>
        <v>6</v>
      </c>
      <c r="L336" s="424">
        <f>Aktiv!L322</f>
        <v>6</v>
      </c>
      <c r="M336" s="424">
        <f>Aktiv!M322</f>
        <v>6</v>
      </c>
      <c r="N336" s="424">
        <f>Aktiv!N322</f>
        <v>6</v>
      </c>
    </row>
    <row r="337" spans="2:14" ht="18" customHeight="1" x14ac:dyDescent="0.3">
      <c r="B337" s="414" t="str">
        <f>Aktiv!C323</f>
        <v>Zubehör &amp; Sonstiges</v>
      </c>
      <c r="C337" s="414">
        <f>Aktiv!A323</f>
        <v>8080</v>
      </c>
      <c r="D337" s="414" t="str">
        <f>Aktiv!D323</f>
        <v>Stellfuß Alu</v>
      </c>
      <c r="E337" s="414">
        <f>Aktiv!E323</f>
        <v>0</v>
      </c>
      <c r="F337" s="414">
        <f>Aktiv!F323</f>
        <v>0</v>
      </c>
      <c r="G337" s="423">
        <f>Aktiv!G323</f>
        <v>8</v>
      </c>
      <c r="H337" s="423">
        <f>Aktiv!H323</f>
        <v>8</v>
      </c>
      <c r="I337" s="423">
        <f>Aktiv!I323</f>
        <v>8</v>
      </c>
      <c r="J337" s="423">
        <f>Aktiv!J323</f>
        <v>8</v>
      </c>
      <c r="K337" s="423">
        <f>Aktiv!K323</f>
        <v>9</v>
      </c>
      <c r="L337" s="423">
        <f>Aktiv!L323</f>
        <v>9</v>
      </c>
      <c r="M337" s="423">
        <f>Aktiv!M323</f>
        <v>9</v>
      </c>
      <c r="N337" s="423">
        <f>Aktiv!N323</f>
        <v>9</v>
      </c>
    </row>
    <row r="338" spans="2:14" ht="18" customHeight="1" x14ac:dyDescent="0.3">
      <c r="B338" s="413" t="str">
        <f>Aktiv!C324</f>
        <v>Zubehör &amp; Sonstiges</v>
      </c>
      <c r="C338" s="413">
        <f>Aktiv!A324</f>
        <v>8081</v>
      </c>
      <c r="D338" s="413" t="str">
        <f>Aktiv!D324</f>
        <v>Nivellierschraube</v>
      </c>
      <c r="E338" s="413">
        <f>Aktiv!E324</f>
        <v>0</v>
      </c>
      <c r="F338" s="413">
        <f>Aktiv!F324</f>
        <v>0</v>
      </c>
      <c r="G338" s="424">
        <f>Aktiv!G324</f>
        <v>6</v>
      </c>
      <c r="H338" s="424">
        <f>Aktiv!H324</f>
        <v>6</v>
      </c>
      <c r="I338" s="424">
        <f>Aktiv!I324</f>
        <v>6</v>
      </c>
      <c r="J338" s="424">
        <f>Aktiv!J324</f>
        <v>6</v>
      </c>
      <c r="K338" s="424">
        <f>Aktiv!K324</f>
        <v>7</v>
      </c>
      <c r="L338" s="424">
        <f>Aktiv!L324</f>
        <v>7</v>
      </c>
      <c r="M338" s="424">
        <f>Aktiv!M324</f>
        <v>7</v>
      </c>
      <c r="N338" s="424">
        <f>Aktiv!N324</f>
        <v>7</v>
      </c>
    </row>
    <row r="339" spans="2:14" ht="18" customHeight="1" x14ac:dyDescent="0.3">
      <c r="B339" s="414" t="str">
        <f>Aktiv!C325</f>
        <v>Zubehör &amp; Sonstiges</v>
      </c>
      <c r="C339" s="414">
        <f>Aktiv!A325</f>
        <v>8152</v>
      </c>
      <c r="D339" s="414" t="str">
        <f>Aktiv!D325</f>
        <v>CPU Halterung</v>
      </c>
      <c r="E339" s="414">
        <f>Aktiv!E325</f>
        <v>0</v>
      </c>
      <c r="F339" s="414">
        <f>Aktiv!F325</f>
        <v>0</v>
      </c>
      <c r="G339" s="423">
        <f>Aktiv!G325</f>
        <v>70</v>
      </c>
      <c r="H339" s="423">
        <f>Aktiv!H325</f>
        <v>70</v>
      </c>
      <c r="I339" s="423">
        <f>Aktiv!I325</f>
        <v>70</v>
      </c>
      <c r="J339" s="423">
        <f>Aktiv!J325</f>
        <v>70</v>
      </c>
      <c r="K339" s="423">
        <f>Aktiv!K325</f>
        <v>81</v>
      </c>
      <c r="L339" s="423">
        <f>Aktiv!L325</f>
        <v>81</v>
      </c>
      <c r="M339" s="423">
        <f>Aktiv!M325</f>
        <v>81</v>
      </c>
      <c r="N339" s="423">
        <f>Aktiv!N325</f>
        <v>81</v>
      </c>
    </row>
    <row r="340" spans="2:14" ht="18" customHeight="1" x14ac:dyDescent="0.3">
      <c r="B340" s="413" t="str">
        <f>Aktiv!C326</f>
        <v>Kleinteile</v>
      </c>
      <c r="C340" s="413">
        <f>Aktiv!A326</f>
        <v>8411</v>
      </c>
      <c r="D340" s="413" t="str">
        <f>Aktiv!D326</f>
        <v>Tischgestell</v>
      </c>
      <c r="E340" s="413">
        <f>Aktiv!E326</f>
        <v>0</v>
      </c>
      <c r="F340" s="413">
        <f>Aktiv!F326</f>
        <v>0</v>
      </c>
      <c r="G340" s="424">
        <f>Aktiv!G326</f>
        <v>500</v>
      </c>
      <c r="H340" s="424">
        <f>Aktiv!H326</f>
        <v>500</v>
      </c>
      <c r="I340" s="424">
        <f>Aktiv!I326</f>
        <v>500</v>
      </c>
      <c r="J340" s="424">
        <f>Aktiv!J326</f>
        <v>500</v>
      </c>
      <c r="K340" s="424">
        <f>Aktiv!K326</f>
        <v>575</v>
      </c>
      <c r="L340" s="424">
        <f>Aktiv!L326</f>
        <v>575</v>
      </c>
      <c r="M340" s="424">
        <f>Aktiv!M326</f>
        <v>575</v>
      </c>
      <c r="N340" s="424">
        <f>Aktiv!N326</f>
        <v>575</v>
      </c>
    </row>
    <row r="341" spans="2:14" ht="18" customHeight="1" x14ac:dyDescent="0.25">
      <c r="B341" s="420"/>
      <c r="C341" s="420"/>
      <c r="D341" s="420"/>
      <c r="E341" s="420"/>
      <c r="F341" s="420"/>
      <c r="G341" s="421"/>
      <c r="H341" s="421"/>
      <c r="I341" s="421"/>
      <c r="J341" s="421"/>
      <c r="K341" s="421"/>
      <c r="L341" s="421"/>
      <c r="M341" s="421"/>
      <c r="N341" s="421"/>
    </row>
    <row r="342" spans="2:14" ht="18" customHeight="1" x14ac:dyDescent="0.3">
      <c r="B342" s="418" t="s">
        <v>703</v>
      </c>
      <c r="C342" s="418"/>
      <c r="D342" s="418"/>
      <c r="E342" s="418"/>
      <c r="F342" s="418"/>
      <c r="G342" s="419"/>
      <c r="H342" s="419"/>
      <c r="I342" s="419"/>
      <c r="J342" s="419"/>
      <c r="K342" s="419"/>
      <c r="L342" s="419"/>
      <c r="M342" s="419"/>
      <c r="N342" s="419"/>
    </row>
    <row r="343" spans="2:14" ht="18" customHeight="1" x14ac:dyDescent="0.3">
      <c r="B343" s="415" t="str">
        <f>Aktiv!C328</f>
        <v>Tisch-Gestell</v>
      </c>
      <c r="C343" s="415" t="str">
        <f>Aktiv!A328</f>
        <v>T-S8</v>
      </c>
      <c r="D343" s="415" t="str">
        <f>Aktiv!D328</f>
        <v>Tischsprosse 580mm</v>
      </c>
      <c r="E343" s="415">
        <f>Aktiv!E328</f>
        <v>580</v>
      </c>
      <c r="F343" s="415">
        <f>Aktiv!F328</f>
        <v>0</v>
      </c>
      <c r="G343" s="422">
        <f>Aktiv!G328</f>
        <v>84</v>
      </c>
      <c r="H343" s="422">
        <f>Aktiv!H328</f>
        <v>84</v>
      </c>
      <c r="I343" s="422">
        <f>Aktiv!I328</f>
        <v>84</v>
      </c>
      <c r="J343" s="422">
        <f>Aktiv!J328</f>
        <v>84</v>
      </c>
      <c r="K343" s="422">
        <f>Aktiv!K328</f>
        <v>97</v>
      </c>
      <c r="L343" s="422">
        <f>Aktiv!L328</f>
        <v>97</v>
      </c>
      <c r="M343" s="422">
        <f>Aktiv!M328</f>
        <v>97</v>
      </c>
      <c r="N343" s="422">
        <f>Aktiv!N328</f>
        <v>97</v>
      </c>
    </row>
    <row r="344" spans="2:14" ht="18" customHeight="1" x14ac:dyDescent="0.3">
      <c r="B344" s="414" t="str">
        <f>Aktiv!C329</f>
        <v>Tisch-Gestell</v>
      </c>
      <c r="C344" s="414" t="str">
        <f>Aktiv!A329</f>
        <v>T-B2</v>
      </c>
      <c r="D344" s="414" t="str">
        <f>Aktiv!D329</f>
        <v>Tischbein 720mm</v>
      </c>
      <c r="E344" s="414">
        <f>Aktiv!E329</f>
        <v>720</v>
      </c>
      <c r="F344" s="414">
        <f>Aktiv!F329</f>
        <v>0</v>
      </c>
      <c r="G344" s="423">
        <f>Aktiv!G329</f>
        <v>105</v>
      </c>
      <c r="H344" s="423">
        <f>Aktiv!H329</f>
        <v>105</v>
      </c>
      <c r="I344" s="423">
        <f>Aktiv!I329</f>
        <v>105</v>
      </c>
      <c r="J344" s="423">
        <f>Aktiv!J329</f>
        <v>105</v>
      </c>
      <c r="K344" s="423">
        <f>Aktiv!K329</f>
        <v>121</v>
      </c>
      <c r="L344" s="423">
        <f>Aktiv!L329</f>
        <v>121</v>
      </c>
      <c r="M344" s="423">
        <f>Aktiv!M329</f>
        <v>121</v>
      </c>
      <c r="N344" s="423">
        <f>Aktiv!N329</f>
        <v>121</v>
      </c>
    </row>
    <row r="345" spans="2:14" ht="18" customHeight="1" x14ac:dyDescent="0.3">
      <c r="B345" s="413" t="str">
        <f>Aktiv!C330</f>
        <v>Tisch-Gestell</v>
      </c>
      <c r="C345" s="413" t="str">
        <f>Aktiv!A330</f>
        <v>T-B1</v>
      </c>
      <c r="D345" s="413" t="str">
        <f>Aktiv!D330</f>
        <v>Tischbein 750mm</v>
      </c>
      <c r="E345" s="413">
        <f>Aktiv!E330</f>
        <v>750</v>
      </c>
      <c r="F345" s="413">
        <f>Aktiv!F330</f>
        <v>0</v>
      </c>
      <c r="G345" s="424">
        <f>Aktiv!G330</f>
        <v>105</v>
      </c>
      <c r="H345" s="424">
        <f>Aktiv!H330</f>
        <v>105</v>
      </c>
      <c r="I345" s="424">
        <f>Aktiv!I330</f>
        <v>105</v>
      </c>
      <c r="J345" s="424">
        <f>Aktiv!J330</f>
        <v>105</v>
      </c>
      <c r="K345" s="424">
        <f>Aktiv!K330</f>
        <v>121</v>
      </c>
      <c r="L345" s="424">
        <f>Aktiv!L330</f>
        <v>121</v>
      </c>
      <c r="M345" s="424">
        <f>Aktiv!M330</f>
        <v>121</v>
      </c>
      <c r="N345" s="424">
        <f>Aktiv!N330</f>
        <v>121</v>
      </c>
    </row>
    <row r="346" spans="2:14" ht="18" customHeight="1" x14ac:dyDescent="0.3">
      <c r="B346" s="414" t="str">
        <f>Aktiv!C331</f>
        <v>Tisch-Gestell</v>
      </c>
      <c r="C346" s="414" t="str">
        <f>Aktiv!A331</f>
        <v>T-S7</v>
      </c>
      <c r="D346" s="414" t="str">
        <f>Aktiv!D331</f>
        <v>Tischsprosse 780mm</v>
      </c>
      <c r="E346" s="414">
        <f>Aktiv!E331</f>
        <v>780</v>
      </c>
      <c r="F346" s="414">
        <f>Aktiv!F331</f>
        <v>0</v>
      </c>
      <c r="G346" s="423">
        <f>Aktiv!G331</f>
        <v>92</v>
      </c>
      <c r="H346" s="423">
        <f>Aktiv!H331</f>
        <v>92</v>
      </c>
      <c r="I346" s="423">
        <f>Aktiv!I331</f>
        <v>92</v>
      </c>
      <c r="J346" s="423">
        <f>Aktiv!J331</f>
        <v>92</v>
      </c>
      <c r="K346" s="423">
        <f>Aktiv!K331</f>
        <v>106</v>
      </c>
      <c r="L346" s="423">
        <f>Aktiv!L331</f>
        <v>106</v>
      </c>
      <c r="M346" s="423">
        <f>Aktiv!M331</f>
        <v>106</v>
      </c>
      <c r="N346" s="423">
        <f>Aktiv!N331</f>
        <v>106</v>
      </c>
    </row>
    <row r="347" spans="2:14" ht="18" customHeight="1" x14ac:dyDescent="0.3">
      <c r="B347" s="413" t="str">
        <f>Aktiv!C332</f>
        <v>Tisch-Gestell</v>
      </c>
      <c r="C347" s="413" t="str">
        <f>Aktiv!A332</f>
        <v>T-S6</v>
      </c>
      <c r="D347" s="413" t="str">
        <f>Aktiv!D332</f>
        <v>Tischsprosse 980mm</v>
      </c>
      <c r="E347" s="413">
        <f>Aktiv!E332</f>
        <v>980</v>
      </c>
      <c r="F347" s="413">
        <f>Aktiv!F332</f>
        <v>0</v>
      </c>
      <c r="G347" s="424">
        <f>Aktiv!G332</f>
        <v>99</v>
      </c>
      <c r="H347" s="424">
        <f>Aktiv!H332</f>
        <v>99</v>
      </c>
      <c r="I347" s="424">
        <f>Aktiv!I332</f>
        <v>99</v>
      </c>
      <c r="J347" s="424">
        <f>Aktiv!J332</f>
        <v>99</v>
      </c>
      <c r="K347" s="424">
        <f>Aktiv!K332</f>
        <v>114</v>
      </c>
      <c r="L347" s="424">
        <f>Aktiv!L332</f>
        <v>114</v>
      </c>
      <c r="M347" s="424">
        <f>Aktiv!M332</f>
        <v>114</v>
      </c>
      <c r="N347" s="424">
        <f>Aktiv!N332</f>
        <v>114</v>
      </c>
    </row>
    <row r="348" spans="2:14" ht="18" customHeight="1" x14ac:dyDescent="0.3">
      <c r="B348" s="414" t="str">
        <f>Aktiv!C333</f>
        <v>Tisch-Gestell</v>
      </c>
      <c r="C348" s="414" t="str">
        <f>Aktiv!A333</f>
        <v>T-S5</v>
      </c>
      <c r="D348" s="414" t="str">
        <f>Aktiv!D333</f>
        <v>Tischsprosse 1200mm</v>
      </c>
      <c r="E348" s="414">
        <f>Aktiv!E333</f>
        <v>1200</v>
      </c>
      <c r="F348" s="414">
        <f>Aktiv!F333</f>
        <v>0</v>
      </c>
      <c r="G348" s="423">
        <f>Aktiv!G333</f>
        <v>107</v>
      </c>
      <c r="H348" s="423">
        <f>Aktiv!H333</f>
        <v>107</v>
      </c>
      <c r="I348" s="423">
        <f>Aktiv!I333</f>
        <v>107</v>
      </c>
      <c r="J348" s="423">
        <f>Aktiv!J333</f>
        <v>107</v>
      </c>
      <c r="K348" s="423">
        <f>Aktiv!K333</f>
        <v>123</v>
      </c>
      <c r="L348" s="423">
        <f>Aktiv!L333</f>
        <v>123</v>
      </c>
      <c r="M348" s="423">
        <f>Aktiv!M333</f>
        <v>123</v>
      </c>
      <c r="N348" s="423">
        <f>Aktiv!N333</f>
        <v>123</v>
      </c>
    </row>
    <row r="349" spans="2:14" ht="18" customHeight="1" x14ac:dyDescent="0.3">
      <c r="B349" s="413" t="str">
        <f>Aktiv!C334</f>
        <v>Tisch-Gestell</v>
      </c>
      <c r="C349" s="413" t="str">
        <f>Aktiv!A334</f>
        <v>T-S4</v>
      </c>
      <c r="D349" s="413" t="str">
        <f>Aktiv!D334</f>
        <v>Tischsprosse 1360mm</v>
      </c>
      <c r="E349" s="413">
        <f>Aktiv!E334</f>
        <v>1360</v>
      </c>
      <c r="F349" s="413">
        <f>Aktiv!F334</f>
        <v>0</v>
      </c>
      <c r="G349" s="424">
        <f>Aktiv!G334</f>
        <v>115</v>
      </c>
      <c r="H349" s="424">
        <f>Aktiv!H334</f>
        <v>115</v>
      </c>
      <c r="I349" s="424">
        <f>Aktiv!I334</f>
        <v>115</v>
      </c>
      <c r="J349" s="424">
        <f>Aktiv!J334</f>
        <v>115</v>
      </c>
      <c r="K349" s="424">
        <f>Aktiv!K334</f>
        <v>132</v>
      </c>
      <c r="L349" s="424">
        <f>Aktiv!L334</f>
        <v>132</v>
      </c>
      <c r="M349" s="424">
        <f>Aktiv!M334</f>
        <v>132</v>
      </c>
      <c r="N349" s="424">
        <f>Aktiv!N334</f>
        <v>132</v>
      </c>
    </row>
    <row r="350" spans="2:14" ht="18" customHeight="1" x14ac:dyDescent="0.3">
      <c r="B350" s="414" t="str">
        <f>Aktiv!C335</f>
        <v>Tisch-Gestell</v>
      </c>
      <c r="C350" s="414" t="str">
        <f>Aktiv!A335</f>
        <v>T-S3</v>
      </c>
      <c r="D350" s="414" t="str">
        <f>Aktiv!D335</f>
        <v>Tischsprosse 1560mm</v>
      </c>
      <c r="E350" s="414">
        <f>Aktiv!E335</f>
        <v>1560</v>
      </c>
      <c r="F350" s="414">
        <f>Aktiv!F335</f>
        <v>0</v>
      </c>
      <c r="G350" s="423">
        <f>Aktiv!G335</f>
        <v>122</v>
      </c>
      <c r="H350" s="423">
        <f>Aktiv!H335</f>
        <v>122</v>
      </c>
      <c r="I350" s="423">
        <f>Aktiv!I335</f>
        <v>122</v>
      </c>
      <c r="J350" s="423">
        <f>Aktiv!J335</f>
        <v>122</v>
      </c>
      <c r="K350" s="423">
        <f>Aktiv!K335</f>
        <v>140</v>
      </c>
      <c r="L350" s="423">
        <f>Aktiv!L335</f>
        <v>140</v>
      </c>
      <c r="M350" s="423">
        <f>Aktiv!M335</f>
        <v>140</v>
      </c>
      <c r="N350" s="423">
        <f>Aktiv!N335</f>
        <v>140</v>
      </c>
    </row>
    <row r="351" spans="2:14" ht="18" customHeight="1" x14ac:dyDescent="0.3">
      <c r="B351" s="413" t="str">
        <f>Aktiv!C336</f>
        <v>Tisch-Gestell</v>
      </c>
      <c r="C351" s="413" t="str">
        <f>Aktiv!A336</f>
        <v>T-S2</v>
      </c>
      <c r="D351" s="413" t="str">
        <f>Aktiv!D336</f>
        <v>Tischsprosse 1760mm</v>
      </c>
      <c r="E351" s="413">
        <f>Aktiv!E336</f>
        <v>1760</v>
      </c>
      <c r="F351" s="413">
        <f>Aktiv!F336</f>
        <v>0</v>
      </c>
      <c r="G351" s="424">
        <f>Aktiv!G336</f>
        <v>130</v>
      </c>
      <c r="H351" s="424">
        <f>Aktiv!H336</f>
        <v>130</v>
      </c>
      <c r="I351" s="424">
        <f>Aktiv!I336</f>
        <v>130</v>
      </c>
      <c r="J351" s="424">
        <f>Aktiv!J336</f>
        <v>130</v>
      </c>
      <c r="K351" s="424">
        <f>Aktiv!K336</f>
        <v>150</v>
      </c>
      <c r="L351" s="424">
        <f>Aktiv!L336</f>
        <v>150</v>
      </c>
      <c r="M351" s="424">
        <f>Aktiv!M336</f>
        <v>150</v>
      </c>
      <c r="N351" s="424">
        <f>Aktiv!N336</f>
        <v>150</v>
      </c>
    </row>
    <row r="352" spans="2:14" ht="18" customHeight="1" x14ac:dyDescent="0.3">
      <c r="B352" s="414" t="str">
        <f>Aktiv!C337</f>
        <v>Tisch-Gestell</v>
      </c>
      <c r="C352" s="414" t="str">
        <f>Aktiv!A337</f>
        <v>T-S1</v>
      </c>
      <c r="D352" s="414" t="str">
        <f>Aktiv!D337</f>
        <v>Tischsprosse 1960mm</v>
      </c>
      <c r="E352" s="414">
        <f>Aktiv!E337</f>
        <v>1960</v>
      </c>
      <c r="F352" s="414">
        <f>Aktiv!F337</f>
        <v>0</v>
      </c>
      <c r="G352" s="423">
        <f>Aktiv!G337</f>
        <v>138</v>
      </c>
      <c r="H352" s="423">
        <f>Aktiv!H337</f>
        <v>138</v>
      </c>
      <c r="I352" s="423">
        <f>Aktiv!I337</f>
        <v>138</v>
      </c>
      <c r="J352" s="423">
        <f>Aktiv!J337</f>
        <v>138</v>
      </c>
      <c r="K352" s="423">
        <f>Aktiv!K337</f>
        <v>159</v>
      </c>
      <c r="L352" s="423">
        <f>Aktiv!L337</f>
        <v>159</v>
      </c>
      <c r="M352" s="423">
        <f>Aktiv!M337</f>
        <v>159</v>
      </c>
      <c r="N352" s="423">
        <f>Aktiv!N337</f>
        <v>159</v>
      </c>
    </row>
    <row r="353" spans="2:14" ht="18" customHeight="1" x14ac:dyDescent="0.3">
      <c r="B353" s="413" t="str">
        <f>Aktiv!C338</f>
        <v>Tisch-Gestell</v>
      </c>
      <c r="C353" s="413" t="str">
        <f>Aktiv!A338</f>
        <v>T-W46</v>
      </c>
      <c r="D353" s="413" t="str">
        <f>Aktiv!D338</f>
        <v>Würfel 46mm</v>
      </c>
      <c r="E353" s="413">
        <f>Aktiv!E338</f>
        <v>46</v>
      </c>
      <c r="F353" s="413">
        <f>Aktiv!F338</f>
        <v>0</v>
      </c>
      <c r="G353" s="424">
        <f>Aktiv!G338</f>
        <v>50</v>
      </c>
      <c r="H353" s="424">
        <f>Aktiv!H338</f>
        <v>50</v>
      </c>
      <c r="I353" s="424">
        <f>Aktiv!I338</f>
        <v>50</v>
      </c>
      <c r="J353" s="424">
        <f>Aktiv!J338</f>
        <v>50</v>
      </c>
      <c r="K353" s="424">
        <f>Aktiv!K338</f>
        <v>58</v>
      </c>
      <c r="L353" s="424">
        <f>Aktiv!L338</f>
        <v>58</v>
      </c>
      <c r="M353" s="424">
        <f>Aktiv!M338</f>
        <v>58</v>
      </c>
      <c r="N353" s="424">
        <f>Aktiv!N338</f>
        <v>58</v>
      </c>
    </row>
    <row r="354" spans="2:14" ht="18" customHeight="1" x14ac:dyDescent="0.3">
      <c r="B354" s="414" t="str">
        <f>Aktiv!C339</f>
        <v>Tisch-Gestell</v>
      </c>
      <c r="C354" s="414" t="str">
        <f>Aktiv!A339</f>
        <v>T-SF</v>
      </c>
      <c r="D354" s="414" t="str">
        <f>Aktiv!D339</f>
        <v>Stellfüße (Satz)</v>
      </c>
      <c r="E354" s="414">
        <f>Aktiv!E339</f>
        <v>0</v>
      </c>
      <c r="F354" s="414">
        <f>Aktiv!F339</f>
        <v>0</v>
      </c>
      <c r="G354" s="423">
        <f>Aktiv!G339</f>
        <v>37</v>
      </c>
      <c r="H354" s="423">
        <f>Aktiv!H339</f>
        <v>37</v>
      </c>
      <c r="I354" s="423">
        <f>Aktiv!I339</f>
        <v>37</v>
      </c>
      <c r="J354" s="423">
        <f>Aktiv!J339</f>
        <v>37</v>
      </c>
      <c r="K354" s="423">
        <f>Aktiv!K339</f>
        <v>43</v>
      </c>
      <c r="L354" s="423">
        <f>Aktiv!L339</f>
        <v>43</v>
      </c>
      <c r="M354" s="423">
        <f>Aktiv!M339</f>
        <v>43</v>
      </c>
      <c r="N354" s="423">
        <f>Aktiv!N339</f>
        <v>43</v>
      </c>
    </row>
    <row r="355" spans="2:14" ht="18" customHeight="1" x14ac:dyDescent="0.3">
      <c r="B355" s="413" t="str">
        <f>Aktiv!C340</f>
        <v>Tischplatte</v>
      </c>
      <c r="C355" s="413" t="str">
        <f>Aktiv!A340</f>
        <v>TP01</v>
      </c>
      <c r="D355" s="413" t="str">
        <f>Aktiv!D340</f>
        <v>Tischplatte 1960×980</v>
      </c>
      <c r="E355" s="413">
        <f>Aktiv!E340</f>
        <v>1960</v>
      </c>
      <c r="F355" s="413">
        <f>Aktiv!F340</f>
        <v>980</v>
      </c>
      <c r="G355" s="424">
        <f>Aktiv!G340</f>
        <v>366</v>
      </c>
      <c r="H355" s="424">
        <f>Aktiv!H340</f>
        <v>366</v>
      </c>
      <c r="I355" s="424">
        <f>Aktiv!I340</f>
        <v>366</v>
      </c>
      <c r="J355" s="424">
        <f>Aktiv!J340</f>
        <v>366</v>
      </c>
      <c r="K355" s="424">
        <f>Aktiv!K340</f>
        <v>421</v>
      </c>
      <c r="L355" s="424">
        <f>Aktiv!L340</f>
        <v>421</v>
      </c>
      <c r="M355" s="424">
        <f>Aktiv!M340</f>
        <v>421</v>
      </c>
      <c r="N355" s="424">
        <f>Aktiv!N340</f>
        <v>421</v>
      </c>
    </row>
    <row r="356" spans="2:14" ht="18" customHeight="1" x14ac:dyDescent="0.3">
      <c r="B356" s="414" t="str">
        <f>Aktiv!C341</f>
        <v>Tischplatte</v>
      </c>
      <c r="C356" s="414" t="str">
        <f>Aktiv!A341</f>
        <v>TP02</v>
      </c>
      <c r="D356" s="414" t="str">
        <f>Aktiv!D341</f>
        <v>Tischplatte 980×980</v>
      </c>
      <c r="E356" s="414">
        <f>Aktiv!E341</f>
        <v>980</v>
      </c>
      <c r="F356" s="414">
        <f>Aktiv!F341</f>
        <v>980</v>
      </c>
      <c r="G356" s="423">
        <f>Aktiv!G341</f>
        <v>233</v>
      </c>
      <c r="H356" s="423">
        <f>Aktiv!H341</f>
        <v>233</v>
      </c>
      <c r="I356" s="423">
        <f>Aktiv!I341</f>
        <v>233</v>
      </c>
      <c r="J356" s="423">
        <f>Aktiv!J341</f>
        <v>233</v>
      </c>
      <c r="K356" s="423">
        <f>Aktiv!K341</f>
        <v>268</v>
      </c>
      <c r="L356" s="423">
        <f>Aktiv!L341</f>
        <v>268</v>
      </c>
      <c r="M356" s="423">
        <f>Aktiv!M341</f>
        <v>268</v>
      </c>
      <c r="N356" s="423">
        <f>Aktiv!N341</f>
        <v>268</v>
      </c>
    </row>
    <row r="357" spans="2:14" ht="18" customHeight="1" x14ac:dyDescent="0.3">
      <c r="B357" s="413" t="str">
        <f>Aktiv!C342</f>
        <v>Tischplatte</v>
      </c>
      <c r="C357" s="413" t="str">
        <f>Aktiv!A342</f>
        <v>TP03</v>
      </c>
      <c r="D357" s="413" t="str">
        <f>Aktiv!D342</f>
        <v>Tischplatte 1760×780</v>
      </c>
      <c r="E357" s="413">
        <f>Aktiv!E342</f>
        <v>1760</v>
      </c>
      <c r="F357" s="413">
        <f>Aktiv!F342</f>
        <v>780</v>
      </c>
      <c r="G357" s="424">
        <f>Aktiv!G342</f>
        <v>244</v>
      </c>
      <c r="H357" s="424">
        <f>Aktiv!H342</f>
        <v>244</v>
      </c>
      <c r="I357" s="424">
        <f>Aktiv!I342</f>
        <v>244</v>
      </c>
      <c r="J357" s="424">
        <f>Aktiv!J342</f>
        <v>244</v>
      </c>
      <c r="K357" s="424">
        <f>Aktiv!K342</f>
        <v>281</v>
      </c>
      <c r="L357" s="424">
        <f>Aktiv!L342</f>
        <v>281</v>
      </c>
      <c r="M357" s="424">
        <f>Aktiv!M342</f>
        <v>281</v>
      </c>
      <c r="N357" s="424">
        <f>Aktiv!N342</f>
        <v>281</v>
      </c>
    </row>
    <row r="358" spans="2:14" ht="18" customHeight="1" x14ac:dyDescent="0.3">
      <c r="B358" s="414" t="str">
        <f>Aktiv!C343</f>
        <v>Tischplatte</v>
      </c>
      <c r="C358" s="414" t="str">
        <f>Aktiv!A343</f>
        <v>TP04</v>
      </c>
      <c r="D358" s="414" t="str">
        <f>Aktiv!D343</f>
        <v>Tischplatte 1560×780</v>
      </c>
      <c r="E358" s="414">
        <f>Aktiv!E343</f>
        <v>1560</v>
      </c>
      <c r="F358" s="414">
        <f>Aktiv!F343</f>
        <v>780</v>
      </c>
      <c r="G358" s="423">
        <f>Aktiv!G343</f>
        <v>221</v>
      </c>
      <c r="H358" s="423">
        <f>Aktiv!H343</f>
        <v>221</v>
      </c>
      <c r="I358" s="423">
        <f>Aktiv!I343</f>
        <v>221</v>
      </c>
      <c r="J358" s="423">
        <f>Aktiv!J343</f>
        <v>221</v>
      </c>
      <c r="K358" s="423">
        <f>Aktiv!K343</f>
        <v>254</v>
      </c>
      <c r="L358" s="423">
        <f>Aktiv!L343</f>
        <v>254</v>
      </c>
      <c r="M358" s="423">
        <f>Aktiv!M343</f>
        <v>254</v>
      </c>
      <c r="N358" s="423">
        <f>Aktiv!N343</f>
        <v>254</v>
      </c>
    </row>
    <row r="359" spans="2:14" ht="18" customHeight="1" x14ac:dyDescent="0.3">
      <c r="B359" s="413" t="str">
        <f>Aktiv!C344</f>
        <v>Tischplatte</v>
      </c>
      <c r="C359" s="413" t="str">
        <f>Aktiv!A344</f>
        <v>TP05</v>
      </c>
      <c r="D359" s="413" t="str">
        <f>Aktiv!D344</f>
        <v>Tischplatte 1360×780</v>
      </c>
      <c r="E359" s="413">
        <f>Aktiv!E344</f>
        <v>1360</v>
      </c>
      <c r="F359" s="413">
        <f>Aktiv!F344</f>
        <v>780</v>
      </c>
      <c r="G359" s="424">
        <f>Aktiv!G344</f>
        <v>186</v>
      </c>
      <c r="H359" s="424">
        <f>Aktiv!H344</f>
        <v>186</v>
      </c>
      <c r="I359" s="424">
        <f>Aktiv!I344</f>
        <v>186</v>
      </c>
      <c r="J359" s="424">
        <f>Aktiv!J344</f>
        <v>186</v>
      </c>
      <c r="K359" s="424">
        <f>Aktiv!K344</f>
        <v>214</v>
      </c>
      <c r="L359" s="424">
        <f>Aktiv!L344</f>
        <v>214</v>
      </c>
      <c r="M359" s="424">
        <f>Aktiv!M344</f>
        <v>214</v>
      </c>
      <c r="N359" s="424">
        <f>Aktiv!N344</f>
        <v>214</v>
      </c>
    </row>
    <row r="360" spans="2:14" ht="18" customHeight="1" x14ac:dyDescent="0.3">
      <c r="B360" s="414" t="str">
        <f>Aktiv!C345</f>
        <v>Tischplatte</v>
      </c>
      <c r="C360" s="414" t="str">
        <f>Aktiv!A345</f>
        <v>TP06</v>
      </c>
      <c r="D360" s="414" t="str">
        <f>Aktiv!D345</f>
        <v>Tischplatte 1200×780</v>
      </c>
      <c r="E360" s="414">
        <f>Aktiv!E345</f>
        <v>1200</v>
      </c>
      <c r="F360" s="414">
        <f>Aktiv!F345</f>
        <v>780</v>
      </c>
      <c r="G360" s="423">
        <f>Aktiv!G345</f>
        <v>179</v>
      </c>
      <c r="H360" s="423">
        <f>Aktiv!H345</f>
        <v>179</v>
      </c>
      <c r="I360" s="423">
        <f>Aktiv!I345</f>
        <v>179</v>
      </c>
      <c r="J360" s="423">
        <f>Aktiv!J345</f>
        <v>179</v>
      </c>
      <c r="K360" s="423">
        <f>Aktiv!K345</f>
        <v>206</v>
      </c>
      <c r="L360" s="423">
        <f>Aktiv!L345</f>
        <v>206</v>
      </c>
      <c r="M360" s="423">
        <f>Aktiv!M345</f>
        <v>206</v>
      </c>
      <c r="N360" s="423">
        <f>Aktiv!N345</f>
        <v>206</v>
      </c>
    </row>
    <row r="361" spans="2:14" ht="18" customHeight="1" x14ac:dyDescent="0.3">
      <c r="B361" s="413" t="str">
        <f>Aktiv!C346</f>
        <v>Tischplatte</v>
      </c>
      <c r="C361" s="413" t="str">
        <f>Aktiv!A346</f>
        <v>TP07</v>
      </c>
      <c r="D361" s="413" t="str">
        <f>Aktiv!D346</f>
        <v>Tischplatte 980×780</v>
      </c>
      <c r="E361" s="413">
        <f>Aktiv!E346</f>
        <v>980</v>
      </c>
      <c r="F361" s="413">
        <f>Aktiv!F346</f>
        <v>780</v>
      </c>
      <c r="G361" s="424">
        <f>Aktiv!G346</f>
        <v>108</v>
      </c>
      <c r="H361" s="424">
        <f>Aktiv!H346</f>
        <v>108</v>
      </c>
      <c r="I361" s="424">
        <f>Aktiv!I346</f>
        <v>108</v>
      </c>
      <c r="J361" s="424">
        <f>Aktiv!J346</f>
        <v>108</v>
      </c>
      <c r="K361" s="424">
        <f>Aktiv!K346</f>
        <v>124</v>
      </c>
      <c r="L361" s="424">
        <f>Aktiv!L346</f>
        <v>124</v>
      </c>
      <c r="M361" s="424">
        <f>Aktiv!M346</f>
        <v>124</v>
      </c>
      <c r="N361" s="424">
        <f>Aktiv!N346</f>
        <v>124</v>
      </c>
    </row>
    <row r="362" spans="2:14" ht="18" customHeight="1" x14ac:dyDescent="0.3">
      <c r="B362" s="414" t="str">
        <f>Aktiv!C347</f>
        <v>Tischplatte</v>
      </c>
      <c r="C362" s="414" t="str">
        <f>Aktiv!A347</f>
        <v>TP08</v>
      </c>
      <c r="D362" s="414" t="str">
        <f>Aktiv!D347</f>
        <v>Tischplatte 780×780</v>
      </c>
      <c r="E362" s="414">
        <f>Aktiv!E347</f>
        <v>780</v>
      </c>
      <c r="F362" s="414">
        <f>Aktiv!F347</f>
        <v>780</v>
      </c>
      <c r="G362" s="423">
        <f>Aktiv!G347</f>
        <v>107</v>
      </c>
      <c r="H362" s="423">
        <f>Aktiv!H347</f>
        <v>107</v>
      </c>
      <c r="I362" s="423">
        <f>Aktiv!I347</f>
        <v>107</v>
      </c>
      <c r="J362" s="423">
        <f>Aktiv!J347</f>
        <v>107</v>
      </c>
      <c r="K362" s="423">
        <f>Aktiv!K347</f>
        <v>123</v>
      </c>
      <c r="L362" s="423">
        <f>Aktiv!L347</f>
        <v>123</v>
      </c>
      <c r="M362" s="423">
        <f>Aktiv!M347</f>
        <v>123</v>
      </c>
      <c r="N362" s="423">
        <f>Aktiv!N347</f>
        <v>123</v>
      </c>
    </row>
    <row r="363" spans="2:14" ht="18" customHeight="1" x14ac:dyDescent="0.3">
      <c r="B363" s="413" t="str">
        <f>Aktiv!C348</f>
        <v>Tischplatte</v>
      </c>
      <c r="C363" s="413" t="str">
        <f>Aktiv!A348</f>
        <v>TP09</v>
      </c>
      <c r="D363" s="413" t="str">
        <f>Aktiv!D348</f>
        <v>Tischplatte 1200×580</v>
      </c>
      <c r="E363" s="413">
        <f>Aktiv!E348</f>
        <v>1200</v>
      </c>
      <c r="F363" s="413">
        <f>Aktiv!F348</f>
        <v>580</v>
      </c>
      <c r="G363" s="424">
        <f>Aktiv!G348</f>
        <v>150</v>
      </c>
      <c r="H363" s="424">
        <f>Aktiv!H348</f>
        <v>150</v>
      </c>
      <c r="I363" s="424">
        <f>Aktiv!I348</f>
        <v>150</v>
      </c>
      <c r="J363" s="424">
        <f>Aktiv!J348</f>
        <v>150</v>
      </c>
      <c r="K363" s="424">
        <f>Aktiv!K348</f>
        <v>173</v>
      </c>
      <c r="L363" s="424">
        <f>Aktiv!L348</f>
        <v>173</v>
      </c>
      <c r="M363" s="424">
        <f>Aktiv!M348</f>
        <v>173</v>
      </c>
      <c r="N363" s="424">
        <f>Aktiv!N348</f>
        <v>173</v>
      </c>
    </row>
    <row r="364" spans="2:14" ht="18" customHeight="1" x14ac:dyDescent="0.3">
      <c r="B364" s="414" t="str">
        <f>Aktiv!C349</f>
        <v>Tischplatte</v>
      </c>
      <c r="C364" s="414" t="str">
        <f>Aktiv!A349</f>
        <v>TP10</v>
      </c>
      <c r="D364" s="414" t="str">
        <f>Aktiv!D349</f>
        <v>Tischplatte 980×580</v>
      </c>
      <c r="E364" s="414">
        <f>Aktiv!E349</f>
        <v>980</v>
      </c>
      <c r="F364" s="414">
        <f>Aktiv!F349</f>
        <v>580</v>
      </c>
      <c r="G364" s="423">
        <f>Aktiv!G349</f>
        <v>105</v>
      </c>
      <c r="H364" s="423">
        <f>Aktiv!H349</f>
        <v>105</v>
      </c>
      <c r="I364" s="423">
        <f>Aktiv!I349</f>
        <v>105</v>
      </c>
      <c r="J364" s="423">
        <f>Aktiv!J349</f>
        <v>105</v>
      </c>
      <c r="K364" s="423">
        <f>Aktiv!K349</f>
        <v>121</v>
      </c>
      <c r="L364" s="423">
        <f>Aktiv!L349</f>
        <v>121</v>
      </c>
      <c r="M364" s="423">
        <f>Aktiv!M349</f>
        <v>121</v>
      </c>
      <c r="N364" s="423">
        <f>Aktiv!N349</f>
        <v>121</v>
      </c>
    </row>
    <row r="365" spans="2:14" ht="18" customHeight="1" x14ac:dyDescent="0.3">
      <c r="B365" s="413" t="str">
        <f>Aktiv!C350</f>
        <v>Tischplatte</v>
      </c>
      <c r="C365" s="413" t="str">
        <f>Aktiv!A350</f>
        <v>TP11</v>
      </c>
      <c r="D365" s="413" t="str">
        <f>Aktiv!D350</f>
        <v>Tischplatte 580×580</v>
      </c>
      <c r="E365" s="413">
        <f>Aktiv!E350</f>
        <v>580</v>
      </c>
      <c r="F365" s="413">
        <f>Aktiv!F350</f>
        <v>580</v>
      </c>
      <c r="G365" s="424">
        <f>Aktiv!G350</f>
        <v>84</v>
      </c>
      <c r="H365" s="424">
        <f>Aktiv!H350</f>
        <v>84</v>
      </c>
      <c r="I365" s="424">
        <f>Aktiv!I350</f>
        <v>84</v>
      </c>
      <c r="J365" s="424">
        <f>Aktiv!J350</f>
        <v>84</v>
      </c>
      <c r="K365" s="424">
        <f>Aktiv!K350</f>
        <v>97</v>
      </c>
      <c r="L365" s="424">
        <f>Aktiv!L350</f>
        <v>97</v>
      </c>
      <c r="M365" s="424">
        <f>Aktiv!M350</f>
        <v>97</v>
      </c>
      <c r="N365" s="424">
        <f>Aktiv!N350</f>
        <v>97</v>
      </c>
    </row>
    <row r="366" spans="2:14" ht="18" customHeight="1" x14ac:dyDescent="0.25">
      <c r="B366" s="420"/>
      <c r="C366" s="420"/>
      <c r="D366" s="420"/>
      <c r="E366" s="420"/>
      <c r="F366" s="420"/>
      <c r="G366" s="421"/>
      <c r="H366" s="421"/>
      <c r="I366" s="421"/>
      <c r="J366" s="421"/>
      <c r="K366" s="421"/>
      <c r="L366" s="421"/>
      <c r="M366" s="421"/>
      <c r="N366" s="421"/>
    </row>
    <row r="367" spans="2:14" ht="18" customHeight="1" x14ac:dyDescent="0.25">
      <c r="B367" s="420"/>
      <c r="C367" s="420"/>
      <c r="D367" s="420"/>
      <c r="E367" s="420"/>
      <c r="F367" s="420"/>
      <c r="G367" s="420"/>
      <c r="H367" s="420"/>
      <c r="I367" s="420"/>
      <c r="J367" s="420"/>
      <c r="K367" s="420"/>
      <c r="L367" s="420"/>
      <c r="M367" s="420"/>
      <c r="N367" s="420"/>
    </row>
    <row r="368" spans="2:14" x14ac:dyDescent="0.25">
      <c r="B368" s="420"/>
      <c r="C368" s="420"/>
      <c r="D368" s="420"/>
      <c r="E368" s="420"/>
      <c r="F368" s="420"/>
      <c r="G368" s="420"/>
      <c r="H368" s="420"/>
      <c r="I368" s="420"/>
      <c r="J368" s="420"/>
      <c r="K368" s="420"/>
      <c r="L368" s="420"/>
      <c r="M368" s="420"/>
      <c r="N368" s="420"/>
    </row>
    <row r="369" spans="2:14" x14ac:dyDescent="0.25">
      <c r="B369" s="420"/>
      <c r="C369" s="420"/>
      <c r="D369" s="420"/>
      <c r="E369" s="420"/>
      <c r="F369" s="420"/>
      <c r="G369" s="420"/>
      <c r="H369" s="420"/>
      <c r="I369" s="420"/>
      <c r="J369" s="420"/>
      <c r="K369" s="420"/>
      <c r="L369" s="420"/>
      <c r="M369" s="420"/>
      <c r="N369" s="420"/>
    </row>
    <row r="370" spans="2:14" x14ac:dyDescent="0.25">
      <c r="B370" s="420"/>
      <c r="C370" s="420"/>
      <c r="D370" s="420"/>
      <c r="E370" s="420"/>
      <c r="F370" s="420"/>
      <c r="G370" s="420"/>
      <c r="H370" s="420"/>
      <c r="I370" s="420"/>
      <c r="J370" s="420"/>
      <c r="K370" s="420"/>
      <c r="L370" s="420"/>
      <c r="M370" s="420"/>
      <c r="N370" s="42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6</vt:i4>
      </vt:variant>
    </vt:vector>
  </HeadingPairs>
  <TitlesOfParts>
    <vt:vector size="17" baseType="lpstr">
      <vt:lpstr>Statistik</vt:lpstr>
      <vt:lpstr>Konfigurator_Export</vt:lpstr>
      <vt:lpstr>Aktiv</vt:lpstr>
      <vt:lpstr>Steuerungsdaten</vt:lpstr>
      <vt:lpstr>Abweichungsanalyse</vt:lpstr>
      <vt:lpstr>Vergleich Preislogik</vt:lpstr>
      <vt:lpstr>Preisliste 2012</vt:lpstr>
      <vt:lpstr>Preisliste_2025</vt:lpstr>
      <vt:lpstr>Preisliste_Tische</vt:lpstr>
      <vt:lpstr>Größentabelle</vt:lpstr>
      <vt:lpstr>Preisliste_2026</vt:lpstr>
      <vt:lpstr>PL_CHF_Faktor</vt:lpstr>
      <vt:lpstr>PL_Inflation</vt:lpstr>
      <vt:lpstr>PL_Jahre</vt:lpstr>
      <vt:lpstr>Preise_Profil46</vt:lpstr>
      <vt:lpstr>Preise_Tischplatten</vt:lpstr>
      <vt:lpstr>Tischnamen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Hachtel</cp:lastModifiedBy>
  <cp:revision>0</cp:revision>
  <dcterms:created xsi:type="dcterms:W3CDTF">2026-03-18T17:43:55Z</dcterms:created>
  <dcterms:modified xsi:type="dcterms:W3CDTF">2026-04-20T11:23:01Z</dcterms:modified>
  <dc:language>en-US</dc:language>
</cp:coreProperties>
</file>