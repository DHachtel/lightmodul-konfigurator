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el Hachtel\Downloads\"/>
    </mc:Choice>
  </mc:AlternateContent>
  <xr:revisionPtr revIDLastSave="0" documentId="13_ncr:1_{2454A0AC-C4B9-48E8-82D6-3B5595B6CD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rkenntnisse" sheetId="13" r:id="rId1"/>
    <sheet name="Preismodell_USM" sheetId="1" r:id="rId2"/>
    <sheet name="Annahmen &amp; Aufschläge" sheetId="2" state="hidden" r:id="rId3"/>
    <sheet name="Brutto-Übersicht (T=350)" sheetId="3" state="hidden" r:id="rId4"/>
    <sheet name="Preismodell_Artmodul_alt" sheetId="7" state="hidden" r:id="rId5"/>
    <sheet name="Artmodul_Einzelteilpreise_alt" sheetId="4" state="hidden" r:id="rId6"/>
    <sheet name="Größentabelle" sheetId="6" state="hidden" r:id="rId7"/>
    <sheet name="Preismodell_Artmodul_v2" sheetId="10" r:id="rId8"/>
    <sheet name="Artmodul_Preislogik" sheetId="9" r:id="rId9"/>
    <sheet name="Preisvergleich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nalyse">#REF!</definedName>
    <definedName name="Angebotsnr">[7]Angebot!$H$14</definedName>
    <definedName name="ANZ_Breite" localSheetId="6">[7]Bestellvorlage_neu!$K$31</definedName>
    <definedName name="ANZ_Breite">[2]Bestellvorlage_neu!$F$24</definedName>
    <definedName name="ANZ_Elemente" localSheetId="6">[7]Bestellvorlage_neu!$K$34</definedName>
    <definedName name="ANZ_Elemente">[2]Bestellvorlage_neu!$F$27</definedName>
    <definedName name="ANZ_Höhe" localSheetId="6">[7]Bestellvorlage_neu!$K$32</definedName>
    <definedName name="ANZ_Höhe">[2]Bestellvorlage_neu!$F$25</definedName>
    <definedName name="ANZ_Tiefe" localSheetId="6">[7]Bestellvorlage_neu!$K$33</definedName>
    <definedName name="ANZ_Tiefe">[2]Bestellvorlage_neu!$F$26</definedName>
    <definedName name="Bericht">'[3]Bericht gesamt'!$B$4:$DG$59</definedName>
    <definedName name="_xlnm.Database">[4]Archiv!$C$1286:$F$1358</definedName>
    <definedName name="Einkauf">#REF!</definedName>
    <definedName name="Ertragssicherung">#REF!</definedName>
    <definedName name="EXT">#REF!</definedName>
    <definedName name="F_Doppeltür_PG1">#REF!</definedName>
    <definedName name="F_Doppeltür_PG2_3">#REF!</definedName>
    <definedName name="F_Doppeltür_PG4">#REF!</definedName>
    <definedName name="F_Klappe_PG1">#REF!</definedName>
    <definedName name="F_Klappe_PG2_3">#REF!</definedName>
    <definedName name="F_Klappe_PG4">#REF!</definedName>
    <definedName name="F_Platten_PG1">#REF!</definedName>
    <definedName name="F_Platten_PG2_3">#REF!</definedName>
    <definedName name="F_Platten_PG4">#REF!</definedName>
    <definedName name="F_Schublade_PG1">#REF!</definedName>
    <definedName name="F_Schublade_PG2_3">#REF!</definedName>
    <definedName name="F_Schublade_PG4">#REF!</definedName>
    <definedName name="F_Tür_PG1">#REF!</definedName>
    <definedName name="F_Tür_PG2_3">#REF!</definedName>
    <definedName name="F_Tür_PG4">#REF!</definedName>
    <definedName name="Freigabe">#REF!</definedName>
    <definedName name="Gewicht_Klappe">[7]Gewichte!$D$6</definedName>
    <definedName name="Gewicht_Platte">[7]Gewichte!$D$2</definedName>
    <definedName name="Gewicht_Profil">[7]Gewichte!$D$3</definedName>
    <definedName name="Gewicht_Scharnier">[7]Gewichte!$D$7</definedName>
    <definedName name="Gewicht_Schubkasten">[7]Gewichte!$D$5</definedName>
    <definedName name="Ideen">#REF!</definedName>
    <definedName name="Innovations__prozeß">#REF!</definedName>
    <definedName name="KDN">[7]Angebot!$H$7</definedName>
    <definedName name="KDName2">[7]Angebot!$A$10</definedName>
    <definedName name="Komminikation">#REF!</definedName>
    <definedName name="Kommunikation">#REF!</definedName>
    <definedName name="Kompetenz">#REF!</definedName>
    <definedName name="Konfektion">[5]Orga!$U$41:$AF$46</definedName>
    <definedName name="Konstruktion">#REF!</definedName>
    <definedName name="Kreativpotential">#REF!</definedName>
    <definedName name="LPU">#REF!</definedName>
    <definedName name="Ludwig">#REF!</definedName>
    <definedName name="Marketing">#REF!</definedName>
    <definedName name="Organisation">#REF!</definedName>
    <definedName name="Preisniveau">#REF!</definedName>
    <definedName name="Produkt__und_Preissystematik">#REF!</definedName>
    <definedName name="Rabatt">[7]Bestellvorlage_neu!$N$4</definedName>
    <definedName name="SkriptBeschreibung">#REF!</definedName>
    <definedName name="_xlnm.Criteria">[4]Archiv!$C$1152:$F$1152</definedName>
    <definedName name="Telephonmarketing">#REF!</definedName>
    <definedName name="TEST">#REF!</definedName>
    <definedName name="Tiefe" localSheetId="6">[7]Bestellvorlage_neu!$D$4</definedName>
    <definedName name="Tiefe">[2]Bestellvorlage_neu!$C$4</definedName>
    <definedName name="Umsetzung">#REF!</definedName>
    <definedName name="Vertrieb">[5]Orga!$U$48:$AE$56</definedName>
    <definedName name="Vertriebs_steuerung">#REF!</definedName>
    <definedName name="Werkzeugbau">#REF!</definedName>
    <definedName name="WH">#REF!</definedName>
    <definedName name="_xlnm.Extract">[6]Archiv!#REF!</definedName>
    <definedName name="Zusatzrabatt">[7]Bestellvorlage_neu!$O$4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13" l="1"/>
  <c r="C37" i="13"/>
  <c r="C35" i="13"/>
  <c r="C33" i="13"/>
  <c r="B21" i="13"/>
  <c r="B20" i="13"/>
  <c r="B19" i="13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B2" i="12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263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O261" i="9"/>
  <c r="N261" i="9"/>
  <c r="M261" i="9"/>
  <c r="L261" i="9"/>
  <c r="O260" i="9"/>
  <c r="N260" i="9"/>
  <c r="M260" i="9"/>
  <c r="L260" i="9"/>
  <c r="O259" i="9"/>
  <c r="N259" i="9"/>
  <c r="M259" i="9"/>
  <c r="L259" i="9"/>
  <c r="O258" i="9"/>
  <c r="N258" i="9"/>
  <c r="M258" i="9"/>
  <c r="L258" i="9"/>
  <c r="O257" i="9"/>
  <c r="N257" i="9"/>
  <c r="M257" i="9"/>
  <c r="L257" i="9"/>
  <c r="O256" i="9"/>
  <c r="N256" i="9"/>
  <c r="M256" i="9"/>
  <c r="L256" i="9"/>
  <c r="O255" i="9"/>
  <c r="N255" i="9"/>
  <c r="M255" i="9"/>
  <c r="L255" i="9"/>
  <c r="O254" i="9"/>
  <c r="N254" i="9"/>
  <c r="M254" i="9"/>
  <c r="L254" i="9"/>
  <c r="O253" i="9"/>
  <c r="N253" i="9"/>
  <c r="M253" i="9"/>
  <c r="L253" i="9"/>
  <c r="O252" i="9"/>
  <c r="N252" i="9"/>
  <c r="M252" i="9"/>
  <c r="L252" i="9"/>
  <c r="O251" i="9"/>
  <c r="N251" i="9"/>
  <c r="M251" i="9"/>
  <c r="L251" i="9"/>
  <c r="O250" i="9"/>
  <c r="N250" i="9"/>
  <c r="M250" i="9"/>
  <c r="L250" i="9"/>
  <c r="O249" i="9"/>
  <c r="N249" i="9"/>
  <c r="M249" i="9"/>
  <c r="L249" i="9"/>
  <c r="O248" i="9"/>
  <c r="N248" i="9"/>
  <c r="M248" i="9"/>
  <c r="L248" i="9"/>
  <c r="O247" i="9"/>
  <c r="N247" i="9"/>
  <c r="M247" i="9"/>
  <c r="L247" i="9"/>
  <c r="O246" i="9"/>
  <c r="N246" i="9"/>
  <c r="M246" i="9"/>
  <c r="L246" i="9"/>
  <c r="O245" i="9"/>
  <c r="N245" i="9"/>
  <c r="M245" i="9"/>
  <c r="L245" i="9"/>
  <c r="O244" i="9"/>
  <c r="N244" i="9"/>
  <c r="M244" i="9"/>
  <c r="L244" i="9"/>
  <c r="O243" i="9"/>
  <c r="N243" i="9"/>
  <c r="M243" i="9"/>
  <c r="L243" i="9"/>
  <c r="O242" i="9"/>
  <c r="N242" i="9"/>
  <c r="M242" i="9"/>
  <c r="L242" i="9"/>
  <c r="O241" i="9"/>
  <c r="N241" i="9"/>
  <c r="M241" i="9"/>
  <c r="L241" i="9"/>
  <c r="O240" i="9"/>
  <c r="N240" i="9"/>
  <c r="M240" i="9"/>
  <c r="L240" i="9"/>
  <c r="O239" i="9"/>
  <c r="N239" i="9"/>
  <c r="M239" i="9"/>
  <c r="L239" i="9"/>
  <c r="O238" i="9"/>
  <c r="N238" i="9"/>
  <c r="M238" i="9"/>
  <c r="L238" i="9"/>
  <c r="O237" i="9"/>
  <c r="N237" i="9"/>
  <c r="M237" i="9"/>
  <c r="L237" i="9"/>
  <c r="O236" i="9"/>
  <c r="N236" i="9"/>
  <c r="M236" i="9"/>
  <c r="L236" i="9"/>
  <c r="O235" i="9"/>
  <c r="N235" i="9"/>
  <c r="M235" i="9"/>
  <c r="L235" i="9"/>
  <c r="O234" i="9"/>
  <c r="N234" i="9"/>
  <c r="M234" i="9"/>
  <c r="L234" i="9"/>
  <c r="O233" i="9"/>
  <c r="N233" i="9"/>
  <c r="M233" i="9"/>
  <c r="L233" i="9"/>
  <c r="O232" i="9"/>
  <c r="N232" i="9"/>
  <c r="M232" i="9"/>
  <c r="L232" i="9"/>
  <c r="O231" i="9"/>
  <c r="N231" i="9"/>
  <c r="M231" i="9"/>
  <c r="L231" i="9"/>
  <c r="O230" i="9"/>
  <c r="N230" i="9"/>
  <c r="M230" i="9"/>
  <c r="L230" i="9"/>
  <c r="O229" i="9"/>
  <c r="N229" i="9"/>
  <c r="M229" i="9"/>
  <c r="L229" i="9"/>
  <c r="O228" i="9"/>
  <c r="N228" i="9"/>
  <c r="M228" i="9"/>
  <c r="L228" i="9"/>
  <c r="O227" i="9"/>
  <c r="N227" i="9"/>
  <c r="M227" i="9"/>
  <c r="L227" i="9"/>
  <c r="O226" i="9"/>
  <c r="N226" i="9"/>
  <c r="M226" i="9"/>
  <c r="L226" i="9"/>
  <c r="O225" i="9"/>
  <c r="N225" i="9"/>
  <c r="M225" i="9"/>
  <c r="L225" i="9"/>
  <c r="O224" i="9"/>
  <c r="N224" i="9"/>
  <c r="M224" i="9"/>
  <c r="L224" i="9"/>
  <c r="O223" i="9"/>
  <c r="N223" i="9"/>
  <c r="M223" i="9"/>
  <c r="L223" i="9"/>
  <c r="O222" i="9"/>
  <c r="N222" i="9"/>
  <c r="M222" i="9"/>
  <c r="L222" i="9"/>
  <c r="O221" i="9"/>
  <c r="N221" i="9"/>
  <c r="M221" i="9"/>
  <c r="L221" i="9"/>
  <c r="O220" i="9"/>
  <c r="N220" i="9"/>
  <c r="M220" i="9"/>
  <c r="L220" i="9"/>
  <c r="O219" i="9"/>
  <c r="N219" i="9"/>
  <c r="M219" i="9"/>
  <c r="L219" i="9"/>
  <c r="O218" i="9"/>
  <c r="N218" i="9"/>
  <c r="M218" i="9"/>
  <c r="L218" i="9"/>
  <c r="O217" i="9"/>
  <c r="N217" i="9"/>
  <c r="M217" i="9"/>
  <c r="L217" i="9"/>
  <c r="O216" i="9"/>
  <c r="N216" i="9"/>
  <c r="M216" i="9"/>
  <c r="L216" i="9"/>
  <c r="O215" i="9"/>
  <c r="N215" i="9"/>
  <c r="M215" i="9"/>
  <c r="L215" i="9"/>
  <c r="O214" i="9"/>
  <c r="N214" i="9"/>
  <c r="M214" i="9"/>
  <c r="L214" i="9"/>
  <c r="O213" i="9"/>
  <c r="N213" i="9"/>
  <c r="M213" i="9"/>
  <c r="L213" i="9"/>
  <c r="O212" i="9"/>
  <c r="N212" i="9"/>
  <c r="M212" i="9"/>
  <c r="L212" i="9"/>
  <c r="O211" i="9"/>
  <c r="N211" i="9"/>
  <c r="M211" i="9"/>
  <c r="L211" i="9"/>
  <c r="O210" i="9"/>
  <c r="N210" i="9"/>
  <c r="M210" i="9"/>
  <c r="L210" i="9"/>
  <c r="O209" i="9"/>
  <c r="N209" i="9"/>
  <c r="M209" i="9"/>
  <c r="L209" i="9"/>
  <c r="O208" i="9"/>
  <c r="N208" i="9"/>
  <c r="M208" i="9"/>
  <c r="L208" i="9"/>
  <c r="O207" i="9"/>
  <c r="N207" i="9"/>
  <c r="M207" i="9"/>
  <c r="L207" i="9"/>
  <c r="O206" i="9"/>
  <c r="N206" i="9"/>
  <c r="M206" i="9"/>
  <c r="L206" i="9"/>
  <c r="O205" i="9"/>
  <c r="N205" i="9"/>
  <c r="M205" i="9"/>
  <c r="L205" i="9"/>
  <c r="O204" i="9"/>
  <c r="N204" i="9"/>
  <c r="M204" i="9"/>
  <c r="L204" i="9"/>
  <c r="O203" i="9"/>
  <c r="N203" i="9"/>
  <c r="M203" i="9"/>
  <c r="L203" i="9"/>
  <c r="O202" i="9"/>
  <c r="N202" i="9"/>
  <c r="M202" i="9"/>
  <c r="L202" i="9"/>
  <c r="O201" i="9"/>
  <c r="N201" i="9"/>
  <c r="M201" i="9"/>
  <c r="L201" i="9"/>
  <c r="O200" i="9"/>
  <c r="N200" i="9"/>
  <c r="M200" i="9"/>
  <c r="L200" i="9"/>
  <c r="O199" i="9"/>
  <c r="N199" i="9"/>
  <c r="M199" i="9"/>
  <c r="L199" i="9"/>
  <c r="O198" i="9"/>
  <c r="N198" i="9"/>
  <c r="M198" i="9"/>
  <c r="L198" i="9"/>
  <c r="O197" i="9"/>
  <c r="N197" i="9"/>
  <c r="M197" i="9"/>
  <c r="L197" i="9"/>
  <c r="O196" i="9"/>
  <c r="N196" i="9"/>
  <c r="M196" i="9"/>
  <c r="L196" i="9"/>
  <c r="O195" i="9"/>
  <c r="N195" i="9"/>
  <c r="M195" i="9"/>
  <c r="L195" i="9"/>
  <c r="O194" i="9"/>
  <c r="N194" i="9"/>
  <c r="M194" i="9"/>
  <c r="L194" i="9"/>
  <c r="O193" i="9"/>
  <c r="N193" i="9"/>
  <c r="M193" i="9"/>
  <c r="L193" i="9"/>
  <c r="O192" i="9"/>
  <c r="N192" i="9"/>
  <c r="M192" i="9"/>
  <c r="L192" i="9"/>
  <c r="O191" i="9"/>
  <c r="N191" i="9"/>
  <c r="M191" i="9"/>
  <c r="L191" i="9"/>
  <c r="O190" i="9"/>
  <c r="N190" i="9"/>
  <c r="M190" i="9"/>
  <c r="L190" i="9"/>
  <c r="O189" i="9"/>
  <c r="N189" i="9"/>
  <c r="M189" i="9"/>
  <c r="L189" i="9"/>
  <c r="O188" i="9"/>
  <c r="N188" i="9"/>
  <c r="M188" i="9"/>
  <c r="L188" i="9"/>
  <c r="O187" i="9"/>
  <c r="N187" i="9"/>
  <c r="M187" i="9"/>
  <c r="L187" i="9"/>
  <c r="O186" i="9"/>
  <c r="N186" i="9"/>
  <c r="M186" i="9"/>
  <c r="L186" i="9"/>
  <c r="O185" i="9"/>
  <c r="N185" i="9"/>
  <c r="M185" i="9"/>
  <c r="L185" i="9"/>
  <c r="O184" i="9"/>
  <c r="N184" i="9"/>
  <c r="M184" i="9"/>
  <c r="L184" i="9"/>
  <c r="O183" i="9"/>
  <c r="N183" i="9"/>
  <c r="M183" i="9"/>
  <c r="L183" i="9"/>
  <c r="O182" i="9"/>
  <c r="N182" i="9"/>
  <c r="M182" i="9"/>
  <c r="L182" i="9"/>
  <c r="O181" i="9"/>
  <c r="N181" i="9"/>
  <c r="M181" i="9"/>
  <c r="L181" i="9"/>
  <c r="O180" i="9"/>
  <c r="N180" i="9"/>
  <c r="M180" i="9"/>
  <c r="L180" i="9"/>
  <c r="O179" i="9"/>
  <c r="N179" i="9"/>
  <c r="M179" i="9"/>
  <c r="L179" i="9"/>
  <c r="O178" i="9"/>
  <c r="N178" i="9"/>
  <c r="M178" i="9"/>
  <c r="L178" i="9"/>
  <c r="O177" i="9"/>
  <c r="N177" i="9"/>
  <c r="M177" i="9"/>
  <c r="L177" i="9"/>
  <c r="O176" i="9"/>
  <c r="N176" i="9"/>
  <c r="M176" i="9"/>
  <c r="L176" i="9"/>
  <c r="O175" i="9"/>
  <c r="N175" i="9"/>
  <c r="M175" i="9"/>
  <c r="L175" i="9"/>
  <c r="O174" i="9"/>
  <c r="N174" i="9"/>
  <c r="M174" i="9"/>
  <c r="L174" i="9"/>
  <c r="O173" i="9"/>
  <c r="N173" i="9"/>
  <c r="M173" i="9"/>
  <c r="L173" i="9"/>
  <c r="O172" i="9"/>
  <c r="N172" i="9"/>
  <c r="M172" i="9"/>
  <c r="L172" i="9"/>
  <c r="O171" i="9"/>
  <c r="N171" i="9"/>
  <c r="M171" i="9"/>
  <c r="L171" i="9"/>
  <c r="O170" i="9"/>
  <c r="N170" i="9"/>
  <c r="M170" i="9"/>
  <c r="L170" i="9"/>
  <c r="O169" i="9"/>
  <c r="N169" i="9"/>
  <c r="M169" i="9"/>
  <c r="L169" i="9"/>
  <c r="O168" i="9"/>
  <c r="N168" i="9"/>
  <c r="M168" i="9"/>
  <c r="L168" i="9"/>
  <c r="O167" i="9"/>
  <c r="N167" i="9"/>
  <c r="M167" i="9"/>
  <c r="L167" i="9"/>
  <c r="O166" i="9"/>
  <c r="N166" i="9"/>
  <c r="M166" i="9"/>
  <c r="L166" i="9"/>
  <c r="O165" i="9"/>
  <c r="N165" i="9"/>
  <c r="M165" i="9"/>
  <c r="L165" i="9"/>
  <c r="O164" i="9"/>
  <c r="N164" i="9"/>
  <c r="M164" i="9"/>
  <c r="L164" i="9"/>
  <c r="O163" i="9"/>
  <c r="N163" i="9"/>
  <c r="M163" i="9"/>
  <c r="L163" i="9"/>
  <c r="O162" i="9"/>
  <c r="N162" i="9"/>
  <c r="M162" i="9"/>
  <c r="L162" i="9"/>
  <c r="O161" i="9"/>
  <c r="N161" i="9"/>
  <c r="M161" i="9"/>
  <c r="L161" i="9"/>
  <c r="O160" i="9"/>
  <c r="N160" i="9"/>
  <c r="M160" i="9"/>
  <c r="L160" i="9"/>
  <c r="O159" i="9"/>
  <c r="N159" i="9"/>
  <c r="M159" i="9"/>
  <c r="L159" i="9"/>
  <c r="O158" i="9"/>
  <c r="N158" i="9"/>
  <c r="M158" i="9"/>
  <c r="L158" i="9"/>
  <c r="O157" i="9"/>
  <c r="N157" i="9"/>
  <c r="M157" i="9"/>
  <c r="L157" i="9"/>
  <c r="O156" i="9"/>
  <c r="N156" i="9"/>
  <c r="M156" i="9"/>
  <c r="L156" i="9"/>
  <c r="O155" i="9"/>
  <c r="N155" i="9"/>
  <c r="M155" i="9"/>
  <c r="L155" i="9"/>
  <c r="O154" i="9"/>
  <c r="N154" i="9"/>
  <c r="M154" i="9"/>
  <c r="L154" i="9"/>
  <c r="O153" i="9"/>
  <c r="N153" i="9"/>
  <c r="M153" i="9"/>
  <c r="L153" i="9"/>
  <c r="O152" i="9"/>
  <c r="N152" i="9"/>
  <c r="M152" i="9"/>
  <c r="L152" i="9"/>
  <c r="O151" i="9"/>
  <c r="N151" i="9"/>
  <c r="M151" i="9"/>
  <c r="L151" i="9"/>
  <c r="O150" i="9"/>
  <c r="N150" i="9"/>
  <c r="M150" i="9"/>
  <c r="L150" i="9"/>
  <c r="O149" i="9"/>
  <c r="N149" i="9"/>
  <c r="M149" i="9"/>
  <c r="L149" i="9"/>
  <c r="O148" i="9"/>
  <c r="N148" i="9"/>
  <c r="M148" i="9"/>
  <c r="L148" i="9"/>
  <c r="O147" i="9"/>
  <c r="N147" i="9"/>
  <c r="M147" i="9"/>
  <c r="L147" i="9"/>
  <c r="O146" i="9"/>
  <c r="N146" i="9"/>
  <c r="M146" i="9"/>
  <c r="L146" i="9"/>
  <c r="O145" i="9"/>
  <c r="N145" i="9"/>
  <c r="M145" i="9"/>
  <c r="L145" i="9"/>
  <c r="O144" i="9"/>
  <c r="N144" i="9"/>
  <c r="M144" i="9"/>
  <c r="L144" i="9"/>
  <c r="O143" i="9"/>
  <c r="N143" i="9"/>
  <c r="M143" i="9"/>
  <c r="L143" i="9"/>
  <c r="O142" i="9"/>
  <c r="N142" i="9"/>
  <c r="M142" i="9"/>
  <c r="L142" i="9"/>
  <c r="O141" i="9"/>
  <c r="N141" i="9"/>
  <c r="M141" i="9"/>
  <c r="L141" i="9"/>
  <c r="O140" i="9"/>
  <c r="N140" i="9"/>
  <c r="M140" i="9"/>
  <c r="L140" i="9"/>
  <c r="O139" i="9"/>
  <c r="N139" i="9"/>
  <c r="M139" i="9"/>
  <c r="L139" i="9"/>
  <c r="O138" i="9"/>
  <c r="N138" i="9"/>
  <c r="M138" i="9"/>
  <c r="L138" i="9"/>
  <c r="O137" i="9"/>
  <c r="N137" i="9"/>
  <c r="M137" i="9"/>
  <c r="L137" i="9"/>
  <c r="O136" i="9"/>
  <c r="N136" i="9"/>
  <c r="M136" i="9"/>
  <c r="L136" i="9"/>
  <c r="O135" i="9"/>
  <c r="N135" i="9"/>
  <c r="M135" i="9"/>
  <c r="L135" i="9"/>
  <c r="O134" i="9"/>
  <c r="N134" i="9"/>
  <c r="M134" i="9"/>
  <c r="L134" i="9"/>
  <c r="O133" i="9"/>
  <c r="N133" i="9"/>
  <c r="M133" i="9"/>
  <c r="L133" i="9"/>
  <c r="O132" i="9"/>
  <c r="N132" i="9"/>
  <c r="M132" i="9"/>
  <c r="L132" i="9"/>
  <c r="O131" i="9"/>
  <c r="N131" i="9"/>
  <c r="M131" i="9"/>
  <c r="L131" i="9"/>
  <c r="O130" i="9"/>
  <c r="N130" i="9"/>
  <c r="M130" i="9"/>
  <c r="L130" i="9"/>
  <c r="O129" i="9"/>
  <c r="N129" i="9"/>
  <c r="M129" i="9"/>
  <c r="L129" i="9"/>
  <c r="O128" i="9"/>
  <c r="N128" i="9"/>
  <c r="M128" i="9"/>
  <c r="L128" i="9"/>
  <c r="O127" i="9"/>
  <c r="N127" i="9"/>
  <c r="M127" i="9"/>
  <c r="L127" i="9"/>
  <c r="O126" i="9"/>
  <c r="N126" i="9"/>
  <c r="M126" i="9"/>
  <c r="L126" i="9"/>
  <c r="O125" i="9"/>
  <c r="N125" i="9"/>
  <c r="M125" i="9"/>
  <c r="L125" i="9"/>
  <c r="O124" i="9"/>
  <c r="N124" i="9"/>
  <c r="M124" i="9"/>
  <c r="L124" i="9"/>
  <c r="O123" i="9"/>
  <c r="N123" i="9"/>
  <c r="M123" i="9"/>
  <c r="L123" i="9"/>
  <c r="O122" i="9"/>
  <c r="N122" i="9"/>
  <c r="M122" i="9"/>
  <c r="L122" i="9"/>
  <c r="O121" i="9"/>
  <c r="N121" i="9"/>
  <c r="M121" i="9"/>
  <c r="L121" i="9"/>
  <c r="O120" i="9"/>
  <c r="N120" i="9"/>
  <c r="M120" i="9"/>
  <c r="L120" i="9"/>
  <c r="O119" i="9"/>
  <c r="N119" i="9"/>
  <c r="M119" i="9"/>
  <c r="L119" i="9"/>
  <c r="O118" i="9"/>
  <c r="N118" i="9"/>
  <c r="M118" i="9"/>
  <c r="L118" i="9"/>
  <c r="O117" i="9"/>
  <c r="N117" i="9"/>
  <c r="M117" i="9"/>
  <c r="L117" i="9"/>
  <c r="O116" i="9"/>
  <c r="N116" i="9"/>
  <c r="M116" i="9"/>
  <c r="L116" i="9"/>
  <c r="O115" i="9"/>
  <c r="N115" i="9"/>
  <c r="M115" i="9"/>
  <c r="L115" i="9"/>
  <c r="O114" i="9"/>
  <c r="N114" i="9"/>
  <c r="M114" i="9"/>
  <c r="L114" i="9"/>
  <c r="O113" i="9"/>
  <c r="N113" i="9"/>
  <c r="M113" i="9"/>
  <c r="L113" i="9"/>
  <c r="O112" i="9"/>
  <c r="N112" i="9"/>
  <c r="M112" i="9"/>
  <c r="L112" i="9"/>
  <c r="O111" i="9"/>
  <c r="N111" i="9"/>
  <c r="M111" i="9"/>
  <c r="L111" i="9"/>
  <c r="O110" i="9"/>
  <c r="N110" i="9"/>
  <c r="M110" i="9"/>
  <c r="L110" i="9"/>
  <c r="O109" i="9"/>
  <c r="N109" i="9"/>
  <c r="M109" i="9"/>
  <c r="L109" i="9"/>
  <c r="O108" i="9"/>
  <c r="N108" i="9"/>
  <c r="M108" i="9"/>
  <c r="L108" i="9"/>
  <c r="O107" i="9"/>
  <c r="N107" i="9"/>
  <c r="M107" i="9"/>
  <c r="L107" i="9"/>
  <c r="O106" i="9"/>
  <c r="N106" i="9"/>
  <c r="M106" i="9"/>
  <c r="L106" i="9"/>
  <c r="O105" i="9"/>
  <c r="N105" i="9"/>
  <c r="M105" i="9"/>
  <c r="L105" i="9"/>
  <c r="O104" i="9"/>
  <c r="N104" i="9"/>
  <c r="M104" i="9"/>
  <c r="L104" i="9"/>
  <c r="O103" i="9"/>
  <c r="N103" i="9"/>
  <c r="M103" i="9"/>
  <c r="L103" i="9"/>
  <c r="O102" i="9"/>
  <c r="N102" i="9"/>
  <c r="M102" i="9"/>
  <c r="L102" i="9"/>
  <c r="O101" i="9"/>
  <c r="N101" i="9"/>
  <c r="M101" i="9"/>
  <c r="L101" i="9"/>
  <c r="O100" i="9"/>
  <c r="N100" i="9"/>
  <c r="M100" i="9"/>
  <c r="L100" i="9"/>
  <c r="O99" i="9"/>
  <c r="N99" i="9"/>
  <c r="M99" i="9"/>
  <c r="L99" i="9"/>
  <c r="O98" i="9"/>
  <c r="N98" i="9"/>
  <c r="M98" i="9"/>
  <c r="L98" i="9"/>
  <c r="O97" i="9"/>
  <c r="N97" i="9"/>
  <c r="M97" i="9"/>
  <c r="L97" i="9"/>
  <c r="O96" i="9"/>
  <c r="N96" i="9"/>
  <c r="M96" i="9"/>
  <c r="L96" i="9"/>
  <c r="O95" i="9"/>
  <c r="N95" i="9"/>
  <c r="M95" i="9"/>
  <c r="L95" i="9"/>
  <c r="O94" i="9"/>
  <c r="N94" i="9"/>
  <c r="M94" i="9"/>
  <c r="L94" i="9"/>
  <c r="O93" i="9"/>
  <c r="N93" i="9"/>
  <c r="M93" i="9"/>
  <c r="L93" i="9"/>
  <c r="O92" i="9"/>
  <c r="N92" i="9"/>
  <c r="M92" i="9"/>
  <c r="L92" i="9"/>
  <c r="O91" i="9"/>
  <c r="N91" i="9"/>
  <c r="M91" i="9"/>
  <c r="L91" i="9"/>
  <c r="O90" i="9"/>
  <c r="N90" i="9"/>
  <c r="M90" i="9"/>
  <c r="L90" i="9"/>
  <c r="O89" i="9"/>
  <c r="N89" i="9"/>
  <c r="M89" i="9"/>
  <c r="L89" i="9"/>
  <c r="O88" i="9"/>
  <c r="N88" i="9"/>
  <c r="M88" i="9"/>
  <c r="L88" i="9"/>
  <c r="O87" i="9"/>
  <c r="N87" i="9"/>
  <c r="M87" i="9"/>
  <c r="L87" i="9"/>
  <c r="O86" i="9"/>
  <c r="N86" i="9"/>
  <c r="M86" i="9"/>
  <c r="L86" i="9"/>
  <c r="O85" i="9"/>
  <c r="N85" i="9"/>
  <c r="M85" i="9"/>
  <c r="L85" i="9"/>
  <c r="O84" i="9"/>
  <c r="N84" i="9"/>
  <c r="M84" i="9"/>
  <c r="L84" i="9"/>
  <c r="O83" i="9"/>
  <c r="N83" i="9"/>
  <c r="M83" i="9"/>
  <c r="L83" i="9"/>
  <c r="O82" i="9"/>
  <c r="N82" i="9"/>
  <c r="M82" i="9"/>
  <c r="L82" i="9"/>
  <c r="O81" i="9"/>
  <c r="N81" i="9"/>
  <c r="M81" i="9"/>
  <c r="L81" i="9"/>
  <c r="O80" i="9"/>
  <c r="N80" i="9"/>
  <c r="M80" i="9"/>
  <c r="L80" i="9"/>
  <c r="O79" i="9"/>
  <c r="N79" i="9"/>
  <c r="M79" i="9"/>
  <c r="L79" i="9"/>
  <c r="O78" i="9"/>
  <c r="N78" i="9"/>
  <c r="M78" i="9"/>
  <c r="L78" i="9"/>
  <c r="O77" i="9"/>
  <c r="N77" i="9"/>
  <c r="M77" i="9"/>
  <c r="L77" i="9"/>
  <c r="O76" i="9"/>
  <c r="N76" i="9"/>
  <c r="M76" i="9"/>
  <c r="L76" i="9"/>
  <c r="O75" i="9"/>
  <c r="N75" i="9"/>
  <c r="M75" i="9"/>
  <c r="L75" i="9"/>
  <c r="O74" i="9"/>
  <c r="N74" i="9"/>
  <c r="M74" i="9"/>
  <c r="L74" i="9"/>
  <c r="O73" i="9"/>
  <c r="N73" i="9"/>
  <c r="M73" i="9"/>
  <c r="L73" i="9"/>
  <c r="O72" i="9"/>
  <c r="N72" i="9"/>
  <c r="M72" i="9"/>
  <c r="L72" i="9"/>
  <c r="O71" i="9"/>
  <c r="N71" i="9"/>
  <c r="M71" i="9"/>
  <c r="L71" i="9"/>
  <c r="O70" i="9"/>
  <c r="N70" i="9"/>
  <c r="M70" i="9"/>
  <c r="L70" i="9"/>
  <c r="O69" i="9"/>
  <c r="N69" i="9"/>
  <c r="M69" i="9"/>
  <c r="L69" i="9"/>
  <c r="O68" i="9"/>
  <c r="N68" i="9"/>
  <c r="M68" i="9"/>
  <c r="L68" i="9"/>
  <c r="O67" i="9"/>
  <c r="N67" i="9"/>
  <c r="M67" i="9"/>
  <c r="L67" i="9"/>
  <c r="O66" i="9"/>
  <c r="N66" i="9"/>
  <c r="M66" i="9"/>
  <c r="L66" i="9"/>
  <c r="O65" i="9"/>
  <c r="N65" i="9"/>
  <c r="M65" i="9"/>
  <c r="L65" i="9"/>
  <c r="O64" i="9"/>
  <c r="N64" i="9"/>
  <c r="M64" i="9"/>
  <c r="L64" i="9"/>
  <c r="O63" i="9"/>
  <c r="N63" i="9"/>
  <c r="M63" i="9"/>
  <c r="L63" i="9"/>
  <c r="O62" i="9"/>
  <c r="N62" i="9"/>
  <c r="M62" i="9"/>
  <c r="L62" i="9"/>
  <c r="O61" i="9"/>
  <c r="N61" i="9"/>
  <c r="M61" i="9"/>
  <c r="L61" i="9"/>
  <c r="O60" i="9"/>
  <c r="N60" i="9"/>
  <c r="M60" i="9"/>
  <c r="L60" i="9"/>
  <c r="O59" i="9"/>
  <c r="N59" i="9"/>
  <c r="M59" i="9"/>
  <c r="L59" i="9"/>
  <c r="O58" i="9"/>
  <c r="N58" i="9"/>
  <c r="M58" i="9"/>
  <c r="L58" i="9"/>
  <c r="O57" i="9"/>
  <c r="N57" i="9"/>
  <c r="M57" i="9"/>
  <c r="L57" i="9"/>
  <c r="O56" i="9"/>
  <c r="N56" i="9"/>
  <c r="M56" i="9"/>
  <c r="L56" i="9"/>
  <c r="O55" i="9"/>
  <c r="N55" i="9"/>
  <c r="M55" i="9"/>
  <c r="L55" i="9"/>
  <c r="O54" i="9"/>
  <c r="N54" i="9"/>
  <c r="M54" i="9"/>
  <c r="L54" i="9"/>
  <c r="O53" i="9"/>
  <c r="N53" i="9"/>
  <c r="M53" i="9"/>
  <c r="L53" i="9"/>
  <c r="O52" i="9"/>
  <c r="N52" i="9"/>
  <c r="M52" i="9"/>
  <c r="L52" i="9"/>
  <c r="O51" i="9"/>
  <c r="N51" i="9"/>
  <c r="M51" i="9"/>
  <c r="L51" i="9"/>
  <c r="O50" i="9"/>
  <c r="N50" i="9"/>
  <c r="M50" i="9"/>
  <c r="L50" i="9"/>
  <c r="O49" i="9"/>
  <c r="N49" i="9"/>
  <c r="M49" i="9"/>
  <c r="L49" i="9"/>
  <c r="O48" i="9"/>
  <c r="N48" i="9"/>
  <c r="M48" i="9"/>
  <c r="L48" i="9"/>
  <c r="O47" i="9"/>
  <c r="N47" i="9"/>
  <c r="M47" i="9"/>
  <c r="L47" i="9"/>
  <c r="O46" i="9"/>
  <c r="N46" i="9"/>
  <c r="M46" i="9"/>
  <c r="L46" i="9"/>
  <c r="O45" i="9"/>
  <c r="N45" i="9"/>
  <c r="M45" i="9"/>
  <c r="L45" i="9"/>
  <c r="O44" i="9"/>
  <c r="N44" i="9"/>
  <c r="M44" i="9"/>
  <c r="L44" i="9"/>
  <c r="O43" i="9"/>
  <c r="N43" i="9"/>
  <c r="M43" i="9"/>
  <c r="L43" i="9"/>
  <c r="O42" i="9"/>
  <c r="N42" i="9"/>
  <c r="M42" i="9"/>
  <c r="L42" i="9"/>
  <c r="O41" i="9"/>
  <c r="N41" i="9"/>
  <c r="M41" i="9"/>
  <c r="L41" i="9"/>
  <c r="O40" i="9"/>
  <c r="N40" i="9"/>
  <c r="M40" i="9"/>
  <c r="L40" i="9"/>
  <c r="O39" i="9"/>
  <c r="N39" i="9"/>
  <c r="M39" i="9"/>
  <c r="L39" i="9"/>
  <c r="O38" i="9"/>
  <c r="N38" i="9"/>
  <c r="M38" i="9"/>
  <c r="L38" i="9"/>
  <c r="O37" i="9"/>
  <c r="N37" i="9"/>
  <c r="M37" i="9"/>
  <c r="L37" i="9"/>
  <c r="O36" i="9"/>
  <c r="N36" i="9"/>
  <c r="M36" i="9"/>
  <c r="L36" i="9"/>
  <c r="O35" i="9"/>
  <c r="N35" i="9"/>
  <c r="M35" i="9"/>
  <c r="L35" i="9"/>
  <c r="O34" i="9"/>
  <c r="N34" i="9"/>
  <c r="M34" i="9"/>
  <c r="L34" i="9"/>
  <c r="O33" i="9"/>
  <c r="N33" i="9"/>
  <c r="M33" i="9"/>
  <c r="L33" i="9"/>
  <c r="O32" i="9"/>
  <c r="N32" i="9"/>
  <c r="M32" i="9"/>
  <c r="L32" i="9"/>
  <c r="O31" i="9"/>
  <c r="N31" i="9"/>
  <c r="M31" i="9"/>
  <c r="L31" i="9"/>
  <c r="O30" i="9"/>
  <c r="N30" i="9"/>
  <c r="M30" i="9"/>
  <c r="L30" i="9"/>
  <c r="O29" i="9"/>
  <c r="N29" i="9"/>
  <c r="M29" i="9"/>
  <c r="L29" i="9"/>
  <c r="O28" i="9"/>
  <c r="N28" i="9"/>
  <c r="M28" i="9"/>
  <c r="L28" i="9"/>
  <c r="O27" i="9"/>
  <c r="N27" i="9"/>
  <c r="M27" i="9"/>
  <c r="L27" i="9"/>
  <c r="O26" i="9"/>
  <c r="N26" i="9"/>
  <c r="M26" i="9"/>
  <c r="L26" i="9"/>
  <c r="O25" i="9"/>
  <c r="N25" i="9"/>
  <c r="M25" i="9"/>
  <c r="L25" i="9"/>
  <c r="O24" i="9"/>
  <c r="N24" i="9"/>
  <c r="M24" i="9"/>
  <c r="L24" i="9"/>
  <c r="O23" i="9"/>
  <c r="N23" i="9"/>
  <c r="M23" i="9"/>
  <c r="L23" i="9"/>
  <c r="O22" i="9"/>
  <c r="N22" i="9"/>
  <c r="M22" i="9"/>
  <c r="L22" i="9"/>
  <c r="O21" i="9"/>
  <c r="N21" i="9"/>
  <c r="M21" i="9"/>
  <c r="L21" i="9"/>
  <c r="O20" i="9"/>
  <c r="N20" i="9"/>
  <c r="M20" i="9"/>
  <c r="L20" i="9"/>
  <c r="O19" i="9"/>
  <c r="N19" i="9"/>
  <c r="M19" i="9"/>
  <c r="L19" i="9"/>
  <c r="O18" i="9"/>
  <c r="N18" i="9"/>
  <c r="M18" i="9"/>
  <c r="L18" i="9"/>
  <c r="O17" i="9"/>
  <c r="N17" i="9"/>
  <c r="M17" i="9"/>
  <c r="L17" i="9"/>
  <c r="O16" i="9"/>
  <c r="N16" i="9"/>
  <c r="M16" i="9"/>
  <c r="L16" i="9"/>
  <c r="O15" i="9"/>
  <c r="N15" i="9"/>
  <c r="M15" i="9"/>
  <c r="L15" i="9"/>
  <c r="O14" i="9"/>
  <c r="N14" i="9"/>
  <c r="M14" i="9"/>
  <c r="L14" i="9"/>
  <c r="O13" i="9"/>
  <c r="N13" i="9"/>
  <c r="M13" i="9"/>
  <c r="L13" i="9"/>
  <c r="O12" i="9"/>
  <c r="N12" i="9"/>
  <c r="M12" i="9"/>
  <c r="L12" i="9"/>
  <c r="O11" i="9"/>
  <c r="N11" i="9"/>
  <c r="M11" i="9"/>
  <c r="L11" i="9"/>
  <c r="O10" i="9"/>
  <c r="N10" i="9"/>
  <c r="M10" i="9"/>
  <c r="L10" i="9"/>
  <c r="O9" i="9"/>
  <c r="N9" i="9"/>
  <c r="M9" i="9"/>
  <c r="L9" i="9"/>
  <c r="O8" i="9"/>
  <c r="N8" i="9"/>
  <c r="M8" i="9"/>
  <c r="L8" i="9"/>
  <c r="O7" i="9"/>
  <c r="N7" i="9"/>
  <c r="M7" i="9"/>
  <c r="L7" i="9"/>
  <c r="R6" i="9"/>
  <c r="O6" i="9"/>
  <c r="N6" i="9"/>
  <c r="M6" i="9"/>
  <c r="L6" i="9"/>
  <c r="O5" i="9"/>
  <c r="N5" i="9"/>
  <c r="M5" i="9"/>
  <c r="L5" i="9"/>
  <c r="R4" i="9"/>
  <c r="O4" i="9"/>
  <c r="N4" i="9"/>
  <c r="M4" i="9"/>
  <c r="L4" i="9"/>
  <c r="R3" i="9"/>
  <c r="O3" i="9"/>
  <c r="N3" i="9"/>
  <c r="M3" i="9"/>
  <c r="L3" i="9"/>
  <c r="O2" i="9"/>
  <c r="N2" i="9"/>
  <c r="M2" i="9"/>
  <c r="L2" i="9"/>
  <c r="E46" i="7"/>
  <c r="D46" i="7"/>
  <c r="E45" i="7"/>
  <c r="D45" i="7"/>
  <c r="E44" i="7"/>
  <c r="D44" i="7"/>
  <c r="E43" i="7"/>
  <c r="D43" i="7"/>
  <c r="I41" i="7"/>
  <c r="H41" i="7"/>
  <c r="G41" i="7"/>
  <c r="F41" i="7"/>
  <c r="E41" i="7"/>
  <c r="I40" i="7"/>
  <c r="H40" i="7"/>
  <c r="G40" i="7"/>
  <c r="F40" i="7"/>
  <c r="E40" i="7"/>
  <c r="I39" i="7"/>
  <c r="H39" i="7"/>
  <c r="G39" i="7"/>
  <c r="F39" i="7"/>
  <c r="E39" i="7"/>
  <c r="I38" i="7"/>
  <c r="H38" i="7"/>
  <c r="G38" i="7"/>
  <c r="F38" i="7"/>
  <c r="E38" i="7"/>
  <c r="E36" i="7"/>
  <c r="D36" i="7"/>
  <c r="E35" i="7"/>
  <c r="D35" i="7"/>
  <c r="E34" i="7"/>
  <c r="D34" i="7"/>
  <c r="E33" i="7"/>
  <c r="D33" i="7"/>
  <c r="I31" i="7"/>
  <c r="H31" i="7"/>
  <c r="G31" i="7"/>
  <c r="F31" i="7"/>
  <c r="E31" i="7"/>
  <c r="D31" i="7"/>
  <c r="I30" i="7"/>
  <c r="H30" i="7"/>
  <c r="G30" i="7"/>
  <c r="F30" i="7"/>
  <c r="E30" i="7"/>
  <c r="D30" i="7"/>
  <c r="I29" i="7"/>
  <c r="H29" i="7"/>
  <c r="G29" i="7"/>
  <c r="F29" i="7"/>
  <c r="E29" i="7"/>
  <c r="D29" i="7"/>
  <c r="I28" i="7"/>
  <c r="H28" i="7"/>
  <c r="G28" i="7"/>
  <c r="F28" i="7"/>
  <c r="E28" i="7"/>
  <c r="D28" i="7"/>
  <c r="E23" i="7"/>
  <c r="D23" i="7"/>
  <c r="E22" i="7"/>
  <c r="D22" i="7"/>
  <c r="E21" i="7"/>
  <c r="D21" i="7"/>
  <c r="E20" i="7"/>
  <c r="D20" i="7"/>
  <c r="I18" i="7"/>
  <c r="H18" i="7"/>
  <c r="G18" i="7"/>
  <c r="F18" i="7"/>
  <c r="E18" i="7"/>
  <c r="I17" i="7"/>
  <c r="H17" i="7"/>
  <c r="G17" i="7"/>
  <c r="F17" i="7"/>
  <c r="E17" i="7"/>
  <c r="I16" i="7"/>
  <c r="H16" i="7"/>
  <c r="G16" i="7"/>
  <c r="F16" i="7"/>
  <c r="E16" i="7"/>
  <c r="I15" i="7"/>
  <c r="H15" i="7"/>
  <c r="G15" i="7"/>
  <c r="F15" i="7"/>
  <c r="E15" i="7"/>
  <c r="E13" i="7"/>
  <c r="D13" i="7"/>
  <c r="E12" i="7"/>
  <c r="D12" i="7"/>
  <c r="E11" i="7"/>
  <c r="D11" i="7"/>
  <c r="E10" i="7"/>
  <c r="D10" i="7"/>
  <c r="I8" i="7"/>
  <c r="H8" i="7"/>
  <c r="G8" i="7"/>
  <c r="F8" i="7"/>
  <c r="E8" i="7"/>
  <c r="D8" i="7"/>
  <c r="I7" i="7"/>
  <c r="H7" i="7"/>
  <c r="G7" i="7"/>
  <c r="F7" i="7"/>
  <c r="E7" i="7"/>
  <c r="D7" i="7"/>
  <c r="I6" i="7"/>
  <c r="H6" i="7"/>
  <c r="G6" i="7"/>
  <c r="F6" i="7"/>
  <c r="E6" i="7"/>
  <c r="D6" i="7"/>
  <c r="I5" i="7"/>
  <c r="H5" i="7"/>
  <c r="G5" i="7"/>
  <c r="F5" i="7"/>
  <c r="E5" i="7"/>
  <c r="D5" i="7"/>
  <c r="G47" i="12" l="1"/>
  <c r="D19" i="13" s="1"/>
  <c r="G43" i="12"/>
  <c r="G49" i="12"/>
  <c r="D21" i="13" s="1"/>
  <c r="G48" i="12"/>
  <c r="D20" i="13" s="1"/>
  <c r="G21" i="12"/>
  <c r="H18" i="12"/>
  <c r="I18" i="12" s="1"/>
  <c r="G51" i="12"/>
  <c r="C15" i="13" s="1"/>
  <c r="J18" i="12"/>
  <c r="H7" i="12"/>
  <c r="K18" i="12"/>
  <c r="L18" i="12" s="1"/>
  <c r="I28" i="10"/>
  <c r="E21" i="10"/>
  <c r="F19" i="12" s="1"/>
  <c r="H19" i="12" s="1"/>
  <c r="I19" i="12" s="1"/>
  <c r="E28" i="10"/>
  <c r="F28" i="12" s="1"/>
  <c r="K28" i="12" s="1"/>
  <c r="I17" i="10"/>
  <c r="G41" i="10"/>
  <c r="D43" i="10"/>
  <c r="F37" i="12" s="1"/>
  <c r="J37" i="12" s="1"/>
  <c r="D10" i="10"/>
  <c r="E34" i="10"/>
  <c r="F35" i="12" s="1"/>
  <c r="K35" i="12" s="1"/>
  <c r="L35" i="12" s="1"/>
  <c r="I30" i="10"/>
  <c r="E20" i="10"/>
  <c r="F18" i="12" s="1"/>
  <c r="G28" i="10"/>
  <c r="I8" i="10"/>
  <c r="F38" i="10"/>
  <c r="E33" i="10"/>
  <c r="F34" i="12" s="1"/>
  <c r="J34" i="12" s="1"/>
  <c r="F40" i="10"/>
  <c r="E43" i="10"/>
  <c r="F40" i="12" s="1"/>
  <c r="E46" i="10"/>
  <c r="F28" i="10"/>
  <c r="E12" i="10"/>
  <c r="F15" i="12" s="1"/>
  <c r="K15" i="12" s="1"/>
  <c r="I38" i="10"/>
  <c r="H28" i="10"/>
  <c r="D35" i="10"/>
  <c r="F33" i="12" s="1"/>
  <c r="E10" i="10"/>
  <c r="F13" i="12" s="1"/>
  <c r="H17" i="10"/>
  <c r="F6" i="10"/>
  <c r="E7" i="10"/>
  <c r="F12" i="12" s="1"/>
  <c r="K12" i="12" s="1"/>
  <c r="L12" i="12" s="1"/>
  <c r="D22" i="10"/>
  <c r="F17" i="12" s="1"/>
  <c r="J17" i="12" s="1"/>
  <c r="D30" i="10"/>
  <c r="F27" i="12" s="1"/>
  <c r="J27" i="12" s="1"/>
  <c r="G40" i="10"/>
  <c r="G6" i="10"/>
  <c r="E22" i="10"/>
  <c r="F20" i="12" s="1"/>
  <c r="H20" i="12" s="1"/>
  <c r="I20" i="12" s="1"/>
  <c r="H40" i="10"/>
  <c r="H6" i="10"/>
  <c r="D11" i="10"/>
  <c r="E17" i="10"/>
  <c r="D23" i="10"/>
  <c r="F30" i="10"/>
  <c r="D36" i="10"/>
  <c r="I40" i="10"/>
  <c r="I6" i="10"/>
  <c r="E11" i="10"/>
  <c r="F14" i="12" s="1"/>
  <c r="F17" i="10"/>
  <c r="E23" i="10"/>
  <c r="G30" i="10"/>
  <c r="E36" i="10"/>
  <c r="E41" i="10"/>
  <c r="H16" i="10"/>
  <c r="I16" i="10"/>
  <c r="E30" i="10"/>
  <c r="F30" i="12" s="1"/>
  <c r="J30" i="12" s="1"/>
  <c r="E35" i="10"/>
  <c r="F36" i="12" s="1"/>
  <c r="K36" i="12" s="1"/>
  <c r="D7" i="10"/>
  <c r="F9" i="12" s="1"/>
  <c r="K9" i="12" s="1"/>
  <c r="L9" i="12" s="1"/>
  <c r="D12" i="10"/>
  <c r="G17" i="10"/>
  <c r="D28" i="10"/>
  <c r="F25" i="12" s="1"/>
  <c r="K25" i="12" s="1"/>
  <c r="H30" i="10"/>
  <c r="E38" i="10"/>
  <c r="F41" i="10"/>
  <c r="F7" i="10"/>
  <c r="G38" i="10"/>
  <c r="E18" i="10"/>
  <c r="D5" i="10"/>
  <c r="F7" i="12" s="1"/>
  <c r="F18" i="10"/>
  <c r="E5" i="10"/>
  <c r="F10" i="12" s="1"/>
  <c r="J10" i="12" s="1"/>
  <c r="I7" i="10"/>
  <c r="F15" i="10"/>
  <c r="G18" i="10"/>
  <c r="G31" i="10"/>
  <c r="E39" i="10"/>
  <c r="F5" i="10"/>
  <c r="D8" i="10"/>
  <c r="G15" i="10"/>
  <c r="H18" i="10"/>
  <c r="D29" i="10"/>
  <c r="F26" i="12" s="1"/>
  <c r="H31" i="10"/>
  <c r="F39" i="10"/>
  <c r="D44" i="10"/>
  <c r="F38" i="12" s="1"/>
  <c r="K38" i="12" s="1"/>
  <c r="L38" i="12" s="1"/>
  <c r="D13" i="10"/>
  <c r="I41" i="10"/>
  <c r="F31" i="10"/>
  <c r="G5" i="10"/>
  <c r="E8" i="10"/>
  <c r="H15" i="10"/>
  <c r="I18" i="10"/>
  <c r="E29" i="10"/>
  <c r="F29" i="12" s="1"/>
  <c r="K29" i="12" s="1"/>
  <c r="I31" i="10"/>
  <c r="G39" i="10"/>
  <c r="E44" i="10"/>
  <c r="F41" i="12" s="1"/>
  <c r="H41" i="12" s="1"/>
  <c r="I41" i="12" s="1"/>
  <c r="D31" i="10"/>
  <c r="H38" i="10"/>
  <c r="H5" i="10"/>
  <c r="F8" i="10"/>
  <c r="I15" i="10"/>
  <c r="D20" i="10"/>
  <c r="F29" i="10"/>
  <c r="D33" i="10"/>
  <c r="F31" i="12" s="1"/>
  <c r="H39" i="10"/>
  <c r="D45" i="10"/>
  <c r="F39" i="12" s="1"/>
  <c r="H39" i="12" s="1"/>
  <c r="I39" i="12" s="1"/>
  <c r="H41" i="10"/>
  <c r="E31" i="10"/>
  <c r="H7" i="10"/>
  <c r="E15" i="10"/>
  <c r="I5" i="10"/>
  <c r="G8" i="10"/>
  <c r="E16" i="10"/>
  <c r="G29" i="10"/>
  <c r="I39" i="10"/>
  <c r="E45" i="10"/>
  <c r="F42" i="12" s="1"/>
  <c r="H42" i="12" s="1"/>
  <c r="I42" i="12" s="1"/>
  <c r="G7" i="10"/>
  <c r="D6" i="10"/>
  <c r="F8" i="12" s="1"/>
  <c r="K8" i="12" s="1"/>
  <c r="H8" i="10"/>
  <c r="F16" i="10"/>
  <c r="D21" i="10"/>
  <c r="F16" i="12" s="1"/>
  <c r="H29" i="10"/>
  <c r="D34" i="10"/>
  <c r="F32" i="12" s="1"/>
  <c r="H32" i="12" s="1"/>
  <c r="I32" i="12" s="1"/>
  <c r="E40" i="10"/>
  <c r="D46" i="10"/>
  <c r="E13" i="10"/>
  <c r="E6" i="10"/>
  <c r="F11" i="12" s="1"/>
  <c r="K11" i="12" s="1"/>
  <c r="L11" i="12" s="1"/>
  <c r="G16" i="10"/>
  <c r="I29" i="10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O261" i="4"/>
  <c r="N261" i="4"/>
  <c r="M261" i="4"/>
  <c r="L261" i="4"/>
  <c r="O260" i="4"/>
  <c r="N260" i="4"/>
  <c r="M260" i="4"/>
  <c r="L260" i="4"/>
  <c r="O259" i="4"/>
  <c r="N259" i="4"/>
  <c r="M259" i="4"/>
  <c r="L259" i="4"/>
  <c r="O258" i="4"/>
  <c r="N258" i="4"/>
  <c r="M258" i="4"/>
  <c r="L258" i="4"/>
  <c r="O257" i="4"/>
  <c r="N257" i="4"/>
  <c r="M257" i="4"/>
  <c r="L257" i="4"/>
  <c r="O256" i="4"/>
  <c r="N256" i="4"/>
  <c r="M256" i="4"/>
  <c r="L256" i="4"/>
  <c r="O255" i="4"/>
  <c r="N255" i="4"/>
  <c r="M255" i="4"/>
  <c r="L255" i="4"/>
  <c r="O254" i="4"/>
  <c r="N254" i="4"/>
  <c r="M254" i="4"/>
  <c r="L254" i="4"/>
  <c r="O253" i="4"/>
  <c r="N253" i="4"/>
  <c r="M253" i="4"/>
  <c r="L253" i="4"/>
  <c r="O252" i="4"/>
  <c r="N252" i="4"/>
  <c r="M252" i="4"/>
  <c r="L252" i="4"/>
  <c r="O251" i="4"/>
  <c r="N251" i="4"/>
  <c r="M251" i="4"/>
  <c r="L251" i="4"/>
  <c r="O250" i="4"/>
  <c r="N250" i="4"/>
  <c r="M250" i="4"/>
  <c r="L250" i="4"/>
  <c r="O249" i="4"/>
  <c r="N249" i="4"/>
  <c r="M249" i="4"/>
  <c r="L249" i="4"/>
  <c r="O248" i="4"/>
  <c r="N248" i="4"/>
  <c r="M248" i="4"/>
  <c r="L248" i="4"/>
  <c r="O247" i="4"/>
  <c r="N247" i="4"/>
  <c r="M247" i="4"/>
  <c r="L247" i="4"/>
  <c r="O246" i="4"/>
  <c r="N246" i="4"/>
  <c r="M246" i="4"/>
  <c r="L246" i="4"/>
  <c r="O245" i="4"/>
  <c r="N245" i="4"/>
  <c r="M245" i="4"/>
  <c r="L245" i="4"/>
  <c r="O244" i="4"/>
  <c r="N244" i="4"/>
  <c r="M244" i="4"/>
  <c r="L244" i="4"/>
  <c r="O243" i="4"/>
  <c r="N243" i="4"/>
  <c r="M243" i="4"/>
  <c r="L243" i="4"/>
  <c r="O242" i="4"/>
  <c r="N242" i="4"/>
  <c r="M242" i="4"/>
  <c r="L242" i="4"/>
  <c r="O241" i="4"/>
  <c r="N241" i="4"/>
  <c r="M241" i="4"/>
  <c r="L241" i="4"/>
  <c r="O240" i="4"/>
  <c r="N240" i="4"/>
  <c r="M240" i="4"/>
  <c r="L240" i="4"/>
  <c r="O239" i="4"/>
  <c r="N239" i="4"/>
  <c r="M239" i="4"/>
  <c r="L239" i="4"/>
  <c r="O238" i="4"/>
  <c r="N238" i="4"/>
  <c r="M238" i="4"/>
  <c r="L238" i="4"/>
  <c r="O237" i="4"/>
  <c r="N237" i="4"/>
  <c r="M237" i="4"/>
  <c r="L237" i="4"/>
  <c r="O236" i="4"/>
  <c r="N236" i="4"/>
  <c r="M236" i="4"/>
  <c r="L236" i="4"/>
  <c r="O235" i="4"/>
  <c r="N235" i="4"/>
  <c r="M235" i="4"/>
  <c r="L235" i="4"/>
  <c r="O234" i="4"/>
  <c r="N234" i="4"/>
  <c r="M234" i="4"/>
  <c r="L234" i="4"/>
  <c r="O233" i="4"/>
  <c r="N233" i="4"/>
  <c r="M233" i="4"/>
  <c r="L233" i="4"/>
  <c r="O232" i="4"/>
  <c r="N232" i="4"/>
  <c r="M232" i="4"/>
  <c r="L232" i="4"/>
  <c r="O231" i="4"/>
  <c r="N231" i="4"/>
  <c r="M231" i="4"/>
  <c r="L231" i="4"/>
  <c r="O230" i="4"/>
  <c r="N230" i="4"/>
  <c r="M230" i="4"/>
  <c r="L230" i="4"/>
  <c r="O229" i="4"/>
  <c r="N229" i="4"/>
  <c r="M229" i="4"/>
  <c r="L229" i="4"/>
  <c r="O228" i="4"/>
  <c r="N228" i="4"/>
  <c r="M228" i="4"/>
  <c r="L228" i="4"/>
  <c r="O227" i="4"/>
  <c r="N227" i="4"/>
  <c r="M227" i="4"/>
  <c r="L227" i="4"/>
  <c r="O226" i="4"/>
  <c r="N226" i="4"/>
  <c r="M226" i="4"/>
  <c r="L226" i="4"/>
  <c r="O225" i="4"/>
  <c r="N225" i="4"/>
  <c r="M225" i="4"/>
  <c r="L225" i="4"/>
  <c r="O224" i="4"/>
  <c r="N224" i="4"/>
  <c r="M224" i="4"/>
  <c r="L224" i="4"/>
  <c r="O223" i="4"/>
  <c r="N223" i="4"/>
  <c r="M223" i="4"/>
  <c r="L223" i="4"/>
  <c r="O222" i="4"/>
  <c r="N222" i="4"/>
  <c r="M222" i="4"/>
  <c r="L222" i="4"/>
  <c r="O221" i="4"/>
  <c r="N221" i="4"/>
  <c r="M221" i="4"/>
  <c r="L221" i="4"/>
  <c r="O220" i="4"/>
  <c r="N220" i="4"/>
  <c r="M220" i="4"/>
  <c r="L220" i="4"/>
  <c r="O219" i="4"/>
  <c r="N219" i="4"/>
  <c r="M219" i="4"/>
  <c r="L219" i="4"/>
  <c r="O218" i="4"/>
  <c r="N218" i="4"/>
  <c r="M218" i="4"/>
  <c r="L218" i="4"/>
  <c r="O217" i="4"/>
  <c r="N217" i="4"/>
  <c r="M217" i="4"/>
  <c r="L217" i="4"/>
  <c r="O216" i="4"/>
  <c r="N216" i="4"/>
  <c r="M216" i="4"/>
  <c r="L216" i="4"/>
  <c r="O215" i="4"/>
  <c r="N215" i="4"/>
  <c r="M215" i="4"/>
  <c r="L215" i="4"/>
  <c r="O214" i="4"/>
  <c r="N214" i="4"/>
  <c r="M214" i="4"/>
  <c r="L214" i="4"/>
  <c r="O213" i="4"/>
  <c r="N213" i="4"/>
  <c r="M213" i="4"/>
  <c r="L213" i="4"/>
  <c r="O212" i="4"/>
  <c r="N212" i="4"/>
  <c r="M212" i="4"/>
  <c r="L212" i="4"/>
  <c r="O211" i="4"/>
  <c r="N211" i="4"/>
  <c r="M211" i="4"/>
  <c r="L211" i="4"/>
  <c r="O210" i="4"/>
  <c r="N210" i="4"/>
  <c r="M210" i="4"/>
  <c r="L210" i="4"/>
  <c r="O209" i="4"/>
  <c r="N209" i="4"/>
  <c r="M209" i="4"/>
  <c r="L209" i="4"/>
  <c r="O208" i="4"/>
  <c r="N208" i="4"/>
  <c r="M208" i="4"/>
  <c r="L208" i="4"/>
  <c r="O207" i="4"/>
  <c r="N207" i="4"/>
  <c r="M207" i="4"/>
  <c r="L207" i="4"/>
  <c r="O206" i="4"/>
  <c r="N206" i="4"/>
  <c r="M206" i="4"/>
  <c r="L206" i="4"/>
  <c r="O205" i="4"/>
  <c r="N205" i="4"/>
  <c r="M205" i="4"/>
  <c r="L205" i="4"/>
  <c r="O204" i="4"/>
  <c r="N204" i="4"/>
  <c r="M204" i="4"/>
  <c r="L204" i="4"/>
  <c r="O203" i="4"/>
  <c r="N203" i="4"/>
  <c r="M203" i="4"/>
  <c r="L203" i="4"/>
  <c r="O202" i="4"/>
  <c r="N202" i="4"/>
  <c r="M202" i="4"/>
  <c r="L202" i="4"/>
  <c r="O201" i="4"/>
  <c r="N201" i="4"/>
  <c r="M201" i="4"/>
  <c r="L201" i="4"/>
  <c r="O200" i="4"/>
  <c r="N200" i="4"/>
  <c r="M200" i="4"/>
  <c r="L200" i="4"/>
  <c r="O199" i="4"/>
  <c r="N199" i="4"/>
  <c r="M199" i="4"/>
  <c r="L199" i="4"/>
  <c r="O198" i="4"/>
  <c r="N198" i="4"/>
  <c r="M198" i="4"/>
  <c r="L198" i="4"/>
  <c r="O197" i="4"/>
  <c r="N197" i="4"/>
  <c r="M197" i="4"/>
  <c r="L197" i="4"/>
  <c r="O196" i="4"/>
  <c r="N196" i="4"/>
  <c r="M196" i="4"/>
  <c r="L196" i="4"/>
  <c r="O195" i="4"/>
  <c r="N195" i="4"/>
  <c r="M195" i="4"/>
  <c r="L195" i="4"/>
  <c r="O194" i="4"/>
  <c r="N194" i="4"/>
  <c r="M194" i="4"/>
  <c r="L194" i="4"/>
  <c r="O193" i="4"/>
  <c r="N193" i="4"/>
  <c r="M193" i="4"/>
  <c r="L193" i="4"/>
  <c r="O192" i="4"/>
  <c r="N192" i="4"/>
  <c r="M192" i="4"/>
  <c r="L192" i="4"/>
  <c r="O191" i="4"/>
  <c r="N191" i="4"/>
  <c r="M191" i="4"/>
  <c r="L191" i="4"/>
  <c r="O190" i="4"/>
  <c r="N190" i="4"/>
  <c r="M190" i="4"/>
  <c r="L190" i="4"/>
  <c r="O189" i="4"/>
  <c r="N189" i="4"/>
  <c r="M189" i="4"/>
  <c r="L189" i="4"/>
  <c r="O188" i="4"/>
  <c r="N188" i="4"/>
  <c r="M188" i="4"/>
  <c r="L188" i="4"/>
  <c r="O187" i="4"/>
  <c r="N187" i="4"/>
  <c r="M187" i="4"/>
  <c r="L187" i="4"/>
  <c r="O186" i="4"/>
  <c r="N186" i="4"/>
  <c r="M186" i="4"/>
  <c r="L186" i="4"/>
  <c r="O185" i="4"/>
  <c r="N185" i="4"/>
  <c r="M185" i="4"/>
  <c r="L185" i="4"/>
  <c r="O184" i="4"/>
  <c r="N184" i="4"/>
  <c r="M184" i="4"/>
  <c r="L184" i="4"/>
  <c r="O183" i="4"/>
  <c r="N183" i="4"/>
  <c r="M183" i="4"/>
  <c r="L183" i="4"/>
  <c r="O182" i="4"/>
  <c r="N182" i="4"/>
  <c r="M182" i="4"/>
  <c r="L182" i="4"/>
  <c r="O181" i="4"/>
  <c r="N181" i="4"/>
  <c r="M181" i="4"/>
  <c r="L181" i="4"/>
  <c r="O180" i="4"/>
  <c r="N180" i="4"/>
  <c r="M180" i="4"/>
  <c r="L180" i="4"/>
  <c r="O179" i="4"/>
  <c r="N179" i="4"/>
  <c r="M179" i="4"/>
  <c r="L179" i="4"/>
  <c r="O178" i="4"/>
  <c r="N178" i="4"/>
  <c r="M178" i="4"/>
  <c r="L178" i="4"/>
  <c r="O177" i="4"/>
  <c r="N177" i="4"/>
  <c r="M177" i="4"/>
  <c r="L177" i="4"/>
  <c r="O176" i="4"/>
  <c r="N176" i="4"/>
  <c r="M176" i="4"/>
  <c r="L176" i="4"/>
  <c r="O175" i="4"/>
  <c r="N175" i="4"/>
  <c r="M175" i="4"/>
  <c r="L175" i="4"/>
  <c r="O174" i="4"/>
  <c r="N174" i="4"/>
  <c r="M174" i="4"/>
  <c r="L174" i="4"/>
  <c r="O173" i="4"/>
  <c r="N173" i="4"/>
  <c r="M173" i="4"/>
  <c r="L173" i="4"/>
  <c r="O172" i="4"/>
  <c r="N172" i="4"/>
  <c r="M172" i="4"/>
  <c r="L172" i="4"/>
  <c r="O171" i="4"/>
  <c r="N171" i="4"/>
  <c r="M171" i="4"/>
  <c r="L171" i="4"/>
  <c r="O170" i="4"/>
  <c r="N170" i="4"/>
  <c r="M170" i="4"/>
  <c r="L170" i="4"/>
  <c r="O169" i="4"/>
  <c r="N169" i="4"/>
  <c r="M169" i="4"/>
  <c r="L169" i="4"/>
  <c r="O168" i="4"/>
  <c r="N168" i="4"/>
  <c r="M168" i="4"/>
  <c r="L168" i="4"/>
  <c r="O167" i="4"/>
  <c r="N167" i="4"/>
  <c r="M167" i="4"/>
  <c r="L167" i="4"/>
  <c r="O166" i="4"/>
  <c r="N166" i="4"/>
  <c r="M166" i="4"/>
  <c r="L166" i="4"/>
  <c r="O165" i="4"/>
  <c r="N165" i="4"/>
  <c r="M165" i="4"/>
  <c r="L165" i="4"/>
  <c r="O164" i="4"/>
  <c r="N164" i="4"/>
  <c r="M164" i="4"/>
  <c r="L164" i="4"/>
  <c r="O163" i="4"/>
  <c r="N163" i="4"/>
  <c r="M163" i="4"/>
  <c r="L163" i="4"/>
  <c r="O162" i="4"/>
  <c r="N162" i="4"/>
  <c r="M162" i="4"/>
  <c r="L162" i="4"/>
  <c r="O161" i="4"/>
  <c r="N161" i="4"/>
  <c r="M161" i="4"/>
  <c r="L161" i="4"/>
  <c r="O160" i="4"/>
  <c r="N160" i="4"/>
  <c r="M160" i="4"/>
  <c r="L160" i="4"/>
  <c r="O159" i="4"/>
  <c r="N159" i="4"/>
  <c r="M159" i="4"/>
  <c r="L159" i="4"/>
  <c r="O158" i="4"/>
  <c r="N158" i="4"/>
  <c r="M158" i="4"/>
  <c r="L158" i="4"/>
  <c r="O157" i="4"/>
  <c r="N157" i="4"/>
  <c r="M157" i="4"/>
  <c r="L157" i="4"/>
  <c r="O156" i="4"/>
  <c r="N156" i="4"/>
  <c r="M156" i="4"/>
  <c r="L156" i="4"/>
  <c r="O155" i="4"/>
  <c r="N155" i="4"/>
  <c r="M155" i="4"/>
  <c r="L155" i="4"/>
  <c r="O154" i="4"/>
  <c r="N154" i="4"/>
  <c r="M154" i="4"/>
  <c r="L154" i="4"/>
  <c r="O153" i="4"/>
  <c r="N153" i="4"/>
  <c r="M153" i="4"/>
  <c r="L153" i="4"/>
  <c r="O152" i="4"/>
  <c r="N152" i="4"/>
  <c r="M152" i="4"/>
  <c r="L152" i="4"/>
  <c r="O151" i="4"/>
  <c r="N151" i="4"/>
  <c r="M151" i="4"/>
  <c r="L151" i="4"/>
  <c r="O150" i="4"/>
  <c r="N150" i="4"/>
  <c r="M150" i="4"/>
  <c r="L150" i="4"/>
  <c r="O149" i="4"/>
  <c r="N149" i="4"/>
  <c r="M149" i="4"/>
  <c r="L149" i="4"/>
  <c r="O148" i="4"/>
  <c r="N148" i="4"/>
  <c r="M148" i="4"/>
  <c r="L148" i="4"/>
  <c r="O147" i="4"/>
  <c r="N147" i="4"/>
  <c r="M147" i="4"/>
  <c r="L147" i="4"/>
  <c r="O146" i="4"/>
  <c r="N146" i="4"/>
  <c r="M146" i="4"/>
  <c r="L146" i="4"/>
  <c r="O145" i="4"/>
  <c r="N145" i="4"/>
  <c r="M145" i="4"/>
  <c r="L145" i="4"/>
  <c r="O144" i="4"/>
  <c r="N144" i="4"/>
  <c r="M144" i="4"/>
  <c r="L144" i="4"/>
  <c r="O143" i="4"/>
  <c r="N143" i="4"/>
  <c r="M143" i="4"/>
  <c r="L143" i="4"/>
  <c r="O142" i="4"/>
  <c r="N142" i="4"/>
  <c r="M142" i="4"/>
  <c r="L142" i="4"/>
  <c r="O141" i="4"/>
  <c r="N141" i="4"/>
  <c r="M141" i="4"/>
  <c r="L141" i="4"/>
  <c r="O140" i="4"/>
  <c r="N140" i="4"/>
  <c r="M140" i="4"/>
  <c r="L140" i="4"/>
  <c r="O139" i="4"/>
  <c r="N139" i="4"/>
  <c r="M139" i="4"/>
  <c r="L139" i="4"/>
  <c r="O138" i="4"/>
  <c r="N138" i="4"/>
  <c r="M138" i="4"/>
  <c r="L138" i="4"/>
  <c r="O137" i="4"/>
  <c r="N137" i="4"/>
  <c r="M137" i="4"/>
  <c r="L137" i="4"/>
  <c r="O136" i="4"/>
  <c r="N136" i="4"/>
  <c r="M136" i="4"/>
  <c r="L136" i="4"/>
  <c r="O135" i="4"/>
  <c r="N135" i="4"/>
  <c r="M135" i="4"/>
  <c r="L135" i="4"/>
  <c r="O134" i="4"/>
  <c r="N134" i="4"/>
  <c r="M134" i="4"/>
  <c r="L134" i="4"/>
  <c r="O133" i="4"/>
  <c r="N133" i="4"/>
  <c r="M133" i="4"/>
  <c r="L133" i="4"/>
  <c r="O132" i="4"/>
  <c r="N132" i="4"/>
  <c r="M132" i="4"/>
  <c r="L132" i="4"/>
  <c r="O131" i="4"/>
  <c r="N131" i="4"/>
  <c r="M131" i="4"/>
  <c r="L131" i="4"/>
  <c r="O130" i="4"/>
  <c r="N130" i="4"/>
  <c r="M130" i="4"/>
  <c r="L130" i="4"/>
  <c r="O129" i="4"/>
  <c r="N129" i="4"/>
  <c r="M129" i="4"/>
  <c r="L129" i="4"/>
  <c r="O128" i="4"/>
  <c r="N128" i="4"/>
  <c r="M128" i="4"/>
  <c r="L128" i="4"/>
  <c r="O127" i="4"/>
  <c r="N127" i="4"/>
  <c r="M127" i="4"/>
  <c r="L127" i="4"/>
  <c r="O126" i="4"/>
  <c r="N126" i="4"/>
  <c r="M126" i="4"/>
  <c r="L126" i="4"/>
  <c r="O125" i="4"/>
  <c r="N125" i="4"/>
  <c r="M125" i="4"/>
  <c r="L125" i="4"/>
  <c r="O124" i="4"/>
  <c r="N124" i="4"/>
  <c r="M124" i="4"/>
  <c r="L124" i="4"/>
  <c r="O123" i="4"/>
  <c r="N123" i="4"/>
  <c r="M123" i="4"/>
  <c r="L123" i="4"/>
  <c r="O122" i="4"/>
  <c r="N122" i="4"/>
  <c r="M122" i="4"/>
  <c r="L122" i="4"/>
  <c r="O121" i="4"/>
  <c r="N121" i="4"/>
  <c r="M121" i="4"/>
  <c r="L121" i="4"/>
  <c r="O120" i="4"/>
  <c r="N120" i="4"/>
  <c r="M120" i="4"/>
  <c r="L120" i="4"/>
  <c r="O119" i="4"/>
  <c r="N119" i="4"/>
  <c r="M119" i="4"/>
  <c r="L119" i="4"/>
  <c r="O118" i="4"/>
  <c r="N118" i="4"/>
  <c r="M118" i="4"/>
  <c r="L118" i="4"/>
  <c r="O117" i="4"/>
  <c r="N117" i="4"/>
  <c r="M117" i="4"/>
  <c r="L117" i="4"/>
  <c r="O116" i="4"/>
  <c r="N116" i="4"/>
  <c r="M116" i="4"/>
  <c r="L116" i="4"/>
  <c r="O115" i="4"/>
  <c r="N115" i="4"/>
  <c r="M115" i="4"/>
  <c r="L115" i="4"/>
  <c r="O114" i="4"/>
  <c r="N114" i="4"/>
  <c r="M114" i="4"/>
  <c r="L114" i="4"/>
  <c r="O113" i="4"/>
  <c r="N113" i="4"/>
  <c r="M113" i="4"/>
  <c r="L113" i="4"/>
  <c r="O112" i="4"/>
  <c r="N112" i="4"/>
  <c r="M112" i="4"/>
  <c r="L112" i="4"/>
  <c r="O111" i="4"/>
  <c r="N111" i="4"/>
  <c r="M111" i="4"/>
  <c r="L111" i="4"/>
  <c r="O110" i="4"/>
  <c r="N110" i="4"/>
  <c r="M110" i="4"/>
  <c r="L110" i="4"/>
  <c r="O109" i="4"/>
  <c r="N109" i="4"/>
  <c r="M109" i="4"/>
  <c r="L109" i="4"/>
  <c r="O108" i="4"/>
  <c r="N108" i="4"/>
  <c r="M108" i="4"/>
  <c r="L108" i="4"/>
  <c r="O107" i="4"/>
  <c r="N107" i="4"/>
  <c r="M107" i="4"/>
  <c r="L107" i="4"/>
  <c r="O106" i="4"/>
  <c r="N106" i="4"/>
  <c r="M106" i="4"/>
  <c r="L106" i="4"/>
  <c r="O105" i="4"/>
  <c r="N105" i="4"/>
  <c r="M105" i="4"/>
  <c r="L105" i="4"/>
  <c r="O104" i="4"/>
  <c r="N104" i="4"/>
  <c r="M104" i="4"/>
  <c r="L104" i="4"/>
  <c r="O103" i="4"/>
  <c r="N103" i="4"/>
  <c r="M103" i="4"/>
  <c r="L103" i="4"/>
  <c r="O102" i="4"/>
  <c r="N102" i="4"/>
  <c r="M102" i="4"/>
  <c r="L102" i="4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N61" i="4"/>
  <c r="M61" i="4"/>
  <c r="L61" i="4"/>
  <c r="O60" i="4"/>
  <c r="N60" i="4"/>
  <c r="M60" i="4"/>
  <c r="L60" i="4"/>
  <c r="O59" i="4"/>
  <c r="N59" i="4"/>
  <c r="M59" i="4"/>
  <c r="L59" i="4"/>
  <c r="O58" i="4"/>
  <c r="N58" i="4"/>
  <c r="M58" i="4"/>
  <c r="L58" i="4"/>
  <c r="O57" i="4"/>
  <c r="N57" i="4"/>
  <c r="M57" i="4"/>
  <c r="L57" i="4"/>
  <c r="O56" i="4"/>
  <c r="N56" i="4"/>
  <c r="M56" i="4"/>
  <c r="L56" i="4"/>
  <c r="O55" i="4"/>
  <c r="N55" i="4"/>
  <c r="M55" i="4"/>
  <c r="L55" i="4"/>
  <c r="O54" i="4"/>
  <c r="N54" i="4"/>
  <c r="M54" i="4"/>
  <c r="L54" i="4"/>
  <c r="O53" i="4"/>
  <c r="N53" i="4"/>
  <c r="M53" i="4"/>
  <c r="L53" i="4"/>
  <c r="O52" i="4"/>
  <c r="N52" i="4"/>
  <c r="M52" i="4"/>
  <c r="L52" i="4"/>
  <c r="O51" i="4"/>
  <c r="N51" i="4"/>
  <c r="M51" i="4"/>
  <c r="L51" i="4"/>
  <c r="O50" i="4"/>
  <c r="N50" i="4"/>
  <c r="M50" i="4"/>
  <c r="L50" i="4"/>
  <c r="O49" i="4"/>
  <c r="N49" i="4"/>
  <c r="M49" i="4"/>
  <c r="L49" i="4"/>
  <c r="O48" i="4"/>
  <c r="N48" i="4"/>
  <c r="M48" i="4"/>
  <c r="L48" i="4"/>
  <c r="O47" i="4"/>
  <c r="N47" i="4"/>
  <c r="M47" i="4"/>
  <c r="L47" i="4"/>
  <c r="O46" i="4"/>
  <c r="N46" i="4"/>
  <c r="M46" i="4"/>
  <c r="L46" i="4"/>
  <c r="O45" i="4"/>
  <c r="N45" i="4"/>
  <c r="M45" i="4"/>
  <c r="L45" i="4"/>
  <c r="O44" i="4"/>
  <c r="N44" i="4"/>
  <c r="M44" i="4"/>
  <c r="L44" i="4"/>
  <c r="O43" i="4"/>
  <c r="N43" i="4"/>
  <c r="M43" i="4"/>
  <c r="L43" i="4"/>
  <c r="O42" i="4"/>
  <c r="N42" i="4"/>
  <c r="M42" i="4"/>
  <c r="L42" i="4"/>
  <c r="O41" i="4"/>
  <c r="N41" i="4"/>
  <c r="M41" i="4"/>
  <c r="L41" i="4"/>
  <c r="O40" i="4"/>
  <c r="N40" i="4"/>
  <c r="M40" i="4"/>
  <c r="L40" i="4"/>
  <c r="O39" i="4"/>
  <c r="N39" i="4"/>
  <c r="M39" i="4"/>
  <c r="L39" i="4"/>
  <c r="O38" i="4"/>
  <c r="N38" i="4"/>
  <c r="M38" i="4"/>
  <c r="L38" i="4"/>
  <c r="O37" i="4"/>
  <c r="N37" i="4"/>
  <c r="M37" i="4"/>
  <c r="L37" i="4"/>
  <c r="O36" i="4"/>
  <c r="N36" i="4"/>
  <c r="M36" i="4"/>
  <c r="L36" i="4"/>
  <c r="O35" i="4"/>
  <c r="N35" i="4"/>
  <c r="M35" i="4"/>
  <c r="L35" i="4"/>
  <c r="O34" i="4"/>
  <c r="N34" i="4"/>
  <c r="M34" i="4"/>
  <c r="L34" i="4"/>
  <c r="O33" i="4"/>
  <c r="N33" i="4"/>
  <c r="M33" i="4"/>
  <c r="L33" i="4"/>
  <c r="O32" i="4"/>
  <c r="N32" i="4"/>
  <c r="M32" i="4"/>
  <c r="L32" i="4"/>
  <c r="O31" i="4"/>
  <c r="N31" i="4"/>
  <c r="M31" i="4"/>
  <c r="L31" i="4"/>
  <c r="O30" i="4"/>
  <c r="N30" i="4"/>
  <c r="M30" i="4"/>
  <c r="L30" i="4"/>
  <c r="O29" i="4"/>
  <c r="N29" i="4"/>
  <c r="M29" i="4"/>
  <c r="L29" i="4"/>
  <c r="O28" i="4"/>
  <c r="N28" i="4"/>
  <c r="M28" i="4"/>
  <c r="L28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O14" i="4"/>
  <c r="N14" i="4"/>
  <c r="M14" i="4"/>
  <c r="L14" i="4"/>
  <c r="O13" i="4"/>
  <c r="N13" i="4"/>
  <c r="M13" i="4"/>
  <c r="L13" i="4"/>
  <c r="O12" i="4"/>
  <c r="N12" i="4"/>
  <c r="M12" i="4"/>
  <c r="L12" i="4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R6" i="4"/>
  <c r="O6" i="4"/>
  <c r="N6" i="4"/>
  <c r="M6" i="4"/>
  <c r="L6" i="4"/>
  <c r="O5" i="4"/>
  <c r="N5" i="4"/>
  <c r="M5" i="4"/>
  <c r="L5" i="4"/>
  <c r="R4" i="4"/>
  <c r="O4" i="4"/>
  <c r="N4" i="4"/>
  <c r="M4" i="4"/>
  <c r="L4" i="4"/>
  <c r="R3" i="4"/>
  <c r="O3" i="4"/>
  <c r="N3" i="4"/>
  <c r="M3" i="4"/>
  <c r="L3" i="4"/>
  <c r="O2" i="4"/>
  <c r="N2" i="4"/>
  <c r="M2" i="4"/>
  <c r="L2" i="4"/>
  <c r="J20" i="12" l="1"/>
  <c r="J12" i="12"/>
  <c r="H27" i="12"/>
  <c r="I27" i="12" s="1"/>
  <c r="K34" i="12"/>
  <c r="L34" i="12" s="1"/>
  <c r="H34" i="12"/>
  <c r="I34" i="12" s="1"/>
  <c r="H17" i="12"/>
  <c r="I17" i="12" s="1"/>
  <c r="H11" i="12"/>
  <c r="I11" i="12" s="1"/>
  <c r="J38" i="12"/>
  <c r="J25" i="12"/>
  <c r="K20" i="12"/>
  <c r="L20" i="12" s="1"/>
  <c r="K17" i="12"/>
  <c r="L17" i="12" s="1"/>
  <c r="J19" i="12"/>
  <c r="K37" i="12"/>
  <c r="L37" i="12" s="1"/>
  <c r="J32" i="12"/>
  <c r="H36" i="12"/>
  <c r="I36" i="12" s="1"/>
  <c r="J28" i="12"/>
  <c r="J11" i="12"/>
  <c r="H37" i="12"/>
  <c r="I37" i="12" s="1"/>
  <c r="H12" i="12"/>
  <c r="I12" i="12" s="1"/>
  <c r="J8" i="12"/>
  <c r="K32" i="12"/>
  <c r="L32" i="12" s="1"/>
  <c r="H28" i="12"/>
  <c r="I28" i="12" s="1"/>
  <c r="H25" i="12"/>
  <c r="I25" i="12" s="1"/>
  <c r="L25" i="12"/>
  <c r="L28" i="12"/>
  <c r="F48" i="12"/>
  <c r="C20" i="13" s="1"/>
  <c r="H33" i="12"/>
  <c r="I33" i="12" s="1"/>
  <c r="K33" i="12"/>
  <c r="L33" i="12" s="1"/>
  <c r="J33" i="12"/>
  <c r="H9" i="12"/>
  <c r="I9" i="12" s="1"/>
  <c r="K13" i="12"/>
  <c r="L13" i="12" s="1"/>
  <c r="L15" i="12"/>
  <c r="L8" i="12"/>
  <c r="H30" i="12"/>
  <c r="I30" i="12" s="1"/>
  <c r="K41" i="12"/>
  <c r="L41" i="12" s="1"/>
  <c r="J13" i="12"/>
  <c r="J41" i="12"/>
  <c r="J15" i="12"/>
  <c r="H40" i="12"/>
  <c r="I40" i="12" s="1"/>
  <c r="K40" i="12"/>
  <c r="L40" i="12" s="1"/>
  <c r="J40" i="12"/>
  <c r="J35" i="12"/>
  <c r="H31" i="12"/>
  <c r="I31" i="12" s="1"/>
  <c r="J31" i="12"/>
  <c r="K31" i="12"/>
  <c r="L31" i="12" s="1"/>
  <c r="H29" i="12"/>
  <c r="I29" i="12" s="1"/>
  <c r="K19" i="12"/>
  <c r="L19" i="12" s="1"/>
  <c r="H15" i="12"/>
  <c r="I15" i="12" s="1"/>
  <c r="L36" i="12"/>
  <c r="H8" i="12"/>
  <c r="I8" i="12" s="1"/>
  <c r="H10" i="12"/>
  <c r="I10" i="12" s="1"/>
  <c r="H14" i="12"/>
  <c r="I14" i="12" s="1"/>
  <c r="K14" i="12"/>
  <c r="L14" i="12" s="1"/>
  <c r="J14" i="12"/>
  <c r="F21" i="12"/>
  <c r="J7" i="12"/>
  <c r="K7" i="12"/>
  <c r="L7" i="12" s="1"/>
  <c r="J9" i="12"/>
  <c r="J29" i="12"/>
  <c r="F43" i="12"/>
  <c r="K16" i="12"/>
  <c r="H16" i="12"/>
  <c r="I16" i="12" s="1"/>
  <c r="K27" i="12"/>
  <c r="L27" i="12" s="1"/>
  <c r="J16" i="12"/>
  <c r="J36" i="12"/>
  <c r="J42" i="12"/>
  <c r="K42" i="12"/>
  <c r="L42" i="12" s="1"/>
  <c r="F49" i="12"/>
  <c r="C21" i="13" s="1"/>
  <c r="H13" i="12"/>
  <c r="I13" i="12" s="1"/>
  <c r="H35" i="12"/>
  <c r="I35" i="12" s="1"/>
  <c r="K39" i="12"/>
  <c r="L39" i="12" s="1"/>
  <c r="F51" i="12"/>
  <c r="B15" i="13" s="1"/>
  <c r="L29" i="12"/>
  <c r="H38" i="12"/>
  <c r="I38" i="12" s="1"/>
  <c r="J26" i="12"/>
  <c r="K26" i="12"/>
  <c r="L26" i="12" s="1"/>
  <c r="H26" i="12"/>
  <c r="I26" i="12" s="1"/>
  <c r="F47" i="12"/>
  <c r="C19" i="13" s="1"/>
  <c r="L16" i="12"/>
  <c r="K30" i="12"/>
  <c r="L30" i="12" s="1"/>
  <c r="J39" i="12"/>
  <c r="K10" i="12"/>
  <c r="L10" i="12" s="1"/>
  <c r="I7" i="12"/>
  <c r="L48" i="12" l="1"/>
  <c r="K51" i="12"/>
  <c r="L49" i="12"/>
  <c r="H49" i="12"/>
  <c r="E21" i="13" s="1"/>
  <c r="L21" i="12"/>
  <c r="I49" i="12"/>
  <c r="F21" i="13" s="1"/>
  <c r="L51" i="12"/>
  <c r="L43" i="12"/>
  <c r="I48" i="12"/>
  <c r="F20" i="13" s="1"/>
  <c r="K49" i="12"/>
  <c r="L47" i="12"/>
  <c r="K21" i="12"/>
  <c r="H48" i="12"/>
  <c r="E20" i="13" s="1"/>
  <c r="K47" i="12"/>
  <c r="H43" i="12"/>
  <c r="I43" i="12"/>
  <c r="H21" i="12"/>
  <c r="H47" i="12"/>
  <c r="E19" i="13" s="1"/>
  <c r="K48" i="12"/>
  <c r="H51" i="12"/>
  <c r="D15" i="13" s="1"/>
  <c r="K43" i="12"/>
  <c r="I21" i="12"/>
  <c r="I51" i="12"/>
  <c r="E15" i="13" s="1"/>
  <c r="I47" i="12"/>
  <c r="F19" i="13" s="1"/>
</calcChain>
</file>

<file path=xl/sharedStrings.xml><?xml version="1.0" encoding="utf-8"?>
<sst xmlns="http://schemas.openxmlformats.org/spreadsheetml/2006/main" count="2368" uniqueCount="570">
  <si>
    <t>USM Haller – Vollständiges Preismodell (Netto €)  |  🟢 Grüner Hintergrund = Konfigurator-Echtwert  |  Weißer/blauer Hintergrund = Hochrechnung</t>
  </si>
  <si>
    <t xml:space="preserve">  Tiefe 350 mm</t>
  </si>
  <si>
    <t>Front</t>
  </si>
  <si>
    <t>Tiefe
(mm)</t>
  </si>
  <si>
    <t>Breite
(mm)</t>
  </si>
  <si>
    <t>H 100 mm</t>
  </si>
  <si>
    <t>H 175 mm</t>
  </si>
  <si>
    <t>H 250 mm</t>
  </si>
  <si>
    <t>H 350 mm</t>
  </si>
  <si>
    <t>H 395 mm</t>
  </si>
  <si>
    <t>H 500 mm</t>
  </si>
  <si>
    <t>Offen</t>
  </si>
  <si>
    <t>Klappe</t>
  </si>
  <si>
    <t>Glastür</t>
  </si>
  <si>
    <t>Schublade</t>
  </si>
  <si>
    <t xml:space="preserve">  Tiefe 500 mm</t>
  </si>
  <si>
    <t>Hochrechnungsformel</t>
  </si>
  <si>
    <t>Preis (Netto) = Basis + α × (Breite − 395) + β × (Höhe − 175) + γ × (Tiefe − 350) + Frontenaufschlag</t>
  </si>
  <si>
    <t>Basisparameter (abgeleitet aus Echtwerten)</t>
  </si>
  <si>
    <t>Basispreis B=395 / H=175 / T=350 / Offen</t>
  </si>
  <si>
    <t>€</t>
  </si>
  <si>
    <t>Echtwert</t>
  </si>
  <si>
    <t>α – Aufschlag je mm Breite</t>
  </si>
  <si>
    <t>€/mm</t>
  </si>
  <si>
    <t>aus Δ 395→750mm, H=175</t>
  </si>
  <si>
    <t>β – Aufschlag je mm Höhe</t>
  </si>
  <si>
    <t>aus Δ H350→H500, B=750</t>
  </si>
  <si>
    <t>γ – Aufschlag je mm Tiefe</t>
  </si>
  <si>
    <t>aus Δ T350→T500, B=750</t>
  </si>
  <si>
    <t>Frontenaufschläge (Referenz: B=750 / H=350 / T=350)</t>
  </si>
  <si>
    <t>€ Aufschlag</t>
  </si>
  <si>
    <t>Echtwert 510.86 €</t>
  </si>
  <si>
    <t>Echtwert 731.39 €</t>
  </si>
  <si>
    <t>Echtwert 758.08 €</t>
  </si>
  <si>
    <t>Echtwert 898.83 €</t>
  </si>
  <si>
    <t>Diskrete Breitenaufschläge (je Stufe, Offen / T350 / H175)</t>
  </si>
  <si>
    <t>Breite 250 mm</t>
  </si>
  <si>
    <t>€ Δ zur Vorstufe</t>
  </si>
  <si>
    <t>absolut: 398.62 €</t>
  </si>
  <si>
    <t>Breite 350 mm</t>
  </si>
  <si>
    <t>absolut: 414.96 €</t>
  </si>
  <si>
    <t>Breite 395 mm</t>
  </si>
  <si>
    <t>absolut: 422.32 €</t>
  </si>
  <si>
    <t>Breite 500 mm</t>
  </si>
  <si>
    <t>absolut: 439.48 €</t>
  </si>
  <si>
    <t>Breite 750 mm</t>
  </si>
  <si>
    <t>absolut: 480.35 €</t>
  </si>
  <si>
    <t>Diskrete Höhenaufschläge (je Stufe, Offen / T350 / B395)</t>
  </si>
  <si>
    <t>Höhe 100 mm</t>
  </si>
  <si>
    <t>Höhe 175 mm</t>
  </si>
  <si>
    <t>Höhe 250 mm</t>
  </si>
  <si>
    <t>Höhe 350 mm</t>
  </si>
  <si>
    <t>Höhe 395 mm</t>
  </si>
  <si>
    <t>Höhe 500 mm</t>
  </si>
  <si>
    <t>Echtwerte (Grundlage der Kalibrierung)</t>
  </si>
  <si>
    <t>B=395 / H=175 / T=350 / Offen</t>
  </si>
  <si>
    <t>€ Netto</t>
  </si>
  <si>
    <t>Konfigurator</t>
  </si>
  <si>
    <t>B=750 / H=350 / T=350 / Offen</t>
  </si>
  <si>
    <t>B=750 / H=500 / T=350 / Offen</t>
  </si>
  <si>
    <t>B=750 / H=350 / T=500 / Offen</t>
  </si>
  <si>
    <t>B=750 / H=350 / T=350 / Klappe</t>
  </si>
  <si>
    <t>B=750 / H=350 / T=350 / Glastür</t>
  </si>
  <si>
    <t>B=750 / H=350 / T=350 / Schublade</t>
  </si>
  <si>
    <t>Hinweise &amp; Einschränkungen</t>
  </si>
  <si>
    <t>• Frontenaufschlag ist größenunabhängig modelliert (Vereinfachung)</t>
  </si>
  <si>
    <t>• In Realität: größere Fronten wahrscheinlich teurer als kleine</t>
  </si>
  <si>
    <t>• Modell basiert auf 7 Echtwerten — Genauigkeit ±10-15% geschätzt</t>
  </si>
  <si>
    <t>• Farbe (15 USM-Farben) nicht modelliert — kann Aufpreis bedeuten</t>
  </si>
  <si>
    <t>• Preise Stand: Konfigurator-Screenshots (Datum unbekannt)</t>
  </si>
  <si>
    <t>• MwSt. 19% = Netto × 1,19 → Sheet 3</t>
  </si>
  <si>
    <t>Bruttopreise inkl. 19% MwSt.  |  Tiefe 350 mm  |  Grün = Basis Echtwert (Netto×1,19)</t>
  </si>
  <si>
    <t xml:space="preserve">  Offen</t>
  </si>
  <si>
    <t>Breite (mm)</t>
  </si>
  <si>
    <t xml:space="preserve">  Klappe</t>
  </si>
  <si>
    <t xml:space="preserve">  Glastür</t>
  </si>
  <si>
    <t xml:space="preserve">  Schublade</t>
  </si>
  <si>
    <t>Art_Nr</t>
  </si>
  <si>
    <t>Typ</t>
  </si>
  <si>
    <t>Kategorie</t>
  </si>
  <si>
    <t>Bezeichnung</t>
  </si>
  <si>
    <t>Breite_mm</t>
  </si>
  <si>
    <t>Tiefe_mm</t>
  </si>
  <si>
    <t>PG1_MDF_EUR</t>
  </si>
  <si>
    <t>PG2_Alu_EUR</t>
  </si>
  <si>
    <t>PG3_Furnier_EUR</t>
  </si>
  <si>
    <t>PG4_Glas_EUR</t>
  </si>
  <si>
    <t>Warnung</t>
  </si>
  <si>
    <t>PG1_MDF_CHF</t>
  </si>
  <si>
    <t>PG2_Alu_CHF</t>
  </si>
  <si>
    <t>PG3_Furnier_CHF</t>
  </si>
  <si>
    <t>PG4_Glas_CHF</t>
  </si>
  <si>
    <t>KONFIGURATOR EXPORT</t>
  </si>
  <si>
    <t>Platte</t>
  </si>
  <si>
    <t>Boden</t>
  </si>
  <si>
    <t>Boden (360x360)</t>
  </si>
  <si>
    <t>Datei</t>
  </si>
  <si>
    <t>Verkaufspreise_V07.xlsx</t>
  </si>
  <si>
    <t>Boden (420x360)</t>
  </si>
  <si>
    <t>Platten-Artikel</t>
  </si>
  <si>
    <t>Boden (580x360)</t>
  </si>
  <si>
    <t>Zubehör-Artikel</t>
  </si>
  <si>
    <t>Boden (780x360)</t>
  </si>
  <si>
    <t>Duplikate</t>
  </si>
  <si>
    <t>✅ 0 – bereinigt</t>
  </si>
  <si>
    <t>Boden (980x360)</t>
  </si>
  <si>
    <t>Warnungen</t>
  </si>
  <si>
    <t>Boden (360x580)</t>
  </si>
  <si>
    <t>CHF-Faktor</t>
  </si>
  <si>
    <t>Boden (420x580)</t>
  </si>
  <si>
    <t>Preisgruppen</t>
  </si>
  <si>
    <t>PG1=MDF, PG2=Alu, PG3=Furnier, PG4=Glas</t>
  </si>
  <si>
    <t>Boden (580x580)</t>
  </si>
  <si>
    <t>Boden (780x580)</t>
  </si>
  <si>
    <t>Boden (980x580)</t>
  </si>
  <si>
    <t>Boden (780x780)</t>
  </si>
  <si>
    <t>Boden (980x780)</t>
  </si>
  <si>
    <t>Boden (980x980)</t>
  </si>
  <si>
    <t>Boden (420x780)</t>
  </si>
  <si>
    <t>Boden (420x980)</t>
  </si>
  <si>
    <t>S_0003</t>
  </si>
  <si>
    <t>Boden (420x420)</t>
  </si>
  <si>
    <t>Seite außen</t>
  </si>
  <si>
    <t>Seite außen (360x180)</t>
  </si>
  <si>
    <t>Seite außen (360x360)</t>
  </si>
  <si>
    <t>Seite außen (360x720)</t>
  </si>
  <si>
    <t>Seite außen (360x1080)</t>
  </si>
  <si>
    <t>Seite außen (360x1440)</t>
  </si>
  <si>
    <t>Seite außen (360x1800)</t>
  </si>
  <si>
    <t>Seite außen (580x180)</t>
  </si>
  <si>
    <t>Seite außen (580x360)</t>
  </si>
  <si>
    <t>Seite außen (580x720)</t>
  </si>
  <si>
    <t>Seite außen (580x1080)</t>
  </si>
  <si>
    <t>Seite außen (580x1440)</t>
  </si>
  <si>
    <t>Seite außen (580x1800)</t>
  </si>
  <si>
    <t>Seite außen (180x780)</t>
  </si>
  <si>
    <t>Seite außen (180x980)</t>
  </si>
  <si>
    <t>Seite außen (360x780)</t>
  </si>
  <si>
    <t>Seite außen (360x980)</t>
  </si>
  <si>
    <t>Seite außen (720x780)</t>
  </si>
  <si>
    <t>Seite außen (720x980)</t>
  </si>
  <si>
    <t>Seite außen (1080x780)</t>
  </si>
  <si>
    <t>Seite außen (1080x980)</t>
  </si>
  <si>
    <t>Seite außen (1440x780)</t>
  </si>
  <si>
    <t>Seite außen (1440x980)</t>
  </si>
  <si>
    <t>Seite außen (1800x780)</t>
  </si>
  <si>
    <t>Seite außen (1800x980)</t>
  </si>
  <si>
    <t>Seite außen (580x580)</t>
  </si>
  <si>
    <t>S_0020</t>
  </si>
  <si>
    <t>Seite außen (660x360)</t>
  </si>
  <si>
    <t>Seite außen SY32</t>
  </si>
  <si>
    <t>Seite außen SY32 (360x360)</t>
  </si>
  <si>
    <t>Seite außen SY32 (360x720)</t>
  </si>
  <si>
    <t>Seite außen SY32 (360x1080)</t>
  </si>
  <si>
    <t>Seite außen SY32 (360x1440)</t>
  </si>
  <si>
    <t>Seite außen SY32 (360x1800)</t>
  </si>
  <si>
    <t>Seite außen SY32 (580x360)</t>
  </si>
  <si>
    <t>Seite außen SY32 (580x720)</t>
  </si>
  <si>
    <t>Seite außen SY32 (580x1080)</t>
  </si>
  <si>
    <t>Seite außen SY32 (580x1440)</t>
  </si>
  <si>
    <t>Seite außen SY32 (580x1800)</t>
  </si>
  <si>
    <t>Seite außen SY32 (180x780)</t>
  </si>
  <si>
    <t>Seite außen SY32 (180x980)</t>
  </si>
  <si>
    <t>Seite außen SY32 (360x780)</t>
  </si>
  <si>
    <t>Seite außen SY32 (360x980)</t>
  </si>
  <si>
    <t>Seite außen SY32 (720x780)</t>
  </si>
  <si>
    <t>Seite außen SY32 (720x980)</t>
  </si>
  <si>
    <t>Seite außen SY32 (1080x780)</t>
  </si>
  <si>
    <t>Seite außen SY32 (1080x980)</t>
  </si>
  <si>
    <t>Seite außen SY32 (1440x780)</t>
  </si>
  <si>
    <t>Seite außen SY32 (1440x980)</t>
  </si>
  <si>
    <t>Seite außen SY32 (1800x780)</t>
  </si>
  <si>
    <t>Seite außen SY32 (1800x980)</t>
  </si>
  <si>
    <t>Rücken</t>
  </si>
  <si>
    <t>Rücken (360x180)</t>
  </si>
  <si>
    <t>Rücken (420x180)</t>
  </si>
  <si>
    <t>Rücken (580x180)</t>
  </si>
  <si>
    <t>Rücken (780x180)</t>
  </si>
  <si>
    <t>Rücken (980x180)</t>
  </si>
  <si>
    <t>Rücken (360x360)</t>
  </si>
  <si>
    <t>Rücken (420x360)</t>
  </si>
  <si>
    <t>Rücken (580x360)</t>
  </si>
  <si>
    <t>Rücken (780x360)</t>
  </si>
  <si>
    <t>Rücken (980x360)</t>
  </si>
  <si>
    <t>Rücken (360x720)</t>
  </si>
  <si>
    <t>Rücken (420x720)</t>
  </si>
  <si>
    <t>Rücken (580x720)</t>
  </si>
  <si>
    <t>Rücken (780x720)</t>
  </si>
  <si>
    <t>Rücken (980x720)</t>
  </si>
  <si>
    <t>Rücken (360x1080)</t>
  </si>
  <si>
    <t>Rücken (420x1080)</t>
  </si>
  <si>
    <t>Rücken (580x1080)</t>
  </si>
  <si>
    <t>Rücken (780x1080)</t>
  </si>
  <si>
    <t>Rücken (980x1080)</t>
  </si>
  <si>
    <t>Rücken (360x1440)</t>
  </si>
  <si>
    <t>Rücken (420x1440)</t>
  </si>
  <si>
    <t>Rücken (580x1440)</t>
  </si>
  <si>
    <t>Rücken (780x1440)</t>
  </si>
  <si>
    <t>Rücken (980x1440)</t>
  </si>
  <si>
    <t>Rücken (360x1800)</t>
  </si>
  <si>
    <t>Rücken (420x1800)</t>
  </si>
  <si>
    <t>Rücken (580x1800)</t>
  </si>
  <si>
    <t>Rücken (780x1800)</t>
  </si>
  <si>
    <t>Rücken (980x1800)</t>
  </si>
  <si>
    <t>Seite innen</t>
  </si>
  <si>
    <t>Seite innen (360x180)</t>
  </si>
  <si>
    <t>Seite innen (360x360)</t>
  </si>
  <si>
    <t>Seite innen (360x720)</t>
  </si>
  <si>
    <t>Seite innen (360x1080)</t>
  </si>
  <si>
    <t>Seite innen (360x1440)</t>
  </si>
  <si>
    <t>Seite innen (360x1800)</t>
  </si>
  <si>
    <t>Seite innen (580x180)</t>
  </si>
  <si>
    <t>Seite innen (580x360)</t>
  </si>
  <si>
    <t>Seite innen (580x720)</t>
  </si>
  <si>
    <t>Seite innen (580x1080)</t>
  </si>
  <si>
    <t>Seite innen (580x1440)</t>
  </si>
  <si>
    <t>Seite innen (580x1800)</t>
  </si>
  <si>
    <t>Seite innen (180x780)</t>
  </si>
  <si>
    <t>Seite innen (180x980)</t>
  </si>
  <si>
    <t>Seite innen (360x780)</t>
  </si>
  <si>
    <t>Seite innen (360x980)</t>
  </si>
  <si>
    <t>Seite innen (720x780)</t>
  </si>
  <si>
    <t>Seite innen (720x980)</t>
  </si>
  <si>
    <t>Seite innen (1080x780)</t>
  </si>
  <si>
    <t>Seite innen (1080x980)</t>
  </si>
  <si>
    <t>Seite innen (1440x780)</t>
  </si>
  <si>
    <t>Seite innen (1440x980)</t>
  </si>
  <si>
    <t>Seite innen (1800x780)</t>
  </si>
  <si>
    <t>Seite innen (1800x980)</t>
  </si>
  <si>
    <t>Seite innen (580x580)</t>
  </si>
  <si>
    <t>Seite innen SY32</t>
  </si>
  <si>
    <t>Seite innen SY32 (360x360)</t>
  </si>
  <si>
    <t>Seite innen SY32 (360x720)</t>
  </si>
  <si>
    <t>Seite innen SY32 (360x1080)</t>
  </si>
  <si>
    <t>Seite innen SY32 (360x1440)</t>
  </si>
  <si>
    <t>Seite innen SY32 (360x1800)</t>
  </si>
  <si>
    <t>Seite innen SY32 (580x360)</t>
  </si>
  <si>
    <t>Seite innen SY32 (580x720)</t>
  </si>
  <si>
    <t>Seite innen SY32 (580x1080)</t>
  </si>
  <si>
    <t>Seite innen SY32 (580x1440)</t>
  </si>
  <si>
    <t>Seite innen SY32 (580x1800)</t>
  </si>
  <si>
    <t>Seite innen SY32 (720x780)</t>
  </si>
  <si>
    <t>Seite innen SY32 (720x980)</t>
  </si>
  <si>
    <t>Seite innen SY32 (1080x780)</t>
  </si>
  <si>
    <t>Seite innen SY32 (1080x980)</t>
  </si>
  <si>
    <t>Seite innen SY32 (1440x780)</t>
  </si>
  <si>
    <t>Seite innen SY32 (1440x980)</t>
  </si>
  <si>
    <t>Seite innen SY32 (1800x780)</t>
  </si>
  <si>
    <t>Seite innen SY32 (1800x980)</t>
  </si>
  <si>
    <t>Seite innen SY32 DB</t>
  </si>
  <si>
    <t>Seite innen SY32 DB (360x360)</t>
  </si>
  <si>
    <t>Seite innen SY32 DB (360x720)</t>
  </si>
  <si>
    <t>Seite innen SY32 DB (360x1080)</t>
  </si>
  <si>
    <t>Seite innen SY32 DB (360x1440)</t>
  </si>
  <si>
    <t>Seite innen SY32 DB (360x1800)</t>
  </si>
  <si>
    <t>Seite innen SY32 DB (580x360)</t>
  </si>
  <si>
    <t>Seite innen SY32 DB (580x720)</t>
  </si>
  <si>
    <t>Seite innen SY32 DB (580x1080)</t>
  </si>
  <si>
    <t>Seite innen SY32 DB (580x1440)</t>
  </si>
  <si>
    <t>Seite innen SY32 DB (580x1800)</t>
  </si>
  <si>
    <t>Fachboden klein</t>
  </si>
  <si>
    <t>Fachboden klein (360x360)</t>
  </si>
  <si>
    <t>Fachboden klein (420x360)</t>
  </si>
  <si>
    <t>Fachboden klein (580x360)</t>
  </si>
  <si>
    <t>Fachboden klein (780x360)</t>
  </si>
  <si>
    <t>Fachboden klein (980x360)</t>
  </si>
  <si>
    <t>Fachboden klein (360x580)</t>
  </si>
  <si>
    <t>Fachboden klein (420x580)</t>
  </si>
  <si>
    <t>Fachboden klein (580x580)</t>
  </si>
  <si>
    <t>Fachboden klein (780x580)</t>
  </si>
  <si>
    <t>Fachboden klein (980x580)</t>
  </si>
  <si>
    <t>Fachboden klein (780x780)</t>
  </si>
  <si>
    <t>Fachboden klein (980x780)</t>
  </si>
  <si>
    <t>Fachboden klein (980x980)</t>
  </si>
  <si>
    <t>Fachboden groß</t>
  </si>
  <si>
    <t>Fachboden groß (360x360)</t>
  </si>
  <si>
    <t>Fachboden groß (420x360)</t>
  </si>
  <si>
    <t>Fachboden groß (580x360)</t>
  </si>
  <si>
    <t>Fachboden groß (780x360)</t>
  </si>
  <si>
    <t>Fachboden groß (980x360)</t>
  </si>
  <si>
    <t>Fachboden groß (360x580)</t>
  </si>
  <si>
    <t>Fachboden groß (420x580)</t>
  </si>
  <si>
    <t>Fachboden groß (580x580)</t>
  </si>
  <si>
    <t>Fachboden groß (780x580)</t>
  </si>
  <si>
    <t>Fachboden groß (980x580)</t>
  </si>
  <si>
    <t>Fachboden groß (780x780)</t>
  </si>
  <si>
    <t>Fachboden groß (980x780)</t>
  </si>
  <si>
    <t>Fachboden groß (980x980)</t>
  </si>
  <si>
    <t>Klappenboden</t>
  </si>
  <si>
    <t>Klappenboden (360x360)</t>
  </si>
  <si>
    <t>Klappenboden (420x360)</t>
  </si>
  <si>
    <t>Klappenboden (580x360)</t>
  </si>
  <si>
    <t>Klappenboden (780x360)</t>
  </si>
  <si>
    <t>Klappenboden (980x360)</t>
  </si>
  <si>
    <t>Klappenboden (360x580)</t>
  </si>
  <si>
    <t>Klappenboden (420x580)</t>
  </si>
  <si>
    <t>Klappenboden (580x580)</t>
  </si>
  <si>
    <t>Klappenboden (780x580)</t>
  </si>
  <si>
    <t>Klappenboden (980x580)</t>
  </si>
  <si>
    <t>Klappenboden (420x780)</t>
  </si>
  <si>
    <t>Klappenboden (420x980)</t>
  </si>
  <si>
    <t>Klappenboden (780x780)</t>
  </si>
  <si>
    <t>Klappenboden (780x980)</t>
  </si>
  <si>
    <t>Klappenboden (980x780)</t>
  </si>
  <si>
    <t>Klappenboden (980x980)</t>
  </si>
  <si>
    <t>Klappe (420x180)</t>
  </si>
  <si>
    <t>Klappe (420x360)</t>
  </si>
  <si>
    <t>Klappe (580x180)</t>
  </si>
  <si>
    <t>Klappe (580x360)</t>
  </si>
  <si>
    <t>Klappe (780x180)</t>
  </si>
  <si>
    <t>Klappe (780x360)</t>
  </si>
  <si>
    <t>Klappe (980x180)</t>
  </si>
  <si>
    <t>Klappe (980x360)</t>
  </si>
  <si>
    <t>Klappe (360x180)</t>
  </si>
  <si>
    <t>Klappe (360x360)</t>
  </si>
  <si>
    <t>S_0046</t>
  </si>
  <si>
    <t>Klappe (980x420)</t>
  </si>
  <si>
    <t>Tür</t>
  </si>
  <si>
    <t>Tür (420x360)</t>
  </si>
  <si>
    <t>Tür (420x720)</t>
  </si>
  <si>
    <t>Tür (420x1080)</t>
  </si>
  <si>
    <t>Tür (420x1440)</t>
  </si>
  <si>
    <t>Tür (420x1800)</t>
  </si>
  <si>
    <t>Tür (580x360)</t>
  </si>
  <si>
    <t>Tür (580x720)</t>
  </si>
  <si>
    <t>Tür (580x1080)</t>
  </si>
  <si>
    <t>Tür (580x1440)</t>
  </si>
  <si>
    <t>Tür (580x1800)</t>
  </si>
  <si>
    <t>Tür (360x360)</t>
  </si>
  <si>
    <t>Tür (780x360)</t>
  </si>
  <si>
    <t>Doppeltür</t>
  </si>
  <si>
    <t>Doppeltür (780x360)</t>
  </si>
  <si>
    <t>Doppeltür (780x660)</t>
  </si>
  <si>
    <t>Doppeltür (780x720)</t>
  </si>
  <si>
    <t>Doppeltür (780x1080)</t>
  </si>
  <si>
    <t>Doppeltür (780x1440)</t>
  </si>
  <si>
    <t>Doppeltür (780x1800)</t>
  </si>
  <si>
    <t>Doppeltür (980x360)</t>
  </si>
  <si>
    <t>Doppeltür (980x720)</t>
  </si>
  <si>
    <t>Doppeltür (980x1080)</t>
  </si>
  <si>
    <t>Doppeltür (980x1440)</t>
  </si>
  <si>
    <t>Doppeltür (980x1800)</t>
  </si>
  <si>
    <t>Schublade (420x180)</t>
  </si>
  <si>
    <t>Schublade (420x360)</t>
  </si>
  <si>
    <t>Schublade (580x180)</t>
  </si>
  <si>
    <t>Schublade (580x360)</t>
  </si>
  <si>
    <t>Schublade (780x180)</t>
  </si>
  <si>
    <t>Schublade (780x360)</t>
  </si>
  <si>
    <t>Schublade (980x180)</t>
  </si>
  <si>
    <t>Schublade (980x360)</t>
  </si>
  <si>
    <t>S_0044</t>
  </si>
  <si>
    <t>Schubl.</t>
  </si>
  <si>
    <t xml:space="preserve"> (780x180)</t>
  </si>
  <si>
    <t>S_0001</t>
  </si>
  <si>
    <t>Schublade (420x134)</t>
  </si>
  <si>
    <t>⚠ nicht OK</t>
  </si>
  <si>
    <t>S_0002</t>
  </si>
  <si>
    <t>Schublade (420x220)</t>
  </si>
  <si>
    <t>S_0009</t>
  </si>
  <si>
    <t>Schublade (412x121)</t>
  </si>
  <si>
    <t>S_0010</t>
  </si>
  <si>
    <t>Schublade (412x400)</t>
  </si>
  <si>
    <t>S_0017</t>
  </si>
  <si>
    <t>Schublade (420x145)</t>
  </si>
  <si>
    <t>S_0018</t>
  </si>
  <si>
    <t>Schublade (420x293)</t>
  </si>
  <si>
    <t>S_0029</t>
  </si>
  <si>
    <t>Schublade (420x67)</t>
  </si>
  <si>
    <t>S_0033</t>
  </si>
  <si>
    <t>Schublade (420x142)</t>
  </si>
  <si>
    <t>S_0034</t>
  </si>
  <si>
    <t>Schublade (420x280)</t>
  </si>
  <si>
    <t>S_0037</t>
  </si>
  <si>
    <t>Schublade (420x141)</t>
  </si>
  <si>
    <t>Schublade LB 1</t>
  </si>
  <si>
    <t>Schublade LB 1 (420x180)</t>
  </si>
  <si>
    <t>Schublade LB 1 (420x360)</t>
  </si>
  <si>
    <t>Schublade LB 1 (580x180)</t>
  </si>
  <si>
    <t>Schublade LB 1 (580x360)</t>
  </si>
  <si>
    <t>Schublade LB 1 (780x180)</t>
  </si>
  <si>
    <t>Schublade LB 1 (780x360)</t>
  </si>
  <si>
    <t>Schublade LB 1 (980x180)</t>
  </si>
  <si>
    <t>Schublade LB 1 (980x360)</t>
  </si>
  <si>
    <t>Schublade LB 2</t>
  </si>
  <si>
    <t>Schublade LB 2 (420x180)</t>
  </si>
  <si>
    <t>Schublade LB 2 (420x360)</t>
  </si>
  <si>
    <t>Schublade LB 2 (580x180)</t>
  </si>
  <si>
    <t>Schublade LB 2 (580x360)</t>
  </si>
  <si>
    <t>Schublade LB 2 (780x180)</t>
  </si>
  <si>
    <t>Schublade LB 2 (780x360)</t>
  </si>
  <si>
    <t>Schublade LB 2 (980x180)</t>
  </si>
  <si>
    <t>Schublade LB 2 (980x360)</t>
  </si>
  <si>
    <t>PG1_EUR</t>
  </si>
  <si>
    <t>PG1_CHF</t>
  </si>
  <si>
    <t>Zubehör</t>
  </si>
  <si>
    <t>Würfel 30mm</t>
  </si>
  <si>
    <t>Würfel 46mm</t>
  </si>
  <si>
    <t>Profil</t>
  </si>
  <si>
    <t>Profil 30mm roh</t>
  </si>
  <si>
    <t>Profil 30mm 180</t>
  </si>
  <si>
    <t>Profil 30mm 360</t>
  </si>
  <si>
    <t>Profil 30mm 420</t>
  </si>
  <si>
    <t>Profil 30mm 580</t>
  </si>
  <si>
    <t>Profil 30mm 660</t>
  </si>
  <si>
    <t>Profil 30mm 720</t>
  </si>
  <si>
    <t>Profil 30mm 780</t>
  </si>
  <si>
    <t>Profil 30mm 980</t>
  </si>
  <si>
    <t>Profil 30mm 1080</t>
  </si>
  <si>
    <t>Profil 30mm 1440</t>
  </si>
  <si>
    <t>Profil 30mm 1800</t>
  </si>
  <si>
    <t>Profil 46mm</t>
  </si>
  <si>
    <t>Schlösser</t>
  </si>
  <si>
    <t>Schloss</t>
  </si>
  <si>
    <t>Griff</t>
  </si>
  <si>
    <t>Push to open / Blanko</t>
  </si>
  <si>
    <t>Luno</t>
  </si>
  <si>
    <t>Linea</t>
  </si>
  <si>
    <t>Rondo</t>
  </si>
  <si>
    <t xml:space="preserve">Axio </t>
  </si>
  <si>
    <t>Axio groß</t>
  </si>
  <si>
    <t>Retrox</t>
  </si>
  <si>
    <t>Reling</t>
  </si>
  <si>
    <t>Reling gross</t>
  </si>
  <si>
    <t>Uno</t>
  </si>
  <si>
    <t>Ombra</t>
  </si>
  <si>
    <t>Solano</t>
  </si>
  <si>
    <t>Arcano</t>
  </si>
  <si>
    <t>Bridge</t>
  </si>
  <si>
    <t>Bridge groß</t>
  </si>
  <si>
    <t>Allungo</t>
  </si>
  <si>
    <t>Hängeregister</t>
  </si>
  <si>
    <t>Zubehör &amp; Sonstiges</t>
  </si>
  <si>
    <t>Rolle Teppich</t>
  </si>
  <si>
    <t>Rolle Parkett</t>
  </si>
  <si>
    <t>Stellfuß Alu</t>
  </si>
  <si>
    <t>Nivellierschraube</t>
  </si>
  <si>
    <t>CPU Halterung</t>
  </si>
  <si>
    <t>Kleinteile</t>
  </si>
  <si>
    <t>Tischgestell</t>
  </si>
  <si>
    <t>K</t>
  </si>
  <si>
    <t>S</t>
  </si>
  <si>
    <t>Tür rechts</t>
  </si>
  <si>
    <t>TR</t>
  </si>
  <si>
    <t>T</t>
  </si>
  <si>
    <t>Tür links</t>
  </si>
  <si>
    <t>TL</t>
  </si>
  <si>
    <t>DT</t>
  </si>
  <si>
    <t>Artmodul – Preismodell aus Einzelteilpreisen (PG1 MDF, Netto €)</t>
  </si>
  <si>
    <t xml:space="preserve">  Tiefe 360 mm</t>
  </si>
  <si>
    <t>H 180 mm</t>
  </si>
  <si>
    <t>H 360 mm</t>
  </si>
  <si>
    <t>H 720 mm</t>
  </si>
  <si>
    <t>H 1080 mm</t>
  </si>
  <si>
    <t>H 1440 mm</t>
  </si>
  <si>
    <t>H 1800 mm</t>
  </si>
  <si>
    <t xml:space="preserve">  Tiefe 580 mm</t>
  </si>
  <si>
    <t>Tiefe</t>
  </si>
  <si>
    <t>Höhe</t>
  </si>
  <si>
    <t>Breite</t>
  </si>
  <si>
    <t>USM
Breite</t>
  </si>
  <si>
    <t>Δ absolut €</t>
  </si>
  <si>
    <t>Δ relativ %</t>
  </si>
  <si>
    <t>Durchschnitt</t>
  </si>
  <si>
    <t>GESAMTÜBERSICHT</t>
  </si>
  <si>
    <t>Ø Δ absolut</t>
  </si>
  <si>
    <t>Ø Δ relativ</t>
  </si>
  <si>
    <t>GESAMT Ø</t>
  </si>
  <si>
    <t>USM
Brutto €</t>
  </si>
  <si>
    <t>Ø USM Brutto</t>
  </si>
  <si>
    <t>⚙️ PREISSTEUERUNG</t>
  </si>
  <si>
    <t>Globaler Faktor</t>
  </si>
  <si>
    <t>← Eingabe (z.B. 0.85 = -15%)</t>
  </si>
  <si>
    <t>Faktor</t>
  </si>
  <si>
    <t>Effektiver Faktor</t>
  </si>
  <si>
    <t>💡 Faktor 1.00 = Originalpreis</t>
  </si>
  <si>
    <t>💡 Faktor 0.80 = -20%, Faktor 1.15 = +15%</t>
  </si>
  <si>
    <t>💡 Effektiv = Global × Kategorie</t>
  </si>
  <si>
    <t>PG1_Angepasst</t>
  </si>
  <si>
    <t>PG1_Angep.</t>
  </si>
  <si>
    <t>Artmodul – Preismodell v2 mit dynamischen Faktoren (PG1 MDF, Brutto €)</t>
  </si>
  <si>
    <t>Artmodul v2
Brutto €</t>
  </si>
  <si>
    <t>davon
MwSt €</t>
  </si>
  <si>
    <t>Ø Art. Brutto</t>
  </si>
  <si>
    <t>⚙️ Aktueller globaler Faktor:</t>
  </si>
  <si>
    <t>Preisvergleich: Artmodul v2 (brutto) vs. USM (brutto) — nur verfügbare Konfigurationen</t>
  </si>
  <si>
    <t>Nur Größen-Paare, die in beiden Systemen verfügbar sind. Gelb markierte USM-Preise = vom Nutzer überarbeitet.</t>
  </si>
  <si>
    <t>Tiefe: Artmodul 360 mm ↔ USM 350 mm</t>
  </si>
  <si>
    <t>Art.
Breite</t>
  </si>
  <si>
    <t>Art.
Höhe</t>
  </si>
  <si>
    <t>USM
Höhe</t>
  </si>
  <si>
    <t>Art.
günstiger?</t>
  </si>
  <si>
    <t>Art.
Netto €</t>
  </si>
  <si>
    <t>Tiefe: Artmodul 580 mm ↔ USM 500 mm</t>
  </si>
  <si>
    <t>(12 Paare)</t>
  </si>
  <si>
    <t>(9 Paare)</t>
  </si>
  <si>
    <t>(11 Paare)</t>
  </si>
  <si>
    <t>(32 Paare)</t>
  </si>
  <si>
    <t>Preisanalyse Artmodul vs. USM — Erkenntnisse &amp; Handlungsempfehlungen</t>
  </si>
  <si>
    <t>Stand: Dynamisches Modell mit differenzierten Kategorie-Faktoren</t>
  </si>
  <si>
    <t>1. Ausgangslage</t>
  </si>
  <si>
    <t>•</t>
  </si>
  <si>
    <t>Artmodul-Einzelteilpreise (PG1 MDF) wurden komponentenweise zu Konfigurationspreisen aufgebaut</t>
  </si>
  <si>
    <t>Formel pro Element: 2× Boden + 2× Seite + 1× Rücken + 8× Würfel + 4× Profil (B/H/T) + ggf. Front</t>
  </si>
  <si>
    <t>Verglichen mit USM-Bruttopreisen (inkl. MwSt), Artmodul + 19% MwSt</t>
  </si>
  <si>
    <t>Vergleichsbasis: 32 Konfigurationspaare mit nächstliegenden Maßen (z.B. 420↔395, 580↔500, 780↔750 mm)</t>
  </si>
  <si>
    <t>USM-Preismodell enthält nur noch vom Nutzer verifizierte/überarbeitete Konfigurationen</t>
  </si>
  <si>
    <t>2. Kernerkenntnisse</t>
  </si>
  <si>
    <t>2a. Gesamtvergleich bei Originalpreisen (Faktor 1,00)</t>
  </si>
  <si>
    <t>Kennzahl</t>
  </si>
  <si>
    <t>Artmodul Brutto</t>
  </si>
  <si>
    <t>USM Brutto</t>
  </si>
  <si>
    <t>Δ absolut</t>
  </si>
  <si>
    <t>Δ relativ</t>
  </si>
  <si>
    <t>Ø alle 32 Paare</t>
  </si>
  <si>
    <t>2b. Abweichung nach Front-Kategorie (differenzierte Faktoren)</t>
  </si>
  <si>
    <t>Paare</t>
  </si>
  <si>
    <t>Bewertung</t>
  </si>
  <si>
    <t>⚠️ Leicht teurer — Hebel bei Strukturbauteilen</t>
  </si>
  <si>
    <t>✅ Wettbewerbsfähig — im Schnitt günstiger</t>
  </si>
  <si>
    <t>✅ Klar günstiger — stärkste Kategorie</t>
  </si>
  <si>
    <t>2c. Warum sind offene Elemente teurer?</t>
  </si>
  <si>
    <t>Bei offenen Elementen besteht der Preis nur aus Strukturbauteilen (Böden, Seiten, Rücken, Profile, Würfel).</t>
  </si>
  <si>
    <t>USM-Preise beinhalten offenbar eine Quersubventionierung: offene Elemente sind relativ günstig, Front-Aufpreise relativ hoch.</t>
  </si>
  <si>
    <t>Artmodul kalkuliert komponentenbasiert — ohne diese Quersubventionierung sind offene Elemente im Vergleich teurer.</t>
  </si>
  <si>
    <t>Bei Fronten (Klappe, Schublade) wird dies ausgeglichen: Artmodul-Frontenpreise sind im Verhältnis moderater.</t>
  </si>
  <si>
    <t>Die Tiefe 580 mm verschärft das Problem: größere Seitenplatten + Profile treiben den Strukturpreis überproportional.</t>
  </si>
  <si>
    <t>3. Aktuelle Faktor-Konfiguration</t>
  </si>
  <si>
    <t>Bauteile-Gruppe</t>
  </si>
  <si>
    <t>Abschlag</t>
  </si>
  <si>
    <t>Begründung</t>
  </si>
  <si>
    <t>Strukturbauteile</t>
  </si>
  <si>
    <t>Stärkster Hebel — machen offene Elemente teuer</t>
  </si>
  <si>
    <t>Böden, Seiten, Rücken, Fachböden, Profile</t>
  </si>
  <si>
    <t>Zubehör &amp; Kleinteile</t>
  </si>
  <si>
    <t>Mittelweg — geringer Preiseinfluss pro Element</t>
  </si>
  <si>
    <t>Würfel, Griffe, Schlösser, Hängeregister</t>
  </si>
  <si>
    <t>Klappen &amp; Türen</t>
  </si>
  <si>
    <t>Bereits wettbewerbsfähig — moderater Abschlag genügt</t>
  </si>
  <si>
    <t>Klappe, Tür, Doppeltür</t>
  </si>
  <si>
    <t>Schubladen</t>
  </si>
  <si>
    <t>Stärkste Kategorie — nur minimaler Abschlag nötig</t>
  </si>
  <si>
    <t>Schublade, Schublade LB 1/2</t>
  </si>
  <si>
    <t>4. Handlungsempfehlungen</t>
  </si>
  <si>
    <t>🔴 Hoch</t>
  </si>
  <si>
    <t>Strukturbauteil-Kosten senken</t>
  </si>
  <si>
    <t>Böden, Seiten und Rücken machen bei offenen Elementen ~80% des Preises aus. Faktor 0,75 (−25%) bringt Offen-Elemente auf +2,6% vs. USM. Für volle Parität wäre ~0,70 nötig.</t>
  </si>
  <si>
    <t>🟡 Mittel</t>
  </si>
  <si>
    <t>Differenzierte Preisgruppen etablieren</t>
  </si>
  <si>
    <t>Einheitlicher Abschlag passt nicht für alle Kategorien. Empfehlung: Strukturbauteile aggressiver bepreisen, Fronten moderater. Das aktuelle Modell mit 4 Faktor-Gruppen liefert eine ausgeglichene Preisstruktur.</t>
  </si>
  <si>
    <t>🟢 Niedrig</t>
  </si>
  <si>
    <t>Schubladen als Verkaufsargument nutzen</t>
  </si>
  <si>
    <t>Schubladen-Konfigurationen sind im Schnitt 2,2% günstiger als USM. Bei großen Bestellungen mit Schubladenanteil kann Artmodul preislich überzeugen.</t>
  </si>
  <si>
    <t>Tiefe-580-Konfigurationen separat bewerten</t>
  </si>
  <si>
    <t>T580-Elemente zeigen größere Abweichungen als T360 (+12% bei offenen B780/T580). Ggf. separater Tiefe-Aufschlag oder differenzierter Seiten-Faktor für 580mm.</t>
  </si>
  <si>
    <t>🟢 Info</t>
  </si>
  <si>
    <t>Break-Even-Faktoren als Referenz</t>
  </si>
  <si>
    <t>Globaler Break-Even bei ~0,82. Differenziert: Offen ~0,75, Klappe ~0,82, Schublade ~0,85. Die aktuelle Konfiguration liegt nahe an diesen Werten.</t>
  </si>
  <si>
    <t>5. Modell-Übersicht &amp; Navigation</t>
  </si>
  <si>
    <t>Tabellenblatt</t>
  </si>
  <si>
    <t>Inhalt &amp; Zweck</t>
  </si>
  <si>
    <t>Artmodul_Preislogik</t>
  </si>
  <si>
    <t>Einzelteilpreise mit dynamischen Kategorie-Faktoren (Spalte P = angepasste Preise, S-U = Steuerung)</t>
  </si>
  <si>
    <t>Preismodell_Artmodul_v2</t>
  </si>
  <si>
    <t>Konfigurationspreise (Brutto) aus angepassten Einzelteilpreisen — reagiert auf Faktor-Änderungen</t>
  </si>
  <si>
    <t>Preismodell_USM</t>
  </si>
  <si>
    <t>USM-Bruttopreise (vom Nutzer überarbeitet, nur verfügbare Konfigurationen)</t>
  </si>
  <si>
    <t>Preisvergleich</t>
  </si>
  <si>
    <t>Detaillierter Brutto-Vergleich Artmodul v2 vs. USM mit Δ absolut &amp; relativ (32 Paare)</t>
  </si>
  <si>
    <t>Annahmen &amp; Aufschläge</t>
  </si>
  <si>
    <t>Ursprüngliche USM-Hochrechnungsformel und Kalibrierungsparameter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</si>
</sst>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4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276221"/>
      <name val="Arial"/>
      <family val="2"/>
    </font>
    <font>
      <i/>
      <sz val="10"/>
      <color rgb="FF1F4E79"/>
      <name val="Arial"/>
      <family val="2"/>
    </font>
    <font>
      <sz val="10"/>
      <color rgb="FF276221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1F4E79"/>
      <name val="Arial"/>
      <family val="2"/>
    </font>
    <font>
      <b/>
      <sz val="10"/>
      <color rgb="FF1F4E79"/>
      <name val="Arial"/>
      <family val="2"/>
    </font>
    <font>
      <b/>
      <sz val="9"/>
      <color rgb="FFFFFFFF"/>
      <name val="Arial"/>
      <family val="2"/>
    </font>
    <font>
      <b/>
      <i/>
      <sz val="10"/>
      <color theme="1"/>
      <name val="Arial"/>
      <family val="2"/>
    </font>
    <font>
      <b/>
      <sz val="14"/>
      <color rgb="FFFFFFFF"/>
      <name val="Arial"/>
      <family val="2"/>
    </font>
    <font>
      <b/>
      <sz val="14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C00000"/>
      <name val="Arial"/>
      <family val="2"/>
    </font>
    <font>
      <b/>
      <sz val="14"/>
      <color rgb="FFC00000"/>
      <name val="Calibri"/>
      <family val="2"/>
      <charset val="1"/>
    </font>
    <font>
      <i/>
      <sz val="9"/>
      <color rgb="FF666666"/>
      <name val="Calibri"/>
      <family val="2"/>
      <charset val="1"/>
    </font>
    <font>
      <sz val="10"/>
      <color rgb="FF666666"/>
      <name val="Arial"/>
      <family val="2"/>
    </font>
    <font>
      <b/>
      <sz val="14"/>
      <color rgb="FF1F4E79"/>
      <name val="Arial"/>
      <family val="2"/>
    </font>
    <font>
      <i/>
      <sz val="10"/>
      <color rgb="FF666666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0000F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0F7EE"/>
        <bgColor rgb="FFEBF5FB"/>
      </patternFill>
    </fill>
    <fill>
      <patternFill patternType="solid">
        <fgColor rgb="FFEBF5FB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FDE7"/>
        <bgColor rgb="FFFFFFFF"/>
      </patternFill>
    </fill>
    <fill>
      <patternFill patternType="solid">
        <fgColor rgb="FFE3F2FD"/>
        <bgColor rgb="FFEBF5FB"/>
      </patternFill>
    </fill>
    <fill>
      <patternFill patternType="solid">
        <fgColor rgb="FFFCE4D6"/>
        <bgColor rgb="FFF0F7EE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0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rgb="FFE3F2FD"/>
      </patternFill>
    </fill>
    <fill>
      <patternFill patternType="solid">
        <fgColor rgb="FFFFC000"/>
        <bgColor rgb="FFFFFDE7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xfId="0"/>
    <xf numFmtId="0" fontId="12" fillId="0" borderId="0" xfId="0" applyFont="1"/>
    <xf numFmtId="0" fontId="9" fillId="0" borderId="0" xfId="0" applyFont="1"/>
    <xf numFmtId="0" fontId="4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indent="1"/>
    </xf>
    <xf numFmtId="164" fontId="7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5" fillId="9" borderId="2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indent="1"/>
    </xf>
    <xf numFmtId="0" fontId="5" fillId="11" borderId="2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left" vertical="center"/>
    </xf>
    <xf numFmtId="4" fontId="8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4" fontId="11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4" fontId="11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5" fillId="12" borderId="0" xfId="1" applyFont="1" applyFill="1" applyAlignment="1">
      <alignment horizontal="center"/>
    </xf>
    <xf numFmtId="0" fontId="1" fillId="0" borderId="0" xfId="1"/>
    <xf numFmtId="0" fontId="16" fillId="13" borderId="0" xfId="1" applyFont="1" applyFill="1"/>
    <xf numFmtId="3" fontId="1" fillId="0" borderId="0" xfId="1" applyNumberFormat="1"/>
    <xf numFmtId="0" fontId="14" fillId="0" borderId="0" xfId="1" applyFont="1"/>
    <xf numFmtId="0" fontId="13" fillId="14" borderId="0" xfId="1" applyFont="1" applyFill="1"/>
    <xf numFmtId="0" fontId="15" fillId="15" borderId="0" xfId="1" applyFont="1" applyFill="1"/>
    <xf numFmtId="3" fontId="15" fillId="15" borderId="0" xfId="1" applyNumberFormat="1" applyFont="1" applyFill="1"/>
    <xf numFmtId="0" fontId="14" fillId="0" borderId="3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6" xfId="1" applyFont="1" applyBorder="1" applyAlignment="1">
      <alignment horizontal="right"/>
    </xf>
    <xf numFmtId="0" fontId="14" fillId="0" borderId="4" xfId="1" applyFont="1" applyBorder="1"/>
    <xf numFmtId="0" fontId="14" fillId="0" borderId="5" xfId="1" applyFont="1" applyBorder="1"/>
    <xf numFmtId="0" fontId="14" fillId="0" borderId="7" xfId="1" applyFont="1" applyBorder="1"/>
    <xf numFmtId="0" fontId="1" fillId="0" borderId="8" xfId="1" applyBorder="1"/>
    <xf numFmtId="0" fontId="14" fillId="0" borderId="9" xfId="1" applyFont="1" applyBorder="1"/>
    <xf numFmtId="0" fontId="1" fillId="0" borderId="10" xfId="1" applyBorder="1"/>
    <xf numFmtId="0" fontId="1" fillId="0" borderId="11" xfId="1" applyBorder="1"/>
    <xf numFmtId="0" fontId="14" fillId="0" borderId="12" xfId="1" applyFont="1" applyBorder="1" applyAlignment="1">
      <alignment horizontal="right"/>
    </xf>
    <xf numFmtId="0" fontId="14" fillId="0" borderId="13" xfId="1" applyFont="1" applyBorder="1"/>
    <xf numFmtId="0" fontId="14" fillId="0" borderId="14" xfId="1" applyFont="1" applyBorder="1"/>
    <xf numFmtId="0" fontId="14" fillId="16" borderId="7" xfId="1" applyFont="1" applyFill="1" applyBorder="1"/>
    <xf numFmtId="0" fontId="1" fillId="0" borderId="15" xfId="1" applyBorder="1"/>
    <xf numFmtId="0" fontId="1" fillId="0" borderId="16" xfId="1" applyBorder="1"/>
    <xf numFmtId="0" fontId="14" fillId="0" borderId="12" xfId="1" applyFont="1" applyBorder="1"/>
    <xf numFmtId="0" fontId="17" fillId="0" borderId="0" xfId="0" applyFont="1"/>
    <xf numFmtId="0" fontId="2" fillId="0" borderId="0" xfId="0" applyFont="1"/>
    <xf numFmtId="0" fontId="3" fillId="17" borderId="0" xfId="0" applyFont="1" applyFill="1"/>
    <xf numFmtId="0" fontId="0" fillId="0" borderId="0" xfId="0" applyAlignment="1">
      <alignment wrapText="1"/>
    </xf>
    <xf numFmtId="0" fontId="4" fillId="18" borderId="0" xfId="0" applyFont="1" applyFill="1"/>
    <xf numFmtId="0" fontId="4" fillId="18" borderId="0" xfId="0" applyFont="1" applyFill="1" applyAlignment="1">
      <alignment horizont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18" xfId="0" applyFont="1" applyFill="1" applyBorder="1" applyAlignment="1">
      <alignment horizontal="center" vertical="center" wrapText="1"/>
    </xf>
    <xf numFmtId="0" fontId="4" fillId="18" borderId="19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21" fillId="0" borderId="0" xfId="0" applyFont="1"/>
    <xf numFmtId="0" fontId="20" fillId="20" borderId="0" xfId="0" applyFont="1" applyFill="1" applyAlignment="1">
      <alignment horizontal="center"/>
    </xf>
    <xf numFmtId="0" fontId="20" fillId="20" borderId="23" xfId="0" applyFont="1" applyFill="1" applyBorder="1" applyAlignment="1">
      <alignment horizontal="center"/>
    </xf>
    <xf numFmtId="164" fontId="21" fillId="19" borderId="23" xfId="0" applyNumberFormat="1" applyFont="1" applyFill="1" applyBorder="1" applyAlignment="1">
      <alignment horizontal="center"/>
    </xf>
    <xf numFmtId="164" fontId="21" fillId="19" borderId="24" xfId="0" applyNumberFormat="1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164" fontId="21" fillId="21" borderId="23" xfId="0" applyNumberFormat="1" applyFont="1" applyFill="1" applyBorder="1" applyAlignment="1">
      <alignment horizontal="center"/>
    </xf>
    <xf numFmtId="164" fontId="21" fillId="21" borderId="24" xfId="0" applyNumberFormat="1" applyFont="1" applyFill="1" applyBorder="1" applyAlignment="1">
      <alignment horizontal="center"/>
    </xf>
    <xf numFmtId="164" fontId="21" fillId="21" borderId="1" xfId="0" applyNumberFormat="1" applyFont="1" applyFill="1" applyBorder="1" applyAlignment="1">
      <alignment horizontal="center"/>
    </xf>
    <xf numFmtId="164" fontId="21" fillId="21" borderId="27" xfId="0" applyNumberFormat="1" applyFont="1" applyFill="1" applyBorder="1" applyAlignment="1">
      <alignment horizontal="center"/>
    </xf>
    <xf numFmtId="0" fontId="21" fillId="20" borderId="22" xfId="0" applyFont="1" applyFill="1" applyBorder="1" applyAlignment="1">
      <alignment horizontal="center"/>
    </xf>
    <xf numFmtId="0" fontId="21" fillId="20" borderId="26" xfId="0" applyFont="1" applyFill="1" applyBorder="1" applyAlignment="1">
      <alignment horizontal="center"/>
    </xf>
    <xf numFmtId="0" fontId="20" fillId="20" borderId="28" xfId="0" applyFont="1" applyFill="1" applyBorder="1"/>
    <xf numFmtId="0" fontId="21" fillId="20" borderId="28" xfId="0" applyFont="1" applyFill="1" applyBorder="1"/>
    <xf numFmtId="0" fontId="21" fillId="20" borderId="2" xfId="0" applyFont="1" applyFill="1" applyBorder="1"/>
    <xf numFmtId="0" fontId="0" fillId="22" borderId="0" xfId="0" applyFill="1"/>
    <xf numFmtId="0" fontId="20" fillId="23" borderId="0" xfId="0" applyFont="1" applyFill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20" fillId="23" borderId="23" xfId="0" applyFont="1" applyFill="1" applyBorder="1" applyAlignment="1">
      <alignment horizontal="center"/>
    </xf>
    <xf numFmtId="0" fontId="21" fillId="23" borderId="22" xfId="0" applyFont="1" applyFill="1" applyBorder="1" applyAlignment="1">
      <alignment horizontal="center"/>
    </xf>
    <xf numFmtId="0" fontId="21" fillId="23" borderId="26" xfId="0" applyFont="1" applyFill="1" applyBorder="1" applyAlignment="1">
      <alignment horizontal="center"/>
    </xf>
    <xf numFmtId="0" fontId="20" fillId="23" borderId="28" xfId="0" applyFont="1" applyFill="1" applyBorder="1"/>
    <xf numFmtId="0" fontId="21" fillId="23" borderId="28" xfId="0" applyFont="1" applyFill="1" applyBorder="1"/>
    <xf numFmtId="0" fontId="21" fillId="23" borderId="2" xfId="0" applyFont="1" applyFill="1" applyBorder="1"/>
    <xf numFmtId="0" fontId="20" fillId="24" borderId="1" xfId="0" applyFont="1" applyFill="1" applyBorder="1" applyAlignment="1">
      <alignment horizontal="center"/>
    </xf>
    <xf numFmtId="0" fontId="20" fillId="24" borderId="23" xfId="0" applyFont="1" applyFill="1" applyBorder="1" applyAlignment="1">
      <alignment horizontal="center"/>
    </xf>
    <xf numFmtId="0" fontId="21" fillId="24" borderId="22" xfId="0" applyFont="1" applyFill="1" applyBorder="1" applyAlignment="1">
      <alignment horizontal="center"/>
    </xf>
    <xf numFmtId="0" fontId="21" fillId="24" borderId="26" xfId="0" applyFont="1" applyFill="1" applyBorder="1" applyAlignment="1">
      <alignment horizontal="center"/>
    </xf>
    <xf numFmtId="0" fontId="20" fillId="24" borderId="28" xfId="0" applyFont="1" applyFill="1" applyBorder="1"/>
    <xf numFmtId="0" fontId="21" fillId="24" borderId="28" xfId="0" applyFont="1" applyFill="1" applyBorder="1"/>
    <xf numFmtId="0" fontId="21" fillId="24" borderId="2" xfId="0" applyFont="1" applyFill="1" applyBorder="1"/>
    <xf numFmtId="0" fontId="20" fillId="25" borderId="0" xfId="0" applyFont="1" applyFill="1" applyAlignment="1">
      <alignment horizontal="center"/>
    </xf>
    <xf numFmtId="0" fontId="20" fillId="25" borderId="1" xfId="0" applyFont="1" applyFill="1" applyBorder="1" applyAlignment="1">
      <alignment horizontal="center"/>
    </xf>
    <xf numFmtId="0" fontId="20" fillId="25" borderId="23" xfId="0" applyFont="1" applyFill="1" applyBorder="1" applyAlignment="1">
      <alignment horizontal="center"/>
    </xf>
    <xf numFmtId="0" fontId="21" fillId="25" borderId="22" xfId="0" applyFont="1" applyFill="1" applyBorder="1" applyAlignment="1">
      <alignment horizontal="center"/>
    </xf>
    <xf numFmtId="0" fontId="21" fillId="25" borderId="26" xfId="0" applyFont="1" applyFill="1" applyBorder="1" applyAlignment="1">
      <alignment horizontal="center"/>
    </xf>
    <xf numFmtId="0" fontId="20" fillId="25" borderId="28" xfId="0" applyFont="1" applyFill="1" applyBorder="1"/>
    <xf numFmtId="0" fontId="21" fillId="25" borderId="28" xfId="0" applyFont="1" applyFill="1" applyBorder="1"/>
    <xf numFmtId="0" fontId="21" fillId="25" borderId="2" xfId="0" applyFont="1" applyFill="1" applyBorder="1"/>
    <xf numFmtId="0" fontId="22" fillId="0" borderId="0" xfId="0" applyFont="1"/>
    <xf numFmtId="0" fontId="24" fillId="18" borderId="0" xfId="0" applyFont="1" applyFill="1" applyAlignment="1">
      <alignment horizontal="center" vertical="center" wrapText="1"/>
    </xf>
    <xf numFmtId="0" fontId="0" fillId="26" borderId="0" xfId="0" applyFill="1"/>
    <xf numFmtId="0" fontId="0" fillId="21" borderId="0" xfId="0" applyFill="1"/>
    <xf numFmtId="164" fontId="21" fillId="26" borderId="0" xfId="0" applyNumberFormat="1" applyFont="1" applyFill="1" applyBorder="1" applyAlignment="1">
      <alignment horizontal="center"/>
    </xf>
    <xf numFmtId="165" fontId="21" fillId="26" borderId="0" xfId="0" applyNumberFormat="1" applyFont="1" applyFill="1" applyBorder="1" applyAlignment="1">
      <alignment horizontal="center"/>
    </xf>
    <xf numFmtId="0" fontId="21" fillId="26" borderId="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5" fillId="27" borderId="31" xfId="0" applyFont="1" applyFill="1" applyBorder="1" applyAlignment="1">
      <alignment horizontal="center"/>
    </xf>
    <xf numFmtId="0" fontId="21" fillId="27" borderId="31" xfId="0" applyFont="1" applyFill="1" applyBorder="1" applyAlignment="1">
      <alignment horizontal="center"/>
    </xf>
    <xf numFmtId="164" fontId="21" fillId="27" borderId="31" xfId="0" applyNumberFormat="1" applyFont="1" applyFill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0" fontId="3" fillId="17" borderId="0" xfId="0" applyFont="1" applyFill="1" applyAlignment="1">
      <alignment horizontal="center"/>
    </xf>
    <xf numFmtId="164" fontId="3" fillId="17" borderId="0" xfId="0" applyNumberFormat="1" applyFont="1" applyFill="1" applyAlignment="1">
      <alignment horizontal="center"/>
    </xf>
    <xf numFmtId="165" fontId="3" fillId="17" borderId="0" xfId="0" applyNumberFormat="1" applyFont="1" applyFill="1" applyAlignment="1">
      <alignment horizontal="center"/>
    </xf>
    <xf numFmtId="0" fontId="26" fillId="17" borderId="0" xfId="1" applyFont="1" applyFill="1"/>
    <xf numFmtId="0" fontId="18" fillId="0" borderId="0" xfId="1" applyFont="1"/>
    <xf numFmtId="2" fontId="27" fillId="28" borderId="32" xfId="1" applyNumberFormat="1" applyFont="1" applyFill="1" applyBorder="1"/>
    <xf numFmtId="0" fontId="28" fillId="0" borderId="0" xfId="1" applyFont="1"/>
    <xf numFmtId="0" fontId="4" fillId="18" borderId="0" xfId="1" applyFont="1" applyFill="1" applyAlignment="1">
      <alignment horizontal="center"/>
    </xf>
    <xf numFmtId="0" fontId="21" fillId="26" borderId="0" xfId="1" applyFont="1" applyFill="1" applyBorder="1"/>
    <xf numFmtId="2" fontId="29" fillId="23" borderId="0" xfId="1" applyNumberFormat="1" applyFont="1" applyFill="1" applyBorder="1" applyAlignment="1">
      <alignment horizontal="center"/>
    </xf>
    <xf numFmtId="2" fontId="30" fillId="26" borderId="0" xfId="1" applyNumberFormat="1" applyFont="1" applyFill="1" applyBorder="1" applyAlignment="1">
      <alignment horizontal="center"/>
    </xf>
    <xf numFmtId="0" fontId="21" fillId="21" borderId="29" xfId="1" applyFont="1" applyFill="1" applyBorder="1"/>
    <xf numFmtId="2" fontId="29" fillId="23" borderId="29" xfId="1" applyNumberFormat="1" applyFont="1" applyFill="1" applyBorder="1" applyAlignment="1">
      <alignment horizontal="center"/>
    </xf>
    <xf numFmtId="2" fontId="30" fillId="21" borderId="29" xfId="1" applyNumberFormat="1" applyFont="1" applyFill="1" applyBorder="1" applyAlignment="1">
      <alignment horizontal="center"/>
    </xf>
    <xf numFmtId="0" fontId="21" fillId="21" borderId="30" xfId="1" applyFont="1" applyFill="1" applyBorder="1"/>
    <xf numFmtId="2" fontId="29" fillId="23" borderId="30" xfId="1" applyNumberFormat="1" applyFont="1" applyFill="1" applyBorder="1" applyAlignment="1">
      <alignment horizontal="center"/>
    </xf>
    <xf numFmtId="2" fontId="30" fillId="21" borderId="30" xfId="1" applyNumberFormat="1" applyFont="1" applyFill="1" applyBorder="1" applyAlignment="1">
      <alignment horizontal="center"/>
    </xf>
    <xf numFmtId="0" fontId="21" fillId="26" borderId="30" xfId="1" applyFont="1" applyFill="1" applyBorder="1"/>
    <xf numFmtId="2" fontId="30" fillId="26" borderId="30" xfId="1" applyNumberFormat="1" applyFont="1" applyFill="1" applyBorder="1" applyAlignment="1">
      <alignment horizontal="center"/>
    </xf>
    <xf numFmtId="0" fontId="15" fillId="29" borderId="0" xfId="1" applyFont="1" applyFill="1" applyAlignment="1">
      <alignment horizontal="center"/>
    </xf>
    <xf numFmtId="3" fontId="31" fillId="0" borderId="0" xfId="1" applyNumberFormat="1" applyFont="1"/>
    <xf numFmtId="0" fontId="32" fillId="0" borderId="0" xfId="0" applyFont="1"/>
    <xf numFmtId="2" fontId="33" fillId="0" borderId="0" xfId="0" applyNumberFormat="1" applyFont="1"/>
    <xf numFmtId="0" fontId="20" fillId="20" borderId="0" xfId="0" applyFont="1" applyFill="1" applyBorder="1" applyAlignment="1">
      <alignment horizontal="center"/>
    </xf>
    <xf numFmtId="0" fontId="21" fillId="20" borderId="30" xfId="0" applyFont="1" applyFill="1" applyBorder="1" applyAlignment="1">
      <alignment horizontal="center"/>
    </xf>
    <xf numFmtId="0" fontId="21" fillId="21" borderId="30" xfId="0" applyFont="1" applyFill="1" applyBorder="1" applyAlignment="1">
      <alignment horizontal="center"/>
    </xf>
    <xf numFmtId="164" fontId="21" fillId="21" borderId="30" xfId="0" applyNumberFormat="1" applyFont="1" applyFill="1" applyBorder="1" applyAlignment="1">
      <alignment horizontal="center"/>
    </xf>
    <xf numFmtId="165" fontId="21" fillId="21" borderId="30" xfId="0" applyNumberFormat="1" applyFont="1" applyFill="1" applyBorder="1" applyAlignment="1">
      <alignment horizontal="center"/>
    </xf>
    <xf numFmtId="0" fontId="21" fillId="26" borderId="30" xfId="0" applyFont="1" applyFill="1" applyBorder="1" applyAlignment="1">
      <alignment horizontal="center"/>
    </xf>
    <xf numFmtId="164" fontId="21" fillId="26" borderId="30" xfId="0" applyNumberFormat="1" applyFont="1" applyFill="1" applyBorder="1" applyAlignment="1">
      <alignment horizontal="center"/>
    </xf>
    <xf numFmtId="165" fontId="21" fillId="26" borderId="30" xfId="0" applyNumberFormat="1" applyFont="1" applyFill="1" applyBorder="1" applyAlignment="1">
      <alignment horizontal="center"/>
    </xf>
    <xf numFmtId="0" fontId="20" fillId="23" borderId="30" xfId="0" applyFont="1" applyFill="1" applyBorder="1" applyAlignment="1">
      <alignment horizontal="center"/>
    </xf>
    <xf numFmtId="0" fontId="21" fillId="23" borderId="30" xfId="0" applyFont="1" applyFill="1" applyBorder="1" applyAlignment="1">
      <alignment horizontal="center"/>
    </xf>
    <xf numFmtId="0" fontId="20" fillId="25" borderId="30" xfId="0" applyFont="1" applyFill="1" applyBorder="1" applyAlignment="1">
      <alignment horizontal="center"/>
    </xf>
    <xf numFmtId="0" fontId="21" fillId="25" borderId="30" xfId="0" applyFont="1" applyFill="1" applyBorder="1" applyAlignment="1">
      <alignment horizontal="center"/>
    </xf>
    <xf numFmtId="165" fontId="21" fillId="27" borderId="31" xfId="0" applyNumberFormat="1" applyFont="1" applyFill="1" applyBorder="1" applyAlignment="1">
      <alignment horizontal="center"/>
    </xf>
    <xf numFmtId="164" fontId="7" fillId="30" borderId="1" xfId="0" applyNumberFormat="1" applyFont="1" applyFill="1" applyBorder="1" applyAlignment="1">
      <alignment horizontal="center" vertical="center"/>
    </xf>
    <xf numFmtId="164" fontId="7" fillId="31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5" fillId="0" borderId="0" xfId="0" applyFont="1" applyAlignment="1">
      <alignment horizontal="center"/>
    </xf>
    <xf numFmtId="0" fontId="1" fillId="0" borderId="0" xfId="1" applyAlignment="1">
      <alignment horizontal="right"/>
    </xf>
    <xf numFmtId="0" fontId="36" fillId="0" borderId="0" xfId="0" applyFont="1"/>
    <xf numFmtId="0" fontId="37" fillId="0" borderId="0" xfId="0" applyFont="1"/>
    <xf numFmtId="0" fontId="38" fillId="17" borderId="0" xfId="0" applyFont="1" applyFill="1"/>
    <xf numFmtId="0" fontId="20" fillId="0" borderId="20" xfId="0" applyFont="1" applyBorder="1" applyAlignment="1">
      <alignment horizontal="center"/>
    </xf>
    <xf numFmtId="164" fontId="21" fillId="0" borderId="20" xfId="0" applyNumberFormat="1" applyFont="1" applyBorder="1" applyAlignment="1">
      <alignment horizontal="center"/>
    </xf>
    <xf numFmtId="165" fontId="21" fillId="0" borderId="20" xfId="0" applyNumberFormat="1" applyFont="1" applyBorder="1" applyAlignment="1">
      <alignment horizontal="center"/>
    </xf>
    <xf numFmtId="0" fontId="21" fillId="20" borderId="0" xfId="0" applyFont="1" applyFill="1" applyBorder="1" applyAlignment="1">
      <alignment horizontal="center"/>
    </xf>
    <xf numFmtId="164" fontId="21" fillId="20" borderId="0" xfId="0" applyNumberFormat="1" applyFont="1" applyFill="1" applyBorder="1" applyAlignment="1">
      <alignment horizontal="center"/>
    </xf>
    <xf numFmtId="165" fontId="21" fillId="20" borderId="0" xfId="0" applyNumberFormat="1" applyFont="1" applyFill="1" applyBorder="1" applyAlignment="1">
      <alignment horizontal="center"/>
    </xf>
    <xf numFmtId="0" fontId="21" fillId="20" borderId="0" xfId="0" applyFont="1" applyFill="1" applyBorder="1" applyAlignment="1">
      <alignment horizontal="left"/>
    </xf>
    <xf numFmtId="0" fontId="20" fillId="23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164" fontId="21" fillId="23" borderId="21" xfId="0" applyNumberFormat="1" applyFont="1" applyFill="1" applyBorder="1" applyAlignment="1">
      <alignment horizontal="center"/>
    </xf>
    <xf numFmtId="165" fontId="21" fillId="23" borderId="21" xfId="0" applyNumberFormat="1" applyFont="1" applyFill="1" applyBorder="1" applyAlignment="1">
      <alignment horizontal="center"/>
    </xf>
    <xf numFmtId="0" fontId="21" fillId="23" borderId="21" xfId="0" applyFont="1" applyFill="1" applyBorder="1" applyAlignment="1">
      <alignment horizontal="left"/>
    </xf>
    <xf numFmtId="0" fontId="20" fillId="25" borderId="25" xfId="0" applyFont="1" applyFill="1" applyBorder="1" applyAlignment="1">
      <alignment horizontal="center"/>
    </xf>
    <xf numFmtId="0" fontId="21" fillId="25" borderId="25" xfId="0" applyFont="1" applyFill="1" applyBorder="1" applyAlignment="1">
      <alignment horizontal="center"/>
    </xf>
    <xf numFmtId="164" fontId="21" fillId="25" borderId="25" xfId="0" applyNumberFormat="1" applyFont="1" applyFill="1" applyBorder="1" applyAlignment="1">
      <alignment horizontal="center"/>
    </xf>
    <xf numFmtId="165" fontId="21" fillId="25" borderId="25" xfId="0" applyNumberFormat="1" applyFont="1" applyFill="1" applyBorder="1" applyAlignment="1">
      <alignment horizontal="center"/>
    </xf>
    <xf numFmtId="0" fontId="21" fillId="25" borderId="25" xfId="0" applyFont="1" applyFill="1" applyBorder="1" applyAlignment="1">
      <alignment horizontal="left"/>
    </xf>
    <xf numFmtId="0" fontId="20" fillId="26" borderId="20" xfId="0" applyFont="1" applyFill="1" applyBorder="1"/>
    <xf numFmtId="2" fontId="39" fillId="26" borderId="20" xfId="0" applyNumberFormat="1" applyFont="1" applyFill="1" applyBorder="1" applyAlignment="1">
      <alignment horizontal="center"/>
    </xf>
    <xf numFmtId="9" fontId="21" fillId="26" borderId="20" xfId="0" applyNumberFormat="1" applyFont="1" applyFill="1" applyBorder="1" applyAlignment="1">
      <alignment horizontal="center"/>
    </xf>
    <xf numFmtId="0" fontId="21" fillId="26" borderId="20" xfId="0" applyFont="1" applyFill="1" applyBorder="1"/>
    <xf numFmtId="0" fontId="34" fillId="26" borderId="0" xfId="0" applyFont="1" applyFill="1"/>
    <xf numFmtId="0" fontId="20" fillId="21" borderId="20" xfId="0" applyFont="1" applyFill="1" applyBorder="1"/>
    <xf numFmtId="2" fontId="39" fillId="21" borderId="20" xfId="0" applyNumberFormat="1" applyFont="1" applyFill="1" applyBorder="1" applyAlignment="1">
      <alignment horizontal="center"/>
    </xf>
    <xf numFmtId="9" fontId="21" fillId="21" borderId="20" xfId="0" applyNumberFormat="1" applyFont="1" applyFill="1" applyBorder="1" applyAlignment="1">
      <alignment horizontal="center"/>
    </xf>
    <xf numFmtId="0" fontId="21" fillId="21" borderId="20" xfId="0" applyFont="1" applyFill="1" applyBorder="1"/>
    <xf numFmtId="0" fontId="34" fillId="21" borderId="0" xfId="0" applyFont="1" applyFill="1"/>
    <xf numFmtId="0" fontId="21" fillId="0" borderId="0" xfId="0" applyFont="1" applyAlignment="1">
      <alignment wrapText="1"/>
    </xf>
    <xf numFmtId="0" fontId="23" fillId="26" borderId="0" xfId="0" applyFont="1" applyFill="1" applyBorder="1"/>
    <xf numFmtId="0" fontId="21" fillId="26" borderId="0" xfId="0" applyFont="1" applyFill="1" applyBorder="1"/>
    <xf numFmtId="0" fontId="23" fillId="21" borderId="21" xfId="0" applyFont="1" applyFill="1" applyBorder="1"/>
    <xf numFmtId="0" fontId="21" fillId="21" borderId="21" xfId="0" applyFont="1" applyFill="1" applyBorder="1"/>
    <xf numFmtId="0" fontId="23" fillId="26" borderId="25" xfId="0" applyFont="1" applyFill="1" applyBorder="1"/>
    <xf numFmtId="0" fontId="21" fillId="26" borderId="25" xfId="0" applyFont="1" applyFill="1" applyBorder="1"/>
    <xf numFmtId="0" fontId="23" fillId="26" borderId="21" xfId="0" applyFont="1" applyFill="1" applyBorder="1"/>
    <xf numFmtId="0" fontId="21" fillId="26" borderId="21" xfId="0" applyFont="1" applyFill="1" applyBorder="1"/>
  </cellXfs>
  <cellStyles count="2">
    <cellStyle name="Standard" xfId="0" builtinId="0"/>
    <cellStyle name="Standard 2" xfId="1" xr:uid="{5890A4DE-511D-41F6-9666-8726E70C5AB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6EFCE"/>
      <rgbColor rgb="FFF0F7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Development/Konfigurator/artmodul-konfigurator/Verkaufspreise_dummy.xlsx" TargetMode="External"/><Relationship Id="rId2" Type="http://schemas.openxmlformats.org/officeDocument/2006/relationships/externalLinkPath" Target="file:///C:\Users\Daniel%20Hachtel\Documents\Development\Konfigurator\artmodul-konfigurator\Verkaufspreise_dummy.xlsx" TargetMode="External"/><Relationship Id="rId1" Type="http://schemas.openxmlformats.org/officeDocument/2006/relationships/externalLinkPath" Target="/Users/Daniel%20Hachtel/Documents/Development/Konfigurator/artmodul-konfigurator/Verkaufspreise_dumm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tmodul\07_Kunden\2024\Blunier\Artmodul_Blunier_v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v\home$\dhachtel\MHZ\Projekte\Vertriebscontrolling\WL-Bericht%2022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ABLAG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MSOffice/Excel/1WH/AKTUEL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PRTKLL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Artmodul_Bestellvorlage_V19.xlsm" TargetMode="External"/><Relationship Id="rId2" Type="http://schemas.openxmlformats.org/officeDocument/2006/relationships/externalLinkPath" Target="file:///C:\Users\Daniel%20Hachtel\Desktop\Artmodul_Bestellvorlage_V19.xlsm" TargetMode="External"/><Relationship Id="rId1" Type="http://schemas.openxmlformats.org/officeDocument/2006/relationships/externalLinkPath" Target="/Users/Daniel%20Hachtel/Desktop/Artmodul_Bestellvorlage_V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islisten"/>
      <sheetName val="Kalkulation_Platten"/>
      <sheetName val="Größenfaktoren"/>
      <sheetName val="Preise_Würfel_Profile_Kleinteil"/>
      <sheetName val="Erklärung"/>
      <sheetName val="Konfigurator_Ex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Stückliste_W33"/>
      <sheetName val="Materialentnahmeschein"/>
      <sheetName val="Bestellvorlage_neu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 PG Bereiche 1"/>
      <sheetName val="Errechnung"/>
      <sheetName val="Bericht"/>
      <sheetName val="-"/>
      <sheetName val="Ist je Periode"/>
      <sheetName val="Kennzahlen"/>
      <sheetName val="Mastertabelle"/>
      <sheetName val="Zeitreihe"/>
      <sheetName val="---"/>
      <sheetName val="Diagramm gesamt"/>
      <sheetName val="----"/>
      <sheetName val="Bericht gesamt"/>
      <sheetName val="PG Bereiche ges"/>
      <sheetName val="PG Bereiche I"/>
      <sheetName val="PG Bereiche II"/>
      <sheetName val="PG Bereiche III"/>
      <sheetName val="PG Bereiche IV"/>
      <sheetName val="PG Bereiche V"/>
      <sheetName val="PG Bereiche VI"/>
      <sheetName val="Werk gesamt"/>
      <sheetName val="Werk Mus"/>
      <sheetName val="Werk Ste"/>
      <sheetName val="Werk Nst Konf"/>
      <sheetName val="Werk Rie"/>
      <sheetName val="Werk Hal"/>
      <sheetName val="Werk Kih"/>
      <sheetName val="Werk Kraslice"/>
      <sheetName val="Werk Nst Komp"/>
      <sheetName val="Werk Mark_GuV"/>
      <sheetName val="-----"/>
      <sheetName val="PG gesamt"/>
      <sheetName val="PG I"/>
      <sheetName val="PG II"/>
      <sheetName val="PG III"/>
      <sheetName val="PG IV"/>
      <sheetName val="PG V"/>
      <sheetName val="------"/>
      <sheetName val="-------"/>
      <sheetName val="PG Schienen NST Konf"/>
      <sheetName val="PG Stangen NST Konf"/>
      <sheetName val="PG Rollo Mus"/>
      <sheetName val="PG Vertikal Hal"/>
      <sheetName val="PG Handelss. Nst Konf"/>
      <sheetName val="PG Handelss. Nst Komp"/>
      <sheetName val="PG Handelss. Kraslice"/>
      <sheetName val="PG Horizontal Rie"/>
      <sheetName val="PG Systemt Nst Komp"/>
      <sheetName val="PG Plissee Ste"/>
      <sheetName val="PG Plissee Kraslice"/>
      <sheetName val="PG Raffrollo Kraslice"/>
      <sheetName val="PG Raffrollo Nst Konf"/>
      <sheetName val="PG Flächenvorhang Nst Konf"/>
      <sheetName val="PG Flächenvorhang Mus"/>
      <sheetName val="PG Insekten Nst Konf"/>
      <sheetName val="PG Insekten Kraslice"/>
      <sheetName val="PG Holzjalousie Rie"/>
      <sheetName val="PG Gelenkarm Kih"/>
      <sheetName val="PG Beschattungen Kih"/>
      <sheetName val="PG Fenster-Fassaden Kih"/>
      <sheetName val="PG Kassettenrollos Kih"/>
      <sheetName val="PG Sonst. Prod. Kih"/>
      <sheetName val="PG Solix Kraslice"/>
      <sheetName val="PG TWA Kih"/>
      <sheetName val="PG ETuBGR Kih"/>
      <sheetName val="PG Sonst.Leist. Kih"/>
      <sheetName val="PG ARS Rie"/>
      <sheetName val="PG Metallb Kih"/>
      <sheetName val="PG R&amp;B Kih"/>
      <sheetName val="PG sonst. Leist. Mark"/>
      <sheetName val="PG Komp IU Nst"/>
      <sheetName val="PG Komp IU Konf Nst"/>
      <sheetName val="GuV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</v>
          </cell>
        </row>
      </sheetData>
      <sheetData sheetId="7"/>
      <sheetData sheetId="8"/>
      <sheetData sheetId="9"/>
      <sheetData sheetId="10"/>
      <sheetData sheetId="11">
        <row r="4">
          <cell r="B4">
            <v>1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 t="str">
            <v>YTD</v>
          </cell>
          <cell r="Q4" t="str">
            <v>YTD</v>
          </cell>
          <cell r="R4" t="str">
            <v>YTD ges</v>
          </cell>
          <cell r="T4">
            <v>1</v>
          </cell>
          <cell r="U4">
            <v>2</v>
          </cell>
          <cell r="V4">
            <v>3</v>
          </cell>
          <cell r="W4">
            <v>4</v>
          </cell>
          <cell r="X4">
            <v>5</v>
          </cell>
          <cell r="Y4">
            <v>6</v>
          </cell>
          <cell r="Z4">
            <v>7</v>
          </cell>
          <cell r="AA4">
            <v>8</v>
          </cell>
          <cell r="AB4">
            <v>9</v>
          </cell>
          <cell r="AC4">
            <v>10</v>
          </cell>
          <cell r="AD4">
            <v>11</v>
          </cell>
          <cell r="AE4">
            <v>12</v>
          </cell>
          <cell r="AF4" t="str">
            <v>YTD</v>
          </cell>
          <cell r="AG4" t="str">
            <v>YTD</v>
          </cell>
          <cell r="AH4" t="str">
            <v>YTD ges</v>
          </cell>
          <cell r="AI4" t="str">
            <v>pm</v>
          </cell>
          <cell r="AK4">
            <v>4</v>
          </cell>
          <cell r="AL4">
            <v>5</v>
          </cell>
          <cell r="AM4">
            <v>6</v>
          </cell>
          <cell r="AN4">
            <v>7</v>
          </cell>
          <cell r="AO4">
            <v>8</v>
          </cell>
          <cell r="AP4">
            <v>9</v>
          </cell>
          <cell r="AQ4">
            <v>10</v>
          </cell>
          <cell r="AR4">
            <v>11</v>
          </cell>
          <cell r="AS4">
            <v>12</v>
          </cell>
          <cell r="AT4" t="str">
            <v>YTD</v>
          </cell>
          <cell r="AU4" t="str">
            <v>YTD</v>
          </cell>
          <cell r="AV4" t="str">
            <v>YTD ges</v>
          </cell>
          <cell r="AW4">
            <v>7</v>
          </cell>
          <cell r="AX4">
            <v>8</v>
          </cell>
          <cell r="AY4">
            <v>9</v>
          </cell>
          <cell r="AZ4">
            <v>10</v>
          </cell>
          <cell r="BA4">
            <v>11</v>
          </cell>
          <cell r="BB4">
            <v>12</v>
          </cell>
          <cell r="BC4" t="str">
            <v>YTD ges</v>
          </cell>
          <cell r="BD4">
            <v>9</v>
          </cell>
          <cell r="BE4">
            <v>10</v>
          </cell>
          <cell r="BF4">
            <v>11</v>
          </cell>
          <cell r="BG4">
            <v>12</v>
          </cell>
          <cell r="BH4" t="str">
            <v>YTD ges</v>
          </cell>
          <cell r="BI4" t="str">
            <v>pm</v>
          </cell>
          <cell r="BJ4" t="str">
            <v>YTD ges</v>
          </cell>
          <cell r="BL4">
            <v>1</v>
          </cell>
          <cell r="BM4">
            <v>2</v>
          </cell>
          <cell r="BN4">
            <v>3</v>
          </cell>
          <cell r="BO4">
            <v>4</v>
          </cell>
          <cell r="BP4">
            <v>5</v>
          </cell>
          <cell r="BQ4">
            <v>6</v>
          </cell>
          <cell r="BR4">
            <v>7</v>
          </cell>
          <cell r="BS4">
            <v>8</v>
          </cell>
          <cell r="BT4">
            <v>9</v>
          </cell>
          <cell r="BU4">
            <v>10</v>
          </cell>
          <cell r="BV4">
            <v>11</v>
          </cell>
          <cell r="BW4">
            <v>12</v>
          </cell>
          <cell r="BX4" t="str">
            <v>YTD</v>
          </cell>
          <cell r="BY4" t="str">
            <v>YTD</v>
          </cell>
          <cell r="BZ4" t="str">
            <v>YTD ges</v>
          </cell>
          <cell r="CA4" t="str">
            <v>pm</v>
          </cell>
          <cell r="CC4">
            <v>1</v>
          </cell>
          <cell r="CD4">
            <v>2</v>
          </cell>
          <cell r="CE4">
            <v>3</v>
          </cell>
          <cell r="CF4">
            <v>4</v>
          </cell>
          <cell r="CG4">
            <v>5</v>
          </cell>
          <cell r="CH4">
            <v>6</v>
          </cell>
          <cell r="CI4">
            <v>7</v>
          </cell>
          <cell r="CJ4">
            <v>8</v>
          </cell>
          <cell r="CK4">
            <v>9</v>
          </cell>
          <cell r="CL4">
            <v>10</v>
          </cell>
          <cell r="CM4">
            <v>11</v>
          </cell>
          <cell r="CN4">
            <v>12</v>
          </cell>
          <cell r="CO4" t="str">
            <v>YTD</v>
          </cell>
          <cell r="CP4" t="str">
            <v>YTD</v>
          </cell>
          <cell r="CQ4" t="str">
            <v>YTD ges</v>
          </cell>
          <cell r="CS4">
            <v>1</v>
          </cell>
          <cell r="CT4">
            <v>2</v>
          </cell>
          <cell r="CU4">
            <v>3</v>
          </cell>
          <cell r="CV4">
            <v>4</v>
          </cell>
          <cell r="CW4">
            <v>5</v>
          </cell>
          <cell r="CX4">
            <v>6</v>
          </cell>
          <cell r="CY4">
            <v>7</v>
          </cell>
          <cell r="CZ4">
            <v>8</v>
          </cell>
          <cell r="DA4">
            <v>9</v>
          </cell>
          <cell r="DB4">
            <v>10</v>
          </cell>
          <cell r="DC4">
            <v>11</v>
          </cell>
          <cell r="DD4">
            <v>12</v>
          </cell>
          <cell r="DE4" t="str">
            <v>YTD</v>
          </cell>
          <cell r="DF4" t="str">
            <v>YTD</v>
          </cell>
          <cell r="DG4" t="str">
            <v>YTD ges</v>
          </cell>
        </row>
        <row r="5">
          <cell r="B5">
            <v>2</v>
          </cell>
          <cell r="C5" t="str">
            <v>Brutto-Umsatz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14280296.43</v>
          </cell>
          <cell r="U5">
            <v>21760641.750000004</v>
          </cell>
          <cell r="V5">
            <v>27826869.990000002</v>
          </cell>
          <cell r="W5">
            <v>24656350.739999995</v>
          </cell>
          <cell r="X5">
            <v>28517637.419999994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117041796.33000003</v>
          </cell>
          <cell r="AH5">
            <v>117041796.33000003</v>
          </cell>
          <cell r="AI5">
            <v>0</v>
          </cell>
          <cell r="AK5">
            <v>1260334.77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63867808.169999987</v>
          </cell>
          <cell r="AV5">
            <v>63867808.169999987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117041796.33000003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117041796.33000003</v>
          </cell>
          <cell r="BI5">
            <v>0</v>
          </cell>
          <cell r="BJ5">
            <v>0</v>
          </cell>
          <cell r="BK5">
            <v>0</v>
          </cell>
          <cell r="BL5">
            <v>15984952.329999996</v>
          </cell>
          <cell r="BM5">
            <v>19630854.200000003</v>
          </cell>
          <cell r="BN5">
            <v>26975523.909999996</v>
          </cell>
          <cell r="BO5">
            <v>26367626.489999998</v>
          </cell>
          <cell r="BP5">
            <v>27076852.779999997</v>
          </cell>
          <cell r="BQ5">
            <v>29285277.419999998</v>
          </cell>
          <cell r="BR5">
            <v>29035318.749999993</v>
          </cell>
          <cell r="BS5">
            <v>25604204.330000002</v>
          </cell>
          <cell r="BT5">
            <v>22932606.830000002</v>
          </cell>
          <cell r="BU5">
            <v>20277954.719999991</v>
          </cell>
          <cell r="BV5">
            <v>22904948.530000005</v>
          </cell>
          <cell r="BW5">
            <v>19314129.529999997</v>
          </cell>
          <cell r="BX5">
            <v>0</v>
          </cell>
          <cell r="BY5">
            <v>285390249.81999987</v>
          </cell>
          <cell r="BZ5">
            <v>285390249.81999987</v>
          </cell>
          <cell r="CA5">
            <v>19314129.529999997</v>
          </cell>
          <cell r="CB5">
            <v>0</v>
          </cell>
          <cell r="CC5">
            <v>17866017.439999998</v>
          </cell>
          <cell r="CD5">
            <v>19822233.180000003</v>
          </cell>
          <cell r="CE5">
            <v>22000558.25</v>
          </cell>
          <cell r="CF5">
            <v>19596722.060000002</v>
          </cell>
          <cell r="CG5">
            <v>21258733.570000004</v>
          </cell>
          <cell r="CH5">
            <v>27697405.980000004</v>
          </cell>
          <cell r="CI5">
            <v>30262832.130000003</v>
          </cell>
          <cell r="CJ5">
            <v>24628741.359999999</v>
          </cell>
          <cell r="CK5">
            <v>26101084.810000002</v>
          </cell>
          <cell r="CL5">
            <v>26170503.579999994</v>
          </cell>
          <cell r="CM5">
            <v>23003243.240000006</v>
          </cell>
          <cell r="CN5">
            <v>21822107.769999996</v>
          </cell>
          <cell r="CO5">
            <v>0</v>
          </cell>
          <cell r="CP5">
            <v>280230183.37000006</v>
          </cell>
          <cell r="CQ5">
            <v>280230183.37000006</v>
          </cell>
          <cell r="CR5">
            <v>0</v>
          </cell>
          <cell r="CS5">
            <v>18144509.780000005</v>
          </cell>
          <cell r="CT5">
            <v>17844547.109999999</v>
          </cell>
          <cell r="CU5">
            <v>23398739.210000008</v>
          </cell>
          <cell r="CV5">
            <v>24706512.900000002</v>
          </cell>
          <cell r="CW5">
            <v>26594660.659999996</v>
          </cell>
          <cell r="CX5">
            <v>22839663.110000007</v>
          </cell>
          <cell r="CY5">
            <v>26530864.369999994</v>
          </cell>
          <cell r="CZ5">
            <v>24970120.030000005</v>
          </cell>
          <cell r="DA5">
            <v>22079128.879999995</v>
          </cell>
          <cell r="DB5">
            <v>21778705.739999995</v>
          </cell>
          <cell r="DC5">
            <v>20494266.009999994</v>
          </cell>
          <cell r="DD5">
            <v>14875372.910000004</v>
          </cell>
          <cell r="DE5">
            <v>0</v>
          </cell>
          <cell r="DF5">
            <v>264257090.70999998</v>
          </cell>
          <cell r="DG5">
            <v>264257090.70999998</v>
          </cell>
        </row>
        <row r="6">
          <cell r="B6">
            <v>3</v>
          </cell>
          <cell r="C6" t="str">
            <v>Faktura-Umsatz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6483800.4999999991</v>
          </cell>
          <cell r="U6">
            <v>9743551.7800000012</v>
          </cell>
          <cell r="V6">
            <v>12988219.759999998</v>
          </cell>
          <cell r="W6">
            <v>11625272.819999998</v>
          </cell>
          <cell r="X6">
            <v>13598467.76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54439312.620000005</v>
          </cell>
          <cell r="AH6">
            <v>54439312.620000005</v>
          </cell>
          <cell r="AI6">
            <v>0</v>
          </cell>
          <cell r="AK6">
            <v>226979.67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29215572.039999999</v>
          </cell>
          <cell r="AV6">
            <v>29215572.039999999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54439312.620000005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54439312.620000005</v>
          </cell>
          <cell r="BI6">
            <v>0</v>
          </cell>
          <cell r="BJ6">
            <v>0</v>
          </cell>
          <cell r="BK6">
            <v>0</v>
          </cell>
          <cell r="BL6">
            <v>6740982.0999999987</v>
          </cell>
          <cell r="BM6">
            <v>8552106.8300000019</v>
          </cell>
          <cell r="BN6">
            <v>12115865.010000002</v>
          </cell>
          <cell r="BO6">
            <v>12096348.479999999</v>
          </cell>
          <cell r="BP6">
            <v>12447978.489999998</v>
          </cell>
          <cell r="BQ6">
            <v>12976677.680000002</v>
          </cell>
          <cell r="BR6">
            <v>13461802.639999999</v>
          </cell>
          <cell r="BS6">
            <v>12180149.730000002</v>
          </cell>
          <cell r="BT6">
            <v>10865252.649999999</v>
          </cell>
          <cell r="BU6">
            <v>9611026.3999999966</v>
          </cell>
          <cell r="BV6">
            <v>10222781.600000001</v>
          </cell>
          <cell r="BW6">
            <v>9039154.1400000043</v>
          </cell>
          <cell r="BX6">
            <v>0</v>
          </cell>
          <cell r="BY6">
            <v>130310125.75000001</v>
          </cell>
          <cell r="BZ6">
            <v>130310125.75000001</v>
          </cell>
          <cell r="CA6">
            <v>9039154.1400000043</v>
          </cell>
          <cell r="CB6">
            <v>0</v>
          </cell>
          <cell r="CC6">
            <v>7717182.5600000005</v>
          </cell>
          <cell r="CD6">
            <v>8470879.5100000035</v>
          </cell>
          <cell r="CE6">
            <v>10242892.279999999</v>
          </cell>
          <cell r="CF6">
            <v>9577037.7399999984</v>
          </cell>
          <cell r="CG6">
            <v>10234457.840000002</v>
          </cell>
          <cell r="CH6">
            <v>12858626.150000002</v>
          </cell>
          <cell r="CI6">
            <v>13997377.48</v>
          </cell>
          <cell r="CJ6">
            <v>11562078.770000003</v>
          </cell>
          <cell r="CK6">
            <v>11939293.940000003</v>
          </cell>
          <cell r="CL6">
            <v>11976130.200000005</v>
          </cell>
          <cell r="CM6">
            <v>10126576.970000001</v>
          </cell>
          <cell r="CN6">
            <v>9588238.2500000019</v>
          </cell>
          <cell r="CO6">
            <v>0</v>
          </cell>
          <cell r="CP6">
            <v>128290771.68999998</v>
          </cell>
          <cell r="CQ6">
            <v>128290771.68999998</v>
          </cell>
          <cell r="CR6">
            <v>0</v>
          </cell>
          <cell r="CS6">
            <v>7583775.3399999999</v>
          </cell>
          <cell r="CT6">
            <v>7519031.620000001</v>
          </cell>
          <cell r="CU6">
            <v>10504074.410000002</v>
          </cell>
          <cell r="CV6">
            <v>11304246.359999999</v>
          </cell>
          <cell r="CW6">
            <v>12124702.82</v>
          </cell>
          <cell r="CX6">
            <v>10159687.449999997</v>
          </cell>
          <cell r="CY6">
            <v>11917238.529999999</v>
          </cell>
          <cell r="CZ6">
            <v>11623500.060000001</v>
          </cell>
          <cell r="DA6">
            <v>10091505.9</v>
          </cell>
          <cell r="DB6">
            <v>9691234.089999998</v>
          </cell>
          <cell r="DC6">
            <v>8871465.0399999991</v>
          </cell>
          <cell r="DD6">
            <v>6706638.8700000001</v>
          </cell>
          <cell r="DE6">
            <v>0</v>
          </cell>
          <cell r="DF6">
            <v>118097100.48999998</v>
          </cell>
          <cell r="DG6">
            <v>118097100.48999998</v>
          </cell>
        </row>
        <row r="7">
          <cell r="B7">
            <v>4</v>
          </cell>
          <cell r="C7" t="str">
            <v>Vertriebsumsatz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6443570.8899999969</v>
          </cell>
          <cell r="U7">
            <v>9694110.7100000046</v>
          </cell>
          <cell r="V7">
            <v>12903071.259999998</v>
          </cell>
          <cell r="W7">
            <v>11541265.610000003</v>
          </cell>
          <cell r="X7">
            <v>13495640.449999999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54077658.920000002</v>
          </cell>
          <cell r="AH7">
            <v>54077658.920000002</v>
          </cell>
          <cell r="AI7">
            <v>0</v>
          </cell>
          <cell r="AK7">
            <v>223141.68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29040752.859999996</v>
          </cell>
          <cell r="AV7">
            <v>29040752.859999996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54077658.920000002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54077658.920000002</v>
          </cell>
          <cell r="BI7">
            <v>0</v>
          </cell>
          <cell r="BJ7">
            <v>0</v>
          </cell>
          <cell r="BK7">
            <v>0</v>
          </cell>
          <cell r="BL7">
            <v>6667502.5399999982</v>
          </cell>
          <cell r="BM7">
            <v>8463385.7699999996</v>
          </cell>
          <cell r="BN7">
            <v>12038300.850000003</v>
          </cell>
          <cell r="BO7">
            <v>12018453.470000001</v>
          </cell>
          <cell r="BP7">
            <v>12356723.709999999</v>
          </cell>
          <cell r="BQ7">
            <v>12726184.720000003</v>
          </cell>
          <cell r="BR7">
            <v>13445166.639999997</v>
          </cell>
          <cell r="BS7">
            <v>12045170.300000003</v>
          </cell>
          <cell r="BT7">
            <v>10759770.220000001</v>
          </cell>
          <cell r="BU7">
            <v>9453010.1400000006</v>
          </cell>
          <cell r="BV7">
            <v>10101072.24</v>
          </cell>
          <cell r="BW7">
            <v>8894089.8700000029</v>
          </cell>
          <cell r="BX7">
            <v>0</v>
          </cell>
          <cell r="BY7">
            <v>128968830.47</v>
          </cell>
          <cell r="BZ7">
            <v>128968830.47</v>
          </cell>
          <cell r="CA7">
            <v>8894089.8700000029</v>
          </cell>
          <cell r="CB7">
            <v>0</v>
          </cell>
          <cell r="CC7">
            <v>7632745.3099999977</v>
          </cell>
          <cell r="CD7">
            <v>8364303.7400000012</v>
          </cell>
          <cell r="CE7">
            <v>10163510.129999997</v>
          </cell>
          <cell r="CF7">
            <v>9508681.1000000015</v>
          </cell>
          <cell r="CG7">
            <v>10172472.350000003</v>
          </cell>
          <cell r="CH7">
            <v>12771819.880000001</v>
          </cell>
          <cell r="CI7">
            <v>13886402.009999998</v>
          </cell>
          <cell r="CJ7">
            <v>11463790.339999996</v>
          </cell>
          <cell r="CK7">
            <v>11831448.250000002</v>
          </cell>
          <cell r="CL7">
            <v>11840860.93</v>
          </cell>
          <cell r="CM7">
            <v>10005851.630000003</v>
          </cell>
          <cell r="CN7">
            <v>9048807.0299999993</v>
          </cell>
          <cell r="CO7">
            <v>0</v>
          </cell>
          <cell r="CP7">
            <v>126690692.69999999</v>
          </cell>
          <cell r="CQ7">
            <v>126690692.69999999</v>
          </cell>
          <cell r="CR7">
            <v>0</v>
          </cell>
          <cell r="CS7">
            <v>7491410.4800000014</v>
          </cell>
          <cell r="CT7">
            <v>7419845.0899999999</v>
          </cell>
          <cell r="CU7">
            <v>10434254.930000002</v>
          </cell>
          <cell r="CV7">
            <v>11234973.090000002</v>
          </cell>
          <cell r="CW7">
            <v>12002411.789999999</v>
          </cell>
          <cell r="CX7">
            <v>10050719.869999997</v>
          </cell>
          <cell r="CY7">
            <v>11793625.659999998</v>
          </cell>
          <cell r="CZ7">
            <v>11270543.499999998</v>
          </cell>
          <cell r="DA7">
            <v>9987353.6599999983</v>
          </cell>
          <cell r="DB7">
            <v>9582923.7699999977</v>
          </cell>
          <cell r="DC7">
            <v>8800607.6199999992</v>
          </cell>
          <cell r="DD7">
            <v>6502442.04</v>
          </cell>
          <cell r="DE7">
            <v>0</v>
          </cell>
          <cell r="DF7">
            <v>116571111.49999999</v>
          </cell>
          <cell r="DG7">
            <v>116571111.49999999</v>
          </cell>
        </row>
        <row r="8">
          <cell r="B8">
            <v>5</v>
          </cell>
          <cell r="C8" t="str">
            <v>Bonus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79467.25999999998</v>
          </cell>
          <cell r="U8">
            <v>205246.72000000009</v>
          </cell>
          <cell r="V8">
            <v>287533.54000000004</v>
          </cell>
          <cell r="W8">
            <v>268777.04000000004</v>
          </cell>
          <cell r="X8">
            <v>272423.92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1113448.4799999997</v>
          </cell>
          <cell r="AH8">
            <v>1113448.4799999997</v>
          </cell>
          <cell r="AI8">
            <v>0</v>
          </cell>
          <cell r="AK8">
            <v>7650.24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572247.52</v>
          </cell>
          <cell r="AV8">
            <v>572247.52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1113448.4799999997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1113448.4799999997</v>
          </cell>
          <cell r="BI8">
            <v>0</v>
          </cell>
          <cell r="BJ8">
            <v>0</v>
          </cell>
          <cell r="BK8">
            <v>0</v>
          </cell>
          <cell r="BL8">
            <v>178162.02</v>
          </cell>
          <cell r="BM8">
            <v>99523.36</v>
          </cell>
          <cell r="BN8">
            <v>228251.18</v>
          </cell>
          <cell r="BO8">
            <v>167441.56</v>
          </cell>
          <cell r="BP8">
            <v>355652.44999999995</v>
          </cell>
          <cell r="BQ8">
            <v>281995.74</v>
          </cell>
          <cell r="BR8">
            <v>310909.87</v>
          </cell>
          <cell r="BS8">
            <v>270168.31999999995</v>
          </cell>
          <cell r="BT8">
            <v>227502.49999999994</v>
          </cell>
          <cell r="BU8">
            <v>64292.169999999984</v>
          </cell>
          <cell r="BV8">
            <v>206045.74999999994</v>
          </cell>
          <cell r="BW8">
            <v>308835.92000000004</v>
          </cell>
          <cell r="BX8">
            <v>0</v>
          </cell>
          <cell r="BY8">
            <v>2698780.8400000003</v>
          </cell>
          <cell r="BZ8">
            <v>2698780.8400000003</v>
          </cell>
          <cell r="CA8">
            <v>308835.92000000004</v>
          </cell>
          <cell r="CB8">
            <v>0</v>
          </cell>
          <cell r="CC8">
            <v>140895.21000000002</v>
          </cell>
          <cell r="CD8">
            <v>210814.02000000002</v>
          </cell>
          <cell r="CE8">
            <v>227081.7</v>
          </cell>
          <cell r="CF8">
            <v>215447.15</v>
          </cell>
          <cell r="CG8">
            <v>247844.03999999992</v>
          </cell>
          <cell r="CH8">
            <v>359252.86000000004</v>
          </cell>
          <cell r="CI8">
            <v>376897.25000000006</v>
          </cell>
          <cell r="CJ8">
            <v>292389.86999999994</v>
          </cell>
          <cell r="CK8">
            <v>275304.33999999997</v>
          </cell>
          <cell r="CL8">
            <v>250036.77000000002</v>
          </cell>
          <cell r="CM8">
            <v>229038.81</v>
          </cell>
          <cell r="CN8">
            <v>213544.82</v>
          </cell>
          <cell r="CO8">
            <v>0</v>
          </cell>
          <cell r="CP8">
            <v>3038546.8400000003</v>
          </cell>
          <cell r="CQ8">
            <v>3038546.8400000003</v>
          </cell>
          <cell r="CR8">
            <v>0</v>
          </cell>
          <cell r="CS8">
            <v>317932.58000000007</v>
          </cell>
          <cell r="CT8">
            <v>173218.98</v>
          </cell>
          <cell r="CU8">
            <v>266610.05</v>
          </cell>
          <cell r="CV8">
            <v>278607.71000000002</v>
          </cell>
          <cell r="CW8">
            <v>290665.87999999995</v>
          </cell>
          <cell r="CX8">
            <v>287777.39</v>
          </cell>
          <cell r="CY8">
            <v>286289.90000000002</v>
          </cell>
          <cell r="CZ8">
            <v>262902.74000000005</v>
          </cell>
          <cell r="DA8">
            <v>224219.06</v>
          </cell>
          <cell r="DB8">
            <v>181134.85000000006</v>
          </cell>
          <cell r="DC8">
            <v>189398.01</v>
          </cell>
          <cell r="DD8">
            <v>-28162.51999999996</v>
          </cell>
          <cell r="DE8">
            <v>0</v>
          </cell>
          <cell r="DF8">
            <v>2730594.6299999994</v>
          </cell>
          <cell r="DG8">
            <v>2730594.6299999994</v>
          </cell>
        </row>
        <row r="9">
          <cell r="B9">
            <v>6</v>
          </cell>
          <cell r="C9" t="str">
            <v>Skonto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134200.37000000005</v>
          </cell>
          <cell r="U9">
            <v>234650.26000000004</v>
          </cell>
          <cell r="V9">
            <v>281873.15999999992</v>
          </cell>
          <cell r="W9">
            <v>310782.85999999987</v>
          </cell>
          <cell r="X9">
            <v>335837.23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1297343.8800000004</v>
          </cell>
          <cell r="AH9">
            <v>1297343.8800000004</v>
          </cell>
          <cell r="AI9">
            <v>0</v>
          </cell>
          <cell r="AK9">
            <v>5910.32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650723.7899999998</v>
          </cell>
          <cell r="AV9">
            <v>650723.7899999998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1297343.8800000004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1297343.8800000004</v>
          </cell>
          <cell r="BI9">
            <v>0</v>
          </cell>
          <cell r="BJ9">
            <v>0</v>
          </cell>
          <cell r="BK9">
            <v>0</v>
          </cell>
          <cell r="BL9">
            <v>125582.27</v>
          </cell>
          <cell r="BM9">
            <v>218666.30999999994</v>
          </cell>
          <cell r="BN9">
            <v>326436.63</v>
          </cell>
          <cell r="BO9">
            <v>305346.21999999991</v>
          </cell>
          <cell r="BP9">
            <v>316354.90999999997</v>
          </cell>
          <cell r="BQ9">
            <v>326519.01000000013</v>
          </cell>
          <cell r="BR9">
            <v>308281.69000000012</v>
          </cell>
          <cell r="BS9">
            <v>343810.59</v>
          </cell>
          <cell r="BT9">
            <v>292949.05000000005</v>
          </cell>
          <cell r="BU9">
            <v>294650.8</v>
          </cell>
          <cell r="BV9">
            <v>309657.5799999999</v>
          </cell>
          <cell r="BW9">
            <v>255834.43999999994</v>
          </cell>
          <cell r="BX9">
            <v>0</v>
          </cell>
          <cell r="BY9">
            <v>3424089.5000000005</v>
          </cell>
          <cell r="BZ9">
            <v>3424089.5000000005</v>
          </cell>
          <cell r="CA9">
            <v>255834.43999999994</v>
          </cell>
          <cell r="CB9">
            <v>0</v>
          </cell>
          <cell r="CC9">
            <v>147980.61000000002</v>
          </cell>
          <cell r="CD9">
            <v>190511.54</v>
          </cell>
          <cell r="CE9">
            <v>293287.51</v>
          </cell>
          <cell r="CF9">
            <v>220786.68</v>
          </cell>
          <cell r="CG9">
            <v>293626.68</v>
          </cell>
          <cell r="CH9">
            <v>321511.54000000004</v>
          </cell>
          <cell r="CI9">
            <v>350894.86</v>
          </cell>
          <cell r="CJ9">
            <v>372751.69</v>
          </cell>
          <cell r="CK9">
            <v>312342.03999999998</v>
          </cell>
          <cell r="CL9">
            <v>319526.96000000002</v>
          </cell>
          <cell r="CM9">
            <v>288041.05</v>
          </cell>
          <cell r="CN9">
            <v>315020.86999999988</v>
          </cell>
          <cell r="CO9">
            <v>0</v>
          </cell>
          <cell r="CP9">
            <v>3426282.03</v>
          </cell>
          <cell r="CQ9">
            <v>3426282.03</v>
          </cell>
          <cell r="CR9">
            <v>0</v>
          </cell>
          <cell r="CS9">
            <v>166315.65999999997</v>
          </cell>
          <cell r="CT9">
            <v>185333.06000000003</v>
          </cell>
          <cell r="CU9">
            <v>218624.79</v>
          </cell>
          <cell r="CV9">
            <v>297552.39999999997</v>
          </cell>
          <cell r="CW9">
            <v>360294.8000000001</v>
          </cell>
          <cell r="CX9">
            <v>296408.34999999998</v>
          </cell>
          <cell r="CY9">
            <v>291205.23</v>
          </cell>
          <cell r="CZ9">
            <v>333910.40999999992</v>
          </cell>
          <cell r="DA9">
            <v>256238.39</v>
          </cell>
          <cell r="DB9">
            <v>274681.00000000006</v>
          </cell>
          <cell r="DC9">
            <v>224083.10000000003</v>
          </cell>
          <cell r="DD9">
            <v>221563.37000000005</v>
          </cell>
          <cell r="DE9">
            <v>0</v>
          </cell>
          <cell r="DF9">
            <v>3126210.5600000001</v>
          </cell>
          <cell r="DG9">
            <v>3126210.5600000001</v>
          </cell>
        </row>
        <row r="10">
          <cell r="B10">
            <v>7</v>
          </cell>
          <cell r="C10" t="str">
            <v>Abfallverkäufe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19658.89</v>
          </cell>
          <cell r="U10">
            <v>30106.949999999997</v>
          </cell>
          <cell r="V10">
            <v>37054.14</v>
          </cell>
          <cell r="W10">
            <v>40339.01999999999</v>
          </cell>
          <cell r="X10">
            <v>59721.67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186880.66999999995</v>
          </cell>
          <cell r="AH10">
            <v>186880.66999999995</v>
          </cell>
          <cell r="AI10">
            <v>0</v>
          </cell>
          <cell r="AK10">
            <v>512.57000000000005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86819.98000000001</v>
          </cell>
          <cell r="AV10">
            <v>86819.98000000001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186880.66999999995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186880.66999999995</v>
          </cell>
          <cell r="BI10">
            <v>0</v>
          </cell>
          <cell r="BJ10">
            <v>0</v>
          </cell>
          <cell r="BK10">
            <v>0</v>
          </cell>
          <cell r="BL10">
            <v>10077.969999999999</v>
          </cell>
          <cell r="BM10">
            <v>10095.029999999999</v>
          </cell>
          <cell r="BN10">
            <v>26282.710000000003</v>
          </cell>
          <cell r="BO10">
            <v>30301.920000000002</v>
          </cell>
          <cell r="BP10">
            <v>28133.590000000004</v>
          </cell>
          <cell r="BQ10">
            <v>29865.37</v>
          </cell>
          <cell r="BR10">
            <v>38761.11</v>
          </cell>
          <cell r="BS10">
            <v>31329.450000000004</v>
          </cell>
          <cell r="BT10">
            <v>41355.72</v>
          </cell>
          <cell r="BU10">
            <v>35579.61</v>
          </cell>
          <cell r="BV10">
            <v>47063.6</v>
          </cell>
          <cell r="BW10">
            <v>32628.899999999998</v>
          </cell>
          <cell r="BX10">
            <v>0</v>
          </cell>
          <cell r="BY10">
            <v>361474.9800000001</v>
          </cell>
          <cell r="BZ10">
            <v>361474.9800000001</v>
          </cell>
          <cell r="CA10">
            <v>32628.899999999998</v>
          </cell>
          <cell r="CB10">
            <v>0</v>
          </cell>
          <cell r="CC10">
            <v>6959.0100000000011</v>
          </cell>
          <cell r="CD10">
            <v>19098</v>
          </cell>
          <cell r="CE10">
            <v>12893.199999999995</v>
          </cell>
          <cell r="CF10">
            <v>18573.000000000004</v>
          </cell>
          <cell r="CG10">
            <v>14894.17</v>
          </cell>
          <cell r="CH10">
            <v>14440.039999999999</v>
          </cell>
          <cell r="CI10">
            <v>20742.240000000002</v>
          </cell>
          <cell r="CJ10">
            <v>16358.619999999999</v>
          </cell>
          <cell r="CK10">
            <v>23210.560000000005</v>
          </cell>
          <cell r="CL10">
            <v>18986.02</v>
          </cell>
          <cell r="CM10">
            <v>26542.989999999994</v>
          </cell>
          <cell r="CN10">
            <v>22639.020000000004</v>
          </cell>
          <cell r="CO10">
            <v>0</v>
          </cell>
          <cell r="CP10">
            <v>215336.87</v>
          </cell>
          <cell r="CQ10">
            <v>215336.87</v>
          </cell>
          <cell r="CR10">
            <v>0</v>
          </cell>
          <cell r="CS10">
            <v>14483.539999999997</v>
          </cell>
          <cell r="CT10">
            <v>15758.89</v>
          </cell>
          <cell r="CU10">
            <v>15383.96</v>
          </cell>
          <cell r="CV10">
            <v>34803.240000000005</v>
          </cell>
          <cell r="CW10">
            <v>10198.740000000002</v>
          </cell>
          <cell r="CX10">
            <v>23212.91</v>
          </cell>
          <cell r="CY10">
            <v>14525.289999999997</v>
          </cell>
          <cell r="CZ10">
            <v>31980.480000000003</v>
          </cell>
          <cell r="DA10">
            <v>22920.3</v>
          </cell>
          <cell r="DB10">
            <v>13732.599999999999</v>
          </cell>
          <cell r="DC10">
            <v>17406.300000000003</v>
          </cell>
          <cell r="DD10">
            <v>9970.9699999999975</v>
          </cell>
          <cell r="DE10">
            <v>0</v>
          </cell>
          <cell r="DF10">
            <v>224377.21999999994</v>
          </cell>
          <cell r="DG10">
            <v>224377.21999999994</v>
          </cell>
        </row>
        <row r="11">
          <cell r="B11">
            <v>8</v>
          </cell>
          <cell r="C11" t="str">
            <v>Umsatz sonstige Dritte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3861.82</v>
          </cell>
          <cell r="U11">
            <v>4231.579999999999</v>
          </cell>
          <cell r="V11">
            <v>3362.0600000000004</v>
          </cell>
          <cell r="W11">
            <v>7037.5999999999985</v>
          </cell>
          <cell r="X11">
            <v>8226.0200000000023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26719.079999999998</v>
          </cell>
          <cell r="AH11">
            <v>26719.079999999998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11455.46</v>
          </cell>
          <cell r="AV11">
            <v>11455.46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26719.079999999998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26719.079999999998</v>
          </cell>
          <cell r="BI11">
            <v>0</v>
          </cell>
          <cell r="BJ11">
            <v>0</v>
          </cell>
          <cell r="BK11">
            <v>0</v>
          </cell>
          <cell r="BL11">
            <v>3293.0699999999997</v>
          </cell>
          <cell r="BM11">
            <v>5214.7200000000021</v>
          </cell>
          <cell r="BN11">
            <v>4442.5800000000017</v>
          </cell>
          <cell r="BO11">
            <v>980.7199999999998</v>
          </cell>
          <cell r="BP11">
            <v>7120.050000000002</v>
          </cell>
          <cell r="BQ11">
            <v>6123.420000000001</v>
          </cell>
          <cell r="BR11">
            <v>6802.85</v>
          </cell>
          <cell r="BS11">
            <v>3266.96</v>
          </cell>
          <cell r="BT11">
            <v>5845.08</v>
          </cell>
          <cell r="BU11">
            <v>3687.0100000000016</v>
          </cell>
          <cell r="BV11">
            <v>5610.6699999999992</v>
          </cell>
          <cell r="BW11">
            <v>5015.75</v>
          </cell>
          <cell r="BX11">
            <v>0</v>
          </cell>
          <cell r="BY11">
            <v>57402.880000000012</v>
          </cell>
          <cell r="BZ11">
            <v>57402.880000000012</v>
          </cell>
          <cell r="CA11">
            <v>5015.75</v>
          </cell>
          <cell r="CB11">
            <v>0</v>
          </cell>
          <cell r="CC11">
            <v>2934.9399999999996</v>
          </cell>
          <cell r="CD11">
            <v>4944.8900000000003</v>
          </cell>
          <cell r="CE11">
            <v>4432.46</v>
          </cell>
          <cell r="CF11">
            <v>5183.2499999999991</v>
          </cell>
          <cell r="CG11">
            <v>3640.75</v>
          </cell>
          <cell r="CH11">
            <v>3886.5099999999989</v>
          </cell>
          <cell r="CI11">
            <v>3728.58</v>
          </cell>
          <cell r="CJ11">
            <v>5860.56</v>
          </cell>
          <cell r="CK11">
            <v>-402.50000000000011</v>
          </cell>
          <cell r="CL11">
            <v>0</v>
          </cell>
          <cell r="CM11">
            <v>3884</v>
          </cell>
          <cell r="CN11">
            <v>5757.01</v>
          </cell>
          <cell r="CO11">
            <v>0</v>
          </cell>
          <cell r="CP11">
            <v>43850.44999999999</v>
          </cell>
          <cell r="CQ11">
            <v>43850.44999999999</v>
          </cell>
          <cell r="CR11">
            <v>0</v>
          </cell>
          <cell r="CS11">
            <v>1695.3799999999999</v>
          </cell>
          <cell r="CT11">
            <v>6663.0399999999991</v>
          </cell>
          <cell r="CU11">
            <v>10021.200000000001</v>
          </cell>
          <cell r="CV11">
            <v>23046.610000000004</v>
          </cell>
          <cell r="CW11">
            <v>15076.220000000003</v>
          </cell>
          <cell r="CX11">
            <v>4488.1900000000014</v>
          </cell>
          <cell r="CY11">
            <v>7016.3900000000012</v>
          </cell>
          <cell r="CZ11">
            <v>6882.0999999999995</v>
          </cell>
          <cell r="DA11">
            <v>4554.7899999999991</v>
          </cell>
          <cell r="DB11">
            <v>4592.5399999999991</v>
          </cell>
          <cell r="DC11">
            <v>5357.93</v>
          </cell>
          <cell r="DD11">
            <v>4903.8100000000004</v>
          </cell>
          <cell r="DE11">
            <v>0</v>
          </cell>
          <cell r="DF11">
            <v>94298.2</v>
          </cell>
          <cell r="DG11">
            <v>94298.2</v>
          </cell>
        </row>
        <row r="12">
          <cell r="B12">
            <v>9</v>
          </cell>
          <cell r="C12" t="str">
            <v>Umsatz sonst.Betriebl.Erträge verb. Unternehm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</row>
        <row r="13">
          <cell r="B13">
            <v>10</v>
          </cell>
          <cell r="C13" t="str">
            <v>Umsatz Ausgangsfrachtkosten IC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</row>
        <row r="14">
          <cell r="B14">
            <v>11</v>
          </cell>
          <cell r="C14" t="str">
            <v>Bestandsveränderung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324985.13</v>
          </cell>
          <cell r="U14">
            <v>463915.31</v>
          </cell>
          <cell r="V14">
            <v>254183.10000000003</v>
          </cell>
          <cell r="W14">
            <v>25982.440000000002</v>
          </cell>
          <cell r="X14">
            <v>65103.719999999994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1134169.7</v>
          </cell>
          <cell r="AH14">
            <v>1134169.7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1043083.54</v>
          </cell>
          <cell r="AV14">
            <v>1043083.54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1134169.7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1134169.7</v>
          </cell>
          <cell r="BI14">
            <v>0</v>
          </cell>
          <cell r="BJ14">
            <v>0</v>
          </cell>
          <cell r="BK14">
            <v>0</v>
          </cell>
          <cell r="BL14">
            <v>232615.37999999998</v>
          </cell>
          <cell r="BM14">
            <v>296825.44</v>
          </cell>
          <cell r="BN14">
            <v>189490.53999999998</v>
          </cell>
          <cell r="BO14">
            <v>180369.16</v>
          </cell>
          <cell r="BP14">
            <v>133648.82</v>
          </cell>
          <cell r="BQ14">
            <v>194061.52000000002</v>
          </cell>
          <cell r="BR14">
            <v>277483.04000000004</v>
          </cell>
          <cell r="BS14">
            <v>-48221.2</v>
          </cell>
          <cell r="BT14">
            <v>62287.589999999989</v>
          </cell>
          <cell r="BU14">
            <v>-30956.79</v>
          </cell>
          <cell r="BV14">
            <v>209251.22000000003</v>
          </cell>
          <cell r="BW14">
            <v>-439748.35999999993</v>
          </cell>
          <cell r="BX14">
            <v>0</v>
          </cell>
          <cell r="BY14">
            <v>1257106.3600000001</v>
          </cell>
          <cell r="BZ14">
            <v>1257106.3600000001</v>
          </cell>
          <cell r="CA14">
            <v>-439748.35999999993</v>
          </cell>
          <cell r="CB14">
            <v>0</v>
          </cell>
          <cell r="CC14">
            <v>60678.299999999981</v>
          </cell>
          <cell r="CD14">
            <v>357290.84999999992</v>
          </cell>
          <cell r="CE14">
            <v>-208139.06999999998</v>
          </cell>
          <cell r="CF14">
            <v>42354.219999999994</v>
          </cell>
          <cell r="CG14">
            <v>-103416.89000000001</v>
          </cell>
          <cell r="CH14">
            <v>-69812.939999999988</v>
          </cell>
          <cell r="CI14">
            <v>64476.62999999999</v>
          </cell>
          <cell r="CJ14">
            <v>13345.319999999996</v>
          </cell>
          <cell r="CK14">
            <v>-79164.89</v>
          </cell>
          <cell r="CL14">
            <v>-85878.239999999991</v>
          </cell>
          <cell r="CM14">
            <v>194798.66000000003</v>
          </cell>
          <cell r="CN14">
            <v>-111300.90999999999</v>
          </cell>
          <cell r="CO14">
            <v>0</v>
          </cell>
          <cell r="CP14">
            <v>75231.039999999979</v>
          </cell>
          <cell r="CQ14">
            <v>75231.039999999979</v>
          </cell>
          <cell r="CR14">
            <v>0</v>
          </cell>
          <cell r="CS14">
            <v>293338.35000000003</v>
          </cell>
          <cell r="CT14">
            <v>239310.72999999995</v>
          </cell>
          <cell r="CU14">
            <v>205496.14999999997</v>
          </cell>
          <cell r="CV14">
            <v>12124.900000000001</v>
          </cell>
          <cell r="CW14">
            <v>-320518.05</v>
          </cell>
          <cell r="CX14">
            <v>86361.56</v>
          </cell>
          <cell r="CY14">
            <v>168916.60000000003</v>
          </cell>
          <cell r="CZ14">
            <v>-79317.979999999981</v>
          </cell>
          <cell r="DA14">
            <v>-197494.14</v>
          </cell>
          <cell r="DB14">
            <v>-172051.3</v>
          </cell>
          <cell r="DC14">
            <v>-123129.26999999997</v>
          </cell>
          <cell r="DD14">
            <v>-32442.400000000009</v>
          </cell>
          <cell r="DE14">
            <v>0</v>
          </cell>
          <cell r="DF14">
            <v>80595.149999999907</v>
          </cell>
          <cell r="DG14">
            <v>80595.149999999907</v>
          </cell>
        </row>
        <row r="15">
          <cell r="B15">
            <v>12</v>
          </cell>
          <cell r="C15" t="str">
            <v>aktivierte Eigenleistungen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-36626.58</v>
          </cell>
          <cell r="U15">
            <v>-73093.240000000005</v>
          </cell>
          <cell r="V15">
            <v>-104604.74</v>
          </cell>
          <cell r="W15">
            <v>-72228.73</v>
          </cell>
          <cell r="X15">
            <v>-62369.73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-348923.01999999996</v>
          </cell>
          <cell r="AH15">
            <v>-348923.01999999996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-214324.56</v>
          </cell>
          <cell r="AV15">
            <v>-214324.56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-348923.01999999996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-348923.01999999996</v>
          </cell>
          <cell r="BI15">
            <v>0</v>
          </cell>
          <cell r="BJ15">
            <v>0</v>
          </cell>
          <cell r="BK15">
            <v>0</v>
          </cell>
          <cell r="BL15">
            <v>-97950.73</v>
          </cell>
          <cell r="BM15">
            <v>-112056.02</v>
          </cell>
          <cell r="BN15">
            <v>-185991.46</v>
          </cell>
          <cell r="BO15">
            <v>-121309.47</v>
          </cell>
          <cell r="BP15">
            <v>-135967.13</v>
          </cell>
          <cell r="BQ15">
            <v>-135359.75</v>
          </cell>
          <cell r="BR15">
            <v>-125397.94</v>
          </cell>
          <cell r="BS15">
            <v>-178585.88</v>
          </cell>
          <cell r="BT15">
            <v>-147461.15</v>
          </cell>
          <cell r="BU15">
            <v>-144413.6</v>
          </cell>
          <cell r="BV15">
            <v>-72409.55</v>
          </cell>
          <cell r="BW15">
            <v>-43782.559999999998</v>
          </cell>
          <cell r="BX15">
            <v>0</v>
          </cell>
          <cell r="BY15">
            <v>-1500685.24</v>
          </cell>
          <cell r="BZ15">
            <v>-1500685.24</v>
          </cell>
          <cell r="CA15">
            <v>-43782.559999999998</v>
          </cell>
          <cell r="CB15">
            <v>0</v>
          </cell>
          <cell r="CC15">
            <v>-87718.99</v>
          </cell>
          <cell r="CD15">
            <v>-74820.73</v>
          </cell>
          <cell r="CE15">
            <v>-134588.29</v>
          </cell>
          <cell r="CF15">
            <v>-56573.75</v>
          </cell>
          <cell r="CG15">
            <v>-86025.17</v>
          </cell>
          <cell r="CH15">
            <v>-73386.080000000002</v>
          </cell>
          <cell r="CI15">
            <v>-73117.399999999994</v>
          </cell>
          <cell r="CJ15">
            <v>-121888.93</v>
          </cell>
          <cell r="CK15">
            <v>-100382.11</v>
          </cell>
          <cell r="CL15">
            <v>-85232.88</v>
          </cell>
          <cell r="CM15">
            <v>-104936.43</v>
          </cell>
          <cell r="CN15">
            <v>-108501.23</v>
          </cell>
          <cell r="CO15">
            <v>0</v>
          </cell>
          <cell r="CP15">
            <v>-1107171.99</v>
          </cell>
          <cell r="CQ15">
            <v>-1107171.99</v>
          </cell>
          <cell r="CR15">
            <v>0</v>
          </cell>
          <cell r="CS15">
            <v>-73405.070000000007</v>
          </cell>
          <cell r="CT15">
            <v>-78890.039999999994</v>
          </cell>
          <cell r="CU15">
            <v>-105384.48</v>
          </cell>
          <cell r="CV15">
            <v>-109664.36</v>
          </cell>
          <cell r="CW15">
            <v>-173919.22</v>
          </cell>
          <cell r="CX15">
            <v>-232028.95</v>
          </cell>
          <cell r="CY15">
            <v>-105645.75</v>
          </cell>
          <cell r="CZ15">
            <v>-68458.39</v>
          </cell>
          <cell r="DA15">
            <v>-42861.39</v>
          </cell>
          <cell r="DB15">
            <v>-41429.089999999997</v>
          </cell>
          <cell r="DC15">
            <v>-70830.960000000006</v>
          </cell>
          <cell r="DD15">
            <v>-139464.09</v>
          </cell>
          <cell r="DE15">
            <v>0</v>
          </cell>
          <cell r="DF15">
            <v>-1241981.79</v>
          </cell>
          <cell r="DG15">
            <v>-1241981.79</v>
          </cell>
        </row>
        <row r="16">
          <cell r="B16">
            <v>13</v>
          </cell>
          <cell r="C16" t="str">
            <v>Personalaufwand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2163432.4000000004</v>
          </cell>
          <cell r="U16">
            <v>2588509.63</v>
          </cell>
          <cell r="V16">
            <v>2396283.5499999998</v>
          </cell>
          <cell r="W16">
            <v>2424369.0500000003</v>
          </cell>
          <cell r="X16">
            <v>2456775.71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12029370.339999996</v>
          </cell>
          <cell r="AH16">
            <v>12029370.339999996</v>
          </cell>
          <cell r="AI16">
            <v>0</v>
          </cell>
          <cell r="AK16">
            <v>25312.55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7148225.5800000001</v>
          </cell>
          <cell r="AV16">
            <v>7148225.5800000001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12029370.339999996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12029370.339999996</v>
          </cell>
          <cell r="BI16">
            <v>0</v>
          </cell>
          <cell r="BJ16">
            <v>0</v>
          </cell>
          <cell r="BK16">
            <v>0</v>
          </cell>
          <cell r="BL16">
            <v>2179909.4699999997</v>
          </cell>
          <cell r="BM16">
            <v>2302777.98</v>
          </cell>
          <cell r="BN16">
            <v>2390796.12</v>
          </cell>
          <cell r="BO16">
            <v>2531289.71</v>
          </cell>
          <cell r="BP16">
            <v>2470515.8700000006</v>
          </cell>
          <cell r="BQ16">
            <v>2473530.52</v>
          </cell>
          <cell r="BR16">
            <v>2495956.5900000003</v>
          </cell>
          <cell r="BS16">
            <v>2065786.83</v>
          </cell>
          <cell r="BT16">
            <v>2080187.1099999999</v>
          </cell>
          <cell r="BU16">
            <v>2216296.5799999996</v>
          </cell>
          <cell r="BV16">
            <v>2236430.2999999998</v>
          </cell>
          <cell r="BW16">
            <v>1606634.1799999997</v>
          </cell>
          <cell r="BX16">
            <v>0</v>
          </cell>
          <cell r="BY16">
            <v>27050111.260000009</v>
          </cell>
          <cell r="BZ16">
            <v>27050111.260000009</v>
          </cell>
          <cell r="CA16">
            <v>1606634.1799999997</v>
          </cell>
          <cell r="CB16">
            <v>0</v>
          </cell>
          <cell r="CC16">
            <v>2061964.2100000002</v>
          </cell>
          <cell r="CD16">
            <v>2380766.4900000007</v>
          </cell>
          <cell r="CE16">
            <v>2180349.29</v>
          </cell>
          <cell r="CF16">
            <v>1837282.8000000003</v>
          </cell>
          <cell r="CG16">
            <v>2312620.13</v>
          </cell>
          <cell r="CH16">
            <v>2409173.85</v>
          </cell>
          <cell r="CI16">
            <v>2439581.3800000004</v>
          </cell>
          <cell r="CJ16">
            <v>2199602.7000000002</v>
          </cell>
          <cell r="CK16">
            <v>2215675.08</v>
          </cell>
          <cell r="CL16">
            <v>2580314.0999999996</v>
          </cell>
          <cell r="CM16">
            <v>2295952.3000000003</v>
          </cell>
          <cell r="CN16">
            <v>1757681.1700000004</v>
          </cell>
          <cell r="CO16">
            <v>0</v>
          </cell>
          <cell r="CP16">
            <v>26670963.5</v>
          </cell>
          <cell r="CQ16">
            <v>26670963.5</v>
          </cell>
          <cell r="CR16">
            <v>0</v>
          </cell>
          <cell r="CS16">
            <v>1751730.11</v>
          </cell>
          <cell r="CT16">
            <v>2099741.4399999995</v>
          </cell>
          <cell r="CU16">
            <v>2063948.58</v>
          </cell>
          <cell r="CV16">
            <v>2001842.4199999997</v>
          </cell>
          <cell r="CW16">
            <v>2081221.8699999992</v>
          </cell>
          <cell r="CX16">
            <v>2505150.58</v>
          </cell>
          <cell r="CY16">
            <v>2025481.3699999999</v>
          </cell>
          <cell r="CZ16">
            <v>1838648.47</v>
          </cell>
          <cell r="DA16">
            <v>2340541.2800000003</v>
          </cell>
          <cell r="DB16">
            <v>1777851.2999999996</v>
          </cell>
          <cell r="DC16">
            <v>2752328</v>
          </cell>
          <cell r="DD16">
            <v>2136234.25</v>
          </cell>
          <cell r="DE16">
            <v>0</v>
          </cell>
          <cell r="DF16">
            <v>25374719.669999998</v>
          </cell>
          <cell r="DG16">
            <v>25374719.669999998</v>
          </cell>
        </row>
        <row r="17">
          <cell r="B17">
            <v>14</v>
          </cell>
          <cell r="C17" t="str">
            <v>Personalaufwand Kraslice (GuV Material)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245654.89</v>
          </cell>
          <cell r="U17">
            <v>218613.04</v>
          </cell>
          <cell r="V17">
            <v>291236.09999999998</v>
          </cell>
          <cell r="W17">
            <v>283625.18</v>
          </cell>
          <cell r="X17">
            <v>281657.57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1320786.78</v>
          </cell>
          <cell r="AH17">
            <v>1320786.78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755504.02999999991</v>
          </cell>
          <cell r="AV17">
            <v>755504.02999999991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1320786.78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1320786.78</v>
          </cell>
          <cell r="BI17">
            <v>0</v>
          </cell>
          <cell r="BJ17">
            <v>0</v>
          </cell>
          <cell r="BK17">
            <v>0</v>
          </cell>
          <cell r="BL17">
            <v>213655.17</v>
          </cell>
          <cell r="BM17">
            <v>201967.88</v>
          </cell>
          <cell r="BN17">
            <v>224558.81000000003</v>
          </cell>
          <cell r="BO17">
            <v>197053.92</v>
          </cell>
          <cell r="BP17">
            <v>307647.03999999998</v>
          </cell>
          <cell r="BQ17">
            <v>290085.51999999996</v>
          </cell>
          <cell r="BR17">
            <v>232621.62</v>
          </cell>
          <cell r="BS17">
            <v>323847.81000000006</v>
          </cell>
          <cell r="BT17">
            <v>256794.18000000002</v>
          </cell>
          <cell r="BU17">
            <v>262691.19999999995</v>
          </cell>
          <cell r="BV17">
            <v>298216.54000000004</v>
          </cell>
          <cell r="BW17">
            <v>118428.24000000002</v>
          </cell>
          <cell r="BX17">
            <v>0</v>
          </cell>
          <cell r="BY17">
            <v>2927567.93</v>
          </cell>
          <cell r="BZ17">
            <v>2927567.93</v>
          </cell>
          <cell r="CA17">
            <v>118428.24000000002</v>
          </cell>
          <cell r="CB17">
            <v>0</v>
          </cell>
          <cell r="CC17">
            <v>148742.93</v>
          </cell>
          <cell r="CD17">
            <v>262397.88</v>
          </cell>
          <cell r="CE17">
            <v>139810.34</v>
          </cell>
          <cell r="CF17">
            <v>110693.01000000001</v>
          </cell>
          <cell r="CG17">
            <v>140083.83000000002</v>
          </cell>
          <cell r="CH17">
            <v>198487.43</v>
          </cell>
          <cell r="CI17">
            <v>248179.68999999997</v>
          </cell>
          <cell r="CJ17">
            <v>246578.68</v>
          </cell>
          <cell r="CK17">
            <v>184940.90000000002</v>
          </cell>
          <cell r="CL17">
            <v>196534.82</v>
          </cell>
          <cell r="CM17">
            <v>255605.05000000002</v>
          </cell>
          <cell r="CN17">
            <v>203171.09999999998</v>
          </cell>
          <cell r="CO17">
            <v>0</v>
          </cell>
          <cell r="CP17">
            <v>2335225.66</v>
          </cell>
          <cell r="CQ17">
            <v>2335225.66</v>
          </cell>
          <cell r="CR17">
            <v>0</v>
          </cell>
          <cell r="CS17">
            <v>157145.95000000001</v>
          </cell>
          <cell r="CT17">
            <v>233734.05000000002</v>
          </cell>
          <cell r="CU17">
            <v>135536.15</v>
          </cell>
          <cell r="CV17">
            <v>189661.98</v>
          </cell>
          <cell r="CW17">
            <v>195379.36</v>
          </cell>
          <cell r="CX17">
            <v>191156.41</v>
          </cell>
          <cell r="CY17">
            <v>129575.54000000001</v>
          </cell>
          <cell r="CZ17">
            <v>229474.17</v>
          </cell>
          <cell r="DA17">
            <v>197924.33999999997</v>
          </cell>
          <cell r="DB17">
            <v>183638.45</v>
          </cell>
          <cell r="DC17">
            <v>181636.05</v>
          </cell>
          <cell r="DD17">
            <v>158061.85</v>
          </cell>
          <cell r="DE17">
            <v>0</v>
          </cell>
          <cell r="DF17">
            <v>2182924.3000000003</v>
          </cell>
          <cell r="DG17">
            <v>2182924.3000000003</v>
          </cell>
        </row>
        <row r="18">
          <cell r="B18">
            <v>15</v>
          </cell>
          <cell r="C18" t="str">
            <v>Personalaufwand zentrale Kontierungen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32724</v>
          </cell>
          <cell r="U18">
            <v>33305.619999999995</v>
          </cell>
          <cell r="V18">
            <v>33612.500000000007</v>
          </cell>
          <cell r="W18">
            <v>32723.42</v>
          </cell>
          <cell r="X18">
            <v>45334.899999999987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177700.44000000003</v>
          </cell>
          <cell r="AH18">
            <v>177700.44000000003</v>
          </cell>
          <cell r="AI18">
            <v>0</v>
          </cell>
          <cell r="AK18">
            <v>3495.42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99642.12</v>
          </cell>
          <cell r="AV18">
            <v>99642.12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177700.44000000003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177700.44000000003</v>
          </cell>
          <cell r="BI18">
            <v>0</v>
          </cell>
          <cell r="BJ18">
            <v>0</v>
          </cell>
          <cell r="BK18">
            <v>0</v>
          </cell>
          <cell r="BL18">
            <v>23588.02</v>
          </cell>
          <cell r="BM18">
            <v>24889.980000000003</v>
          </cell>
          <cell r="BN18">
            <v>22805.17</v>
          </cell>
          <cell r="BO18">
            <v>21272.160000000003</v>
          </cell>
          <cell r="BP18">
            <v>33013.919999999998</v>
          </cell>
          <cell r="BQ18">
            <v>22165.950000000004</v>
          </cell>
          <cell r="BR18">
            <v>22294.02</v>
          </cell>
          <cell r="BS18">
            <v>21103.269999999993</v>
          </cell>
          <cell r="BT18">
            <v>67081.049999999988</v>
          </cell>
          <cell r="BU18">
            <v>68098.720000000001</v>
          </cell>
          <cell r="BV18">
            <v>68613.09</v>
          </cell>
          <cell r="BW18">
            <v>236453.91000000003</v>
          </cell>
          <cell r="BX18">
            <v>0</v>
          </cell>
          <cell r="BY18">
            <v>631379.25999999989</v>
          </cell>
          <cell r="BZ18">
            <v>631379.25999999989</v>
          </cell>
          <cell r="CA18">
            <v>236453.91000000003</v>
          </cell>
          <cell r="CB18">
            <v>0</v>
          </cell>
          <cell r="CC18">
            <v>29226.73</v>
          </cell>
          <cell r="CD18">
            <v>-321623.98000000004</v>
          </cell>
          <cell r="CE18">
            <v>30851.450000000004</v>
          </cell>
          <cell r="CF18">
            <v>406981.35</v>
          </cell>
          <cell r="CG18">
            <v>31084.9</v>
          </cell>
          <cell r="CH18">
            <v>31028.550000000003</v>
          </cell>
          <cell r="CI18">
            <v>30586.739999999998</v>
          </cell>
          <cell r="CJ18">
            <v>30689.940000000002</v>
          </cell>
          <cell r="CK18">
            <v>7638.6899999999987</v>
          </cell>
          <cell r="CL18">
            <v>30089.13</v>
          </cell>
          <cell r="CM18">
            <v>40052.729999999996</v>
          </cell>
          <cell r="CN18">
            <v>-49186.81</v>
          </cell>
          <cell r="CO18">
            <v>0</v>
          </cell>
          <cell r="CP18">
            <v>297419.41999999993</v>
          </cell>
          <cell r="CQ18">
            <v>297419.41999999993</v>
          </cell>
          <cell r="CR18">
            <v>0</v>
          </cell>
          <cell r="CS18">
            <v>248223.83000000002</v>
          </cell>
          <cell r="CT18">
            <v>-13414.820000000002</v>
          </cell>
          <cell r="CU18">
            <v>55408.06</v>
          </cell>
          <cell r="CV18">
            <v>192181.79</v>
          </cell>
          <cell r="CW18">
            <v>211632.71000000002</v>
          </cell>
          <cell r="CX18">
            <v>-152319.69999999998</v>
          </cell>
          <cell r="CY18">
            <v>220741.60999999996</v>
          </cell>
          <cell r="CZ18">
            <v>213869.56</v>
          </cell>
          <cell r="DA18">
            <v>-158025</v>
          </cell>
          <cell r="DB18">
            <v>224462.93</v>
          </cell>
          <cell r="DC18">
            <v>-470766.96000000008</v>
          </cell>
          <cell r="DD18">
            <v>-567489.73999999987</v>
          </cell>
          <cell r="DE18">
            <v>0</v>
          </cell>
          <cell r="DF18">
            <v>4504.2700000000332</v>
          </cell>
          <cell r="DG18">
            <v>4504.2700000000332</v>
          </cell>
        </row>
        <row r="19">
          <cell r="B19">
            <v>16</v>
          </cell>
          <cell r="C19" t="str">
            <v>Primärkosten (ohne Personalk.)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436674.78999999992</v>
          </cell>
          <cell r="U19">
            <v>396535.83999999997</v>
          </cell>
          <cell r="V19">
            <v>494560.38</v>
          </cell>
          <cell r="W19">
            <v>488323.01999999984</v>
          </cell>
          <cell r="X19">
            <v>553866.5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2369960.5300000003</v>
          </cell>
          <cell r="AH19">
            <v>2369960.5300000003</v>
          </cell>
          <cell r="AI19">
            <v>0</v>
          </cell>
          <cell r="AK19">
            <v>1441.95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1327771.01</v>
          </cell>
          <cell r="AV19">
            <v>1327771.01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2369960.5300000003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2369960.5300000003</v>
          </cell>
          <cell r="BI19">
            <v>0</v>
          </cell>
          <cell r="BJ19">
            <v>0</v>
          </cell>
          <cell r="BK19">
            <v>0</v>
          </cell>
          <cell r="BL19">
            <v>354755.91999999993</v>
          </cell>
          <cell r="BM19">
            <v>412852.45</v>
          </cell>
          <cell r="BN19">
            <v>451723.92000000004</v>
          </cell>
          <cell r="BO19">
            <v>393382.33999999991</v>
          </cell>
          <cell r="BP19">
            <v>400255.7</v>
          </cell>
          <cell r="BQ19">
            <v>622291.67000000004</v>
          </cell>
          <cell r="BR19">
            <v>486478.17</v>
          </cell>
          <cell r="BS19">
            <v>490053.19000000006</v>
          </cell>
          <cell r="BT19">
            <v>442943.68999999994</v>
          </cell>
          <cell r="BU19">
            <v>421439.51999999996</v>
          </cell>
          <cell r="BV19">
            <v>436844.00000000006</v>
          </cell>
          <cell r="BW19">
            <v>489959.11</v>
          </cell>
          <cell r="BX19">
            <v>0</v>
          </cell>
          <cell r="BY19">
            <v>5402979.6800000016</v>
          </cell>
          <cell r="BZ19">
            <v>5402979.6800000016</v>
          </cell>
          <cell r="CA19">
            <v>489959.11</v>
          </cell>
          <cell r="CB19">
            <v>0</v>
          </cell>
          <cell r="CC19">
            <v>328895.78000000003</v>
          </cell>
          <cell r="CD19">
            <v>397008.33</v>
          </cell>
          <cell r="CE19">
            <v>404460.73999999993</v>
          </cell>
          <cell r="CF19">
            <v>409066.14</v>
          </cell>
          <cell r="CG19">
            <v>365911.79</v>
          </cell>
          <cell r="CH19">
            <v>365421.65000000008</v>
          </cell>
          <cell r="CI19">
            <v>400863.22</v>
          </cell>
          <cell r="CJ19">
            <v>386879.75999999995</v>
          </cell>
          <cell r="CK19">
            <v>400346.06999999995</v>
          </cell>
          <cell r="CL19">
            <v>360960.98000000004</v>
          </cell>
          <cell r="CM19">
            <v>378083.35000000003</v>
          </cell>
          <cell r="CN19">
            <v>447119.93</v>
          </cell>
          <cell r="CO19">
            <v>0</v>
          </cell>
          <cell r="CP19">
            <v>4645017.74</v>
          </cell>
          <cell r="CQ19">
            <v>4645017.74</v>
          </cell>
          <cell r="CR19">
            <v>0</v>
          </cell>
          <cell r="CS19">
            <v>379668.75000000006</v>
          </cell>
          <cell r="CT19">
            <v>375250.48000000004</v>
          </cell>
          <cell r="CU19">
            <v>426335.6</v>
          </cell>
          <cell r="CV19">
            <v>381360.32999999996</v>
          </cell>
          <cell r="CW19">
            <v>370521.08</v>
          </cell>
          <cell r="CX19">
            <v>349778.32</v>
          </cell>
          <cell r="CY19">
            <v>449731.49000000011</v>
          </cell>
          <cell r="CZ19">
            <v>368308.07999999996</v>
          </cell>
          <cell r="DA19">
            <v>397014.35000000003</v>
          </cell>
          <cell r="DB19">
            <v>396175.23999999993</v>
          </cell>
          <cell r="DC19">
            <v>386985.66000000003</v>
          </cell>
          <cell r="DD19">
            <v>393068.4</v>
          </cell>
          <cell r="DE19">
            <v>0</v>
          </cell>
          <cell r="DF19">
            <v>4674197.78</v>
          </cell>
          <cell r="DG19">
            <v>4674197.78</v>
          </cell>
        </row>
        <row r="20">
          <cell r="B20">
            <v>17</v>
          </cell>
          <cell r="C20" t="str">
            <v>Sekundärkosten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-13142.689999999993</v>
          </cell>
          <cell r="U20">
            <v>-42465.949999999983</v>
          </cell>
          <cell r="V20">
            <v>-57456.710000000014</v>
          </cell>
          <cell r="W20">
            <v>-49311.55</v>
          </cell>
          <cell r="X20">
            <v>-68929.52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-231306.42000000004</v>
          </cell>
          <cell r="AH20">
            <v>-231306.42000000004</v>
          </cell>
          <cell r="AI20">
            <v>0</v>
          </cell>
          <cell r="AK20">
            <v>8991.85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-113065.35000000003</v>
          </cell>
          <cell r="AV20">
            <v>-113065.35000000003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-231306.42000000004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-231306.42000000004</v>
          </cell>
          <cell r="BI20">
            <v>0</v>
          </cell>
          <cell r="BJ20">
            <v>0</v>
          </cell>
          <cell r="BK20">
            <v>0</v>
          </cell>
          <cell r="BL20">
            <v>-53709.99</v>
          </cell>
          <cell r="BM20">
            <v>-37013.65</v>
          </cell>
          <cell r="BN20">
            <v>-102337.63999999998</v>
          </cell>
          <cell r="BO20">
            <v>-56375.25</v>
          </cell>
          <cell r="BP20">
            <v>-32300.35999999999</v>
          </cell>
          <cell r="BQ20">
            <v>-51912.83</v>
          </cell>
          <cell r="BR20">
            <v>-37007.219999999994</v>
          </cell>
          <cell r="BS20">
            <v>-45519.61</v>
          </cell>
          <cell r="BT20">
            <v>-28558.679999999989</v>
          </cell>
          <cell r="BU20">
            <v>-39148.320000000022</v>
          </cell>
          <cell r="BV20">
            <v>-37854.810000000019</v>
          </cell>
          <cell r="BW20">
            <v>-23289.369999999995</v>
          </cell>
          <cell r="BX20">
            <v>0</v>
          </cell>
          <cell r="BY20">
            <v>-545027.73</v>
          </cell>
          <cell r="BZ20">
            <v>-545027.73</v>
          </cell>
          <cell r="CA20">
            <v>-23289.369999999995</v>
          </cell>
          <cell r="CB20">
            <v>0</v>
          </cell>
          <cell r="CC20">
            <v>-84924.99</v>
          </cell>
          <cell r="CD20">
            <v>-25166.049999999996</v>
          </cell>
          <cell r="CE20">
            <v>-83539.460000000006</v>
          </cell>
          <cell r="CF20">
            <v>-60469.039999999994</v>
          </cell>
          <cell r="CG20">
            <v>-59285.430000000015</v>
          </cell>
          <cell r="CH20">
            <v>-55587.659999999996</v>
          </cell>
          <cell r="CI20">
            <v>-73702.080000000002</v>
          </cell>
          <cell r="CJ20">
            <v>-68815.27</v>
          </cell>
          <cell r="CK20">
            <v>-52169.930000000008</v>
          </cell>
          <cell r="CL20">
            <v>-53534.880000000005</v>
          </cell>
          <cell r="CM20">
            <v>-46311.700000000004</v>
          </cell>
          <cell r="CN20">
            <v>-87459.61</v>
          </cell>
          <cell r="CO20">
            <v>0</v>
          </cell>
          <cell r="CP20">
            <v>-750966.10000000021</v>
          </cell>
          <cell r="CQ20">
            <v>-750966.10000000021</v>
          </cell>
          <cell r="CR20">
            <v>0</v>
          </cell>
          <cell r="CS20">
            <v>-74380.37000000001</v>
          </cell>
          <cell r="CT20">
            <v>-39690.310000000019</v>
          </cell>
          <cell r="CU20">
            <v>-68416.809999999969</v>
          </cell>
          <cell r="CV20">
            <v>-47246.740000000005</v>
          </cell>
          <cell r="CW20">
            <v>-50100.250000000007</v>
          </cell>
          <cell r="CX20">
            <v>-37355.18</v>
          </cell>
          <cell r="CY20">
            <v>-66166.73</v>
          </cell>
          <cell r="CZ20">
            <v>-75250.44</v>
          </cell>
          <cell r="DA20">
            <v>-63811.930000000008</v>
          </cell>
          <cell r="DB20">
            <v>-62507.360000000001</v>
          </cell>
          <cell r="DC20">
            <v>-76489.609999999986</v>
          </cell>
          <cell r="DD20">
            <v>-49820.619999999995</v>
          </cell>
          <cell r="DE20">
            <v>0</v>
          </cell>
          <cell r="DF20">
            <v>-711236.34999999986</v>
          </cell>
          <cell r="DG20">
            <v>-711236.34999999986</v>
          </cell>
        </row>
        <row r="21">
          <cell r="B21">
            <v>18</v>
          </cell>
          <cell r="C21" t="str">
            <v>sonstige Kosten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-21782.199999999997</v>
          </cell>
          <cell r="U21">
            <v>839.62999999999965</v>
          </cell>
          <cell r="V21">
            <v>218.53000000000009</v>
          </cell>
          <cell r="W21">
            <v>-5808.3100000000013</v>
          </cell>
          <cell r="X21">
            <v>-7016.4999999999991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-33548.850000000006</v>
          </cell>
          <cell r="AH21">
            <v>-33548.850000000006</v>
          </cell>
          <cell r="AI21">
            <v>0</v>
          </cell>
          <cell r="AK21">
            <v>-1.37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-20724.039999999997</v>
          </cell>
          <cell r="AV21">
            <v>-20724.039999999997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-33548.850000000006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-33548.850000000006</v>
          </cell>
          <cell r="BI21">
            <v>0</v>
          </cell>
          <cell r="BJ21">
            <v>0</v>
          </cell>
          <cell r="BK21">
            <v>0</v>
          </cell>
          <cell r="BL21">
            <v>-1239.9599999999998</v>
          </cell>
          <cell r="BM21">
            <v>-5776.73</v>
          </cell>
          <cell r="BN21">
            <v>537.50000000000011</v>
          </cell>
          <cell r="BO21">
            <v>15889.050000000003</v>
          </cell>
          <cell r="BP21">
            <v>11355.93</v>
          </cell>
          <cell r="BQ21">
            <v>487.94999999999993</v>
          </cell>
          <cell r="BR21">
            <v>-19594.750000000004</v>
          </cell>
          <cell r="BS21">
            <v>-3470.6899999999996</v>
          </cell>
          <cell r="BT21">
            <v>-1584.3199999999993</v>
          </cell>
          <cell r="BU21">
            <v>1616.3900000000003</v>
          </cell>
          <cell r="BV21">
            <v>-2351.4399999999996</v>
          </cell>
          <cell r="BW21">
            <v>-2892.2399999999989</v>
          </cell>
          <cell r="BX21">
            <v>0</v>
          </cell>
          <cell r="BY21">
            <v>-7023.3100000000068</v>
          </cell>
          <cell r="BZ21">
            <v>-7023.3100000000068</v>
          </cell>
          <cell r="CA21">
            <v>-2892.2399999999989</v>
          </cell>
          <cell r="CB21">
            <v>0</v>
          </cell>
          <cell r="CC21">
            <v>-901.71</v>
          </cell>
          <cell r="CD21">
            <v>-918.61000000000013</v>
          </cell>
          <cell r="CE21">
            <v>-1049.02</v>
          </cell>
          <cell r="CF21">
            <v>-20212.78</v>
          </cell>
          <cell r="CG21">
            <v>-11730.57</v>
          </cell>
          <cell r="CH21">
            <v>-4099.3099999999995</v>
          </cell>
          <cell r="CI21">
            <v>-2454.35</v>
          </cell>
          <cell r="CJ21">
            <v>-1750.26</v>
          </cell>
          <cell r="CK21">
            <v>-1827.23</v>
          </cell>
          <cell r="CL21">
            <v>-1942.4699999999998</v>
          </cell>
          <cell r="CM21">
            <v>-1469.9</v>
          </cell>
          <cell r="CN21">
            <v>-886.56999999999994</v>
          </cell>
          <cell r="CO21">
            <v>0</v>
          </cell>
          <cell r="CP21">
            <v>-49242.78</v>
          </cell>
          <cell r="CQ21">
            <v>-49242.78</v>
          </cell>
          <cell r="CR21">
            <v>0</v>
          </cell>
          <cell r="CS21">
            <v>-930.86999999999989</v>
          </cell>
          <cell r="CT21">
            <v>-1158.0599999999997</v>
          </cell>
          <cell r="CU21">
            <v>-1188.23</v>
          </cell>
          <cell r="CV21">
            <v>-5973.0999999999995</v>
          </cell>
          <cell r="CW21">
            <v>-1365.27</v>
          </cell>
          <cell r="CX21">
            <v>-1357.0299999999997</v>
          </cell>
          <cell r="CY21">
            <v>276.60000000000002</v>
          </cell>
          <cell r="CZ21">
            <v>-1348.6099999999997</v>
          </cell>
          <cell r="DA21">
            <v>-1001.96</v>
          </cell>
          <cell r="DB21">
            <v>-870.13</v>
          </cell>
          <cell r="DC21">
            <v>-921.6099999999999</v>
          </cell>
          <cell r="DD21">
            <v>-1116.52</v>
          </cell>
          <cell r="DE21">
            <v>0</v>
          </cell>
          <cell r="DF21">
            <v>-16954.79</v>
          </cell>
          <cell r="DG21">
            <v>-16954.79</v>
          </cell>
        </row>
        <row r="22">
          <cell r="B22">
            <v>19</v>
          </cell>
          <cell r="C22" t="str">
            <v>Umlage/Verrechnung Hilfskostenstellen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-12232.94</v>
          </cell>
          <cell r="U22">
            <v>-14971.170000000004</v>
          </cell>
          <cell r="V22">
            <v>-13315.799999999997</v>
          </cell>
          <cell r="W22">
            <v>-13374.249999999998</v>
          </cell>
          <cell r="X22">
            <v>-12777.389999999998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-66671.549999999988</v>
          </cell>
          <cell r="AH22">
            <v>-66671.549999999988</v>
          </cell>
          <cell r="AI22">
            <v>0</v>
          </cell>
          <cell r="AK22">
            <v>1341.17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-40519.910000000003</v>
          </cell>
          <cell r="AV22">
            <v>-40519.910000000003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-66671.549999999988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-66671.549999999988</v>
          </cell>
          <cell r="BI22">
            <v>0</v>
          </cell>
          <cell r="BJ22">
            <v>0</v>
          </cell>
          <cell r="BK22">
            <v>0</v>
          </cell>
          <cell r="BL22">
            <v>-15826.460000000006</v>
          </cell>
          <cell r="BM22">
            <v>-16542.13</v>
          </cell>
          <cell r="BN22">
            <v>-15679.309999999998</v>
          </cell>
          <cell r="BO22">
            <v>-16426.82</v>
          </cell>
          <cell r="BP22">
            <v>-14876.66</v>
          </cell>
          <cell r="BQ22">
            <v>-14580.010000000002</v>
          </cell>
          <cell r="BR22">
            <v>-13489.86</v>
          </cell>
          <cell r="BS22">
            <v>-13311.060000000001</v>
          </cell>
          <cell r="BT22">
            <v>-11758.14</v>
          </cell>
          <cell r="BU22">
            <v>-14858.449999999999</v>
          </cell>
          <cell r="BV22">
            <v>-17311.23</v>
          </cell>
          <cell r="BW22">
            <v>-10798.929999999998</v>
          </cell>
          <cell r="BX22">
            <v>0</v>
          </cell>
          <cell r="BY22">
            <v>-175459.05999999994</v>
          </cell>
          <cell r="BZ22">
            <v>-175459.05999999994</v>
          </cell>
          <cell r="CA22">
            <v>-10798.929999999998</v>
          </cell>
          <cell r="CB22">
            <v>0</v>
          </cell>
          <cell r="CC22">
            <v>-8927.23</v>
          </cell>
          <cell r="CD22">
            <v>-14889.300000000003</v>
          </cell>
          <cell r="CE22">
            <v>-15975.79</v>
          </cell>
          <cell r="CF22">
            <v>-12266.34</v>
          </cell>
          <cell r="CG22">
            <v>-12549.430000000004</v>
          </cell>
          <cell r="CH22">
            <v>-13063.11</v>
          </cell>
          <cell r="CI22">
            <v>-12409.38</v>
          </cell>
          <cell r="CJ22">
            <v>-11284.7</v>
          </cell>
          <cell r="CK22">
            <v>-12453.939999999999</v>
          </cell>
          <cell r="CL22">
            <v>-15356.489999999998</v>
          </cell>
          <cell r="CM22">
            <v>-16832.699999999997</v>
          </cell>
          <cell r="CN22">
            <v>-13094.399999999998</v>
          </cell>
          <cell r="CO22">
            <v>0</v>
          </cell>
          <cell r="CP22">
            <v>-159102.81</v>
          </cell>
          <cell r="CQ22">
            <v>-159102.81</v>
          </cell>
          <cell r="CR22">
            <v>0</v>
          </cell>
          <cell r="CS22">
            <v>-12535.71</v>
          </cell>
          <cell r="CT22">
            <v>-12526.740000000002</v>
          </cell>
          <cell r="CU22">
            <v>-13868.970000000001</v>
          </cell>
          <cell r="CV22">
            <v>-11471.029999999999</v>
          </cell>
          <cell r="CW22">
            <v>-10699.420000000002</v>
          </cell>
          <cell r="CX22">
            <v>-14159.850000000002</v>
          </cell>
          <cell r="CY22">
            <v>-12299.180000000002</v>
          </cell>
          <cell r="CZ22">
            <v>-10277</v>
          </cell>
          <cell r="DA22">
            <v>-11447.850000000002</v>
          </cell>
          <cell r="DB22">
            <v>-10231.299999999999</v>
          </cell>
          <cell r="DC22">
            <v>-16303.810000000001</v>
          </cell>
          <cell r="DD22">
            <v>-9052.7799999999988</v>
          </cell>
          <cell r="DE22">
            <v>0</v>
          </cell>
          <cell r="DF22">
            <v>-144873.64000000001</v>
          </cell>
          <cell r="DG22">
            <v>-144873.64000000001</v>
          </cell>
        </row>
        <row r="23">
          <cell r="B23">
            <v>20</v>
          </cell>
          <cell r="C23" t="str">
            <v>Innenaufträge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5980.3000000000011</v>
          </cell>
          <cell r="U23">
            <v>7449.18</v>
          </cell>
          <cell r="V23">
            <v>19140.490000000002</v>
          </cell>
          <cell r="W23">
            <v>7971.01</v>
          </cell>
          <cell r="X23">
            <v>10749.61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51290.590000000011</v>
          </cell>
          <cell r="AH23">
            <v>51290.590000000011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32569.969999999998</v>
          </cell>
          <cell r="AV23">
            <v>32569.969999999998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51290.590000000011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51290.590000000011</v>
          </cell>
          <cell r="BI23">
            <v>0</v>
          </cell>
          <cell r="BJ23">
            <v>0</v>
          </cell>
          <cell r="BK23">
            <v>0</v>
          </cell>
          <cell r="BL23">
            <v>2462.13</v>
          </cell>
          <cell r="BM23">
            <v>12266.26</v>
          </cell>
          <cell r="BN23">
            <v>7321.09</v>
          </cell>
          <cell r="BO23">
            <v>8276.2199999999993</v>
          </cell>
          <cell r="BP23">
            <v>4778.6000000000004</v>
          </cell>
          <cell r="BQ23">
            <v>6193.3</v>
          </cell>
          <cell r="BR23">
            <v>9470.7000000000007</v>
          </cell>
          <cell r="BS23">
            <v>9259.69</v>
          </cell>
          <cell r="BT23">
            <v>8460.7099999999973</v>
          </cell>
          <cell r="BU23">
            <v>9617.2899999999991</v>
          </cell>
          <cell r="BV23">
            <v>6564.38</v>
          </cell>
          <cell r="BW23">
            <v>9607.73</v>
          </cell>
          <cell r="BX23">
            <v>0</v>
          </cell>
          <cell r="BY23">
            <v>94278.099999999977</v>
          </cell>
          <cell r="BZ23">
            <v>94278.099999999977</v>
          </cell>
          <cell r="CA23">
            <v>9607.73</v>
          </cell>
          <cell r="CB23">
            <v>0</v>
          </cell>
          <cell r="CC23">
            <v>6521.9400000000005</v>
          </cell>
          <cell r="CD23">
            <v>11161.580000000002</v>
          </cell>
          <cell r="CE23">
            <v>5854.56</v>
          </cell>
          <cell r="CF23">
            <v>10131.650000000001</v>
          </cell>
          <cell r="CG23">
            <v>3257.13</v>
          </cell>
          <cell r="CH23">
            <v>7687.4999999999991</v>
          </cell>
          <cell r="CI23">
            <v>9448.6799999999985</v>
          </cell>
          <cell r="CJ23">
            <v>10054.990000000002</v>
          </cell>
          <cell r="CK23">
            <v>10972.26</v>
          </cell>
          <cell r="CL23">
            <v>10026.209999999999</v>
          </cell>
          <cell r="CM23">
            <v>10266.019999999999</v>
          </cell>
          <cell r="CN23">
            <v>5867.3499999999995</v>
          </cell>
          <cell r="CO23">
            <v>0</v>
          </cell>
          <cell r="CP23">
            <v>101249.87000000002</v>
          </cell>
          <cell r="CQ23">
            <v>101249.87000000002</v>
          </cell>
          <cell r="CR23">
            <v>0</v>
          </cell>
          <cell r="CS23">
            <v>9419.81</v>
          </cell>
          <cell r="CT23">
            <v>7229.46</v>
          </cell>
          <cell r="CU23">
            <v>9137.4399999999987</v>
          </cell>
          <cell r="CV23">
            <v>13217.210000000001</v>
          </cell>
          <cell r="CW23">
            <v>5602.78</v>
          </cell>
          <cell r="CX23">
            <v>5321.53</v>
          </cell>
          <cell r="CY23">
            <v>16384.509999999998</v>
          </cell>
          <cell r="CZ23">
            <v>7208.89</v>
          </cell>
          <cell r="DA23">
            <v>9558.43</v>
          </cell>
          <cell r="DB23">
            <v>9321.31</v>
          </cell>
          <cell r="DC23">
            <v>19228.409999999996</v>
          </cell>
          <cell r="DD23">
            <v>7623.46</v>
          </cell>
          <cell r="DE23">
            <v>0</v>
          </cell>
          <cell r="DF23">
            <v>119253.24</v>
          </cell>
          <cell r="DG23">
            <v>119253.24</v>
          </cell>
        </row>
        <row r="24">
          <cell r="B24">
            <v>21</v>
          </cell>
          <cell r="C24" t="str">
            <v>Materialeinsatz SQL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2575808.2000000002</v>
          </cell>
          <cell r="U24">
            <v>4191283.18</v>
          </cell>
          <cell r="V24">
            <v>4751075.2699999996</v>
          </cell>
          <cell r="W24">
            <v>3898410.1600000015</v>
          </cell>
          <cell r="X24">
            <v>5117402.3299999982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20533979.140000008</v>
          </cell>
          <cell r="AH24">
            <v>20533979.140000008</v>
          </cell>
          <cell r="AI24">
            <v>0</v>
          </cell>
          <cell r="AK24">
            <v>88746.45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11518166.650000004</v>
          </cell>
          <cell r="AV24">
            <v>11518166.650000004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20533979.140000008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20533979.140000008</v>
          </cell>
          <cell r="BI24">
            <v>0</v>
          </cell>
          <cell r="BJ24">
            <v>0</v>
          </cell>
          <cell r="BK24">
            <v>0</v>
          </cell>
          <cell r="BL24">
            <v>2306633.83</v>
          </cell>
          <cell r="BM24">
            <v>3087329.2999999993</v>
          </cell>
          <cell r="BN24">
            <v>4860787.97</v>
          </cell>
          <cell r="BO24">
            <v>4702117.13</v>
          </cell>
          <cell r="BP24">
            <v>4337420.8800000008</v>
          </cell>
          <cell r="BQ24">
            <v>4796282.5500000007</v>
          </cell>
          <cell r="BR24">
            <v>4761480.1199999992</v>
          </cell>
          <cell r="BS24">
            <v>4653196.6999999993</v>
          </cell>
          <cell r="BT24">
            <v>3637672.3099999996</v>
          </cell>
          <cell r="BU24">
            <v>3314872.0999999996</v>
          </cell>
          <cell r="BV24">
            <v>3647756.4700000011</v>
          </cell>
          <cell r="BW24">
            <v>2626237.9800000004</v>
          </cell>
          <cell r="BX24">
            <v>0</v>
          </cell>
          <cell r="BY24">
            <v>46731787.340000004</v>
          </cell>
          <cell r="BZ24">
            <v>46731787.340000004</v>
          </cell>
          <cell r="CA24">
            <v>2626237.9800000004</v>
          </cell>
          <cell r="CB24">
            <v>0</v>
          </cell>
          <cell r="CC24">
            <v>2970411.0100000007</v>
          </cell>
          <cell r="CD24">
            <v>2943447.47</v>
          </cell>
          <cell r="CE24">
            <v>4220432.82</v>
          </cell>
          <cell r="CF24">
            <v>3643657.2399999998</v>
          </cell>
          <cell r="CG24">
            <v>3842649.8499999996</v>
          </cell>
          <cell r="CH24">
            <v>4297982.3400000008</v>
          </cell>
          <cell r="CI24">
            <v>4719705.03</v>
          </cell>
          <cell r="CJ24">
            <v>3963017.209999999</v>
          </cell>
          <cell r="CK24">
            <v>4250688.7499999991</v>
          </cell>
          <cell r="CL24">
            <v>4562536.76</v>
          </cell>
          <cell r="CM24">
            <v>3814059.46</v>
          </cell>
          <cell r="CN24">
            <v>3198452.09</v>
          </cell>
          <cell r="CO24">
            <v>0</v>
          </cell>
          <cell r="CP24">
            <v>46427040.030000001</v>
          </cell>
          <cell r="CQ24">
            <v>46427040.030000001</v>
          </cell>
          <cell r="CR24">
            <v>0</v>
          </cell>
          <cell r="CS24">
            <v>2693812.34</v>
          </cell>
          <cell r="CT24">
            <v>2789331.2100000004</v>
          </cell>
          <cell r="CU24">
            <v>3883288.6300000004</v>
          </cell>
          <cell r="CV24">
            <v>4145499.3699999996</v>
          </cell>
          <cell r="CW24">
            <v>4371346.17</v>
          </cell>
          <cell r="CX24">
            <v>3616296.7700000009</v>
          </cell>
          <cell r="CY24">
            <v>4457560.1199999992</v>
          </cell>
          <cell r="CZ24">
            <v>3873855.7000000007</v>
          </cell>
          <cell r="DA24">
            <v>3823551.2300000004</v>
          </cell>
          <cell r="DB24">
            <v>3428154.0899999994</v>
          </cell>
          <cell r="DC24">
            <v>3163429.7199999997</v>
          </cell>
          <cell r="DD24">
            <v>2095662.5399999996</v>
          </cell>
          <cell r="DE24">
            <v>0</v>
          </cell>
          <cell r="DF24">
            <v>42341787.889999986</v>
          </cell>
          <cell r="DG24">
            <v>42341787.889999986</v>
          </cell>
        </row>
        <row r="25">
          <cell r="B25">
            <v>22</v>
          </cell>
          <cell r="C25" t="str">
            <v>Materialeinsatz Lieferantenskonti / -Boni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-50471.109999999986</v>
          </cell>
          <cell r="U25">
            <v>-123173.83000000002</v>
          </cell>
          <cell r="V25">
            <v>-128865.55999999998</v>
          </cell>
          <cell r="W25">
            <v>-95258.33</v>
          </cell>
          <cell r="X25">
            <v>-116652.49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-514421.32000000007</v>
          </cell>
          <cell r="AH25">
            <v>-514421.32000000007</v>
          </cell>
          <cell r="AI25">
            <v>0</v>
          </cell>
          <cell r="AK25">
            <v>-2627.33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-302510.50000000006</v>
          </cell>
          <cell r="AV25">
            <v>-302510.50000000006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-514421.32000000007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-514421.32000000007</v>
          </cell>
          <cell r="BI25">
            <v>0</v>
          </cell>
          <cell r="BJ25">
            <v>0</v>
          </cell>
          <cell r="BK25">
            <v>0</v>
          </cell>
          <cell r="BL25">
            <v>-37911.119999999995</v>
          </cell>
          <cell r="BM25">
            <v>-84135.569999999963</v>
          </cell>
          <cell r="BN25">
            <v>-136425.84999999998</v>
          </cell>
          <cell r="BO25">
            <v>-121725.1</v>
          </cell>
          <cell r="BP25">
            <v>-109293.11000000002</v>
          </cell>
          <cell r="BQ25">
            <v>-124060.19999999998</v>
          </cell>
          <cell r="BR25">
            <v>-117555.37999999999</v>
          </cell>
          <cell r="BS25">
            <v>-107074.64000000001</v>
          </cell>
          <cell r="BT25">
            <v>-85740.449999999983</v>
          </cell>
          <cell r="BU25">
            <v>-75460.55</v>
          </cell>
          <cell r="BV25">
            <v>-92184.119999999981</v>
          </cell>
          <cell r="BW25">
            <v>-886439.14000000013</v>
          </cell>
          <cell r="BX25">
            <v>0</v>
          </cell>
          <cell r="BY25">
            <v>-1978005.2300000002</v>
          </cell>
          <cell r="BZ25">
            <v>-1978005.2300000002</v>
          </cell>
          <cell r="CA25">
            <v>-886439.14000000013</v>
          </cell>
          <cell r="CB25">
            <v>0</v>
          </cell>
          <cell r="CC25">
            <v>-54045.979999999989</v>
          </cell>
          <cell r="CD25">
            <v>-69349.91</v>
          </cell>
          <cell r="CE25">
            <v>-119350.07</v>
          </cell>
          <cell r="CF25">
            <v>-101283.62</v>
          </cell>
          <cell r="CG25">
            <v>-116085.9</v>
          </cell>
          <cell r="CH25">
            <v>-108221.46</v>
          </cell>
          <cell r="CI25">
            <v>-117754.63999999997</v>
          </cell>
          <cell r="CJ25">
            <v>-99157.869999999981</v>
          </cell>
          <cell r="CK25">
            <v>-105780.92</v>
          </cell>
          <cell r="CL25">
            <v>-95279.589999999967</v>
          </cell>
          <cell r="CM25">
            <v>-97922.030000000028</v>
          </cell>
          <cell r="CN25">
            <v>-751801.15999999992</v>
          </cell>
          <cell r="CO25">
            <v>0</v>
          </cell>
          <cell r="CP25">
            <v>-1836033.15</v>
          </cell>
          <cell r="CQ25">
            <v>-1836033.15</v>
          </cell>
          <cell r="CR25">
            <v>0</v>
          </cell>
          <cell r="CS25">
            <v>-54071.290000000008</v>
          </cell>
          <cell r="CT25">
            <v>-79319.219999999987</v>
          </cell>
          <cell r="CU25">
            <v>-116697.81999999998</v>
          </cell>
          <cell r="CV25">
            <v>-124551.98999999999</v>
          </cell>
          <cell r="CW25">
            <v>-105459.01999999999</v>
          </cell>
          <cell r="CX25">
            <v>-94382.279999999984</v>
          </cell>
          <cell r="CY25">
            <v>-108850.39000000003</v>
          </cell>
          <cell r="CZ25">
            <v>-97287.180000000008</v>
          </cell>
          <cell r="DA25">
            <v>-92174.409999999989</v>
          </cell>
          <cell r="DB25">
            <v>-72556.49000000002</v>
          </cell>
          <cell r="DC25">
            <v>-85956.54</v>
          </cell>
          <cell r="DD25">
            <v>-652089.61</v>
          </cell>
          <cell r="DE25">
            <v>0</v>
          </cell>
          <cell r="DF25">
            <v>-1683396.2400000002</v>
          </cell>
          <cell r="DG25">
            <v>-1683396.2400000002</v>
          </cell>
        </row>
        <row r="26">
          <cell r="B26">
            <v>23</v>
          </cell>
          <cell r="C26" t="str">
            <v>Materialeinsatz KST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153038.87000000002</v>
          </cell>
          <cell r="U26">
            <v>222007.28999999998</v>
          </cell>
          <cell r="V26">
            <v>322327.23000000004</v>
          </cell>
          <cell r="W26">
            <v>340420.22000000003</v>
          </cell>
          <cell r="X26">
            <v>247171.28999999995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1284964.8999999999</v>
          </cell>
          <cell r="AH26">
            <v>1284964.8999999999</v>
          </cell>
          <cell r="AI26">
            <v>0</v>
          </cell>
          <cell r="AK26">
            <v>1606.82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697373.3899999999</v>
          </cell>
          <cell r="AV26">
            <v>697373.3899999999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1284964.8999999999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1284964.8999999999</v>
          </cell>
          <cell r="BI26">
            <v>0</v>
          </cell>
          <cell r="BJ26">
            <v>0</v>
          </cell>
          <cell r="BK26">
            <v>0</v>
          </cell>
          <cell r="BL26">
            <v>168775</v>
          </cell>
          <cell r="BM26">
            <v>213087.37000000002</v>
          </cell>
          <cell r="BN26">
            <v>272202.17</v>
          </cell>
          <cell r="BO26">
            <v>172598.87</v>
          </cell>
          <cell r="BP26">
            <v>257288.85</v>
          </cell>
          <cell r="BQ26">
            <v>289420.73</v>
          </cell>
          <cell r="BR26">
            <v>273592.41000000003</v>
          </cell>
          <cell r="BS26">
            <v>273913.89999999997</v>
          </cell>
          <cell r="BT26">
            <v>252684.88</v>
          </cell>
          <cell r="BU26">
            <v>259188.43999999994</v>
          </cell>
          <cell r="BV26">
            <v>232546.93999999994</v>
          </cell>
          <cell r="BW26">
            <v>253456.57000000004</v>
          </cell>
          <cell r="BX26">
            <v>0</v>
          </cell>
          <cell r="BY26">
            <v>2918756.1299999994</v>
          </cell>
          <cell r="BZ26">
            <v>2918756.1299999994</v>
          </cell>
          <cell r="CA26">
            <v>253456.57000000004</v>
          </cell>
          <cell r="CB26">
            <v>0</v>
          </cell>
          <cell r="CC26">
            <v>183902.74</v>
          </cell>
          <cell r="CD26">
            <v>176486.32</v>
          </cell>
          <cell r="CE26">
            <v>247588.48000000001</v>
          </cell>
          <cell r="CF26">
            <v>143457.45000000001</v>
          </cell>
          <cell r="CG26">
            <v>208053.55999999997</v>
          </cell>
          <cell r="CH26">
            <v>244594.21999999994</v>
          </cell>
          <cell r="CI26">
            <v>243885.55000000002</v>
          </cell>
          <cell r="CJ26">
            <v>257684.28000000006</v>
          </cell>
          <cell r="CK26">
            <v>281578.51000000007</v>
          </cell>
          <cell r="CL26">
            <v>216481.83999999997</v>
          </cell>
          <cell r="CM26">
            <v>234198.06999999995</v>
          </cell>
          <cell r="CN26">
            <v>392851.71</v>
          </cell>
          <cell r="CO26">
            <v>0</v>
          </cell>
          <cell r="CP26">
            <v>2830762.7299999995</v>
          </cell>
          <cell r="CQ26">
            <v>2830762.7299999995</v>
          </cell>
          <cell r="CR26">
            <v>0</v>
          </cell>
          <cell r="CS26">
            <v>139389.66000000003</v>
          </cell>
          <cell r="CT26">
            <v>171297.30000000005</v>
          </cell>
          <cell r="CU26">
            <v>212431.0400000001</v>
          </cell>
          <cell r="CV26">
            <v>223895.53999999989</v>
          </cell>
          <cell r="CW26">
            <v>323298.53999999998</v>
          </cell>
          <cell r="CX26">
            <v>335166.48000000004</v>
          </cell>
          <cell r="CY26">
            <v>245177.58000000007</v>
          </cell>
          <cell r="CZ26">
            <v>218330.39999999997</v>
          </cell>
          <cell r="DA26">
            <v>174688.58000000002</v>
          </cell>
          <cell r="DB26">
            <v>203104.59999999998</v>
          </cell>
          <cell r="DC26">
            <v>210008.97</v>
          </cell>
          <cell r="DD26">
            <v>237248.58</v>
          </cell>
          <cell r="DE26">
            <v>0</v>
          </cell>
          <cell r="DF26">
            <v>2694037.2700000005</v>
          </cell>
          <cell r="DG26">
            <v>2694037.2700000005</v>
          </cell>
        </row>
        <row r="27">
          <cell r="B27">
            <v>24</v>
          </cell>
          <cell r="C27" t="str">
            <v>Materialeinsatz Bestandsveränderung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181279.30000000002</v>
          </cell>
          <cell r="U27">
            <v>231658.96999999994</v>
          </cell>
          <cell r="V27">
            <v>118253.88</v>
          </cell>
          <cell r="W27">
            <v>-20605.910000000003</v>
          </cell>
          <cell r="X27">
            <v>1973.5299999999952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512559.76999999984</v>
          </cell>
          <cell r="AH27">
            <v>512559.76999999984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531192.15</v>
          </cell>
          <cell r="AV27">
            <v>531192.15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512559.76999999984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512559.76999999984</v>
          </cell>
          <cell r="BI27">
            <v>0</v>
          </cell>
          <cell r="BJ27">
            <v>0</v>
          </cell>
          <cell r="BK27">
            <v>0</v>
          </cell>
          <cell r="BL27">
            <v>107175.98000000001</v>
          </cell>
          <cell r="BM27">
            <v>154474.09000000003</v>
          </cell>
          <cell r="BN27">
            <v>117438.47000000002</v>
          </cell>
          <cell r="BO27">
            <v>87706.22</v>
          </cell>
          <cell r="BP27">
            <v>6034.13</v>
          </cell>
          <cell r="BQ27">
            <v>109339.27999999998</v>
          </cell>
          <cell r="BR27">
            <v>110203.60000000002</v>
          </cell>
          <cell r="BS27">
            <v>-45723.55</v>
          </cell>
          <cell r="BT27">
            <v>16517.469999999994</v>
          </cell>
          <cell r="BU27">
            <v>-18002.62</v>
          </cell>
          <cell r="BV27">
            <v>95020.91</v>
          </cell>
          <cell r="BW27">
            <v>-108907.34999999998</v>
          </cell>
          <cell r="BX27">
            <v>0</v>
          </cell>
          <cell r="BY27">
            <v>631276.63</v>
          </cell>
          <cell r="BZ27">
            <v>631276.63</v>
          </cell>
          <cell r="CA27">
            <v>-108907.34999999998</v>
          </cell>
          <cell r="CB27">
            <v>0</v>
          </cell>
          <cell r="CC27">
            <v>42033.909999999989</v>
          </cell>
          <cell r="CD27">
            <v>168401.68</v>
          </cell>
          <cell r="CE27">
            <v>-119846.36000000002</v>
          </cell>
          <cell r="CF27">
            <v>15645.450000000003</v>
          </cell>
          <cell r="CG27">
            <v>-55094.010000000009</v>
          </cell>
          <cell r="CH27">
            <v>-2200.2300000000005</v>
          </cell>
          <cell r="CI27">
            <v>11783.059999999998</v>
          </cell>
          <cell r="CJ27">
            <v>-6044.5300000000007</v>
          </cell>
          <cell r="CK27">
            <v>-56085.279999999999</v>
          </cell>
          <cell r="CL27">
            <v>-27046.389999999996</v>
          </cell>
          <cell r="CM27">
            <v>112221.15</v>
          </cell>
          <cell r="CN27">
            <v>-64553.05</v>
          </cell>
          <cell r="CO27">
            <v>0</v>
          </cell>
          <cell r="CP27">
            <v>19215.399999999961</v>
          </cell>
          <cell r="CQ27">
            <v>19215.399999999961</v>
          </cell>
          <cell r="CR27">
            <v>0</v>
          </cell>
          <cell r="CS27">
            <v>58744.979999999996</v>
          </cell>
          <cell r="CT27">
            <v>188823.63</v>
          </cell>
          <cell r="CU27">
            <v>110016.70999999999</v>
          </cell>
          <cell r="CV27">
            <v>-20218.39</v>
          </cell>
          <cell r="CW27">
            <v>-166333.54</v>
          </cell>
          <cell r="CX27">
            <v>32813.270000000004</v>
          </cell>
          <cell r="CY27">
            <v>108206.98000000001</v>
          </cell>
          <cell r="CZ27">
            <v>-30972.910000000003</v>
          </cell>
          <cell r="DA27">
            <v>-120833.33999999998</v>
          </cell>
          <cell r="DB27">
            <v>-67453.2</v>
          </cell>
          <cell r="DC27">
            <v>-53894.82</v>
          </cell>
          <cell r="DD27">
            <v>-27223.839999999993</v>
          </cell>
          <cell r="DE27">
            <v>0</v>
          </cell>
          <cell r="DF27">
            <v>11675.530000000028</v>
          </cell>
          <cell r="DG27">
            <v>11675.530000000028</v>
          </cell>
        </row>
        <row r="28">
          <cell r="B28">
            <v>25</v>
          </cell>
          <cell r="C28" t="str">
            <v>Verschnitt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208248.82</v>
          </cell>
          <cell r="U28">
            <v>272364.47000000003</v>
          </cell>
          <cell r="V28">
            <v>354154.85000000003</v>
          </cell>
          <cell r="W28">
            <v>326735.98</v>
          </cell>
          <cell r="X28">
            <v>365753.45999999996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1527257.5800000003</v>
          </cell>
          <cell r="AH28">
            <v>1527257.5800000003</v>
          </cell>
          <cell r="AI28">
            <v>0</v>
          </cell>
          <cell r="AK28">
            <v>1047.4000000000001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834768.14</v>
          </cell>
          <cell r="AV28">
            <v>834768.14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1527257.5800000003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1527257.5800000003</v>
          </cell>
          <cell r="BI28">
            <v>0</v>
          </cell>
          <cell r="BJ28">
            <v>0</v>
          </cell>
          <cell r="BK28">
            <v>0</v>
          </cell>
          <cell r="BL28">
            <v>216771.45999999996</v>
          </cell>
          <cell r="BM28">
            <v>231740.59999999995</v>
          </cell>
          <cell r="BN28">
            <v>315076.62999999995</v>
          </cell>
          <cell r="BO28">
            <v>301773.3299999999</v>
          </cell>
          <cell r="BP28">
            <v>308094.94000000006</v>
          </cell>
          <cell r="BQ28">
            <v>339833.48999999987</v>
          </cell>
          <cell r="BR28">
            <v>311724.25</v>
          </cell>
          <cell r="BS28">
            <v>286390.68000000005</v>
          </cell>
          <cell r="BT28">
            <v>231286.82</v>
          </cell>
          <cell r="BU28">
            <v>257089.89</v>
          </cell>
          <cell r="BV28">
            <v>308820.40999999997</v>
          </cell>
          <cell r="BW28">
            <v>191894.2</v>
          </cell>
          <cell r="BX28">
            <v>0</v>
          </cell>
          <cell r="BY28">
            <v>3300496.7</v>
          </cell>
          <cell r="BZ28">
            <v>3300496.7</v>
          </cell>
          <cell r="CA28">
            <v>191894.2</v>
          </cell>
          <cell r="CB28">
            <v>0</v>
          </cell>
          <cell r="CC28">
            <v>236277.70999999993</v>
          </cell>
          <cell r="CD28">
            <v>237018.14000000004</v>
          </cell>
          <cell r="CE28">
            <v>227050.56000000006</v>
          </cell>
          <cell r="CF28">
            <v>192357.19999999995</v>
          </cell>
          <cell r="CG28">
            <v>248367.58000000002</v>
          </cell>
          <cell r="CH28">
            <v>306261.01000000007</v>
          </cell>
          <cell r="CI28">
            <v>329713.48</v>
          </cell>
          <cell r="CJ28">
            <v>271725.24999999994</v>
          </cell>
          <cell r="CK28">
            <v>283183.68</v>
          </cell>
          <cell r="CL28">
            <v>283271.63999999996</v>
          </cell>
          <cell r="CM28">
            <v>282014.97999999992</v>
          </cell>
          <cell r="CN28">
            <v>229409.86999999997</v>
          </cell>
          <cell r="CO28">
            <v>0</v>
          </cell>
          <cell r="CP28">
            <v>3126651.0999999992</v>
          </cell>
          <cell r="CQ28">
            <v>3126651.0999999992</v>
          </cell>
          <cell r="CR28">
            <v>0</v>
          </cell>
          <cell r="CS28">
            <v>241056.77000000002</v>
          </cell>
          <cell r="CT28">
            <v>221119.95</v>
          </cell>
          <cell r="CU28">
            <v>265111.10000000003</v>
          </cell>
          <cell r="CV28">
            <v>265773.35000000003</v>
          </cell>
          <cell r="CW28">
            <v>292226.10000000003</v>
          </cell>
          <cell r="CX28">
            <v>252068.81000000003</v>
          </cell>
          <cell r="CY28">
            <v>310487.23</v>
          </cell>
          <cell r="CZ28">
            <v>262866.79000000004</v>
          </cell>
          <cell r="DA28">
            <v>251423.06999999998</v>
          </cell>
          <cell r="DB28">
            <v>254676.90000000002</v>
          </cell>
          <cell r="DC28">
            <v>255125.21000000002</v>
          </cell>
          <cell r="DD28">
            <v>147512.18</v>
          </cell>
          <cell r="DE28">
            <v>0</v>
          </cell>
          <cell r="DF28">
            <v>3019447.46</v>
          </cell>
          <cell r="DG28">
            <v>3019447.46</v>
          </cell>
        </row>
        <row r="29">
          <cell r="B29">
            <v>26</v>
          </cell>
          <cell r="C29" t="str">
            <v>Fertigungseinzelkosten [Fertigungsaufträge]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60111.64</v>
          </cell>
          <cell r="U29">
            <v>96433.73000000001</v>
          </cell>
          <cell r="V29">
            <v>120423.5</v>
          </cell>
          <cell r="W29">
            <v>115841.37</v>
          </cell>
          <cell r="X29">
            <v>138262.43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531072.67000000016</v>
          </cell>
          <cell r="AH29">
            <v>531072.67000000016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276968.87</v>
          </cell>
          <cell r="AV29">
            <v>276968.87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531072.67000000016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531072.67000000016</v>
          </cell>
          <cell r="BI29">
            <v>0</v>
          </cell>
          <cell r="BJ29">
            <v>0</v>
          </cell>
          <cell r="BK29">
            <v>0</v>
          </cell>
          <cell r="BL29">
            <v>74842.320000000007</v>
          </cell>
          <cell r="BM29">
            <v>94632.469999999987</v>
          </cell>
          <cell r="BN29">
            <v>137314.52000000002</v>
          </cell>
          <cell r="BO29">
            <v>107843.75000000001</v>
          </cell>
          <cell r="BP29">
            <v>150859.44999999998</v>
          </cell>
          <cell r="BQ29">
            <v>142989.37</v>
          </cell>
          <cell r="BR29">
            <v>128870.60000000002</v>
          </cell>
          <cell r="BS29">
            <v>106126.47000000002</v>
          </cell>
          <cell r="BT29">
            <v>94442.34</v>
          </cell>
          <cell r="BU29">
            <v>112497.83</v>
          </cell>
          <cell r="BV29">
            <v>77489.599999999991</v>
          </cell>
          <cell r="BW29">
            <v>71302.559999999983</v>
          </cell>
          <cell r="BX29">
            <v>0</v>
          </cell>
          <cell r="BY29">
            <v>1299211.28</v>
          </cell>
          <cell r="BZ29">
            <v>1299211.28</v>
          </cell>
          <cell r="CA29">
            <v>71302.559999999983</v>
          </cell>
          <cell r="CB29">
            <v>0</v>
          </cell>
          <cell r="CC29">
            <v>56043.429999999986</v>
          </cell>
          <cell r="CD29">
            <v>103896.61</v>
          </cell>
          <cell r="CE29">
            <v>138641.32</v>
          </cell>
          <cell r="CF29">
            <v>105787.57000000002</v>
          </cell>
          <cell r="CG29">
            <v>134905.32</v>
          </cell>
          <cell r="CH29">
            <v>115389.93000000001</v>
          </cell>
          <cell r="CI29">
            <v>165291.81000000003</v>
          </cell>
          <cell r="CJ29">
            <v>111664.04</v>
          </cell>
          <cell r="CK29">
            <v>121822.71</v>
          </cell>
          <cell r="CL29">
            <v>97627.47</v>
          </cell>
          <cell r="CM29">
            <v>100671.20999999999</v>
          </cell>
          <cell r="CN29">
            <v>79352.700000000012</v>
          </cell>
          <cell r="CO29">
            <v>0</v>
          </cell>
          <cell r="CP29">
            <v>1331094.1200000001</v>
          </cell>
          <cell r="CQ29">
            <v>1331094.1200000001</v>
          </cell>
          <cell r="CR29">
            <v>0</v>
          </cell>
          <cell r="CS29">
            <v>56597.81</v>
          </cell>
          <cell r="CT29">
            <v>69062.720000000001</v>
          </cell>
          <cell r="CU29">
            <v>108868.62999999998</v>
          </cell>
          <cell r="CV29">
            <v>110308.20000000001</v>
          </cell>
          <cell r="CW29">
            <v>123734.32</v>
          </cell>
          <cell r="CX29">
            <v>96209.93</v>
          </cell>
          <cell r="CY29">
            <v>115485.33</v>
          </cell>
          <cell r="CZ29">
            <v>91627.079999999987</v>
          </cell>
          <cell r="DA29">
            <v>74201.97</v>
          </cell>
          <cell r="DB29">
            <v>88022.080000000002</v>
          </cell>
          <cell r="DC29">
            <v>70392.650000000009</v>
          </cell>
          <cell r="DD29">
            <v>64979.7</v>
          </cell>
          <cell r="DE29">
            <v>0</v>
          </cell>
          <cell r="DF29">
            <v>1069490.42</v>
          </cell>
          <cell r="DG29">
            <v>1069490.42</v>
          </cell>
        </row>
        <row r="30">
          <cell r="B30">
            <v>27</v>
          </cell>
          <cell r="C30" t="str">
            <v>Fertigungsgemeinkosten [Fertigungsaufträge]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23957.399999999998</v>
          </cell>
          <cell r="U30">
            <v>35968.97</v>
          </cell>
          <cell r="V30">
            <v>50092.1</v>
          </cell>
          <cell r="W30">
            <v>48170.01</v>
          </cell>
          <cell r="X30">
            <v>56817.900000000009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215006.37999999998</v>
          </cell>
          <cell r="AH30">
            <v>215006.37999999998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110018.47</v>
          </cell>
          <cell r="AV30">
            <v>110018.47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215006.37999999998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215006.37999999998</v>
          </cell>
          <cell r="BI30">
            <v>0</v>
          </cell>
          <cell r="BJ30">
            <v>0</v>
          </cell>
          <cell r="BK30">
            <v>0</v>
          </cell>
          <cell r="BL30">
            <v>22938.14</v>
          </cell>
          <cell r="BM30">
            <v>34390.35</v>
          </cell>
          <cell r="BN30">
            <v>47094.299999999996</v>
          </cell>
          <cell r="BO30">
            <v>45068.170000000006</v>
          </cell>
          <cell r="BP30">
            <v>56424.54</v>
          </cell>
          <cell r="BQ30">
            <v>58638.94999999999</v>
          </cell>
          <cell r="BR30">
            <v>54971.69</v>
          </cell>
          <cell r="BS30">
            <v>42788.049999999996</v>
          </cell>
          <cell r="BT30">
            <v>39233.879999999997</v>
          </cell>
          <cell r="BU30">
            <v>34729.08</v>
          </cell>
          <cell r="BV30">
            <v>31934.019999999997</v>
          </cell>
          <cell r="BW30">
            <v>27190.979999999996</v>
          </cell>
          <cell r="BX30">
            <v>0</v>
          </cell>
          <cell r="BY30">
            <v>495402.15</v>
          </cell>
          <cell r="BZ30">
            <v>495402.15</v>
          </cell>
          <cell r="CA30">
            <v>27190.979999999996</v>
          </cell>
          <cell r="CB30">
            <v>0</v>
          </cell>
          <cell r="CC30">
            <v>26815</v>
          </cell>
          <cell r="CD30">
            <v>32334.15</v>
          </cell>
          <cell r="CE30">
            <v>51547.780000000006</v>
          </cell>
          <cell r="CF30">
            <v>41856.740000000005</v>
          </cell>
          <cell r="CG30">
            <v>41223.620000000003</v>
          </cell>
          <cell r="CH30">
            <v>53429.340000000004</v>
          </cell>
          <cell r="CI30">
            <v>59680.53</v>
          </cell>
          <cell r="CJ30">
            <v>43705.14</v>
          </cell>
          <cell r="CK30">
            <v>42795.149999999994</v>
          </cell>
          <cell r="CL30">
            <v>35837.86</v>
          </cell>
          <cell r="CM30">
            <v>37598.259999999995</v>
          </cell>
          <cell r="CN30">
            <v>24153.32</v>
          </cell>
          <cell r="CO30">
            <v>0</v>
          </cell>
          <cell r="CP30">
            <v>490976.89</v>
          </cell>
          <cell r="CQ30">
            <v>490976.89</v>
          </cell>
          <cell r="CR30">
            <v>0</v>
          </cell>
          <cell r="CS30">
            <v>25026.920000000002</v>
          </cell>
          <cell r="CT30">
            <v>10803.490000000002</v>
          </cell>
          <cell r="CU30">
            <v>46701.810000000005</v>
          </cell>
          <cell r="CV30">
            <v>48050.47</v>
          </cell>
          <cell r="CW30">
            <v>51304.33</v>
          </cell>
          <cell r="CX30">
            <v>38546.240000000005</v>
          </cell>
          <cell r="CY30">
            <v>41585.369999999995</v>
          </cell>
          <cell r="CZ30">
            <v>35011.310000000005</v>
          </cell>
          <cell r="DA30">
            <v>27825.14</v>
          </cell>
          <cell r="DB30">
            <v>24243.510000000006</v>
          </cell>
          <cell r="DC30">
            <v>19039.800000000003</v>
          </cell>
          <cell r="DD30">
            <v>17221.75</v>
          </cell>
          <cell r="DE30">
            <v>0</v>
          </cell>
          <cell r="DF30">
            <v>385360.14000000007</v>
          </cell>
          <cell r="DG30">
            <v>385360.14000000007</v>
          </cell>
        </row>
        <row r="31">
          <cell r="B31">
            <v>28</v>
          </cell>
          <cell r="C31" t="str">
            <v>Materialgemeinkosten [Fertigungsaufträge]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24918.06</v>
          </cell>
          <cell r="U31">
            <v>42127.71</v>
          </cell>
          <cell r="V31">
            <v>64388.94</v>
          </cell>
          <cell r="W31">
            <v>65878.73</v>
          </cell>
          <cell r="X31">
            <v>68793.17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266106.61</v>
          </cell>
          <cell r="AH31">
            <v>266106.61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131434.71</v>
          </cell>
          <cell r="AV31">
            <v>131434.71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266106.61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266106.61</v>
          </cell>
          <cell r="BI31">
            <v>0</v>
          </cell>
          <cell r="BJ31">
            <v>0</v>
          </cell>
          <cell r="BK31">
            <v>0</v>
          </cell>
          <cell r="BL31">
            <v>19997.849999999999</v>
          </cell>
          <cell r="BM31">
            <v>32892.239999999998</v>
          </cell>
          <cell r="BN31">
            <v>57706.160000000011</v>
          </cell>
          <cell r="BO31">
            <v>53817.989999999991</v>
          </cell>
          <cell r="BP31">
            <v>92907.11</v>
          </cell>
          <cell r="BQ31">
            <v>63578.26</v>
          </cell>
          <cell r="BR31">
            <v>60712.56</v>
          </cell>
          <cell r="BS31">
            <v>50291.37</v>
          </cell>
          <cell r="BT31">
            <v>45718.930000000008</v>
          </cell>
          <cell r="BU31">
            <v>36196.11</v>
          </cell>
          <cell r="BV31">
            <v>34943.339999999997</v>
          </cell>
          <cell r="BW31">
            <v>24325.760000000002</v>
          </cell>
          <cell r="BX31">
            <v>0</v>
          </cell>
          <cell r="BY31">
            <v>573087.67999999993</v>
          </cell>
          <cell r="BZ31">
            <v>573087.67999999993</v>
          </cell>
          <cell r="CA31">
            <v>24325.760000000002</v>
          </cell>
          <cell r="CB31">
            <v>0</v>
          </cell>
          <cell r="CC31">
            <v>24261.8</v>
          </cell>
          <cell r="CD31">
            <v>34686.5</v>
          </cell>
          <cell r="CE31">
            <v>53650.130000000005</v>
          </cell>
          <cell r="CF31">
            <v>52030.92</v>
          </cell>
          <cell r="CG31">
            <v>46168.69</v>
          </cell>
          <cell r="CH31">
            <v>54388.409999999996</v>
          </cell>
          <cell r="CI31">
            <v>60775.349999999991</v>
          </cell>
          <cell r="CJ31">
            <v>43727.099999999991</v>
          </cell>
          <cell r="CK31">
            <v>49354.64</v>
          </cell>
          <cell r="CL31">
            <v>35398.49</v>
          </cell>
          <cell r="CM31">
            <v>26707.899999999998</v>
          </cell>
          <cell r="CN31">
            <v>20079</v>
          </cell>
          <cell r="CO31">
            <v>0</v>
          </cell>
          <cell r="CP31">
            <v>501228.93</v>
          </cell>
          <cell r="CQ31">
            <v>501228.93</v>
          </cell>
          <cell r="CR31">
            <v>0</v>
          </cell>
          <cell r="CS31">
            <v>20325.629999999997</v>
          </cell>
          <cell r="CT31">
            <v>29034.609999999997</v>
          </cell>
          <cell r="CU31">
            <v>50445.8</v>
          </cell>
          <cell r="CV31">
            <v>62166.98</v>
          </cell>
          <cell r="CW31">
            <v>54611.82</v>
          </cell>
          <cell r="CX31">
            <v>43608.700000000004</v>
          </cell>
          <cell r="CY31">
            <v>45000.01</v>
          </cell>
          <cell r="CZ31">
            <v>36812.920000000006</v>
          </cell>
          <cell r="DA31">
            <v>28826.53</v>
          </cell>
          <cell r="DB31">
            <v>22707.48</v>
          </cell>
          <cell r="DC31">
            <v>19827.96</v>
          </cell>
          <cell r="DD31">
            <v>14114.34</v>
          </cell>
          <cell r="DE31">
            <v>0</v>
          </cell>
          <cell r="DF31">
            <v>427482.77999999997</v>
          </cell>
          <cell r="DG31">
            <v>427482.77999999997</v>
          </cell>
        </row>
        <row r="32">
          <cell r="B32">
            <v>29</v>
          </cell>
          <cell r="C32" t="str">
            <v>Maschinenkosten [Fertigungsaufträge]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20469.060000000001</v>
          </cell>
          <cell r="U32">
            <v>25482.58</v>
          </cell>
          <cell r="V32">
            <v>22613</v>
          </cell>
          <cell r="W32">
            <v>17795.55</v>
          </cell>
          <cell r="X32">
            <v>26518.230000000003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112878.42</v>
          </cell>
          <cell r="AH32">
            <v>112878.42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68564.639999999999</v>
          </cell>
          <cell r="AV32">
            <v>68564.639999999999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112878.42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112878.42</v>
          </cell>
          <cell r="BI32">
            <v>0</v>
          </cell>
          <cell r="BJ32">
            <v>0</v>
          </cell>
          <cell r="BK32">
            <v>0</v>
          </cell>
          <cell r="BL32">
            <v>15697.01</v>
          </cell>
          <cell r="BM32">
            <v>20096.86</v>
          </cell>
          <cell r="BN32">
            <v>17095.86</v>
          </cell>
          <cell r="BO32">
            <v>14279.51</v>
          </cell>
          <cell r="BP32">
            <v>10808.39</v>
          </cell>
          <cell r="BQ32">
            <v>21761.63</v>
          </cell>
          <cell r="BR32">
            <v>19338.650000000001</v>
          </cell>
          <cell r="BS32">
            <v>9914.0600000000013</v>
          </cell>
          <cell r="BT32">
            <v>17919.309999999998</v>
          </cell>
          <cell r="BU32">
            <v>27409.03</v>
          </cell>
          <cell r="BV32">
            <v>31792.55</v>
          </cell>
          <cell r="BW32">
            <v>30482.129999999997</v>
          </cell>
          <cell r="BX32">
            <v>0</v>
          </cell>
          <cell r="BY32">
            <v>236594.99</v>
          </cell>
          <cell r="BZ32">
            <v>236594.99</v>
          </cell>
          <cell r="CA32">
            <v>30482.129999999997</v>
          </cell>
          <cell r="CB32">
            <v>0</v>
          </cell>
          <cell r="CC32">
            <v>14544.449999999999</v>
          </cell>
          <cell r="CD32">
            <v>12157.269999999999</v>
          </cell>
          <cell r="CE32">
            <v>14041.29</v>
          </cell>
          <cell r="CF32">
            <v>18367.16</v>
          </cell>
          <cell r="CG32">
            <v>7566.11</v>
          </cell>
          <cell r="CH32">
            <v>17747.060000000001</v>
          </cell>
          <cell r="CI32">
            <v>22897.9</v>
          </cell>
          <cell r="CJ32">
            <v>18274.310000000001</v>
          </cell>
          <cell r="CK32">
            <v>8021.48</v>
          </cell>
          <cell r="CL32">
            <v>16494.780000000002</v>
          </cell>
          <cell r="CM32">
            <v>19456.32</v>
          </cell>
          <cell r="CN32">
            <v>15136.880000000001</v>
          </cell>
          <cell r="CO32">
            <v>0</v>
          </cell>
          <cell r="CP32">
            <v>184705.01000000004</v>
          </cell>
          <cell r="CQ32">
            <v>184705.01000000004</v>
          </cell>
          <cell r="CR32">
            <v>0</v>
          </cell>
          <cell r="CS32">
            <v>25814.38</v>
          </cell>
          <cell r="CT32">
            <v>25116.34</v>
          </cell>
          <cell r="CU32">
            <v>16896.870000000003</v>
          </cell>
          <cell r="CV32">
            <v>21520.38</v>
          </cell>
          <cell r="CW32">
            <v>42716.2</v>
          </cell>
          <cell r="CX32">
            <v>32879.300000000003</v>
          </cell>
          <cell r="CY32">
            <v>28530.58</v>
          </cell>
          <cell r="CZ32">
            <v>34210.630000000005</v>
          </cell>
          <cell r="DA32">
            <v>28384.22</v>
          </cell>
          <cell r="DB32">
            <v>16443.400000000001</v>
          </cell>
          <cell r="DC32">
            <v>20796.010000000002</v>
          </cell>
          <cell r="DD32">
            <v>37160.44</v>
          </cell>
          <cell r="DE32">
            <v>0</v>
          </cell>
          <cell r="DF32">
            <v>330468.75</v>
          </cell>
          <cell r="DG32">
            <v>330468.75</v>
          </cell>
        </row>
        <row r="33">
          <cell r="B33">
            <v>30</v>
          </cell>
          <cell r="C33" t="str">
            <v>SEK der Fertigung [Fertigungsaufträge]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57.02</v>
          </cell>
          <cell r="W33">
            <v>45.68</v>
          </cell>
          <cell r="X33">
            <v>380.04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482.74</v>
          </cell>
          <cell r="AH33">
            <v>482.74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57.02</v>
          </cell>
          <cell r="AV33">
            <v>57.02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482.74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482.74</v>
          </cell>
          <cell r="BI33">
            <v>0</v>
          </cell>
          <cell r="BJ33">
            <v>0</v>
          </cell>
          <cell r="BK33">
            <v>0</v>
          </cell>
          <cell r="BL33">
            <v>171.93</v>
          </cell>
          <cell r="BM33">
            <v>175.35</v>
          </cell>
          <cell r="BN33">
            <v>79.42</v>
          </cell>
          <cell r="BO33">
            <v>6.44</v>
          </cell>
          <cell r="BP33">
            <v>0</v>
          </cell>
          <cell r="BQ33">
            <v>0</v>
          </cell>
          <cell r="BR33">
            <v>107.19</v>
          </cell>
          <cell r="BS33">
            <v>3</v>
          </cell>
          <cell r="BT33">
            <v>65.41</v>
          </cell>
          <cell r="BU33">
            <v>671.41</v>
          </cell>
          <cell r="BV33">
            <v>133.80000000000001</v>
          </cell>
          <cell r="BW33">
            <v>3.59</v>
          </cell>
          <cell r="BX33">
            <v>0</v>
          </cell>
          <cell r="BY33">
            <v>1417.5399999999997</v>
          </cell>
          <cell r="BZ33">
            <v>1417.5399999999997</v>
          </cell>
          <cell r="CA33">
            <v>3.59</v>
          </cell>
          <cell r="CB33">
            <v>0</v>
          </cell>
          <cell r="CC33">
            <v>8.26</v>
          </cell>
          <cell r="CD33">
            <v>142.06</v>
          </cell>
          <cell r="CE33">
            <v>2.9</v>
          </cell>
          <cell r="CF33">
            <v>0</v>
          </cell>
          <cell r="CG33">
            <v>0</v>
          </cell>
          <cell r="CH33">
            <v>136.84</v>
          </cell>
          <cell r="CI33">
            <v>6.4</v>
          </cell>
          <cell r="CJ33">
            <v>506.18</v>
          </cell>
          <cell r="CK33">
            <v>54.54</v>
          </cell>
          <cell r="CL33">
            <v>6.55</v>
          </cell>
          <cell r="CM33">
            <v>81.239999999999995</v>
          </cell>
          <cell r="CN33">
            <v>20.55</v>
          </cell>
          <cell r="CO33">
            <v>0</v>
          </cell>
          <cell r="CP33">
            <v>965.51999999999987</v>
          </cell>
          <cell r="CQ33">
            <v>965.51999999999987</v>
          </cell>
          <cell r="CR33">
            <v>0</v>
          </cell>
          <cell r="CS33">
            <v>29.25</v>
          </cell>
          <cell r="CT33">
            <v>44.75</v>
          </cell>
          <cell r="CU33">
            <v>513.03</v>
          </cell>
          <cell r="CV33">
            <v>0</v>
          </cell>
          <cell r="CW33">
            <v>330.15999999999997</v>
          </cell>
          <cell r="CX33">
            <v>47.71</v>
          </cell>
          <cell r="CY33">
            <v>69.709999999999994</v>
          </cell>
          <cell r="CZ33">
            <v>59.08</v>
          </cell>
          <cell r="DA33">
            <v>1.68</v>
          </cell>
          <cell r="DB33">
            <v>293.45</v>
          </cell>
          <cell r="DC33">
            <v>5.94</v>
          </cell>
          <cell r="DD33">
            <v>0</v>
          </cell>
          <cell r="DE33">
            <v>0</v>
          </cell>
          <cell r="DF33">
            <v>1394.76</v>
          </cell>
          <cell r="DG33">
            <v>1394.76</v>
          </cell>
        </row>
        <row r="34">
          <cell r="B34">
            <v>31</v>
          </cell>
          <cell r="C34" t="str">
            <v>Energiekosten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62316.89</v>
          </cell>
          <cell r="U34">
            <v>73885.100000000006</v>
          </cell>
          <cell r="V34">
            <v>29293.659999999996</v>
          </cell>
          <cell r="W34">
            <v>75863.100000000006</v>
          </cell>
          <cell r="X34">
            <v>47644.25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289003</v>
          </cell>
          <cell r="AH34">
            <v>289003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165495.64999999997</v>
          </cell>
          <cell r="AV34">
            <v>165495.64999999997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289003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289003</v>
          </cell>
          <cell r="BI34">
            <v>0</v>
          </cell>
          <cell r="BJ34">
            <v>0</v>
          </cell>
          <cell r="BK34">
            <v>0</v>
          </cell>
          <cell r="BL34">
            <v>50197.23</v>
          </cell>
          <cell r="BM34">
            <v>77303.69</v>
          </cell>
          <cell r="BN34">
            <v>71323.649999999994</v>
          </cell>
          <cell r="BO34">
            <v>74736.41</v>
          </cell>
          <cell r="BP34">
            <v>51977.180000000008</v>
          </cell>
          <cell r="BQ34">
            <v>48884.66</v>
          </cell>
          <cell r="BR34">
            <v>8734.9000000000015</v>
          </cell>
          <cell r="BS34">
            <v>84130.790000000008</v>
          </cell>
          <cell r="BT34">
            <v>48787.759999999995</v>
          </cell>
          <cell r="BU34">
            <v>52328.009999999995</v>
          </cell>
          <cell r="BV34">
            <v>54373.600000000006</v>
          </cell>
          <cell r="BW34">
            <v>81350.320000000007</v>
          </cell>
          <cell r="BX34">
            <v>0</v>
          </cell>
          <cell r="BY34">
            <v>704128.20000000019</v>
          </cell>
          <cell r="BZ34">
            <v>704128.20000000019</v>
          </cell>
          <cell r="CA34">
            <v>81350.320000000007</v>
          </cell>
          <cell r="CB34">
            <v>0</v>
          </cell>
          <cell r="CC34">
            <v>49973.930000000008</v>
          </cell>
          <cell r="CD34">
            <v>51353.460000000006</v>
          </cell>
          <cell r="CE34">
            <v>76360.09</v>
          </cell>
          <cell r="CF34">
            <v>63492.38</v>
          </cell>
          <cell r="CG34">
            <v>39296.36</v>
          </cell>
          <cell r="CH34">
            <v>44418.94</v>
          </cell>
          <cell r="CI34">
            <v>41532.46</v>
          </cell>
          <cell r="CJ34">
            <v>43128.570000000007</v>
          </cell>
          <cell r="CK34">
            <v>13344.509999999998</v>
          </cell>
          <cell r="CL34">
            <v>41661.210000000006</v>
          </cell>
          <cell r="CM34">
            <v>89155.59</v>
          </cell>
          <cell r="CN34">
            <v>69101.22</v>
          </cell>
          <cell r="CO34">
            <v>0</v>
          </cell>
          <cell r="CP34">
            <v>622818.72</v>
          </cell>
          <cell r="CQ34">
            <v>622818.72</v>
          </cell>
          <cell r="CR34">
            <v>0</v>
          </cell>
          <cell r="CS34">
            <v>54091.07</v>
          </cell>
          <cell r="CT34">
            <v>81557.110000000015</v>
          </cell>
          <cell r="CU34">
            <v>66947.329999999987</v>
          </cell>
          <cell r="CV34">
            <v>53830.35</v>
          </cell>
          <cell r="CW34">
            <v>56761.16</v>
          </cell>
          <cell r="CX34">
            <v>23565.82</v>
          </cell>
          <cell r="CY34">
            <v>32578.030000000006</v>
          </cell>
          <cell r="CZ34">
            <v>46622.55</v>
          </cell>
          <cell r="DA34">
            <v>35568.300000000003</v>
          </cell>
          <cell r="DB34">
            <v>52932.799999999988</v>
          </cell>
          <cell r="DC34">
            <v>99711.049999999988</v>
          </cell>
          <cell r="DD34">
            <v>23008.79</v>
          </cell>
          <cell r="DE34">
            <v>0</v>
          </cell>
          <cell r="DF34">
            <v>627174.36</v>
          </cell>
          <cell r="DG34">
            <v>627174.36</v>
          </cell>
        </row>
        <row r="35">
          <cell r="B35">
            <v>32</v>
          </cell>
          <cell r="C35" t="str">
            <v>Kataloge (BilRUG)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</row>
        <row r="36">
          <cell r="B36">
            <v>33</v>
          </cell>
          <cell r="C36" t="str">
            <v>Warenbezug (BilRUG)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6055.0499999999993</v>
          </cell>
          <cell r="U36">
            <v>7546.5400000000009</v>
          </cell>
          <cell r="V36">
            <v>8107.0599999999995</v>
          </cell>
          <cell r="W36">
            <v>7933.3999999999978</v>
          </cell>
          <cell r="X36">
            <v>9546.89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39188.939999999995</v>
          </cell>
          <cell r="AH36">
            <v>39188.939999999995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21708.65</v>
          </cell>
          <cell r="AV36">
            <v>21708.65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39188.939999999995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39188.939999999995</v>
          </cell>
          <cell r="BI36">
            <v>0</v>
          </cell>
          <cell r="BJ36">
            <v>0</v>
          </cell>
          <cell r="BK36">
            <v>0</v>
          </cell>
          <cell r="BL36">
            <v>3629.8199999999997</v>
          </cell>
          <cell r="BM36">
            <v>6937.52</v>
          </cell>
          <cell r="BN36">
            <v>7094.18</v>
          </cell>
          <cell r="BO36">
            <v>5536.0199999999995</v>
          </cell>
          <cell r="BP36">
            <v>5783.3600000000006</v>
          </cell>
          <cell r="BQ36">
            <v>9266.1999999999989</v>
          </cell>
          <cell r="BR36">
            <v>9433.380000000001</v>
          </cell>
          <cell r="BS36">
            <v>10683.45</v>
          </cell>
          <cell r="BT36">
            <v>5011.41</v>
          </cell>
          <cell r="BU36">
            <v>7796.7099999999991</v>
          </cell>
          <cell r="BV36">
            <v>6014.7899999999991</v>
          </cell>
          <cell r="BW36">
            <v>7465.56</v>
          </cell>
          <cell r="BX36">
            <v>0</v>
          </cell>
          <cell r="BY36">
            <v>84652.4</v>
          </cell>
          <cell r="BZ36">
            <v>84652.4</v>
          </cell>
          <cell r="CA36">
            <v>7465.56</v>
          </cell>
          <cell r="CB36">
            <v>0</v>
          </cell>
          <cell r="CC36">
            <v>4657.07</v>
          </cell>
          <cell r="CD36">
            <v>6612.5199999999995</v>
          </cell>
          <cell r="CE36">
            <v>5221.05</v>
          </cell>
          <cell r="CF36">
            <v>4759.1400000000003</v>
          </cell>
          <cell r="CG36">
            <v>3271.7599999999998</v>
          </cell>
          <cell r="CH36">
            <v>5133.2300000000005</v>
          </cell>
          <cell r="CI36">
            <v>5480.6</v>
          </cell>
          <cell r="CJ36">
            <v>5972.98</v>
          </cell>
          <cell r="CK36">
            <v>6135.63</v>
          </cell>
          <cell r="CL36">
            <v>7972.1100000000006</v>
          </cell>
          <cell r="CM36">
            <v>6207.47</v>
          </cell>
          <cell r="CN36">
            <v>5492.06</v>
          </cell>
          <cell r="CO36">
            <v>0</v>
          </cell>
          <cell r="CP36">
            <v>66915.62</v>
          </cell>
          <cell r="CQ36">
            <v>66915.62</v>
          </cell>
          <cell r="CR36">
            <v>0</v>
          </cell>
          <cell r="CS36">
            <v>4490.09</v>
          </cell>
          <cell r="CT36">
            <v>6221.45</v>
          </cell>
          <cell r="CU36">
            <v>4679.66</v>
          </cell>
          <cell r="CV36">
            <v>4251.5200000000004</v>
          </cell>
          <cell r="CW36">
            <v>4733.33</v>
          </cell>
          <cell r="CX36">
            <v>4806.4199999999992</v>
          </cell>
          <cell r="CY36">
            <v>6600.6500000000015</v>
          </cell>
          <cell r="CZ36">
            <v>6936.81</v>
          </cell>
          <cell r="DA36">
            <v>5550.97</v>
          </cell>
          <cell r="DB36">
            <v>4695.8000000000011</v>
          </cell>
          <cell r="DC36">
            <v>5408.09</v>
          </cell>
          <cell r="DD36">
            <v>4676.51</v>
          </cell>
          <cell r="DE36">
            <v>0</v>
          </cell>
          <cell r="DF36">
            <v>63051.3</v>
          </cell>
          <cell r="DG36">
            <v>63051.3</v>
          </cell>
        </row>
        <row r="37">
          <cell r="B37">
            <v>34</v>
          </cell>
          <cell r="C37" t="str">
            <v>Katalog/Prospektkosten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337548.75000000006</v>
          </cell>
          <cell r="U37">
            <v>991370.31000000017</v>
          </cell>
          <cell r="V37">
            <v>262924.93999999994</v>
          </cell>
          <cell r="W37">
            <v>-34720.640000000007</v>
          </cell>
          <cell r="X37">
            <v>37678.959999999999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1594802.3200000003</v>
          </cell>
          <cell r="AH37">
            <v>1594802.3200000003</v>
          </cell>
          <cell r="AI37">
            <v>0</v>
          </cell>
          <cell r="AK37">
            <v>1595.5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1591844.0000000002</v>
          </cell>
          <cell r="AV37">
            <v>1591844.0000000002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1594802.3200000003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1594802.3200000003</v>
          </cell>
          <cell r="BI37">
            <v>0</v>
          </cell>
          <cell r="BJ37">
            <v>0</v>
          </cell>
          <cell r="BK37">
            <v>0</v>
          </cell>
          <cell r="BL37">
            <v>19229.690000000006</v>
          </cell>
          <cell r="BM37">
            <v>426211.18999999994</v>
          </cell>
          <cell r="BN37">
            <v>105051.57</v>
          </cell>
          <cell r="BO37">
            <v>365266.66</v>
          </cell>
          <cell r="BP37">
            <v>263771.45</v>
          </cell>
          <cell r="BQ37">
            <v>90373.199999999983</v>
          </cell>
          <cell r="BR37">
            <v>166008.12000000008</v>
          </cell>
          <cell r="BS37">
            <v>237734.23</v>
          </cell>
          <cell r="BT37">
            <v>56272.320000000014</v>
          </cell>
          <cell r="BU37">
            <v>227317.05999999997</v>
          </cell>
          <cell r="BV37">
            <v>200265.58999999997</v>
          </cell>
          <cell r="BW37">
            <v>-23267.339999999993</v>
          </cell>
          <cell r="BX37">
            <v>0</v>
          </cell>
          <cell r="BY37">
            <v>2134233.7399999993</v>
          </cell>
          <cell r="BZ37">
            <v>2134233.7399999993</v>
          </cell>
          <cell r="CA37">
            <v>-23267.339999999993</v>
          </cell>
          <cell r="CB37">
            <v>0</v>
          </cell>
          <cell r="CC37">
            <v>56645.25</v>
          </cell>
          <cell r="CD37">
            <v>874092.44</v>
          </cell>
          <cell r="CE37">
            <v>426500.12999999983</v>
          </cell>
          <cell r="CF37">
            <v>316676.43</v>
          </cell>
          <cell r="CG37">
            <v>209792.4</v>
          </cell>
          <cell r="CH37">
            <v>282640.18</v>
          </cell>
          <cell r="CI37">
            <v>289855.68000000005</v>
          </cell>
          <cell r="CJ37">
            <v>171625.97000000003</v>
          </cell>
          <cell r="CK37">
            <v>201692.38999999998</v>
          </cell>
          <cell r="CL37">
            <v>-23212.170000000013</v>
          </cell>
          <cell r="CM37">
            <v>-211002.02</v>
          </cell>
          <cell r="CN37">
            <v>32777.990000000013</v>
          </cell>
          <cell r="CO37">
            <v>0</v>
          </cell>
          <cell r="CP37">
            <v>2628084.6700000004</v>
          </cell>
          <cell r="CQ37">
            <v>2628084.6700000004</v>
          </cell>
          <cell r="CR37">
            <v>0</v>
          </cell>
          <cell r="CS37">
            <v>495098.92</v>
          </cell>
          <cell r="CT37">
            <v>191937.64999999994</v>
          </cell>
          <cell r="CU37">
            <v>324966.40999999992</v>
          </cell>
          <cell r="CV37">
            <v>208956.57000000004</v>
          </cell>
          <cell r="CW37">
            <v>154833.98000000004</v>
          </cell>
          <cell r="CX37">
            <v>110100.51000000002</v>
          </cell>
          <cell r="CY37">
            <v>146679.75999999998</v>
          </cell>
          <cell r="CZ37">
            <v>83875.699999999983</v>
          </cell>
          <cell r="DA37">
            <v>37801.569999999992</v>
          </cell>
          <cell r="DB37">
            <v>41663.220000000008</v>
          </cell>
          <cell r="DC37">
            <v>-23468.469999999987</v>
          </cell>
          <cell r="DD37">
            <v>96873.829999999973</v>
          </cell>
          <cell r="DE37">
            <v>0</v>
          </cell>
          <cell r="DF37">
            <v>1869319.6500000001</v>
          </cell>
          <cell r="DG37">
            <v>1869319.6500000001</v>
          </cell>
        </row>
        <row r="38">
          <cell r="B38">
            <v>35</v>
          </cell>
          <cell r="C38" t="str">
            <v>Messekosten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990.90000000000009</v>
          </cell>
          <cell r="U38">
            <v>4435.5300000000007</v>
          </cell>
          <cell r="V38">
            <v>-735.87000000000012</v>
          </cell>
          <cell r="W38">
            <v>1364.3999999999999</v>
          </cell>
          <cell r="X38">
            <v>43480.35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49535.310000000012</v>
          </cell>
          <cell r="AH38">
            <v>49535.310000000012</v>
          </cell>
          <cell r="AI38">
            <v>0</v>
          </cell>
          <cell r="AK38">
            <v>137.77000000000001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4690.5600000000004</v>
          </cell>
          <cell r="AV38">
            <v>4690.5600000000004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49535.310000000012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49535.310000000012</v>
          </cell>
          <cell r="BI38">
            <v>0</v>
          </cell>
          <cell r="BJ38">
            <v>0</v>
          </cell>
          <cell r="BK38">
            <v>0</v>
          </cell>
          <cell r="BL38">
            <v>20296.12</v>
          </cell>
          <cell r="BM38">
            <v>6443.1299999999992</v>
          </cell>
          <cell r="BN38">
            <v>0</v>
          </cell>
          <cell r="BO38">
            <v>784.13999999999987</v>
          </cell>
          <cell r="BP38">
            <v>0</v>
          </cell>
          <cell r="BQ38">
            <v>1206.07</v>
          </cell>
          <cell r="BR38">
            <v>1568.68</v>
          </cell>
          <cell r="BS38">
            <v>2601.1500000000005</v>
          </cell>
          <cell r="BT38">
            <v>271.50000000000006</v>
          </cell>
          <cell r="BU38">
            <v>1695.2300000000005</v>
          </cell>
          <cell r="BV38">
            <v>2551.44</v>
          </cell>
          <cell r="BW38">
            <v>29094.939999999995</v>
          </cell>
          <cell r="BX38">
            <v>0</v>
          </cell>
          <cell r="BY38">
            <v>66512.400000000009</v>
          </cell>
          <cell r="BZ38">
            <v>66512.400000000009</v>
          </cell>
          <cell r="CA38">
            <v>29094.939999999995</v>
          </cell>
          <cell r="CB38">
            <v>0</v>
          </cell>
          <cell r="CC38">
            <v>114546.37999999999</v>
          </cell>
          <cell r="CD38">
            <v>44585.630000000005</v>
          </cell>
          <cell r="CE38">
            <v>32101.55</v>
          </cell>
          <cell r="CF38">
            <v>1420.5400000000004</v>
          </cell>
          <cell r="CG38">
            <v>0</v>
          </cell>
          <cell r="CH38">
            <v>-1234.47</v>
          </cell>
          <cell r="CI38">
            <v>0</v>
          </cell>
          <cell r="CJ38">
            <v>0</v>
          </cell>
          <cell r="CK38">
            <v>2668.7200000000003</v>
          </cell>
          <cell r="CL38">
            <v>1655.6900000000003</v>
          </cell>
          <cell r="CM38">
            <v>181.53</v>
          </cell>
          <cell r="CN38">
            <v>3785.5699999999997</v>
          </cell>
          <cell r="CO38">
            <v>0</v>
          </cell>
          <cell r="CP38">
            <v>199711.13999999996</v>
          </cell>
          <cell r="CQ38">
            <v>199711.13999999996</v>
          </cell>
          <cell r="CR38">
            <v>0</v>
          </cell>
          <cell r="CS38">
            <v>155836.74000000002</v>
          </cell>
          <cell r="CT38">
            <v>67854.47</v>
          </cell>
          <cell r="CU38">
            <v>15605.21</v>
          </cell>
          <cell r="CV38">
            <v>6548.2799999999988</v>
          </cell>
          <cell r="CW38">
            <v>811.82000000000016</v>
          </cell>
          <cell r="CX38">
            <v>202.86</v>
          </cell>
          <cell r="CY38">
            <v>57.329999999999984</v>
          </cell>
          <cell r="CZ38">
            <v>102.47</v>
          </cell>
          <cell r="DA38">
            <v>479.05000000000007</v>
          </cell>
          <cell r="DB38">
            <v>1515.58</v>
          </cell>
          <cell r="DC38">
            <v>9042.49</v>
          </cell>
          <cell r="DD38">
            <v>10635.689999999997</v>
          </cell>
          <cell r="DE38">
            <v>0</v>
          </cell>
          <cell r="DF38">
            <v>268691.99</v>
          </cell>
          <cell r="DG38">
            <v>268691.99</v>
          </cell>
        </row>
        <row r="39">
          <cell r="B39">
            <v>36</v>
          </cell>
          <cell r="C39" t="str">
            <v>Abstimmbrücke CO-PA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2641810.46</v>
          </cell>
          <cell r="U39">
            <v>3059850.7100000004</v>
          </cell>
          <cell r="V39">
            <v>3137766.8400000003</v>
          </cell>
          <cell r="W39">
            <v>3104986.8200000003</v>
          </cell>
          <cell r="X39">
            <v>3266079.3299999996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15210494.160000002</v>
          </cell>
          <cell r="AH39">
            <v>15210494.160000002</v>
          </cell>
          <cell r="AI39">
            <v>0</v>
          </cell>
          <cell r="AK39">
            <v>62628.03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8839428.0100000016</v>
          </cell>
          <cell r="AV39">
            <v>8839428.0100000016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15210494.160000002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15210494.160000002</v>
          </cell>
          <cell r="BI39">
            <v>0</v>
          </cell>
          <cell r="BJ39">
            <v>0</v>
          </cell>
          <cell r="BK39">
            <v>0</v>
          </cell>
          <cell r="BL39">
            <v>2519609.810000001</v>
          </cell>
          <cell r="BM39">
            <v>2810351.0199999991</v>
          </cell>
          <cell r="BN39">
            <v>3108678.1999999997</v>
          </cell>
          <cell r="BO39">
            <v>3100328.5899999989</v>
          </cell>
          <cell r="BP39">
            <v>2914137.6100000003</v>
          </cell>
          <cell r="BQ39">
            <v>2784344.97</v>
          </cell>
          <cell r="BR39">
            <v>2895792.7299999995</v>
          </cell>
          <cell r="BS39">
            <v>2442971.19</v>
          </cell>
          <cell r="BT39">
            <v>2685837.0200000005</v>
          </cell>
          <cell r="BU39">
            <v>2942478.2199999988</v>
          </cell>
          <cell r="BV39">
            <v>3059417.5799999996</v>
          </cell>
          <cell r="BW39">
            <v>2759200.14</v>
          </cell>
          <cell r="BX39">
            <v>0</v>
          </cell>
          <cell r="BY39">
            <v>34023147.079999998</v>
          </cell>
          <cell r="BZ39">
            <v>34023147.079999998</v>
          </cell>
          <cell r="CA39">
            <v>2759200.14</v>
          </cell>
          <cell r="CB39">
            <v>0</v>
          </cell>
          <cell r="CC39">
            <v>2698468.7</v>
          </cell>
          <cell r="CD39">
            <v>2886826.7499999991</v>
          </cell>
          <cell r="CE39">
            <v>2993732.36</v>
          </cell>
          <cell r="CF39">
            <v>2422185.5500000007</v>
          </cell>
          <cell r="CG39">
            <v>2820774.0900000003</v>
          </cell>
          <cell r="CH39">
            <v>2772365.4299999997</v>
          </cell>
          <cell r="CI39">
            <v>2778882.2899999996</v>
          </cell>
          <cell r="CJ39">
            <v>2568252.7399999998</v>
          </cell>
          <cell r="CK39">
            <v>2783527.87</v>
          </cell>
          <cell r="CL39">
            <v>3296899.9099999992</v>
          </cell>
          <cell r="CM39">
            <v>3043653.3199999994</v>
          </cell>
          <cell r="CN39">
            <v>3008529.4399999985</v>
          </cell>
          <cell r="CO39">
            <v>0</v>
          </cell>
          <cell r="CP39">
            <v>34074098.449999988</v>
          </cell>
          <cell r="CQ39">
            <v>34074098.449999988</v>
          </cell>
          <cell r="CR39">
            <v>0</v>
          </cell>
          <cell r="CS39">
            <v>2821636.8600000003</v>
          </cell>
          <cell r="CT39">
            <v>2624474.0099999993</v>
          </cell>
          <cell r="CU39">
            <v>2837727.31</v>
          </cell>
          <cell r="CV39">
            <v>2870283.7399999998</v>
          </cell>
          <cell r="CW39">
            <v>2656178.1</v>
          </cell>
          <cell r="CX39">
            <v>2589307.89</v>
          </cell>
          <cell r="CY39">
            <v>2877970.4600000009</v>
          </cell>
          <cell r="CZ39">
            <v>2748539.8099999996</v>
          </cell>
          <cell r="DA39">
            <v>2730016.56</v>
          </cell>
          <cell r="DB39">
            <v>2818689.99</v>
          </cell>
          <cell r="DC39">
            <v>2484505.61</v>
          </cell>
          <cell r="DD39">
            <v>2888801.2399999998</v>
          </cell>
          <cell r="DE39">
            <v>0</v>
          </cell>
          <cell r="DF39">
            <v>32948131.579999991</v>
          </cell>
          <cell r="DG39">
            <v>32948131.579999991</v>
          </cell>
        </row>
        <row r="40">
          <cell r="B40">
            <v>37</v>
          </cell>
          <cell r="C40" t="str">
            <v>Anzahl Auftragspositionen [Stk]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73228</v>
          </cell>
          <cell r="U40">
            <v>84653</v>
          </cell>
          <cell r="V40">
            <v>105325</v>
          </cell>
          <cell r="W40">
            <v>93482</v>
          </cell>
          <cell r="X40">
            <v>104273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460961</v>
          </cell>
          <cell r="AH40">
            <v>460961</v>
          </cell>
          <cell r="AI40">
            <v>0</v>
          </cell>
          <cell r="AK40">
            <v>3929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263206</v>
          </cell>
          <cell r="AV40">
            <v>263206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460961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460961</v>
          </cell>
          <cell r="BI40">
            <v>0</v>
          </cell>
          <cell r="BJ40">
            <v>0</v>
          </cell>
          <cell r="BK40">
            <v>0</v>
          </cell>
          <cell r="BL40">
            <v>69986</v>
          </cell>
          <cell r="BM40">
            <v>82648</v>
          </cell>
          <cell r="BN40">
            <v>112124</v>
          </cell>
          <cell r="BO40">
            <v>114834</v>
          </cell>
          <cell r="BP40">
            <v>106384</v>
          </cell>
          <cell r="BQ40">
            <v>113686</v>
          </cell>
          <cell r="BR40">
            <v>111823</v>
          </cell>
          <cell r="BS40">
            <v>96477</v>
          </cell>
          <cell r="BT40">
            <v>86267</v>
          </cell>
          <cell r="BU40">
            <v>89905</v>
          </cell>
          <cell r="BV40">
            <v>97550</v>
          </cell>
          <cell r="BW40">
            <v>67352</v>
          </cell>
          <cell r="BX40">
            <v>0</v>
          </cell>
          <cell r="BY40">
            <v>1149036</v>
          </cell>
          <cell r="BZ40">
            <v>1149036</v>
          </cell>
          <cell r="CA40">
            <v>67352</v>
          </cell>
          <cell r="CB40">
            <v>0</v>
          </cell>
          <cell r="CC40">
            <v>83538</v>
          </cell>
          <cell r="CD40">
            <v>86483</v>
          </cell>
          <cell r="CE40">
            <v>121043</v>
          </cell>
          <cell r="CF40">
            <v>98328</v>
          </cell>
          <cell r="CG40">
            <v>98099</v>
          </cell>
          <cell r="CH40">
            <v>114668</v>
          </cell>
          <cell r="CI40">
            <v>124408</v>
          </cell>
          <cell r="CJ40">
            <v>100035</v>
          </cell>
          <cell r="CK40">
            <v>105788</v>
          </cell>
          <cell r="CL40">
            <v>106074</v>
          </cell>
          <cell r="CM40">
            <v>102942</v>
          </cell>
          <cell r="CN40">
            <v>79157</v>
          </cell>
          <cell r="CO40">
            <v>0</v>
          </cell>
          <cell r="CP40">
            <v>1220563</v>
          </cell>
          <cell r="CQ40">
            <v>1220563</v>
          </cell>
          <cell r="CR40">
            <v>0</v>
          </cell>
          <cell r="CS40">
            <v>86210</v>
          </cell>
          <cell r="CT40">
            <v>84039</v>
          </cell>
          <cell r="CU40">
            <v>98377</v>
          </cell>
          <cell r="CV40">
            <v>98296</v>
          </cell>
          <cell r="CW40">
            <v>106818</v>
          </cell>
          <cell r="CX40">
            <v>97160</v>
          </cell>
          <cell r="CY40">
            <v>121485</v>
          </cell>
          <cell r="CZ40">
            <v>98784</v>
          </cell>
          <cell r="DA40">
            <v>94683</v>
          </cell>
          <cell r="DB40">
            <v>99865</v>
          </cell>
          <cell r="DC40">
            <v>91533</v>
          </cell>
          <cell r="DD40">
            <v>56684</v>
          </cell>
          <cell r="DE40">
            <v>0</v>
          </cell>
          <cell r="DF40">
            <v>1133934</v>
          </cell>
          <cell r="DG40">
            <v>1133934</v>
          </cell>
        </row>
        <row r="41">
          <cell r="B41">
            <v>38</v>
          </cell>
          <cell r="C41" t="str">
            <v>Anzahl Garnitur [Stk]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73542.350000000006</v>
          </cell>
          <cell r="U41">
            <v>88446.32</v>
          </cell>
          <cell r="V41">
            <v>107847.99</v>
          </cell>
          <cell r="W41">
            <v>96196.78</v>
          </cell>
          <cell r="X41">
            <v>109186.31000000001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475219.75</v>
          </cell>
          <cell r="AH41">
            <v>475219.75</v>
          </cell>
          <cell r="AI41">
            <v>0</v>
          </cell>
          <cell r="AK41">
            <v>2784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269836.65999999997</v>
          </cell>
          <cell r="AV41">
            <v>269836.65999999997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475219.75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475219.75</v>
          </cell>
          <cell r="BI41">
            <v>0</v>
          </cell>
          <cell r="BJ41">
            <v>0</v>
          </cell>
          <cell r="BK41">
            <v>0</v>
          </cell>
          <cell r="BL41">
            <v>75174.399999999994</v>
          </cell>
          <cell r="BM41">
            <v>89329.7</v>
          </cell>
          <cell r="BN41">
            <v>115611.01</v>
          </cell>
          <cell r="BO41">
            <v>113809.03</v>
          </cell>
          <cell r="BP41">
            <v>110760.90000000001</v>
          </cell>
          <cell r="BQ41">
            <v>120410.94</v>
          </cell>
          <cell r="BR41">
            <v>115005.91</v>
          </cell>
          <cell r="BS41">
            <v>99064.41</v>
          </cell>
          <cell r="BT41">
            <v>87049.14</v>
          </cell>
          <cell r="BU41">
            <v>87146.42</v>
          </cell>
          <cell r="BV41">
            <v>101516.77</v>
          </cell>
          <cell r="BW41">
            <v>71497.27</v>
          </cell>
          <cell r="BX41">
            <v>0</v>
          </cell>
          <cell r="BY41">
            <v>1186375.9000000001</v>
          </cell>
          <cell r="BZ41">
            <v>1186375.9000000001</v>
          </cell>
          <cell r="CA41">
            <v>71497.27</v>
          </cell>
          <cell r="CB41">
            <v>0</v>
          </cell>
          <cell r="CC41">
            <v>94066.209999999992</v>
          </cell>
          <cell r="CD41">
            <v>95017.200000000012</v>
          </cell>
          <cell r="CE41">
            <v>93444.110000000015</v>
          </cell>
          <cell r="CF41">
            <v>81512.87000000001</v>
          </cell>
          <cell r="CG41">
            <v>96132.26</v>
          </cell>
          <cell r="CH41">
            <v>114556.48999999999</v>
          </cell>
          <cell r="CI41">
            <v>122259.45</v>
          </cell>
          <cell r="CJ41">
            <v>102821.31</v>
          </cell>
          <cell r="CK41">
            <v>111084.15000000001</v>
          </cell>
          <cell r="CL41">
            <v>107725.49</v>
          </cell>
          <cell r="CM41">
            <v>109817.19</v>
          </cell>
          <cell r="CN41">
            <v>87701.290000000008</v>
          </cell>
          <cell r="CO41">
            <v>0</v>
          </cell>
          <cell r="CP41">
            <v>1216138.0200000003</v>
          </cell>
          <cell r="CQ41">
            <v>1216138.0200000003</v>
          </cell>
          <cell r="CR41">
            <v>0</v>
          </cell>
          <cell r="CS41">
            <v>92409.780000000013</v>
          </cell>
          <cell r="CT41">
            <v>86863.71</v>
          </cell>
          <cell r="CU41">
            <v>101693.70999999999</v>
          </cell>
          <cell r="CV41">
            <v>101089.89</v>
          </cell>
          <cell r="CW41">
            <v>110327.04999999999</v>
          </cell>
          <cell r="CX41">
            <v>96251.71</v>
          </cell>
          <cell r="CY41">
            <v>118182.29999999999</v>
          </cell>
          <cell r="CZ41">
            <v>101683.28</v>
          </cell>
          <cell r="DA41">
            <v>97843.39</v>
          </cell>
          <cell r="DB41">
            <v>99542.91</v>
          </cell>
          <cell r="DC41">
            <v>98802.11</v>
          </cell>
          <cell r="DD41">
            <v>62637.32</v>
          </cell>
          <cell r="DE41">
            <v>0</v>
          </cell>
          <cell r="DF41">
            <v>1167327.1600000001</v>
          </cell>
          <cell r="DG41">
            <v>1167327.1600000001</v>
          </cell>
        </row>
        <row r="42">
          <cell r="B42">
            <v>39</v>
          </cell>
          <cell r="C42" t="str">
            <v>Anzahl Absatz [m²]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159</v>
          </cell>
          <cell r="U42">
            <v>261</v>
          </cell>
          <cell r="V42">
            <v>205</v>
          </cell>
          <cell r="W42">
            <v>269</v>
          </cell>
          <cell r="X42">
            <v>290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1184</v>
          </cell>
          <cell r="AH42">
            <v>1184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625</v>
          </cell>
          <cell r="AV42">
            <v>625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1184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1184</v>
          </cell>
          <cell r="BI42">
            <v>0</v>
          </cell>
          <cell r="BJ42">
            <v>0</v>
          </cell>
          <cell r="BK42">
            <v>0</v>
          </cell>
          <cell r="BL42">
            <v>163</v>
          </cell>
          <cell r="BM42">
            <v>141</v>
          </cell>
          <cell r="BN42">
            <v>233</v>
          </cell>
          <cell r="BO42">
            <v>178</v>
          </cell>
          <cell r="BP42">
            <v>186</v>
          </cell>
          <cell r="BQ42">
            <v>254</v>
          </cell>
          <cell r="BR42">
            <v>384</v>
          </cell>
          <cell r="BS42">
            <v>163</v>
          </cell>
          <cell r="BT42">
            <v>226</v>
          </cell>
          <cell r="BU42">
            <v>175</v>
          </cell>
          <cell r="BV42">
            <v>139</v>
          </cell>
          <cell r="BW42">
            <v>117</v>
          </cell>
          <cell r="BX42">
            <v>0</v>
          </cell>
          <cell r="BY42">
            <v>2359</v>
          </cell>
          <cell r="BZ42">
            <v>2359</v>
          </cell>
          <cell r="CA42">
            <v>117</v>
          </cell>
          <cell r="CB42">
            <v>0</v>
          </cell>
          <cell r="CC42">
            <v>210</v>
          </cell>
          <cell r="CD42">
            <v>301</v>
          </cell>
          <cell r="CE42">
            <v>314</v>
          </cell>
          <cell r="CF42">
            <v>491</v>
          </cell>
          <cell r="CG42">
            <v>327</v>
          </cell>
          <cell r="CH42">
            <v>329</v>
          </cell>
          <cell r="CI42">
            <v>321</v>
          </cell>
          <cell r="CJ42">
            <v>441</v>
          </cell>
          <cell r="CK42">
            <v>355</v>
          </cell>
          <cell r="CL42">
            <v>213</v>
          </cell>
          <cell r="CM42">
            <v>314</v>
          </cell>
          <cell r="CN42">
            <v>205</v>
          </cell>
          <cell r="CO42">
            <v>0</v>
          </cell>
          <cell r="CP42">
            <v>3821</v>
          </cell>
          <cell r="CQ42">
            <v>3821</v>
          </cell>
          <cell r="CR42">
            <v>0</v>
          </cell>
          <cell r="CS42">
            <v>397</v>
          </cell>
          <cell r="CT42">
            <v>196</v>
          </cell>
          <cell r="CU42">
            <v>314</v>
          </cell>
          <cell r="CV42">
            <v>344</v>
          </cell>
          <cell r="CW42">
            <v>441</v>
          </cell>
          <cell r="CX42">
            <v>340</v>
          </cell>
          <cell r="CY42">
            <v>529</v>
          </cell>
          <cell r="CZ42">
            <v>339</v>
          </cell>
          <cell r="DA42">
            <v>402</v>
          </cell>
          <cell r="DB42">
            <v>415</v>
          </cell>
          <cell r="DC42">
            <v>318</v>
          </cell>
          <cell r="DD42">
            <v>282</v>
          </cell>
          <cell r="DE42">
            <v>0</v>
          </cell>
          <cell r="DF42">
            <v>4317</v>
          </cell>
          <cell r="DG42">
            <v>4317</v>
          </cell>
        </row>
        <row r="43">
          <cell r="B43">
            <v>40</v>
          </cell>
          <cell r="C43" t="str">
            <v>Fiktiver Auftragswert Reklamation [EUR]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19582.670000000002</v>
          </cell>
          <cell r="U43">
            <v>49126.83</v>
          </cell>
          <cell r="V43">
            <v>40022.410000000003</v>
          </cell>
          <cell r="W43">
            <v>39267.980000000003</v>
          </cell>
          <cell r="X43">
            <v>50426.450000000004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198426.33999999997</v>
          </cell>
          <cell r="AH43">
            <v>198426.33999999997</v>
          </cell>
          <cell r="AI43">
            <v>0</v>
          </cell>
          <cell r="AK43">
            <v>594.83000000000004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108731.91000000002</v>
          </cell>
          <cell r="AV43">
            <v>108731.91000000002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198426.33999999997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198426.33999999997</v>
          </cell>
          <cell r="BI43">
            <v>0</v>
          </cell>
          <cell r="BJ43">
            <v>0</v>
          </cell>
          <cell r="BK43">
            <v>0</v>
          </cell>
          <cell r="BL43">
            <v>24574.19</v>
          </cell>
          <cell r="BM43">
            <v>33149.4</v>
          </cell>
          <cell r="BN43">
            <v>43379.58</v>
          </cell>
          <cell r="BO43">
            <v>48029.369999999995</v>
          </cell>
          <cell r="BP43">
            <v>51757.789999999994</v>
          </cell>
          <cell r="BQ43">
            <v>65975.820000000007</v>
          </cell>
          <cell r="BR43">
            <v>62685.069999999992</v>
          </cell>
          <cell r="BS43">
            <v>41648.6</v>
          </cell>
          <cell r="BT43">
            <v>50104.539999999994</v>
          </cell>
          <cell r="BU43">
            <v>43181.920000000006</v>
          </cell>
          <cell r="BV43">
            <v>39620.710000000006</v>
          </cell>
          <cell r="BW43">
            <v>46557.930000000008</v>
          </cell>
          <cell r="BX43">
            <v>0</v>
          </cell>
          <cell r="BY43">
            <v>550664.92000000004</v>
          </cell>
          <cell r="BZ43">
            <v>550664.92000000004</v>
          </cell>
          <cell r="CA43">
            <v>46557.930000000008</v>
          </cell>
          <cell r="CB43">
            <v>0</v>
          </cell>
          <cell r="CC43">
            <v>26158.289999999997</v>
          </cell>
          <cell r="CD43">
            <v>29781.910000000007</v>
          </cell>
          <cell r="CE43">
            <v>37365.950000000004</v>
          </cell>
          <cell r="CF43">
            <v>46192.490000000005</v>
          </cell>
          <cell r="CG43">
            <v>46137.410000000011</v>
          </cell>
          <cell r="CH43">
            <v>56459.529999999992</v>
          </cell>
          <cell r="CI43">
            <v>80517.110000000015</v>
          </cell>
          <cell r="CJ43">
            <v>63140.049999999996</v>
          </cell>
          <cell r="CK43">
            <v>71635.47</v>
          </cell>
          <cell r="CL43">
            <v>58940.45</v>
          </cell>
          <cell r="CM43">
            <v>61874.110000000008</v>
          </cell>
          <cell r="CN43">
            <v>50208.469999999987</v>
          </cell>
          <cell r="CO43">
            <v>0</v>
          </cell>
          <cell r="CP43">
            <v>628411.23999999987</v>
          </cell>
          <cell r="CQ43">
            <v>628411.23999999987</v>
          </cell>
          <cell r="CR43">
            <v>0</v>
          </cell>
          <cell r="CS43">
            <v>27975.499999999996</v>
          </cell>
          <cell r="CT43">
            <v>27650.16</v>
          </cell>
          <cell r="CU43">
            <v>34693.94</v>
          </cell>
          <cell r="CV43">
            <v>43659.31</v>
          </cell>
          <cell r="CW43">
            <v>52510.459999999992</v>
          </cell>
          <cell r="CX43">
            <v>38179.410000000003</v>
          </cell>
          <cell r="CY43">
            <v>72033.73000000001</v>
          </cell>
          <cell r="CZ43">
            <v>54477.499999999993</v>
          </cell>
          <cell r="DA43">
            <v>51957.140000000007</v>
          </cell>
          <cell r="DB43">
            <v>51134.71</v>
          </cell>
          <cell r="DC43">
            <v>46222.62</v>
          </cell>
          <cell r="DD43">
            <v>34380.28</v>
          </cell>
          <cell r="DE43">
            <v>0</v>
          </cell>
          <cell r="DF43">
            <v>534874.76</v>
          </cell>
          <cell r="DG43">
            <v>534874.76</v>
          </cell>
        </row>
        <row r="44">
          <cell r="B44">
            <v>41</v>
          </cell>
          <cell r="C44" t="str">
            <v>Anzahl Reklamationen  [Stk]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333</v>
          </cell>
          <cell r="U44">
            <v>439</v>
          </cell>
          <cell r="V44">
            <v>530</v>
          </cell>
          <cell r="W44">
            <v>467</v>
          </cell>
          <cell r="X44">
            <v>731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2500</v>
          </cell>
          <cell r="AH44">
            <v>2500</v>
          </cell>
          <cell r="AI44">
            <v>0</v>
          </cell>
          <cell r="AK44">
            <v>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1302</v>
          </cell>
          <cell r="AV44">
            <v>1302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2500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2500</v>
          </cell>
          <cell r="BI44">
            <v>0</v>
          </cell>
          <cell r="BJ44">
            <v>0</v>
          </cell>
          <cell r="BK44">
            <v>0</v>
          </cell>
          <cell r="BL44">
            <v>384</v>
          </cell>
          <cell r="BM44">
            <v>457</v>
          </cell>
          <cell r="BN44">
            <v>554</v>
          </cell>
          <cell r="BO44">
            <v>616</v>
          </cell>
          <cell r="BP44">
            <v>671</v>
          </cell>
          <cell r="BQ44">
            <v>834</v>
          </cell>
          <cell r="BR44">
            <v>783</v>
          </cell>
          <cell r="BS44">
            <v>637</v>
          </cell>
          <cell r="BT44">
            <v>667</v>
          </cell>
          <cell r="BU44">
            <v>577</v>
          </cell>
          <cell r="BV44">
            <v>483</v>
          </cell>
          <cell r="BW44">
            <v>398</v>
          </cell>
          <cell r="BX44">
            <v>0</v>
          </cell>
          <cell r="BY44">
            <v>7061</v>
          </cell>
          <cell r="BZ44">
            <v>7061</v>
          </cell>
          <cell r="CA44">
            <v>398</v>
          </cell>
          <cell r="CB44">
            <v>0</v>
          </cell>
          <cell r="CC44">
            <v>388</v>
          </cell>
          <cell r="CD44">
            <v>437</v>
          </cell>
          <cell r="CE44">
            <v>547</v>
          </cell>
          <cell r="CF44">
            <v>556</v>
          </cell>
          <cell r="CG44">
            <v>551</v>
          </cell>
          <cell r="CH44">
            <v>745</v>
          </cell>
          <cell r="CI44">
            <v>957</v>
          </cell>
          <cell r="CJ44">
            <v>816</v>
          </cell>
          <cell r="CK44">
            <v>1004</v>
          </cell>
          <cell r="CL44">
            <v>888</v>
          </cell>
          <cell r="CM44">
            <v>877</v>
          </cell>
          <cell r="CN44">
            <v>721</v>
          </cell>
          <cell r="CO44">
            <v>0</v>
          </cell>
          <cell r="CP44">
            <v>8487</v>
          </cell>
          <cell r="CQ44">
            <v>8487</v>
          </cell>
          <cell r="CR44">
            <v>0</v>
          </cell>
          <cell r="CS44">
            <v>439</v>
          </cell>
          <cell r="CT44">
            <v>441</v>
          </cell>
          <cell r="CU44">
            <v>477</v>
          </cell>
          <cell r="CV44">
            <v>578</v>
          </cell>
          <cell r="CW44">
            <v>706</v>
          </cell>
          <cell r="CX44">
            <v>624</v>
          </cell>
          <cell r="CY44">
            <v>826</v>
          </cell>
          <cell r="CZ44">
            <v>750</v>
          </cell>
          <cell r="DA44">
            <v>744</v>
          </cell>
          <cell r="DB44">
            <v>749</v>
          </cell>
          <cell r="DC44">
            <v>530</v>
          </cell>
          <cell r="DD44">
            <v>492</v>
          </cell>
          <cell r="DE44">
            <v>0</v>
          </cell>
          <cell r="DF44">
            <v>7356</v>
          </cell>
          <cell r="DG44">
            <v>7356</v>
          </cell>
        </row>
        <row r="45">
          <cell r="B45">
            <v>42</v>
          </cell>
          <cell r="C45" t="str">
            <v>Materialbestand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24252889.779999994</v>
          </cell>
          <cell r="U45">
            <v>25256520.84</v>
          </cell>
          <cell r="V45">
            <v>26561927.969999991</v>
          </cell>
          <cell r="W45">
            <v>27116778.760000002</v>
          </cell>
          <cell r="X45">
            <v>27377255.52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130565372.87</v>
          </cell>
          <cell r="AH45">
            <v>130565372.87</v>
          </cell>
          <cell r="AI45">
            <v>0</v>
          </cell>
          <cell r="AK45">
            <v>868911.19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76071338.590000004</v>
          </cell>
          <cell r="AV45">
            <v>76071338.590000004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130565372.87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130565372.87</v>
          </cell>
          <cell r="BI45">
            <v>0</v>
          </cell>
          <cell r="BJ45">
            <v>0</v>
          </cell>
          <cell r="BK45">
            <v>0</v>
          </cell>
          <cell r="BL45">
            <v>18981585.73</v>
          </cell>
          <cell r="BM45">
            <v>19696234.030000001</v>
          </cell>
          <cell r="BN45">
            <v>20780763.250000004</v>
          </cell>
          <cell r="BO45">
            <v>21849731.819999997</v>
          </cell>
          <cell r="BP45">
            <v>22596823.600000001</v>
          </cell>
          <cell r="BQ45">
            <v>23466337.290000003</v>
          </cell>
          <cell r="BR45">
            <v>23845708.380000003</v>
          </cell>
          <cell r="BS45">
            <v>23574646.829999998</v>
          </cell>
          <cell r="BT45">
            <v>23916725.849999994</v>
          </cell>
          <cell r="BU45">
            <v>23856619.680000003</v>
          </cell>
          <cell r="BV45">
            <v>23755535.139999997</v>
          </cell>
          <cell r="BW45">
            <v>23906243.610000007</v>
          </cell>
          <cell r="BX45">
            <v>0</v>
          </cell>
          <cell r="BY45">
            <v>270226955.20999998</v>
          </cell>
          <cell r="BZ45">
            <v>270226955.20999998</v>
          </cell>
          <cell r="CA45">
            <v>23906243.610000007</v>
          </cell>
          <cell r="CB45">
            <v>0</v>
          </cell>
          <cell r="CC45">
            <v>17487067.730000004</v>
          </cell>
          <cell r="CD45">
            <v>17783658.729999997</v>
          </cell>
          <cell r="CE45">
            <v>18526353.889999993</v>
          </cell>
          <cell r="CF45">
            <v>18734619.020000003</v>
          </cell>
          <cell r="CG45">
            <v>19609622.690000001</v>
          </cell>
          <cell r="CH45">
            <v>19240471.300000004</v>
          </cell>
          <cell r="CI45">
            <v>19910766.349999998</v>
          </cell>
          <cell r="CJ45">
            <v>19651440.079999994</v>
          </cell>
          <cell r="CK45">
            <v>19502488.939999998</v>
          </cell>
          <cell r="CL45">
            <v>18820572.82</v>
          </cell>
          <cell r="CM45">
            <v>18874681.009999998</v>
          </cell>
          <cell r="CN45">
            <v>18434777.190000001</v>
          </cell>
          <cell r="CO45">
            <v>0</v>
          </cell>
          <cell r="CP45">
            <v>226576519.75000003</v>
          </cell>
          <cell r="CQ45">
            <v>226576519.75000003</v>
          </cell>
          <cell r="CR45">
            <v>0</v>
          </cell>
          <cell r="CS45">
            <v>17439768.43</v>
          </cell>
          <cell r="CT45">
            <v>18298602.690000009</v>
          </cell>
          <cell r="CU45">
            <v>18640446.189999998</v>
          </cell>
          <cell r="CV45">
            <v>19126509.32</v>
          </cell>
          <cell r="CW45">
            <v>18804695.600000001</v>
          </cell>
          <cell r="CX45">
            <v>18830927.960000001</v>
          </cell>
          <cell r="CY45">
            <v>18644082.140000001</v>
          </cell>
          <cell r="CZ45">
            <v>18303383.069999997</v>
          </cell>
          <cell r="DA45">
            <v>17995789.109999999</v>
          </cell>
          <cell r="DB45">
            <v>17761890.18</v>
          </cell>
          <cell r="DC45">
            <v>17816920.109999999</v>
          </cell>
          <cell r="DD45">
            <v>17422786.710000001</v>
          </cell>
          <cell r="DE45">
            <v>0</v>
          </cell>
          <cell r="DF45">
            <v>219085801.50999993</v>
          </cell>
          <cell r="DG45">
            <v>219085801.50999993</v>
          </cell>
        </row>
        <row r="46">
          <cell r="B46">
            <v>43</v>
          </cell>
          <cell r="C46" t="str">
            <v>Investitionen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46469.279999999992</v>
          </cell>
          <cell r="U46">
            <v>174197.47999999998</v>
          </cell>
          <cell r="V46">
            <v>250185.02999999994</v>
          </cell>
          <cell r="W46">
            <v>79627.340000000011</v>
          </cell>
          <cell r="X46">
            <v>362450.05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912929.18</v>
          </cell>
          <cell r="AH46">
            <v>912929.18</v>
          </cell>
          <cell r="AI46">
            <v>0</v>
          </cell>
          <cell r="AK46">
            <v>56.02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470851.78999999992</v>
          </cell>
          <cell r="AV46">
            <v>470851.78999999992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912929.18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912929.18</v>
          </cell>
          <cell r="BI46">
            <v>0</v>
          </cell>
          <cell r="BJ46">
            <v>0</v>
          </cell>
          <cell r="BK46">
            <v>0</v>
          </cell>
          <cell r="BL46">
            <v>158925.44000000003</v>
          </cell>
          <cell r="BM46">
            <v>136834.13999999998</v>
          </cell>
          <cell r="BN46">
            <v>350827.62000000011</v>
          </cell>
          <cell r="BO46">
            <v>149919.95000000004</v>
          </cell>
          <cell r="BP46">
            <v>528524.12000000011</v>
          </cell>
          <cell r="BQ46">
            <v>122005.96</v>
          </cell>
          <cell r="BR46">
            <v>122950.81999999996</v>
          </cell>
          <cell r="BS46">
            <v>212527.1</v>
          </cell>
          <cell r="BT46">
            <v>258704.1</v>
          </cell>
          <cell r="BU46">
            <v>164686.62000000002</v>
          </cell>
          <cell r="BV46">
            <v>169596.28</v>
          </cell>
          <cell r="BW46">
            <v>143503.49</v>
          </cell>
          <cell r="BX46">
            <v>0</v>
          </cell>
          <cell r="BY46">
            <v>2519005.6399999997</v>
          </cell>
          <cell r="BZ46">
            <v>2519005.6399999997</v>
          </cell>
          <cell r="CA46">
            <v>143503.49</v>
          </cell>
          <cell r="CB46">
            <v>0</v>
          </cell>
          <cell r="CC46">
            <v>100372.40999999999</v>
          </cell>
          <cell r="CD46">
            <v>181470.33</v>
          </cell>
          <cell r="CE46">
            <v>183046.30000000002</v>
          </cell>
          <cell r="CF46">
            <v>370500.87</v>
          </cell>
          <cell r="CG46">
            <v>179495.25</v>
          </cell>
          <cell r="CH46">
            <v>168240.74999999997</v>
          </cell>
          <cell r="CI46">
            <v>79591.87</v>
          </cell>
          <cell r="CJ46">
            <v>179747.82999999996</v>
          </cell>
          <cell r="CK46">
            <v>151654.86000000002</v>
          </cell>
          <cell r="CL46">
            <v>108904.02000000003</v>
          </cell>
          <cell r="CM46">
            <v>253189.96999999997</v>
          </cell>
          <cell r="CN46">
            <v>116223.16</v>
          </cell>
          <cell r="CO46">
            <v>0</v>
          </cell>
          <cell r="CP46">
            <v>2072437.6199999999</v>
          </cell>
          <cell r="CQ46">
            <v>2072437.6199999999</v>
          </cell>
          <cell r="CR46">
            <v>0</v>
          </cell>
          <cell r="CS46">
            <v>165864.95999999996</v>
          </cell>
          <cell r="CT46">
            <v>87154.83</v>
          </cell>
          <cell r="CU46">
            <v>238523.75999999998</v>
          </cell>
          <cell r="CV46">
            <v>185643.67</v>
          </cell>
          <cell r="CW46">
            <v>191239.58000000002</v>
          </cell>
          <cell r="CX46">
            <v>288002.94000000012</v>
          </cell>
          <cell r="CY46">
            <v>184019</v>
          </cell>
          <cell r="CZ46">
            <v>171688.65</v>
          </cell>
          <cell r="DA46">
            <v>67800.559999999983</v>
          </cell>
          <cell r="DB46">
            <v>327692.48999999993</v>
          </cell>
          <cell r="DC46">
            <v>69016.910000000018</v>
          </cell>
          <cell r="DD46">
            <v>137184.54999999996</v>
          </cell>
          <cell r="DE46">
            <v>0</v>
          </cell>
          <cell r="DF46">
            <v>2113831.9000000004</v>
          </cell>
          <cell r="DG46">
            <v>2113831.9000000004</v>
          </cell>
        </row>
        <row r="47">
          <cell r="B47">
            <v>44</v>
          </cell>
          <cell r="C47" t="str">
            <v>Anzahl Beschäftigte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652.0100000000001</v>
          </cell>
          <cell r="U47">
            <v>657.53</v>
          </cell>
          <cell r="V47">
            <v>689.91</v>
          </cell>
          <cell r="W47">
            <v>683.88</v>
          </cell>
          <cell r="X47">
            <v>679.71999999999969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3363.05</v>
          </cell>
          <cell r="AH47">
            <v>3363.05</v>
          </cell>
          <cell r="AI47">
            <v>0</v>
          </cell>
          <cell r="AK47">
            <v>8.42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1999.4500000000003</v>
          </cell>
          <cell r="AV47">
            <v>1999.4500000000003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3363.05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3363.05</v>
          </cell>
          <cell r="BI47">
            <v>0</v>
          </cell>
          <cell r="BJ47">
            <v>0</v>
          </cell>
          <cell r="BK47">
            <v>0</v>
          </cell>
          <cell r="BL47">
            <v>659.7299999999999</v>
          </cell>
          <cell r="BM47">
            <v>667.7199999999998</v>
          </cell>
          <cell r="BN47">
            <v>666.8399999999998</v>
          </cell>
          <cell r="BO47">
            <v>687.15</v>
          </cell>
          <cell r="BP47">
            <v>686.38000000000011</v>
          </cell>
          <cell r="BQ47">
            <v>700.23</v>
          </cell>
          <cell r="BR47">
            <v>680.9699999999998</v>
          </cell>
          <cell r="BS47">
            <v>674.87</v>
          </cell>
          <cell r="BT47">
            <v>682.97000000000037</v>
          </cell>
          <cell r="BU47">
            <v>678.54999999999984</v>
          </cell>
          <cell r="BV47">
            <v>669.67</v>
          </cell>
          <cell r="BW47">
            <v>662.47</v>
          </cell>
          <cell r="BX47">
            <v>0</v>
          </cell>
          <cell r="BY47">
            <v>8117.5499999999993</v>
          </cell>
          <cell r="BZ47">
            <v>8117.5499999999993</v>
          </cell>
          <cell r="CA47">
            <v>662.47</v>
          </cell>
          <cell r="CB47">
            <v>0</v>
          </cell>
          <cell r="CC47">
            <v>634.54000000000008</v>
          </cell>
          <cell r="CD47">
            <v>636.82000000000005</v>
          </cell>
          <cell r="CE47">
            <v>651.47000000000014</v>
          </cell>
          <cell r="CF47">
            <v>622.37999999999988</v>
          </cell>
          <cell r="CG47">
            <v>639.94000000000017</v>
          </cell>
          <cell r="CH47">
            <v>668</v>
          </cell>
          <cell r="CI47">
            <v>682.12999999999988</v>
          </cell>
          <cell r="CJ47">
            <v>683.52999999999986</v>
          </cell>
          <cell r="CK47">
            <v>649.39999999999986</v>
          </cell>
          <cell r="CL47">
            <v>643.97</v>
          </cell>
          <cell r="CM47">
            <v>660.80000000000007</v>
          </cell>
          <cell r="CN47">
            <v>640.55999999999995</v>
          </cell>
          <cell r="CO47">
            <v>0</v>
          </cell>
          <cell r="CP47">
            <v>7813.54</v>
          </cell>
          <cell r="CQ47">
            <v>7813.54</v>
          </cell>
          <cell r="CR47">
            <v>0</v>
          </cell>
          <cell r="CS47">
            <v>632.75000000000011</v>
          </cell>
          <cell r="CT47">
            <v>643.28000000000009</v>
          </cell>
          <cell r="CU47">
            <v>633.18000000000006</v>
          </cell>
          <cell r="CV47">
            <v>634.91999999999996</v>
          </cell>
          <cell r="CW47">
            <v>639.06000000000006</v>
          </cell>
          <cell r="CX47">
            <v>636.96000000000015</v>
          </cell>
          <cell r="CY47">
            <v>648.0200000000001</v>
          </cell>
          <cell r="CZ47">
            <v>647.20999999999992</v>
          </cell>
          <cell r="DA47">
            <v>630.4100000000002</v>
          </cell>
          <cell r="DB47">
            <v>632.88000000000011</v>
          </cell>
          <cell r="DC47">
            <v>627.55999999999983</v>
          </cell>
          <cell r="DD47">
            <v>621.79000000000008</v>
          </cell>
          <cell r="DE47">
            <v>0</v>
          </cell>
          <cell r="DF47">
            <v>7628.0199999999995</v>
          </cell>
          <cell r="DG47">
            <v>7628.0199999999995</v>
          </cell>
        </row>
        <row r="48">
          <cell r="B48">
            <v>45</v>
          </cell>
          <cell r="C48" t="str">
            <v>Anzahl Leiharbeitskräfte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43.99</v>
          </cell>
          <cell r="U48">
            <v>48.199999999999989</v>
          </cell>
          <cell r="V48">
            <v>59.24</v>
          </cell>
          <cell r="W48">
            <v>61.999999999999993</v>
          </cell>
          <cell r="X48">
            <v>65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278.42999999999995</v>
          </cell>
          <cell r="AH48">
            <v>278.42999999999995</v>
          </cell>
          <cell r="AI48">
            <v>0</v>
          </cell>
          <cell r="AK48">
            <v>0.28999999999999998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151.43</v>
          </cell>
          <cell r="AV48">
            <v>151.43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278.42999999999995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278.42999999999995</v>
          </cell>
          <cell r="BI48">
            <v>0</v>
          </cell>
          <cell r="BJ48">
            <v>0</v>
          </cell>
          <cell r="BK48">
            <v>0</v>
          </cell>
          <cell r="BL48">
            <v>53.480000000000004</v>
          </cell>
          <cell r="BM48">
            <v>61.989999999999995</v>
          </cell>
          <cell r="BN48">
            <v>83.01</v>
          </cell>
          <cell r="BO48">
            <v>104.99999999999997</v>
          </cell>
          <cell r="BP48">
            <v>109</v>
          </cell>
          <cell r="BQ48">
            <v>107.78999999999996</v>
          </cell>
          <cell r="BR48">
            <v>128.31</v>
          </cell>
          <cell r="BS48">
            <v>112.01999999999998</v>
          </cell>
          <cell r="BT48">
            <v>71.010000000000005</v>
          </cell>
          <cell r="BU48">
            <v>61.999999999999986</v>
          </cell>
          <cell r="BV48">
            <v>52.020000000000017</v>
          </cell>
          <cell r="BW48">
            <v>45.419999999999987</v>
          </cell>
          <cell r="BX48">
            <v>0</v>
          </cell>
          <cell r="BY48">
            <v>991.04999999999984</v>
          </cell>
          <cell r="BZ48">
            <v>991.04999999999984</v>
          </cell>
          <cell r="CA48">
            <v>45.419999999999987</v>
          </cell>
          <cell r="CB48">
            <v>0</v>
          </cell>
          <cell r="CC48">
            <v>47.660000000000004</v>
          </cell>
          <cell r="CD48">
            <v>64.489999999999995</v>
          </cell>
          <cell r="CE48">
            <v>85.389999999999986</v>
          </cell>
          <cell r="CF48">
            <v>71.23</v>
          </cell>
          <cell r="CG48">
            <v>98.190000000000012</v>
          </cell>
          <cell r="CH48">
            <v>109.01000000000002</v>
          </cell>
          <cell r="CI48">
            <v>121.88000000000001</v>
          </cell>
          <cell r="CJ48">
            <v>105.76</v>
          </cell>
          <cell r="CK48">
            <v>102.66999999999999</v>
          </cell>
          <cell r="CL48">
            <v>96.82</v>
          </cell>
          <cell r="CM48">
            <v>70.110000000000014</v>
          </cell>
          <cell r="CN48">
            <v>65.430000000000007</v>
          </cell>
          <cell r="CO48">
            <v>0</v>
          </cell>
          <cell r="CP48">
            <v>1038.6399999999999</v>
          </cell>
          <cell r="CQ48">
            <v>1038.6399999999999</v>
          </cell>
          <cell r="CR48">
            <v>0</v>
          </cell>
          <cell r="CS48">
            <v>13.3</v>
          </cell>
          <cell r="CT48">
            <v>13</v>
          </cell>
          <cell r="CU48">
            <v>24.210000000000004</v>
          </cell>
          <cell r="CV48">
            <v>33.659999999999997</v>
          </cell>
          <cell r="CW48">
            <v>61.05</v>
          </cell>
          <cell r="CX48">
            <v>67.63</v>
          </cell>
          <cell r="CY48">
            <v>95.009999999999991</v>
          </cell>
          <cell r="CZ48">
            <v>83.219999999999985</v>
          </cell>
          <cell r="DA48">
            <v>63.74</v>
          </cell>
          <cell r="DB48">
            <v>60.480000000000011</v>
          </cell>
          <cell r="DC48">
            <v>42.570000000000014</v>
          </cell>
          <cell r="DD48">
            <v>37.389999999999993</v>
          </cell>
          <cell r="DE48">
            <v>0</v>
          </cell>
          <cell r="DF48">
            <v>595.26</v>
          </cell>
          <cell r="DG48">
            <v>595.26</v>
          </cell>
        </row>
        <row r="49">
          <cell r="B49">
            <v>46</v>
          </cell>
          <cell r="C49" t="str">
            <v>Anzahl Mitarbeiter Fertigung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536.4799999999999</v>
          </cell>
          <cell r="U49">
            <v>548.65</v>
          </cell>
          <cell r="V49">
            <v>591.18000000000018</v>
          </cell>
          <cell r="W49">
            <v>588.0200000000001</v>
          </cell>
          <cell r="X49">
            <v>591.18000000000006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2855.5100000000007</v>
          </cell>
          <cell r="AH49">
            <v>2855.5100000000007</v>
          </cell>
          <cell r="AI49">
            <v>0</v>
          </cell>
          <cell r="AK49">
            <v>5.85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1676.3099999999997</v>
          </cell>
          <cell r="AV49">
            <v>1676.3099999999997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2855.5100000000007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2855.5100000000007</v>
          </cell>
          <cell r="BI49">
            <v>0</v>
          </cell>
          <cell r="BJ49">
            <v>0</v>
          </cell>
          <cell r="BK49">
            <v>0</v>
          </cell>
          <cell r="BL49">
            <v>552.20000000000005</v>
          </cell>
          <cell r="BM49">
            <v>567.03</v>
          </cell>
          <cell r="BN49">
            <v>588.95999999999992</v>
          </cell>
          <cell r="BO49">
            <v>626.25</v>
          </cell>
          <cell r="BP49">
            <v>633.80999999999995</v>
          </cell>
          <cell r="BQ49">
            <v>640.1</v>
          </cell>
          <cell r="BR49">
            <v>646.66</v>
          </cell>
          <cell r="BS49">
            <v>629.29000000000008</v>
          </cell>
          <cell r="BT49">
            <v>584.85000000000014</v>
          </cell>
          <cell r="BU49">
            <v>568.92000000000007</v>
          </cell>
          <cell r="BV49">
            <v>553.33000000000004</v>
          </cell>
          <cell r="BW49">
            <v>541.11</v>
          </cell>
          <cell r="BX49">
            <v>0</v>
          </cell>
          <cell r="BY49">
            <v>7132.5099999999975</v>
          </cell>
          <cell r="BZ49">
            <v>7132.5099999999975</v>
          </cell>
          <cell r="CA49">
            <v>541.11</v>
          </cell>
          <cell r="CB49">
            <v>0</v>
          </cell>
          <cell r="CC49">
            <v>529.55999999999995</v>
          </cell>
          <cell r="CD49">
            <v>548.08000000000004</v>
          </cell>
          <cell r="CE49">
            <v>580.16999999999996</v>
          </cell>
          <cell r="CF49">
            <v>542.72000000000014</v>
          </cell>
          <cell r="CG49">
            <v>584.46000000000015</v>
          </cell>
          <cell r="CH49">
            <v>619.44999999999993</v>
          </cell>
          <cell r="CI49">
            <v>650.80000000000018</v>
          </cell>
          <cell r="CJ49">
            <v>644.09999999999991</v>
          </cell>
          <cell r="CK49">
            <v>601.82000000000005</v>
          </cell>
          <cell r="CL49">
            <v>581.1</v>
          </cell>
          <cell r="CM49">
            <v>563.75000000000011</v>
          </cell>
          <cell r="CN49">
            <v>544.28999999999985</v>
          </cell>
          <cell r="CO49">
            <v>0</v>
          </cell>
          <cell r="CP49">
            <v>6990.3</v>
          </cell>
          <cell r="CQ49">
            <v>6990.3</v>
          </cell>
          <cell r="CR49">
            <v>0</v>
          </cell>
          <cell r="CS49">
            <v>494.05</v>
          </cell>
          <cell r="CT49">
            <v>501.38</v>
          </cell>
          <cell r="CU49">
            <v>504.87000000000006</v>
          </cell>
          <cell r="CV49">
            <v>517.78</v>
          </cell>
          <cell r="CW49">
            <v>548.61999999999989</v>
          </cell>
          <cell r="CX49">
            <v>557.34999999999991</v>
          </cell>
          <cell r="CY49">
            <v>593.57999999999993</v>
          </cell>
          <cell r="CZ49">
            <v>580.04000000000019</v>
          </cell>
          <cell r="DA49">
            <v>544.7600000000001</v>
          </cell>
          <cell r="DB49">
            <v>539.65</v>
          </cell>
          <cell r="DC49">
            <v>517.86999999999989</v>
          </cell>
          <cell r="DD49">
            <v>511.8</v>
          </cell>
          <cell r="DE49">
            <v>0</v>
          </cell>
          <cell r="DF49">
            <v>6411.75</v>
          </cell>
          <cell r="DG49">
            <v>6411.75</v>
          </cell>
        </row>
        <row r="50">
          <cell r="B50">
            <v>47</v>
          </cell>
          <cell r="C50" t="str">
            <v>Anzahl Mitarbeiter Büro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159.51999999999998</v>
          </cell>
          <cell r="U50">
            <v>157.06000000000006</v>
          </cell>
          <cell r="V50">
            <v>157.96000000000004</v>
          </cell>
          <cell r="W50">
            <v>157.86999999999995</v>
          </cell>
          <cell r="X50">
            <v>153.54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785.94999999999993</v>
          </cell>
          <cell r="AH50">
            <v>785.94999999999993</v>
          </cell>
          <cell r="AI50">
            <v>0</v>
          </cell>
          <cell r="AK50">
            <v>2.85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474.54</v>
          </cell>
          <cell r="AV50">
            <v>474.54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785.94999999999993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785.94999999999993</v>
          </cell>
          <cell r="BI50">
            <v>0</v>
          </cell>
          <cell r="BJ50">
            <v>0</v>
          </cell>
          <cell r="BK50">
            <v>0</v>
          </cell>
          <cell r="BL50">
            <v>161.04</v>
          </cell>
          <cell r="BM50">
            <v>162.66999999999999</v>
          </cell>
          <cell r="BN50">
            <v>160.89999999999998</v>
          </cell>
          <cell r="BO50">
            <v>165.92999999999995</v>
          </cell>
          <cell r="BP50">
            <v>161.59999999999997</v>
          </cell>
          <cell r="BQ50">
            <v>167.96999999999997</v>
          </cell>
          <cell r="BR50">
            <v>162.60000000000005</v>
          </cell>
          <cell r="BS50">
            <v>157.57</v>
          </cell>
          <cell r="BT50">
            <v>169.13</v>
          </cell>
          <cell r="BU50">
            <v>171.62000000000003</v>
          </cell>
          <cell r="BV50">
            <v>168.35</v>
          </cell>
          <cell r="BW50">
            <v>166.75</v>
          </cell>
          <cell r="BX50">
            <v>0</v>
          </cell>
          <cell r="BY50">
            <v>1976.1299999999999</v>
          </cell>
          <cell r="BZ50">
            <v>1976.1299999999999</v>
          </cell>
          <cell r="CA50">
            <v>166.75</v>
          </cell>
          <cell r="CB50">
            <v>0</v>
          </cell>
          <cell r="CC50">
            <v>152.66999999999999</v>
          </cell>
          <cell r="CD50">
            <v>153.25999999999996</v>
          </cell>
          <cell r="CE50">
            <v>156.70999999999989</v>
          </cell>
          <cell r="CF50">
            <v>150.91999999999999</v>
          </cell>
          <cell r="CG50">
            <v>153.67000000000002</v>
          </cell>
          <cell r="CH50">
            <v>157.59</v>
          </cell>
          <cell r="CI50">
            <v>153.21</v>
          </cell>
          <cell r="CJ50">
            <v>145.20000000000002</v>
          </cell>
          <cell r="CK50">
            <v>150.21999999999994</v>
          </cell>
          <cell r="CL50">
            <v>159.74999999999997</v>
          </cell>
          <cell r="CM50">
            <v>167.17000000000002</v>
          </cell>
          <cell r="CN50">
            <v>161.68000000000004</v>
          </cell>
          <cell r="CO50">
            <v>0</v>
          </cell>
          <cell r="CP50">
            <v>1862.0500000000002</v>
          </cell>
          <cell r="CQ50">
            <v>1862.0500000000002</v>
          </cell>
          <cell r="CR50">
            <v>0</v>
          </cell>
          <cell r="CS50">
            <v>152.02000000000001</v>
          </cell>
          <cell r="CT50">
            <v>154.84</v>
          </cell>
          <cell r="CU50">
            <v>152.53999999999994</v>
          </cell>
          <cell r="CV50">
            <v>150.82000000000002</v>
          </cell>
          <cell r="CW50">
            <v>151.48000000000002</v>
          </cell>
          <cell r="CX50">
            <v>147.24000000000004</v>
          </cell>
          <cell r="CY50">
            <v>149.43</v>
          </cell>
          <cell r="CZ50">
            <v>150.42000000000007</v>
          </cell>
          <cell r="DA50">
            <v>149.41999999999999</v>
          </cell>
          <cell r="DB50">
            <v>153.72</v>
          </cell>
          <cell r="DC50">
            <v>152.29</v>
          </cell>
          <cell r="DD50">
            <v>147.41</v>
          </cell>
          <cell r="DE50">
            <v>0</v>
          </cell>
          <cell r="DF50">
            <v>1811.6300000000003</v>
          </cell>
          <cell r="DG50">
            <v>1811.6300000000003</v>
          </cell>
        </row>
        <row r="51">
          <cell r="B51">
            <v>48</v>
          </cell>
          <cell r="C51" t="str">
            <v>Anzahl Mitarbeiter MJ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612.70000000000005</v>
          </cell>
          <cell r="U51">
            <v>621.39</v>
          </cell>
          <cell r="V51">
            <v>661.15000000000009</v>
          </cell>
          <cell r="W51">
            <v>659.74</v>
          </cell>
          <cell r="X51">
            <v>652.45999999999992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3207.44</v>
          </cell>
          <cell r="AH51">
            <v>3207.44</v>
          </cell>
          <cell r="AI51">
            <v>0</v>
          </cell>
          <cell r="AK51">
            <v>7.35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1895.2400000000002</v>
          </cell>
          <cell r="AV51">
            <v>1895.2400000000002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3207.44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3207.44</v>
          </cell>
          <cell r="BI51">
            <v>0</v>
          </cell>
          <cell r="BJ51">
            <v>0</v>
          </cell>
          <cell r="BK51">
            <v>0</v>
          </cell>
          <cell r="BL51">
            <v>628.74999999999989</v>
          </cell>
          <cell r="BM51">
            <v>643.6400000000001</v>
          </cell>
          <cell r="BN51">
            <v>661.9</v>
          </cell>
          <cell r="BO51">
            <v>698.99999999999977</v>
          </cell>
          <cell r="BP51">
            <v>706.59</v>
          </cell>
          <cell r="BQ51">
            <v>712.74999999999989</v>
          </cell>
          <cell r="BR51">
            <v>715.95999999999992</v>
          </cell>
          <cell r="BS51">
            <v>700.63999999999976</v>
          </cell>
          <cell r="BT51">
            <v>665.42</v>
          </cell>
          <cell r="BU51">
            <v>652.44000000000005</v>
          </cell>
          <cell r="BV51">
            <v>635.06999999999982</v>
          </cell>
          <cell r="BW51">
            <v>623.12000000000012</v>
          </cell>
          <cell r="BX51">
            <v>0</v>
          </cell>
          <cell r="BY51">
            <v>8045.2800000000016</v>
          </cell>
          <cell r="BZ51">
            <v>8045.2800000000016</v>
          </cell>
          <cell r="CA51">
            <v>623.12000000000012</v>
          </cell>
          <cell r="CB51">
            <v>0</v>
          </cell>
          <cell r="CC51">
            <v>600.15</v>
          </cell>
          <cell r="CD51">
            <v>614.41000000000008</v>
          </cell>
          <cell r="CE51">
            <v>648.04000000000019</v>
          </cell>
          <cell r="CF51">
            <v>610.08999999999992</v>
          </cell>
          <cell r="CG51">
            <v>650.37999999999988</v>
          </cell>
          <cell r="CH51">
            <v>686.12999999999988</v>
          </cell>
          <cell r="CI51">
            <v>710.50999999999976</v>
          </cell>
          <cell r="CJ51">
            <v>700.53999999999985</v>
          </cell>
          <cell r="CK51">
            <v>663.77999999999986</v>
          </cell>
          <cell r="CL51">
            <v>651.80000000000007</v>
          </cell>
          <cell r="CM51">
            <v>643.50000000000011</v>
          </cell>
          <cell r="CN51">
            <v>621.94999999999993</v>
          </cell>
          <cell r="CO51">
            <v>0</v>
          </cell>
          <cell r="CP51">
            <v>7801.28</v>
          </cell>
          <cell r="CQ51">
            <v>7801.28</v>
          </cell>
          <cell r="CR51">
            <v>0</v>
          </cell>
          <cell r="CS51">
            <v>563</v>
          </cell>
          <cell r="CT51">
            <v>572.75</v>
          </cell>
          <cell r="CU51">
            <v>573.72</v>
          </cell>
          <cell r="CV51">
            <v>582.33000000000004</v>
          </cell>
          <cell r="CW51">
            <v>609.57999999999993</v>
          </cell>
          <cell r="CX51">
            <v>614.35</v>
          </cell>
          <cell r="CY51">
            <v>649.92000000000007</v>
          </cell>
          <cell r="CZ51">
            <v>639.05000000000007</v>
          </cell>
          <cell r="DA51">
            <v>608.57000000000028</v>
          </cell>
          <cell r="DB51">
            <v>606.75000000000023</v>
          </cell>
          <cell r="DC51">
            <v>582.65999999999985</v>
          </cell>
          <cell r="DD51">
            <v>577.20000000000005</v>
          </cell>
          <cell r="DE51">
            <v>0</v>
          </cell>
          <cell r="DF51">
            <v>7179.8799999999983</v>
          </cell>
          <cell r="DG51">
            <v>7179.8799999999983</v>
          </cell>
        </row>
        <row r="52">
          <cell r="B52">
            <v>49</v>
          </cell>
          <cell r="C52" t="str">
            <v xml:space="preserve">Stunden Beschäftigte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91821.9</v>
          </cell>
          <cell r="U52">
            <v>91597.92</v>
          </cell>
          <cell r="V52">
            <v>109664.34999999999</v>
          </cell>
          <cell r="W52">
            <v>90262.109999999986</v>
          </cell>
          <cell r="X52">
            <v>99859.409999999974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483205.69000000012</v>
          </cell>
          <cell r="AH52">
            <v>483205.69000000012</v>
          </cell>
          <cell r="AI52">
            <v>0</v>
          </cell>
          <cell r="AK52">
            <v>1136.1099999999999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293084.17</v>
          </cell>
          <cell r="AV52">
            <v>293084.17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483205.69000000012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483205.69000000012</v>
          </cell>
          <cell r="BI52">
            <v>0</v>
          </cell>
          <cell r="BJ52">
            <v>0</v>
          </cell>
          <cell r="BK52">
            <v>0</v>
          </cell>
          <cell r="BL52">
            <v>86947.010000000009</v>
          </cell>
          <cell r="BM52">
            <v>89336.98000000001</v>
          </cell>
          <cell r="BN52">
            <v>105462.17</v>
          </cell>
          <cell r="BO52">
            <v>95031.310000000012</v>
          </cell>
          <cell r="BP52">
            <v>92407.540000000037</v>
          </cell>
          <cell r="BQ52">
            <v>102736.85</v>
          </cell>
          <cell r="BR52">
            <v>100277.34</v>
          </cell>
          <cell r="BS52">
            <v>102977.41999999998</v>
          </cell>
          <cell r="BT52">
            <v>103343.72</v>
          </cell>
          <cell r="BU52">
            <v>97346.819999999992</v>
          </cell>
          <cell r="BV52">
            <v>98214.260000000009</v>
          </cell>
          <cell r="BW52">
            <v>101946.60000000002</v>
          </cell>
          <cell r="BX52">
            <v>0</v>
          </cell>
          <cell r="BY52">
            <v>1176028.0200000003</v>
          </cell>
          <cell r="BZ52">
            <v>1176028.0200000003</v>
          </cell>
          <cell r="CA52">
            <v>101946.60000000002</v>
          </cell>
          <cell r="CB52">
            <v>0</v>
          </cell>
          <cell r="CC52">
            <v>92347.06</v>
          </cell>
          <cell r="CD52">
            <v>87822.430000000008</v>
          </cell>
          <cell r="CE52">
            <v>98655.91</v>
          </cell>
          <cell r="CF52">
            <v>83978.950000000012</v>
          </cell>
          <cell r="CG52">
            <v>81724.090000000011</v>
          </cell>
          <cell r="CH52">
            <v>93684.569999999992</v>
          </cell>
          <cell r="CI52">
            <v>105668.93999999999</v>
          </cell>
          <cell r="CJ52">
            <v>97986.329999999987</v>
          </cell>
          <cell r="CK52">
            <v>97164.79</v>
          </cell>
          <cell r="CL52">
            <v>95984.55</v>
          </cell>
          <cell r="CM52">
            <v>94626.52</v>
          </cell>
          <cell r="CN52">
            <v>95168.14</v>
          </cell>
          <cell r="CO52">
            <v>0</v>
          </cell>
          <cell r="CP52">
            <v>1124812.2799999998</v>
          </cell>
          <cell r="CQ52">
            <v>1124812.2799999998</v>
          </cell>
          <cell r="CR52">
            <v>0</v>
          </cell>
          <cell r="CS52">
            <v>95764.859999999986</v>
          </cell>
          <cell r="CT52">
            <v>88050.75</v>
          </cell>
          <cell r="CU52">
            <v>90361.090000000011</v>
          </cell>
          <cell r="CV52">
            <v>88814.26999999999</v>
          </cell>
          <cell r="CW52">
            <v>91596.500000000029</v>
          </cell>
          <cell r="CX52">
            <v>80045.470000000016</v>
          </cell>
          <cell r="CY52">
            <v>100804.67000000001</v>
          </cell>
          <cell r="CZ52">
            <v>96974.83</v>
          </cell>
          <cell r="DA52">
            <v>90935.469999999972</v>
          </cell>
          <cell r="DB52">
            <v>95292.540000000008</v>
          </cell>
          <cell r="DC52">
            <v>87449.220000000016</v>
          </cell>
          <cell r="DD52">
            <v>81779.88</v>
          </cell>
          <cell r="DE52">
            <v>0</v>
          </cell>
          <cell r="DF52">
            <v>1087869.55</v>
          </cell>
          <cell r="DG52">
            <v>1087869.55</v>
          </cell>
        </row>
        <row r="53">
          <cell r="B53">
            <v>50</v>
          </cell>
          <cell r="C53" t="str">
            <v>Stunden Leiharbeitskräfte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4416.1000000000004</v>
          </cell>
          <cell r="U53">
            <v>4464.5399999999991</v>
          </cell>
          <cell r="V53">
            <v>5982.2900000000009</v>
          </cell>
          <cell r="W53">
            <v>6274.5</v>
          </cell>
          <cell r="X53">
            <v>7756.03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28893.459999999995</v>
          </cell>
          <cell r="AH53">
            <v>28893.459999999995</v>
          </cell>
          <cell r="AI53">
            <v>0</v>
          </cell>
          <cell r="AK53">
            <v>38.6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14862.93</v>
          </cell>
          <cell r="AV53">
            <v>14862.93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28893.459999999995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28893.459999999995</v>
          </cell>
          <cell r="BI53">
            <v>0</v>
          </cell>
          <cell r="BJ53">
            <v>0</v>
          </cell>
          <cell r="BK53">
            <v>0</v>
          </cell>
          <cell r="BL53">
            <v>5402.5999999999995</v>
          </cell>
          <cell r="BM53">
            <v>6230.3600000000006</v>
          </cell>
          <cell r="BN53">
            <v>9495.17</v>
          </cell>
          <cell r="BO53">
            <v>11781.859999999999</v>
          </cell>
          <cell r="BP53">
            <v>11544.150000000001</v>
          </cell>
          <cell r="BQ53">
            <v>13588.090000000002</v>
          </cell>
          <cell r="BR53">
            <v>16014.129999999997</v>
          </cell>
          <cell r="BS53">
            <v>13182.27</v>
          </cell>
          <cell r="BT53">
            <v>8762.2799999999988</v>
          </cell>
          <cell r="BU53">
            <v>6491.3899999999994</v>
          </cell>
          <cell r="BV53">
            <v>5605.63</v>
          </cell>
          <cell r="BW53">
            <v>4359.5099999999993</v>
          </cell>
          <cell r="BX53">
            <v>0</v>
          </cell>
          <cell r="BY53">
            <v>112457.44000000003</v>
          </cell>
          <cell r="BZ53">
            <v>112457.44000000003</v>
          </cell>
          <cell r="CA53">
            <v>4359.5099999999993</v>
          </cell>
          <cell r="CB53">
            <v>0</v>
          </cell>
          <cell r="CC53">
            <v>5297.9400000000014</v>
          </cell>
          <cell r="CD53">
            <v>7049.9400000000014</v>
          </cell>
          <cell r="CE53">
            <v>10756.929999999997</v>
          </cell>
          <cell r="CF53">
            <v>9355.6099999999988</v>
          </cell>
          <cell r="CG53">
            <v>10371.310000000001</v>
          </cell>
          <cell r="CH53">
            <v>12685.76</v>
          </cell>
          <cell r="CI53">
            <v>16186.300000000001</v>
          </cell>
          <cell r="CJ53">
            <v>13555.53</v>
          </cell>
          <cell r="CK53">
            <v>12602.470000000001</v>
          </cell>
          <cell r="CL53">
            <v>11407.859999999999</v>
          </cell>
          <cell r="CM53">
            <v>8631.91</v>
          </cell>
          <cell r="CN53">
            <v>7045.8200000000006</v>
          </cell>
          <cell r="CO53">
            <v>0</v>
          </cell>
          <cell r="CP53">
            <v>124947.38000000005</v>
          </cell>
          <cell r="CQ53">
            <v>124947.38000000005</v>
          </cell>
          <cell r="CR53">
            <v>0</v>
          </cell>
          <cell r="CS53">
            <v>1285.2400000000002</v>
          </cell>
          <cell r="CT53">
            <v>1316.9699999999998</v>
          </cell>
          <cell r="CU53">
            <v>2438.1999999999994</v>
          </cell>
          <cell r="CV53">
            <v>3692.34</v>
          </cell>
          <cell r="CW53">
            <v>5934.0299999999988</v>
          </cell>
          <cell r="CX53">
            <v>6922.3000000000011</v>
          </cell>
          <cell r="CY53">
            <v>11239.140000000001</v>
          </cell>
          <cell r="CZ53">
            <v>9475.880000000001</v>
          </cell>
          <cell r="DA53">
            <v>7433.7099999999982</v>
          </cell>
          <cell r="DB53">
            <v>7013.3599999999988</v>
          </cell>
          <cell r="DC53">
            <v>4980.7599999999993</v>
          </cell>
          <cell r="DD53">
            <v>4055.2499999999995</v>
          </cell>
          <cell r="DE53">
            <v>0</v>
          </cell>
          <cell r="DF53">
            <v>65787.180000000008</v>
          </cell>
          <cell r="DG53">
            <v>65787.180000000008</v>
          </cell>
        </row>
        <row r="54">
          <cell r="B54">
            <v>51</v>
          </cell>
          <cell r="C54" t="str">
            <v>Veränderung Zeitkonto (+/-)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-5033.2200000000012</v>
          </cell>
          <cell r="U54">
            <v>-136.31000000000003</v>
          </cell>
          <cell r="V54">
            <v>1141.58</v>
          </cell>
          <cell r="W54">
            <v>4097.6400000000003</v>
          </cell>
          <cell r="X54">
            <v>4121.0600000000004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4190.75</v>
          </cell>
          <cell r="AH54">
            <v>4190.75</v>
          </cell>
          <cell r="AI54">
            <v>0</v>
          </cell>
          <cell r="AK54">
            <v>65.900000000000006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-4027.9500000000003</v>
          </cell>
          <cell r="AV54">
            <v>-4027.9500000000003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4190.75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4190.75</v>
          </cell>
          <cell r="BI54">
            <v>0</v>
          </cell>
          <cell r="BJ54">
            <v>0</v>
          </cell>
          <cell r="BK54">
            <v>0</v>
          </cell>
          <cell r="BL54">
            <v>-7546.5299999999988</v>
          </cell>
          <cell r="BM54">
            <v>-3631.8800000000006</v>
          </cell>
          <cell r="BN54">
            <v>1222.98</v>
          </cell>
          <cell r="BO54">
            <v>6019.4000000000005</v>
          </cell>
          <cell r="BP54">
            <v>6392.3399999999992</v>
          </cell>
          <cell r="BQ54">
            <v>5861.9699999999984</v>
          </cell>
          <cell r="BR54">
            <v>6915.8</v>
          </cell>
          <cell r="BS54">
            <v>2785.1899999999996</v>
          </cell>
          <cell r="BT54">
            <v>-2272.8200000000002</v>
          </cell>
          <cell r="BU54">
            <v>-3957.079999999999</v>
          </cell>
          <cell r="BV54">
            <v>-590.76</v>
          </cell>
          <cell r="BW54">
            <v>-8515.59</v>
          </cell>
          <cell r="BX54">
            <v>0</v>
          </cell>
          <cell r="BY54">
            <v>2683.0200000000009</v>
          </cell>
          <cell r="BZ54">
            <v>2683.0200000000009</v>
          </cell>
          <cell r="CA54">
            <v>-8515.59</v>
          </cell>
          <cell r="CB54">
            <v>0</v>
          </cell>
          <cell r="CC54">
            <v>-6801.3499999999985</v>
          </cell>
          <cell r="CD54">
            <v>-3462.4</v>
          </cell>
          <cell r="CE54">
            <v>-5040.4999999999991</v>
          </cell>
          <cell r="CF54">
            <v>-5274.79</v>
          </cell>
          <cell r="CG54">
            <v>2732.03</v>
          </cell>
          <cell r="CH54">
            <v>7418.6900000000005</v>
          </cell>
          <cell r="CI54">
            <v>8442.0800000000017</v>
          </cell>
          <cell r="CJ54">
            <v>6734.84</v>
          </cell>
          <cell r="CK54">
            <v>4857.3900000000012</v>
          </cell>
          <cell r="CL54">
            <v>2326.7699999999995</v>
          </cell>
          <cell r="CM54">
            <v>666.23000000000013</v>
          </cell>
          <cell r="CN54">
            <v>-5035.9799999999996</v>
          </cell>
          <cell r="CO54">
            <v>0</v>
          </cell>
          <cell r="CP54">
            <v>7563.01</v>
          </cell>
          <cell r="CQ54">
            <v>7563.01</v>
          </cell>
          <cell r="CR54">
            <v>0</v>
          </cell>
          <cell r="CS54">
            <v>-6856.6100000000006</v>
          </cell>
          <cell r="CT54">
            <v>-2581.71</v>
          </cell>
          <cell r="CU54">
            <v>2868.97</v>
          </cell>
          <cell r="CV54">
            <v>5500.9399999999987</v>
          </cell>
          <cell r="CW54">
            <v>6852.9499999999989</v>
          </cell>
          <cell r="CX54">
            <v>6138.15</v>
          </cell>
          <cell r="CY54">
            <v>7231.92</v>
          </cell>
          <cell r="CZ54">
            <v>5714.1900000000014</v>
          </cell>
          <cell r="DA54">
            <v>2877.0600000000004</v>
          </cell>
          <cell r="DB54">
            <v>-1615.73</v>
          </cell>
          <cell r="DC54">
            <v>-1879.3999999999999</v>
          </cell>
          <cell r="DD54">
            <v>-8371.9700000000012</v>
          </cell>
          <cell r="DE54">
            <v>0</v>
          </cell>
          <cell r="DF54">
            <v>15878.759999999997</v>
          </cell>
          <cell r="DG54">
            <v>15878.759999999997</v>
          </cell>
        </row>
        <row r="55">
          <cell r="B55">
            <v>52</v>
          </cell>
          <cell r="C55" t="str">
            <v>Krankheit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6775.4999999999991</v>
          </cell>
          <cell r="U55">
            <v>8425.1299999999974</v>
          </cell>
          <cell r="V55">
            <v>13051.209999999995</v>
          </cell>
          <cell r="W55">
            <v>7395.51</v>
          </cell>
          <cell r="X55">
            <v>5897.24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41544.589999999989</v>
          </cell>
          <cell r="AH55">
            <v>41544.589999999989</v>
          </cell>
          <cell r="AI55">
            <v>0</v>
          </cell>
          <cell r="AK55">
            <v>85.31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28251.839999999997</v>
          </cell>
          <cell r="AV55">
            <v>28251.839999999997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41544.589999999989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41544.589999999989</v>
          </cell>
          <cell r="BI55">
            <v>0</v>
          </cell>
          <cell r="BJ55">
            <v>0</v>
          </cell>
          <cell r="BK55">
            <v>0</v>
          </cell>
          <cell r="BL55">
            <v>5516.2800000000007</v>
          </cell>
          <cell r="BM55">
            <v>8527.35</v>
          </cell>
          <cell r="BN55">
            <v>6613.74</v>
          </cell>
          <cell r="BO55">
            <v>5783.909999999998</v>
          </cell>
          <cell r="BP55">
            <v>5832.12</v>
          </cell>
          <cell r="BQ55">
            <v>6174.329999999999</v>
          </cell>
          <cell r="BR55">
            <v>5773.4699999999975</v>
          </cell>
          <cell r="BS55">
            <v>5593.0399999999991</v>
          </cell>
          <cell r="BT55">
            <v>5878.18</v>
          </cell>
          <cell r="BU55">
            <v>7307.2899999999991</v>
          </cell>
          <cell r="BV55">
            <v>8139.420000000001</v>
          </cell>
          <cell r="BW55">
            <v>6826.630000000001</v>
          </cell>
          <cell r="BX55">
            <v>0</v>
          </cell>
          <cell r="BY55">
            <v>77965.760000000009</v>
          </cell>
          <cell r="BZ55">
            <v>77965.760000000009</v>
          </cell>
          <cell r="CA55">
            <v>6826.630000000001</v>
          </cell>
          <cell r="CB55">
            <v>0</v>
          </cell>
          <cell r="CC55">
            <v>5387.6999999999971</v>
          </cell>
          <cell r="CD55">
            <v>6695.4500000000007</v>
          </cell>
          <cell r="CE55">
            <v>10139.019999999999</v>
          </cell>
          <cell r="CF55">
            <v>5194.13</v>
          </cell>
          <cell r="CG55">
            <v>3671.9399999999996</v>
          </cell>
          <cell r="CH55">
            <v>3912.2700000000013</v>
          </cell>
          <cell r="CI55">
            <v>6093.01</v>
          </cell>
          <cell r="CJ55">
            <v>4314.2800000000016</v>
          </cell>
          <cell r="CK55">
            <v>5135</v>
          </cell>
          <cell r="CL55">
            <v>5331.829999999999</v>
          </cell>
          <cell r="CM55">
            <v>5932.4000000000005</v>
          </cell>
          <cell r="CN55">
            <v>3811.2</v>
          </cell>
          <cell r="CO55">
            <v>0</v>
          </cell>
          <cell r="CP55">
            <v>65618.229999999981</v>
          </cell>
          <cell r="CQ55">
            <v>65618.229999999981</v>
          </cell>
          <cell r="CR55">
            <v>0</v>
          </cell>
          <cell r="CS55">
            <v>5672.5199999999986</v>
          </cell>
          <cell r="CT55">
            <v>8292.1400000000012</v>
          </cell>
          <cell r="CU55">
            <v>7358.42</v>
          </cell>
          <cell r="CV55">
            <v>6099.0100000000011</v>
          </cell>
          <cell r="CW55">
            <v>6376.56</v>
          </cell>
          <cell r="CX55">
            <v>4465.55</v>
          </cell>
          <cell r="CY55">
            <v>6149.8499999999995</v>
          </cell>
          <cell r="CZ55">
            <v>5208.9999999999991</v>
          </cell>
          <cell r="DA55">
            <v>5274.88</v>
          </cell>
          <cell r="DB55">
            <v>7347.04</v>
          </cell>
          <cell r="DC55">
            <v>5795.2</v>
          </cell>
          <cell r="DD55">
            <v>4317.420000000001</v>
          </cell>
          <cell r="DE55">
            <v>0</v>
          </cell>
          <cell r="DF55">
            <v>72357.59</v>
          </cell>
          <cell r="DG55">
            <v>72357.59</v>
          </cell>
        </row>
        <row r="56">
          <cell r="B56">
            <v>53</v>
          </cell>
          <cell r="C56" t="str">
            <v>Fortbildung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440.34000000000003</v>
          </cell>
          <cell r="U56">
            <v>538.31000000000006</v>
          </cell>
          <cell r="V56">
            <v>476.48</v>
          </cell>
          <cell r="W56">
            <v>663.12</v>
          </cell>
          <cell r="X56">
            <v>598.80000000000007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2717.0500000000006</v>
          </cell>
          <cell r="AH56">
            <v>2717.0500000000006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1455.1299999999997</v>
          </cell>
          <cell r="AV56">
            <v>1455.1299999999997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2717.0500000000006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2717.0500000000006</v>
          </cell>
          <cell r="BI56">
            <v>0</v>
          </cell>
          <cell r="BJ56">
            <v>0</v>
          </cell>
          <cell r="BK56">
            <v>0</v>
          </cell>
          <cell r="BL56">
            <v>271.47000000000003</v>
          </cell>
          <cell r="BM56">
            <v>325.3</v>
          </cell>
          <cell r="BN56">
            <v>441.47</v>
          </cell>
          <cell r="BO56">
            <v>319.73000000000008</v>
          </cell>
          <cell r="BP56">
            <v>288.29999999999995</v>
          </cell>
          <cell r="BQ56">
            <v>418.09000000000003</v>
          </cell>
          <cell r="BR56">
            <v>293.03000000000009</v>
          </cell>
          <cell r="BS56">
            <v>93.659999999999982</v>
          </cell>
          <cell r="BT56">
            <v>591.49000000000012</v>
          </cell>
          <cell r="BU56">
            <v>653.42000000000019</v>
          </cell>
          <cell r="BV56">
            <v>688.92</v>
          </cell>
          <cell r="BW56">
            <v>494.2</v>
          </cell>
          <cell r="BX56">
            <v>0</v>
          </cell>
          <cell r="BY56">
            <v>4879.0800000000008</v>
          </cell>
          <cell r="BZ56">
            <v>4879.0800000000008</v>
          </cell>
          <cell r="CA56">
            <v>494.2</v>
          </cell>
          <cell r="CB56">
            <v>0</v>
          </cell>
          <cell r="CC56">
            <v>467.8300000000001</v>
          </cell>
          <cell r="CD56">
            <v>435.51000000000005</v>
          </cell>
          <cell r="CE56">
            <v>421.79999999999995</v>
          </cell>
          <cell r="CF56">
            <v>143.66000000000003</v>
          </cell>
          <cell r="CG56">
            <v>220.10000000000005</v>
          </cell>
          <cell r="CH56">
            <v>238.91000000000003</v>
          </cell>
          <cell r="CI56">
            <v>239.78</v>
          </cell>
          <cell r="CJ56">
            <v>16.82</v>
          </cell>
          <cell r="CK56">
            <v>321.92000000000007</v>
          </cell>
          <cell r="CL56">
            <v>251.73000000000002</v>
          </cell>
          <cell r="CM56">
            <v>491.3</v>
          </cell>
          <cell r="CN56">
            <v>217.40000000000006</v>
          </cell>
          <cell r="CO56">
            <v>0</v>
          </cell>
          <cell r="CP56">
            <v>3466.76</v>
          </cell>
          <cell r="CQ56">
            <v>3466.76</v>
          </cell>
          <cell r="CR56">
            <v>0</v>
          </cell>
          <cell r="CS56">
            <v>544.14</v>
          </cell>
          <cell r="CT56">
            <v>721.23000000000036</v>
          </cell>
          <cell r="CU56">
            <v>423.60999999999996</v>
          </cell>
          <cell r="CV56">
            <v>202.28</v>
          </cell>
          <cell r="CW56">
            <v>350.19</v>
          </cell>
          <cell r="CX56">
            <v>160.48999999999995</v>
          </cell>
          <cell r="CY56">
            <v>331.17</v>
          </cell>
          <cell r="CZ56">
            <v>70.8</v>
          </cell>
          <cell r="DA56">
            <v>347.99999999999994</v>
          </cell>
          <cell r="DB56">
            <v>415.4</v>
          </cell>
          <cell r="DC56">
            <v>517.42000000000007</v>
          </cell>
          <cell r="DD56">
            <v>302.90000000000003</v>
          </cell>
          <cell r="DE56">
            <v>0</v>
          </cell>
          <cell r="DF56">
            <v>4387.63</v>
          </cell>
          <cell r="DG56">
            <v>4387.63</v>
          </cell>
        </row>
        <row r="57">
          <cell r="B57">
            <v>54</v>
          </cell>
          <cell r="C57" t="str">
            <v>Urlaub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6941.0899999999992</v>
          </cell>
          <cell r="U57">
            <v>4377.7499999999991</v>
          </cell>
          <cell r="V57">
            <v>5397.5999999999995</v>
          </cell>
          <cell r="W57">
            <v>9082.65</v>
          </cell>
          <cell r="X57">
            <v>7614.3299999999981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33413.419999999991</v>
          </cell>
          <cell r="AH57">
            <v>33413.419999999991</v>
          </cell>
          <cell r="AI57">
            <v>0</v>
          </cell>
          <cell r="AK57">
            <v>199.01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16716.439999999999</v>
          </cell>
          <cell r="AV57">
            <v>16716.439999999999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33413.419999999991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33413.419999999991</v>
          </cell>
          <cell r="BI57">
            <v>0</v>
          </cell>
          <cell r="BJ57">
            <v>0</v>
          </cell>
          <cell r="BK57">
            <v>0</v>
          </cell>
          <cell r="BL57">
            <v>6593.1900000000014</v>
          </cell>
          <cell r="BM57">
            <v>3949.8699999999994</v>
          </cell>
          <cell r="BN57">
            <v>6767.91</v>
          </cell>
          <cell r="BO57">
            <v>9694.4500000000025</v>
          </cell>
          <cell r="BP57">
            <v>10212.510000000002</v>
          </cell>
          <cell r="BQ57">
            <v>10595.550000000001</v>
          </cell>
          <cell r="BR57">
            <v>16161.369999999997</v>
          </cell>
          <cell r="BS57">
            <v>26553</v>
          </cell>
          <cell r="BT57">
            <v>18858.23</v>
          </cell>
          <cell r="BU57">
            <v>11627.039999999997</v>
          </cell>
          <cell r="BV57">
            <v>10050.799999999999</v>
          </cell>
          <cell r="BW57">
            <v>29068.009999999995</v>
          </cell>
          <cell r="BX57">
            <v>0</v>
          </cell>
          <cell r="BY57">
            <v>160131.93000000002</v>
          </cell>
          <cell r="BZ57">
            <v>160131.93000000002</v>
          </cell>
          <cell r="CA57">
            <v>29068.009999999995</v>
          </cell>
          <cell r="CB57">
            <v>0</v>
          </cell>
          <cell r="CC57">
            <v>7064.5399999999991</v>
          </cell>
          <cell r="CD57">
            <v>4596.2499999999991</v>
          </cell>
          <cell r="CE57">
            <v>6274.670000000001</v>
          </cell>
          <cell r="CF57">
            <v>8220.0300000000025</v>
          </cell>
          <cell r="CG57">
            <v>7003.1100000000006</v>
          </cell>
          <cell r="CH57">
            <v>12067.760000000002</v>
          </cell>
          <cell r="CI57">
            <v>16395.3</v>
          </cell>
          <cell r="CJ57">
            <v>24446.509999999995</v>
          </cell>
          <cell r="CK57">
            <v>16035.070000000002</v>
          </cell>
          <cell r="CL57">
            <v>12593.88</v>
          </cell>
          <cell r="CM57">
            <v>10514.769999999999</v>
          </cell>
          <cell r="CN57">
            <v>26016.450000000004</v>
          </cell>
          <cell r="CO57">
            <v>0</v>
          </cell>
          <cell r="CP57">
            <v>151228.34000000005</v>
          </cell>
          <cell r="CQ57">
            <v>151228.34000000005</v>
          </cell>
          <cell r="CR57">
            <v>0</v>
          </cell>
          <cell r="CS57">
            <v>7057.4399999999987</v>
          </cell>
          <cell r="CT57">
            <v>4405.0899999999992</v>
          </cell>
          <cell r="CU57">
            <v>4782.1800000000012</v>
          </cell>
          <cell r="CV57">
            <v>8538.6699999999983</v>
          </cell>
          <cell r="CW57">
            <v>7760.92</v>
          </cell>
          <cell r="CX57">
            <v>11752.689999999999</v>
          </cell>
          <cell r="CY57">
            <v>15916.900000000001</v>
          </cell>
          <cell r="CZ57">
            <v>25325.11</v>
          </cell>
          <cell r="DA57">
            <v>14530.689999999997</v>
          </cell>
          <cell r="DB57">
            <v>13283.750000000004</v>
          </cell>
          <cell r="DC57">
            <v>9246.58</v>
          </cell>
          <cell r="DD57">
            <v>20300.38</v>
          </cell>
          <cell r="DE57">
            <v>0</v>
          </cell>
          <cell r="DF57">
            <v>142900.40000000002</v>
          </cell>
          <cell r="DG57">
            <v>142900.40000000002</v>
          </cell>
        </row>
        <row r="58">
          <cell r="B58">
            <v>55</v>
          </cell>
          <cell r="C58" t="str">
            <v>Arbeitsstd. Fertigungs-MA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48170.59</v>
          </cell>
          <cell r="U58">
            <v>54522.219999999987</v>
          </cell>
          <cell r="V58">
            <v>66567.64</v>
          </cell>
          <cell r="W58">
            <v>58061.450000000004</v>
          </cell>
          <cell r="X58">
            <v>67942.140000000014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295264.04000000004</v>
          </cell>
          <cell r="AH58">
            <v>295264.04000000004</v>
          </cell>
          <cell r="AI58">
            <v>0</v>
          </cell>
          <cell r="AK58">
            <v>732.34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169260.45000000004</v>
          </cell>
          <cell r="AV58">
            <v>169260.45000000004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295264.04000000004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295264.04000000004</v>
          </cell>
          <cell r="BI58">
            <v>0</v>
          </cell>
          <cell r="BJ58">
            <v>0</v>
          </cell>
          <cell r="BK58">
            <v>0</v>
          </cell>
          <cell r="BL58">
            <v>45917.55999999999</v>
          </cell>
          <cell r="BM58">
            <v>51527.959999999992</v>
          </cell>
          <cell r="BN58">
            <v>70568.660000000018</v>
          </cell>
          <cell r="BO58">
            <v>67567.900000000009</v>
          </cell>
          <cell r="BP58">
            <v>67073</v>
          </cell>
          <cell r="BQ58">
            <v>74344.17</v>
          </cell>
          <cell r="BR58">
            <v>72517.27</v>
          </cell>
          <cell r="BS58">
            <v>61673.2</v>
          </cell>
          <cell r="BT58">
            <v>56391.069999999992</v>
          </cell>
          <cell r="BU58">
            <v>51674.21</v>
          </cell>
          <cell r="BV58">
            <v>56784.919999999991</v>
          </cell>
          <cell r="BW58">
            <v>39958.03</v>
          </cell>
          <cell r="BX58">
            <v>0</v>
          </cell>
          <cell r="BY58">
            <v>715997.95</v>
          </cell>
          <cell r="BZ58">
            <v>715997.95</v>
          </cell>
          <cell r="CA58">
            <v>39958.03</v>
          </cell>
          <cell r="CB58">
            <v>0</v>
          </cell>
          <cell r="CC58">
            <v>52760.12000000001</v>
          </cell>
          <cell r="CD58">
            <v>54928.44</v>
          </cell>
          <cell r="CE58">
            <v>58163.44</v>
          </cell>
          <cell r="CF58">
            <v>51263.320000000022</v>
          </cell>
          <cell r="CG58">
            <v>60510.689999999988</v>
          </cell>
          <cell r="CH58">
            <v>70983.290000000008</v>
          </cell>
          <cell r="CI58">
            <v>78897.579999999973</v>
          </cell>
          <cell r="CJ58">
            <v>65532.440000000017</v>
          </cell>
          <cell r="CK58">
            <v>67285.41</v>
          </cell>
          <cell r="CL58">
            <v>64859.19999999999</v>
          </cell>
          <cell r="CM58">
            <v>58756.34</v>
          </cell>
          <cell r="CN58">
            <v>44492.250000000007</v>
          </cell>
          <cell r="CO58">
            <v>0</v>
          </cell>
          <cell r="CP58">
            <v>728432.52</v>
          </cell>
          <cell r="CQ58">
            <v>728432.52</v>
          </cell>
          <cell r="CR58">
            <v>0</v>
          </cell>
          <cell r="CS58">
            <v>51816.200000000004</v>
          </cell>
          <cell r="CT58">
            <v>48701.420000000006</v>
          </cell>
          <cell r="CU58">
            <v>56967.780000000013</v>
          </cell>
          <cell r="CV58">
            <v>57812.549999999996</v>
          </cell>
          <cell r="CW58">
            <v>64460.339999999989</v>
          </cell>
          <cell r="CX58">
            <v>54908.639999999999</v>
          </cell>
          <cell r="CY58">
            <v>70326.670000000027</v>
          </cell>
          <cell r="CZ58">
            <v>58969.68</v>
          </cell>
          <cell r="DA58">
            <v>57353.310000000019</v>
          </cell>
          <cell r="DB58">
            <v>54795.159999999996</v>
          </cell>
          <cell r="DC58">
            <v>51772.880000000005</v>
          </cell>
          <cell r="DD58">
            <v>34507.4</v>
          </cell>
          <cell r="DE58">
            <v>0</v>
          </cell>
          <cell r="DF58">
            <v>662392.03</v>
          </cell>
          <cell r="DG58">
            <v>662392.03</v>
          </cell>
        </row>
        <row r="59">
          <cell r="B59">
            <v>56</v>
          </cell>
          <cell r="C59" t="str">
            <v>Overheadstunden Büro / Fertigungsnahe MA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27188.570000000003</v>
          </cell>
          <cell r="U59">
            <v>25688.980000000003</v>
          </cell>
          <cell r="V59">
            <v>30025.469999999998</v>
          </cell>
          <cell r="W59">
            <v>24765.210000000003</v>
          </cell>
          <cell r="X59">
            <v>28201.040000000001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135869.27000000002</v>
          </cell>
          <cell r="AH59">
            <v>135869.27000000002</v>
          </cell>
          <cell r="AI59">
            <v>0</v>
          </cell>
          <cell r="AK59">
            <v>4744.3100000000004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82903.02</v>
          </cell>
          <cell r="AV59">
            <v>82903.02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135869.27000000002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135869.27000000002</v>
          </cell>
          <cell r="BI59">
            <v>0</v>
          </cell>
          <cell r="BJ59">
            <v>0</v>
          </cell>
          <cell r="BK59">
            <v>0</v>
          </cell>
          <cell r="BL59">
            <v>24831.099999999995</v>
          </cell>
          <cell r="BM59">
            <v>26111.230000000003</v>
          </cell>
          <cell r="BN59">
            <v>30714.799999999992</v>
          </cell>
          <cell r="BO59">
            <v>29046.010000000002</v>
          </cell>
          <cell r="BP59">
            <v>26849.910000000007</v>
          </cell>
          <cell r="BQ59">
            <v>30533.870000000003</v>
          </cell>
          <cell r="BR59">
            <v>28485.999999999989</v>
          </cell>
          <cell r="BS59">
            <v>24530.140000000007</v>
          </cell>
          <cell r="BT59">
            <v>27849.659999999996</v>
          </cell>
          <cell r="BU59">
            <v>28194.679999999989</v>
          </cell>
          <cell r="BV59">
            <v>27229.440000000002</v>
          </cell>
          <cell r="BW59">
            <v>20602.330000000005</v>
          </cell>
          <cell r="BX59">
            <v>0</v>
          </cell>
          <cell r="BY59">
            <v>324979.17</v>
          </cell>
          <cell r="BZ59">
            <v>324979.17</v>
          </cell>
          <cell r="CA59">
            <v>20602.330000000005</v>
          </cell>
          <cell r="CB59">
            <v>0</v>
          </cell>
          <cell r="CC59">
            <v>24592.670000000002</v>
          </cell>
          <cell r="CD59">
            <v>23482.870000000003</v>
          </cell>
          <cell r="CE59">
            <v>26457.219999999994</v>
          </cell>
          <cell r="CF59">
            <v>21738.05</v>
          </cell>
          <cell r="CG59">
            <v>23470.580000000009</v>
          </cell>
          <cell r="CH59">
            <v>26182.130000000008</v>
          </cell>
          <cell r="CI59">
            <v>27729.069999999985</v>
          </cell>
          <cell r="CJ59">
            <v>23970.18</v>
          </cell>
          <cell r="CK59">
            <v>25622.169999999995</v>
          </cell>
          <cell r="CL59">
            <v>26425.329999999998</v>
          </cell>
          <cell r="CM59">
            <v>27235.280000000002</v>
          </cell>
          <cell r="CN59">
            <v>21176.31</v>
          </cell>
          <cell r="CO59">
            <v>0</v>
          </cell>
          <cell r="CP59">
            <v>298081.85999999993</v>
          </cell>
          <cell r="CQ59">
            <v>298081.85999999993</v>
          </cell>
          <cell r="CR59">
            <v>0</v>
          </cell>
          <cell r="CS59">
            <v>25650.89</v>
          </cell>
          <cell r="CT59">
            <v>24415.460000000003</v>
          </cell>
          <cell r="CU59">
            <v>24825.87</v>
          </cell>
          <cell r="CV59">
            <v>25582.800000000003</v>
          </cell>
          <cell r="CW59">
            <v>24908.739999999998</v>
          </cell>
          <cell r="CX59">
            <v>23153.660000000003</v>
          </cell>
          <cell r="CY59">
            <v>26993.750000000011</v>
          </cell>
          <cell r="CZ59">
            <v>23948.239999999994</v>
          </cell>
          <cell r="DA59">
            <v>24057.49</v>
          </cell>
          <cell r="DB59">
            <v>26407.360000000001</v>
          </cell>
          <cell r="DC59">
            <v>24199.75</v>
          </cell>
          <cell r="DD59">
            <v>18863.940000000002</v>
          </cell>
          <cell r="DE59">
            <v>0</v>
          </cell>
          <cell r="DF59">
            <v>293007.95</v>
          </cell>
          <cell r="DG59">
            <v>293007.95</v>
          </cell>
        </row>
      </sheetData>
      <sheetData sheetId="12">
        <row r="5">
          <cell r="D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5">
          <cell r="D5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D5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T4">
            <v>634460.02</v>
          </cell>
        </row>
      </sheetData>
      <sheetData sheetId="39">
        <row r="4">
          <cell r="T4">
            <v>386313.43</v>
          </cell>
        </row>
      </sheetData>
      <sheetData sheetId="40">
        <row r="4">
          <cell r="T4">
            <v>1337314.6599999999</v>
          </cell>
        </row>
      </sheetData>
      <sheetData sheetId="41">
        <row r="4">
          <cell r="T4">
            <v>1601855.81</v>
          </cell>
        </row>
      </sheetData>
      <sheetData sheetId="42">
        <row r="4">
          <cell r="T4">
            <v>15631.49</v>
          </cell>
        </row>
      </sheetData>
      <sheetData sheetId="43">
        <row r="4">
          <cell r="T4">
            <v>0</v>
          </cell>
        </row>
      </sheetData>
      <sheetData sheetId="44">
        <row r="4">
          <cell r="T4">
            <v>14376.04</v>
          </cell>
        </row>
      </sheetData>
      <sheetData sheetId="45">
        <row r="4">
          <cell r="T4">
            <v>1257057.0900000001</v>
          </cell>
        </row>
      </sheetData>
      <sheetData sheetId="46"/>
      <sheetData sheetId="47">
        <row r="4">
          <cell r="T4">
            <v>3517600.34</v>
          </cell>
        </row>
      </sheetData>
      <sheetData sheetId="48">
        <row r="4">
          <cell r="T4">
            <v>2103636.19</v>
          </cell>
        </row>
      </sheetData>
      <sheetData sheetId="49">
        <row r="4">
          <cell r="T4">
            <v>372657.36</v>
          </cell>
        </row>
      </sheetData>
      <sheetData sheetId="50">
        <row r="4">
          <cell r="T4">
            <v>10023.67</v>
          </cell>
        </row>
      </sheetData>
      <sheetData sheetId="51">
        <row r="4">
          <cell r="T4">
            <v>278023.93</v>
          </cell>
        </row>
      </sheetData>
      <sheetData sheetId="52">
        <row r="4">
          <cell r="T4">
            <v>266546.65999999997</v>
          </cell>
        </row>
      </sheetData>
      <sheetData sheetId="53"/>
      <sheetData sheetId="54"/>
      <sheetData sheetId="55">
        <row r="4">
          <cell r="T4">
            <v>52005.8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lage"/>
      <sheetName val="Archiv"/>
    </sheetNames>
    <sheetDataSet>
      <sheetData sheetId="0"/>
      <sheetData sheetId="1" refreshError="1">
        <row r="1152">
          <cell r="C1152" t="str">
            <v>Zentralisierung der Buchhaltung in Musberg.</v>
          </cell>
        </row>
        <row r="1286">
          <cell r="C1286" t="str">
            <v>Arbeitsplan Abstimmung FB4 mit VL: wer führt mit wem wann das notwendige Gespräch??</v>
          </cell>
        </row>
        <row r="1287">
          <cell r="C1287" t="str">
            <v>Welche Steuerungsdaten können wir am nächsten VLT übergeben??</v>
          </cell>
        </row>
        <row r="1288">
          <cell r="C1288" t="str">
            <v>Wir fixieren wir die Aktivitäten der VL zur Zielvereinbarung und Budgetierung??</v>
          </cell>
        </row>
        <row r="1289">
          <cell r="C1289" t="str">
            <v>Wir können wir MB intensiver in die VLT einbringen??</v>
          </cell>
        </row>
        <row r="1290">
          <cell r="C1290" t="str">
            <v>SANA Steuerung FB</v>
          </cell>
        </row>
        <row r="1291">
          <cell r="C1291" t="str">
            <v>Mit JK Lavernapreise diskutieren</v>
          </cell>
          <cell r="D1291" t="str">
            <v>WH</v>
          </cell>
        </row>
        <row r="1292">
          <cell r="C1292" t="str">
            <v>Dr. Schmitt  Prof. Reiter,  Dr. Meckbach  Dr. Groh  Dr. Fetsch           W. Zeitler  W. Hachtel</v>
          </cell>
        </row>
        <row r="1293">
          <cell r="C1293" t="str">
            <v>Probeweise soll das Stichwortprotokoll geführt werden; im Bedarfsfall wird das Protokoll ergänzt.</v>
          </cell>
        </row>
        <row r="1294">
          <cell r="C1294" t="str">
            <v>Die Unterlagen an die Gesellschafter sind versandfertig und können nach Abstimmung mit dem Beirat versendet werden.</v>
          </cell>
        </row>
        <row r="1295">
          <cell r="C1295" t="str">
            <v>Wir diskutieren die Notwendigkeit einer getrennten GMBH-Sitzung; wir überlassen die Entscheidung darüber den Gesellschaftern selbst. Wir beginnen mit der Sanierung der Töchter und der Sicherung der MHZ</v>
          </cell>
        </row>
        <row r="1296">
          <cell r="C1296" t="str">
            <v>Tagesordung wird entsprechend dieses Beschlusses verabschiedet und versendet.</v>
          </cell>
        </row>
        <row r="1297">
          <cell r="C1297" t="str">
            <v>Prof.Günter Hachtel:  § 17 a : der Gesellschafterkreis vom 21.12.1992 wird als erbberechtigt gewünscht, wir halten diese Lösung für falsch, wer verkauft hat, kann nicht mehr in die Gesellschaft kommen.</v>
          </cell>
        </row>
        <row r="1298">
          <cell r="C1298" t="str">
            <v>§21 a: Dr Meckbach hat keine Bedenken wegen Sittenwidrigkeit dieser Passage; deshalb schlagen wir vor, daß sie bleibt.</v>
          </cell>
        </row>
        <row r="1299">
          <cell r="C1299" t="str">
            <v>§22 Abs. 1: dieser Vorschlag wird aufgenommen.</v>
          </cell>
        </row>
        <row r="1300">
          <cell r="C1300" t="str">
            <v>Herr Zeitler verteilt eine Anlage zu den internen Umsätzen mit den Töchtern. Außenumsatz ist ca 22.000.000.- DM . Wir rechnen mit einem DB von 20% und einem Grenzertrag von nahe 30%.</v>
          </cell>
        </row>
        <row r="1301">
          <cell r="C1301" t="str">
            <v>ATES: Verlust 4,5 Mio mit steigender Tendenz; Umsätze sind nicht erzielt erzielt worden. Der Umsatzzuwachs kommt aus einer Zusammenführung von MHZ F und ATES.</v>
          </cell>
        </row>
        <row r="1302">
          <cell r="C1302" t="str">
            <v>Erste Sanierungswelle mit 9 Personen ( Gesetzlich limitiert ) ist durchgeführt. 4 weitere Personen sind freiwillig gegangen.Nach drei Monaten Sperrfrist können weitere Personen gekündigt werden.</v>
          </cell>
        </row>
        <row r="1303">
          <cell r="C1303" t="str">
            <v>Ertragsplanung</v>
          </cell>
        </row>
        <row r="1304">
          <cell r="C1304" t="str">
            <v>MHZ A: am 7.4 werden sieben Mitarbeiter incl. dem GF entlassen. Danach wird die Immobilie liquidiert, zuletzt Buchhaltung und Fakturierung nach Musberg.</v>
          </cell>
        </row>
        <row r="1305">
          <cell r="C1305" t="str">
            <v xml:space="preserve">Kostensenkungspotentiale
</v>
          </cell>
        </row>
        <row r="1306">
          <cell r="C1306" t="str">
            <v>Umsatzzuwachsprognose</v>
          </cell>
        </row>
        <row r="1307">
          <cell r="C1307" t="str">
            <v>Umsatzentwicklung</v>
          </cell>
        </row>
        <row r="1308">
          <cell r="C1308" t="str">
            <v>Aktionsplan mit Ergebniswirkung wird als Anlage verteilt.</v>
          </cell>
        </row>
        <row r="1309">
          <cell r="C1309" t="str">
            <v>Dr.Schmitt spricht das Thema Fixkosten an: Dr.Fetsch erläutert die Situation der Nebenbetriebe; Niederstetten hat von 265 auf 197 abgebaut, seit Dr.Fe die Verantwortung hat.</v>
          </cell>
        </row>
        <row r="1310">
          <cell r="C1310" t="str">
            <v>Werkzeugbau: 1,1 Mio Umsatz, 400 TDM aktivierte Eigenleistungen, und Reparaturen aller Werkzeuge bei 1,1 Mio Personalkosten.</v>
          </cell>
        </row>
        <row r="1311">
          <cell r="C1311" t="str">
            <v>Maschinenbau: Einstellungsstop seit 2 Jahren, incl. Musberg 6 Altersabgänge.</v>
          </cell>
        </row>
        <row r="1312">
          <cell r="C1312" t="str">
            <v>Artline: die positiven Aspekte werden allgemein anerkannt. Wir werden diesen Gedanken nach der Sanierung der Töchter wieder aufgreifen.</v>
          </cell>
        </row>
        <row r="1313">
          <cell r="C1313" t="str">
            <v xml:space="preserve">Wertberichtigungsbedarf ATES:    5.000.000.-, </v>
          </cell>
        </row>
        <row r="1314">
          <cell r="C1314" t="str">
            <v>Wertberichtigungsbedarf MHZ A:   2.000.000.-</v>
          </cell>
        </row>
        <row r="1315">
          <cell r="C1315" t="str">
            <v>Aktionsplan ATES: wir schneiden die Kosten in Abhängigkeit der Umsatzentwicklung: Ziel: break even schnellstmöglich.</v>
          </cell>
        </row>
        <row r="1316">
          <cell r="C1316" t="str">
            <v>Aktionsplan MHZ A: Darstellung fr die Gesellschaft wie im Beirat aufbereitet.</v>
          </cell>
        </row>
        <row r="1317">
          <cell r="C1317" t="str">
            <v>Datenblatt Jahresergebnis wird für die Gesellschafter neu erstellt.</v>
          </cell>
          <cell r="D1317" t="str">
            <v>WZ</v>
          </cell>
        </row>
        <row r="1318">
          <cell r="C1318" t="str">
            <v>Gesellschaftsvertrag: keine weiterer Diskussionsbedarf; die Gesellschafter müssen über die Unterzeichnung entscheiden.</v>
          </cell>
        </row>
        <row r="1319">
          <cell r="C1319" t="str">
            <v xml:space="preserve">Der Abschluß der Gesellschaft wird Mitte April erwartet; </v>
          </cell>
        </row>
        <row r="1320">
          <cell r="C1320" t="str">
            <v>HHZ  MB  YB  TG  WH</v>
          </cell>
        </row>
        <row r="1321">
          <cell r="C1321" t="str">
            <v>Terminabstimmung MB WH TG</v>
          </cell>
          <cell r="D1321" t="str">
            <v>MB</v>
          </cell>
          <cell r="E1321" t="str">
            <v>X</v>
          </cell>
        </row>
        <row r="1322">
          <cell r="C1322" t="str">
            <v>Abstimmung der Tagungszyklen  von Regionalteams und VLT im VLT; Zeitbudgets transparent machen.</v>
          </cell>
        </row>
        <row r="1323">
          <cell r="C1323" t="str">
            <v>Die Daten für die Budgetierung stehen zentral zur Verfügung.</v>
          </cell>
        </row>
        <row r="1324">
          <cell r="C1324" t="str">
            <v>Sana zielorientiertes Führen des Aussendienstes: Notwendigkeit WH;  Daten HHZ, Umsetzung MB</v>
          </cell>
        </row>
        <row r="1325">
          <cell r="C1325" t="str">
            <v>Organisation des Datenrückflusses für die Budgetdaten, die von den VLs kommen.</v>
          </cell>
          <cell r="D1325" t="str">
            <v>HHz</v>
          </cell>
          <cell r="E1325" t="str">
            <v>x</v>
          </cell>
        </row>
        <row r="1326">
          <cell r="C1326" t="str">
            <v>Ziel: das System ist das VL-System. SANA: Defizite des heutigen Systems, Fixierung der Maßnahmen.</v>
          </cell>
          <cell r="D1326" t="str">
            <v>TG MB  WH</v>
          </cell>
        </row>
        <row r="1327">
          <cell r="C1327" t="str">
            <v>Workshop Katalog Dekotechnik</v>
          </cell>
          <cell r="D1327" t="str">
            <v>YB</v>
          </cell>
          <cell r="E1327" t="str">
            <v>X</v>
          </cell>
        </row>
        <row r="1328">
          <cell r="C1328" t="str">
            <v>Sana1 Visulaisierung/Datenbank</v>
          </cell>
          <cell r="D1328" t="str">
            <v>YB</v>
          </cell>
          <cell r="E1328" t="str">
            <v>X</v>
          </cell>
        </row>
        <row r="1329">
          <cell r="C1329" t="str">
            <v>Kalkulationsteam: pro Verkaufsgebiet einen Kalkulator, Lukas, Dohmen, Wahl, Gerstäcker, Sänger, Sareyko, Steck; Hori Vertikal und Alu; Kommunikation: Termine abstimmen.</v>
          </cell>
          <cell r="D1329" t="str">
            <v>HHz</v>
          </cell>
          <cell r="E1329" t="str">
            <v>X</v>
          </cell>
        </row>
        <row r="1330">
          <cell r="C1330" t="str">
            <v>Offensive Konditionen Horizontal bei VL einsteuern.</v>
          </cell>
          <cell r="D1330" t="str">
            <v>HHz</v>
          </cell>
          <cell r="E1330" t="str">
            <v>X</v>
          </cell>
        </row>
        <row r="1331">
          <cell r="C1331" t="str">
            <v>ADIS</v>
          </cell>
          <cell r="D1331" t="str">
            <v>HHz</v>
          </cell>
          <cell r="E1331" t="str">
            <v>X</v>
          </cell>
        </row>
        <row r="1332">
          <cell r="C1332" t="str">
            <v>DB-Darstellung der letzten 4 Monate: Rating erstellen: Routine Quartal</v>
          </cell>
          <cell r="D1332" t="str">
            <v xml:space="preserve">WH </v>
          </cell>
          <cell r="F1332" t="str">
            <v xml:space="preserve"> ==&gt; MB</v>
          </cell>
        </row>
        <row r="1333">
          <cell r="C1333" t="str">
            <v>Spesenregelung wird MB mit WZ  und VLT abstimmen.</v>
          </cell>
          <cell r="D1333" t="str">
            <v>MB</v>
          </cell>
          <cell r="E1333" t="str">
            <v>X</v>
          </cell>
        </row>
        <row r="1334">
          <cell r="C1334" t="str">
            <v>Fuhrparkregelung mit VL abstimmen: Sonderfall: Sanierung bei extremer Unterdeckung im Topf.</v>
          </cell>
          <cell r="D1334" t="str">
            <v>MB</v>
          </cell>
          <cell r="E1334" t="str">
            <v>X</v>
          </cell>
        </row>
        <row r="1335">
          <cell r="C1335" t="str">
            <v>Sana Führungsdienstleister</v>
          </cell>
          <cell r="D1335" t="str">
            <v>MB</v>
          </cell>
          <cell r="E1335" t="str">
            <v>X</v>
          </cell>
        </row>
        <row r="1336">
          <cell r="C1336" t="str">
            <v>Kämmers: wir laden ihn ohne Kinstler: Terminänderung über WS</v>
          </cell>
          <cell r="D1336" t="str">
            <v>WH</v>
          </cell>
        </row>
        <row r="1337">
          <cell r="C1337" t="str">
            <v>Bott Schreier: Sana Schreier mit EH</v>
          </cell>
          <cell r="D1337" t="str">
            <v>TG</v>
          </cell>
          <cell r="E1337" t="str">
            <v>X</v>
          </cell>
        </row>
        <row r="1338">
          <cell r="C1338" t="str">
            <v>Vertriebsgruppenleiter:  Funktionsbeschreibung und vertragliche Neugestaltung; Eigenverantwortung bei Führung durch VL</v>
          </cell>
          <cell r="D1338" t="str">
            <v xml:space="preserve">TG MB  </v>
          </cell>
          <cell r="E1338" t="str">
            <v>X</v>
          </cell>
        </row>
        <row r="1339">
          <cell r="C1339" t="str">
            <v>Vergütung Stefan Paulus: 5700+700;</v>
          </cell>
        </row>
        <row r="1340">
          <cell r="C1340" t="str">
            <v>Lagaly übernimmt Gebiet von Dommermuth und Meissner; Dommermuth übernimmt Müller</v>
          </cell>
        </row>
        <row r="1341">
          <cell r="C1341" t="str">
            <v>Verträge werden nicht an die VL herausgegeben; Grund: es ist nicht Usus, daß Führungskräfte die Verträge haben; Einsehen bei Bedarf keine Frage</v>
          </cell>
        </row>
        <row r="1342">
          <cell r="C1342" t="str">
            <v>Hans Porsch: wir müssen die regionale Planung präzise machen, dann können wir ihn integrieren. Zusatznutzen Hansa</v>
          </cell>
        </row>
        <row r="1343">
          <cell r="C1343" t="str">
            <v>Kein Ausbau der dezentralen Erfassungskapazitäten in den Büros; wir stärken lieber die Geschäftsstellen. Grenzen verschieben.</v>
          </cell>
        </row>
        <row r="1344">
          <cell r="C1344" t="str">
            <v>Es gibt keine anderen Fahrzeuge für Gruppenleiter; wir bezahlen höhere Gehälter.</v>
          </cell>
        </row>
        <row r="1345">
          <cell r="C1345" t="str">
            <v>Doris Riegger möchte mit F&amp;A abgestimmt zusammenarbeiten bei neuen Leuten. Ich habe auf die Problematik hingewiesen</v>
          </cell>
          <cell r="D1345" t="str">
            <v>TG</v>
          </cell>
        </row>
        <row r="1347">
          <cell r="C1347" t="str">
            <v>Sicherungsschraube am offenen Zwischenträger mit senkrechter Linsenkopfschraube M4</v>
          </cell>
        </row>
        <row r="1348">
          <cell r="C1348" t="str">
            <v>WZ DR.FE WH</v>
          </cell>
        </row>
        <row r="1349">
          <cell r="C1349" t="str">
            <v>Elmar Lutz möchte sofort ausbezahlt haben; Regelung: zukünftig Steigerungsprämie wie andere Kollegen?</v>
          </cell>
        </row>
        <row r="1352">
          <cell r="C1352" t="str">
            <v>Cosiflor Lizenzgebühr: wir dürfen keine Kundenlisten aus der Hand geben.</v>
          </cell>
        </row>
        <row r="1354">
          <cell r="C1354" t="str">
            <v>Abstimmung der Zusammenarbeit GF Technik Vertrieb durch eine SANA?</v>
          </cell>
          <cell r="D1354" t="str">
            <v>WH</v>
          </cell>
        </row>
        <row r="1355">
          <cell r="C1355" t="str">
            <v>Sana Preisniveauanpassung mit Hfi durchsprechen und ergänzen.</v>
          </cell>
          <cell r="D1355" t="str">
            <v>WH</v>
          </cell>
        </row>
        <row r="1356">
          <cell r="C1356" t="str">
            <v>Kempten mit VF abstimmen</v>
          </cell>
          <cell r="D1356" t="str">
            <v>WH</v>
          </cell>
        </row>
        <row r="1357">
          <cell r="C1357" t="str">
            <v>Wie bauen wir die AM der VL weiter aus?</v>
          </cell>
          <cell r="D1357" t="str">
            <v>WH</v>
          </cell>
        </row>
        <row r="1358">
          <cell r="C1358" t="str">
            <v>LMS nachfassen</v>
          </cell>
          <cell r="D1358" t="str">
            <v>WH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ndesliga"/>
      <sheetName val="Vertriebsstruktur"/>
      <sheetName val="AS"/>
      <sheetName val="Teams"/>
      <sheetName val="Kollektionszyklen"/>
      <sheetName val="Orga"/>
      <sheetName val="ATES_CM_SST"/>
      <sheetName val="Strategie ATES"/>
      <sheetName val="Kommunikation"/>
      <sheetName val="Organigramm"/>
      <sheetName val="FBE"/>
      <sheetName val="Mrktsgmnt"/>
      <sheetName val="PR"/>
      <sheetName val="Info_Knsmntn"/>
    </sheetNames>
    <sheetDataSet>
      <sheetData sheetId="0"/>
      <sheetData sheetId="1"/>
      <sheetData sheetId="2"/>
      <sheetData sheetId="3"/>
      <sheetData sheetId="4"/>
      <sheetData sheetId="5">
        <row r="41">
          <cell r="V41" t="str">
            <v>BLT</v>
          </cell>
          <cell r="W41" t="str">
            <v>Abensberg</v>
          </cell>
          <cell r="X41" t="str">
            <v>Halle</v>
          </cell>
          <cell r="Y41" t="str">
            <v>Hannover</v>
          </cell>
          <cell r="Z41" t="str">
            <v>Musberg</v>
          </cell>
          <cell r="AA41" t="str">
            <v>Neu Isenburg</v>
          </cell>
          <cell r="AB41" t="str">
            <v>Neuss</v>
          </cell>
          <cell r="AC41" t="str">
            <v>Niederstetten</v>
          </cell>
          <cell r="AD41" t="str">
            <v>Riegel</v>
          </cell>
          <cell r="AE41" t="str">
            <v>Stetten</v>
          </cell>
        </row>
        <row r="42">
          <cell r="U42" t="str">
            <v>Führung</v>
          </cell>
          <cell r="V42">
            <v>2510</v>
          </cell>
          <cell r="W42" t="str">
            <v>Heinz Schulz</v>
          </cell>
          <cell r="X42" t="str">
            <v>Thekla Müller</v>
          </cell>
          <cell r="Y42" t="str">
            <v>Henning Rieger</v>
          </cell>
          <cell r="Z42" t="str">
            <v>Pius Sauter</v>
          </cell>
          <cell r="AA42" t="str">
            <v>Ralf Spamer</v>
          </cell>
          <cell r="AB42" t="str">
            <v>Thomas Baersch</v>
          </cell>
          <cell r="AC42" t="str">
            <v>Albrecht Decker</v>
          </cell>
          <cell r="AD42" t="str">
            <v>Adolf Kübler</v>
          </cell>
          <cell r="AE42" t="str">
            <v>Helmut Kurz</v>
          </cell>
        </row>
        <row r="43">
          <cell r="U43" t="str">
            <v>Telephonbetreuung</v>
          </cell>
          <cell r="W43">
            <v>220</v>
          </cell>
          <cell r="X43">
            <v>50</v>
          </cell>
          <cell r="Y43">
            <v>0</v>
          </cell>
          <cell r="Z43">
            <v>0</v>
          </cell>
          <cell r="AA43">
            <v>0</v>
          </cell>
          <cell r="AB43">
            <v>70</v>
          </cell>
          <cell r="AC43">
            <v>0</v>
          </cell>
          <cell r="AD43">
            <v>0</v>
          </cell>
          <cell r="AE43">
            <v>100</v>
          </cell>
          <cell r="AF43">
            <v>440</v>
          </cell>
        </row>
        <row r="44">
          <cell r="U44" t="str">
            <v>Mawi/Dispo/Orga</v>
          </cell>
          <cell r="W44">
            <v>50</v>
          </cell>
          <cell r="X44">
            <v>50</v>
          </cell>
          <cell r="Y44">
            <v>0</v>
          </cell>
          <cell r="Z44">
            <v>50</v>
          </cell>
          <cell r="AA44">
            <v>0</v>
          </cell>
          <cell r="AB44">
            <v>50</v>
          </cell>
          <cell r="AC44">
            <v>50</v>
          </cell>
          <cell r="AD44">
            <v>100</v>
          </cell>
          <cell r="AE44">
            <v>50</v>
          </cell>
          <cell r="AF44">
            <v>400</v>
          </cell>
        </row>
        <row r="45">
          <cell r="U45" t="str">
            <v>Konfektion</v>
          </cell>
          <cell r="W45">
            <v>180</v>
          </cell>
          <cell r="X45">
            <v>0</v>
          </cell>
          <cell r="Y45">
            <v>0</v>
          </cell>
          <cell r="Z45">
            <v>420</v>
          </cell>
          <cell r="AA45">
            <v>50</v>
          </cell>
          <cell r="AB45">
            <v>100</v>
          </cell>
          <cell r="AC45">
            <v>50</v>
          </cell>
          <cell r="AD45">
            <v>300</v>
          </cell>
          <cell r="AE45">
            <v>50</v>
          </cell>
          <cell r="AF45">
            <v>1150</v>
          </cell>
        </row>
        <row r="46">
          <cell r="U46" t="str">
            <v>Auslieferung</v>
          </cell>
          <cell r="W46">
            <v>0</v>
          </cell>
          <cell r="X46">
            <v>60</v>
          </cell>
          <cell r="Y46">
            <v>60</v>
          </cell>
          <cell r="Z46">
            <v>150</v>
          </cell>
          <cell r="AA46">
            <v>0</v>
          </cell>
          <cell r="AB46">
            <v>50</v>
          </cell>
          <cell r="AC46">
            <v>150</v>
          </cell>
          <cell r="AD46">
            <v>50</v>
          </cell>
          <cell r="AE46">
            <v>0</v>
          </cell>
          <cell r="AF46">
            <v>520</v>
          </cell>
        </row>
        <row r="48">
          <cell r="U48" t="str">
            <v>Team-Leiter</v>
          </cell>
          <cell r="V48" t="str">
            <v>VLT</v>
          </cell>
          <cell r="W48" t="str">
            <v>VT Nord</v>
          </cell>
          <cell r="X48" t="str">
            <v>VT West</v>
          </cell>
          <cell r="Y48" t="str">
            <v>VT Mitte</v>
          </cell>
          <cell r="Z48" t="str">
            <v>VT Südwest</v>
          </cell>
          <cell r="AA48" t="str">
            <v>VT Südmitte</v>
          </cell>
          <cell r="AB48" t="str">
            <v>VT Südost</v>
          </cell>
          <cell r="AC48" t="str">
            <v>VT Nordost</v>
          </cell>
          <cell r="AD48" t="str">
            <v>VT Ost1</v>
          </cell>
          <cell r="AE48" t="str">
            <v>VT Ost 2</v>
          </cell>
        </row>
        <row r="49">
          <cell r="U49" t="str">
            <v>Führung</v>
          </cell>
          <cell r="W49" t="str">
            <v>Manfred Marheine</v>
          </cell>
          <cell r="X49" t="str">
            <v>Hannjörg Kinstler</v>
          </cell>
          <cell r="Y49" t="str">
            <v>Norbert Dommer.</v>
          </cell>
          <cell r="Z49" t="str">
            <v>Peter Unger</v>
          </cell>
          <cell r="AA49" t="str">
            <v>Eberhard Hachtel</v>
          </cell>
          <cell r="AB49" t="str">
            <v>Veit Funk</v>
          </cell>
          <cell r="AC49" t="str">
            <v>Erwin Schmitt</v>
          </cell>
          <cell r="AD49" t="str">
            <v>Heiner Frohn</v>
          </cell>
          <cell r="AE49" t="str">
            <v>Lars Puschm.</v>
          </cell>
        </row>
        <row r="50">
          <cell r="U50" t="str">
            <v>Daten &amp; Angebote</v>
          </cell>
          <cell r="V50" t="str">
            <v>Heiner Frohn</v>
          </cell>
        </row>
        <row r="51">
          <cell r="U51" t="str">
            <v>Einarbeitung neue FB</v>
          </cell>
          <cell r="V51" t="str">
            <v>Lars Puschm.</v>
          </cell>
        </row>
        <row r="52">
          <cell r="U52" t="str">
            <v>Konditionen</v>
          </cell>
          <cell r="V52" t="str">
            <v>Peter Unger</v>
          </cell>
        </row>
        <row r="53">
          <cell r="U53" t="str">
            <v>Produkte</v>
          </cell>
          <cell r="V53" t="str">
            <v>Eberhard Hachtel</v>
          </cell>
        </row>
        <row r="54">
          <cell r="U54" t="str">
            <v>Kommuni kation</v>
          </cell>
          <cell r="V54" t="str">
            <v>Hannjörg Kinstler</v>
          </cell>
        </row>
        <row r="55">
          <cell r="U55" t="str">
            <v>Steuerung</v>
          </cell>
          <cell r="V55" t="str">
            <v>Veit Funk</v>
          </cell>
        </row>
        <row r="56">
          <cell r="U56" t="str">
            <v>Marktanalyse</v>
          </cell>
          <cell r="V56" t="str">
            <v>Erwin Schmitt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stellvorlage_neu"/>
      <sheetName val="Angebot"/>
      <sheetName val="Werkstattauftrag"/>
      <sheetName val="Stückliste_W33"/>
      <sheetName val="Stückliste_gesamt"/>
      <sheetName val="Materialentnahmeschein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  <sheetName val="Kundenübersicht"/>
      <sheetName val="Analyse_Stücklistenlogik"/>
    </sheetNames>
    <sheetDataSet>
      <sheetData sheetId="0">
        <row r="4">
          <cell r="D4">
            <v>360</v>
          </cell>
          <cell r="N4">
            <v>0.5</v>
          </cell>
        </row>
        <row r="31">
          <cell r="K31">
            <v>1</v>
          </cell>
        </row>
        <row r="32">
          <cell r="K32">
            <v>4</v>
          </cell>
        </row>
        <row r="33">
          <cell r="K33">
            <v>1</v>
          </cell>
        </row>
        <row r="34">
          <cell r="K34">
            <v>4</v>
          </cell>
        </row>
      </sheetData>
      <sheetData sheetId="1">
        <row r="7">
          <cell r="H7" t="e">
            <v>#N/A</v>
          </cell>
        </row>
        <row r="10">
          <cell r="A10" t="str">
            <v>MHZ DE</v>
          </cell>
        </row>
        <row r="14">
          <cell r="H14" t="str">
            <v>701-0318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>
            <v>9</v>
          </cell>
        </row>
        <row r="3">
          <cell r="D3">
            <v>0.56000000000000005</v>
          </cell>
        </row>
        <row r="5">
          <cell r="D5">
            <v>3.4</v>
          </cell>
        </row>
        <row r="6">
          <cell r="D6">
            <v>0.34</v>
          </cell>
        </row>
        <row r="7">
          <cell r="D7">
            <v>0.14000000000000001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B626B6-6F6D-4D66-BFFF-BC533B058400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9704-F34C-420F-A44D-049AFC8044A5}">
  <dimension ref="A1:H66"/>
  <sheetViews>
    <sheetView tabSelected="1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22.85546875" customWidth="1"/>
    <col min="2" max="2" width="38.140625" customWidth="1"/>
    <col min="3" max="3" width="19" customWidth="1"/>
    <col min="4" max="4" width="47.5703125" customWidth="1"/>
    <col min="5" max="6" width="15.28515625" customWidth="1"/>
    <col min="7" max="7" width="47.5703125" customWidth="1"/>
    <col min="8" max="8" width="9.5703125" customWidth="1"/>
  </cols>
  <sheetData>
    <row r="1" spans="1:8" ht="18" x14ac:dyDescent="0.25">
      <c r="A1" s="167" t="s">
        <v>497</v>
      </c>
      <c r="B1" s="63"/>
      <c r="C1" s="63"/>
      <c r="D1" s="63"/>
      <c r="E1" s="63"/>
      <c r="F1" s="63"/>
      <c r="G1" s="63"/>
      <c r="H1" s="63"/>
    </row>
    <row r="2" spans="1:8" x14ac:dyDescent="0.25">
      <c r="A2" s="168" t="s">
        <v>498</v>
      </c>
    </row>
    <row r="4" spans="1:8" ht="15.75" x14ac:dyDescent="0.25">
      <c r="A4" s="169" t="s">
        <v>499</v>
      </c>
      <c r="B4" s="169"/>
      <c r="C4" s="169"/>
      <c r="D4" s="169"/>
      <c r="E4" s="169"/>
      <c r="F4" s="169"/>
      <c r="G4" s="169"/>
      <c r="H4" s="169"/>
    </row>
    <row r="5" spans="1:8" x14ac:dyDescent="0.25">
      <c r="A5" s="74" t="s">
        <v>500</v>
      </c>
      <c r="B5" s="74" t="s">
        <v>501</v>
      </c>
      <c r="C5" s="74"/>
      <c r="D5" s="74"/>
      <c r="E5" s="74"/>
      <c r="F5" s="74"/>
      <c r="G5" s="74"/>
      <c r="H5" s="74"/>
    </row>
    <row r="6" spans="1:8" x14ac:dyDescent="0.25">
      <c r="A6" s="74" t="s">
        <v>500</v>
      </c>
      <c r="B6" s="74" t="s">
        <v>502</v>
      </c>
      <c r="C6" s="74"/>
      <c r="D6" s="74"/>
      <c r="E6" s="74"/>
      <c r="F6" s="74"/>
      <c r="G6" s="74"/>
      <c r="H6" s="74"/>
    </row>
    <row r="7" spans="1:8" x14ac:dyDescent="0.25">
      <c r="A7" s="74" t="s">
        <v>500</v>
      </c>
      <c r="B7" s="74" t="s">
        <v>503</v>
      </c>
      <c r="C7" s="74"/>
      <c r="D7" s="74"/>
      <c r="E7" s="74"/>
      <c r="F7" s="74"/>
      <c r="G7" s="74"/>
      <c r="H7" s="74"/>
    </row>
    <row r="8" spans="1:8" x14ac:dyDescent="0.25">
      <c r="A8" s="74" t="s">
        <v>500</v>
      </c>
      <c r="B8" s="74" t="s">
        <v>504</v>
      </c>
      <c r="C8" s="74"/>
      <c r="D8" s="74"/>
      <c r="E8" s="74"/>
      <c r="F8" s="74"/>
      <c r="G8" s="74"/>
      <c r="H8" s="74"/>
    </row>
    <row r="9" spans="1:8" x14ac:dyDescent="0.25">
      <c r="A9" s="74" t="s">
        <v>500</v>
      </c>
      <c r="B9" s="74" t="s">
        <v>505</v>
      </c>
      <c r="C9" s="74"/>
      <c r="D9" s="74"/>
      <c r="E9" s="74"/>
      <c r="F9" s="74"/>
      <c r="G9" s="74"/>
      <c r="H9" s="74"/>
    </row>
    <row r="11" spans="1:8" ht="15.75" x14ac:dyDescent="0.25">
      <c r="A11" s="169" t="s">
        <v>506</v>
      </c>
      <c r="B11" s="169"/>
      <c r="C11" s="169"/>
      <c r="D11" s="169"/>
      <c r="E11" s="169"/>
      <c r="F11" s="169"/>
      <c r="G11" s="169"/>
      <c r="H11" s="169"/>
    </row>
    <row r="13" spans="1:8" x14ac:dyDescent="0.25">
      <c r="A13" s="72" t="s">
        <v>507</v>
      </c>
    </row>
    <row r="14" spans="1:8" x14ac:dyDescent="0.25">
      <c r="A14" s="68" t="s">
        <v>508</v>
      </c>
      <c r="B14" s="68" t="s">
        <v>509</v>
      </c>
      <c r="C14" s="68" t="s">
        <v>510</v>
      </c>
      <c r="D14" s="68" t="s">
        <v>511</v>
      </c>
      <c r="E14" s="68" t="s">
        <v>512</v>
      </c>
    </row>
    <row r="15" spans="1:8" x14ac:dyDescent="0.25">
      <c r="A15" s="170" t="s">
        <v>513</v>
      </c>
      <c r="B15" s="171">
        <f>Preisvergleich!F51</f>
        <v>674.73</v>
      </c>
      <c r="C15" s="171">
        <f>Preisvergleich!G51</f>
        <v>680.60531250000008</v>
      </c>
      <c r="D15" s="171">
        <f>Preisvergleich!H51</f>
        <v>-5.8753125000000246</v>
      </c>
      <c r="E15" s="172">
        <f>Preisvergleich!I51</f>
        <v>-4.4009788321519592E-3</v>
      </c>
    </row>
    <row r="17" spans="1:8" x14ac:dyDescent="0.25">
      <c r="A17" s="72" t="s">
        <v>514</v>
      </c>
    </row>
    <row r="18" spans="1:8" x14ac:dyDescent="0.25">
      <c r="A18" s="68" t="s">
        <v>79</v>
      </c>
      <c r="B18" s="68" t="s">
        <v>515</v>
      </c>
      <c r="C18" s="68" t="s">
        <v>482</v>
      </c>
      <c r="D18" s="68" t="s">
        <v>468</v>
      </c>
      <c r="E18" s="68" t="s">
        <v>464</v>
      </c>
      <c r="F18" s="68" t="s">
        <v>465</v>
      </c>
      <c r="G18" s="68" t="s">
        <v>516</v>
      </c>
    </row>
    <row r="19" spans="1:8" x14ac:dyDescent="0.25">
      <c r="A19" s="149" t="s">
        <v>11</v>
      </c>
      <c r="B19" s="173" t="str">
        <f>Preisvergleich!B47</f>
        <v>(12 Paare)</v>
      </c>
      <c r="C19" s="174">
        <f>Preisvergleich!F47</f>
        <v>494.24666666666667</v>
      </c>
      <c r="D19" s="174">
        <f>Preisvergleich!G47</f>
        <v>481.25833333333338</v>
      </c>
      <c r="E19" s="174">
        <f>Preisvergleich!H47</f>
        <v>12.988333333333316</v>
      </c>
      <c r="F19" s="175">
        <f>Preisvergleich!I47</f>
        <v>2.5768333104351313E-2</v>
      </c>
      <c r="G19" s="176" t="s">
        <v>517</v>
      </c>
    </row>
    <row r="20" spans="1:8" x14ac:dyDescent="0.25">
      <c r="A20" s="177" t="s">
        <v>12</v>
      </c>
      <c r="B20" s="178" t="str">
        <f>Preisvergleich!B48</f>
        <v>(9 Paare)</v>
      </c>
      <c r="C20" s="179">
        <f>Preisvergleich!F48</f>
        <v>697.47222222222217</v>
      </c>
      <c r="D20" s="179">
        <f>Preisvergleich!G48</f>
        <v>713.08000000000015</v>
      </c>
      <c r="E20" s="179">
        <f>Preisvergleich!H48</f>
        <v>-15.607777777777805</v>
      </c>
      <c r="F20" s="180">
        <f>Preisvergleich!I48</f>
        <v>-2.3260988879461861E-2</v>
      </c>
      <c r="G20" s="181" t="s">
        <v>518</v>
      </c>
    </row>
    <row r="21" spans="1:8" x14ac:dyDescent="0.25">
      <c r="A21" s="182" t="s">
        <v>14</v>
      </c>
      <c r="B21" s="183" t="str">
        <f>Preisvergleich!B49</f>
        <v>(11 Paare)</v>
      </c>
      <c r="C21" s="184">
        <f>Preisvergleich!F49</f>
        <v>853.01363636363646</v>
      </c>
      <c r="D21" s="184">
        <f>Preisvergleich!G49</f>
        <v>871.50454545454534</v>
      </c>
      <c r="E21" s="184">
        <f>Preisvergleich!H49</f>
        <v>-18.49090909090912</v>
      </c>
      <c r="F21" s="185">
        <f>Preisvergleich!I49</f>
        <v>-2.1882038178720156E-2</v>
      </c>
      <c r="G21" s="186" t="s">
        <v>519</v>
      </c>
    </row>
    <row r="23" spans="1:8" x14ac:dyDescent="0.25">
      <c r="A23" s="72" t="s">
        <v>520</v>
      </c>
    </row>
    <row r="24" spans="1:8" x14ac:dyDescent="0.25">
      <c r="A24" s="74" t="s">
        <v>500</v>
      </c>
      <c r="B24" s="74" t="s">
        <v>521</v>
      </c>
      <c r="C24" s="74"/>
      <c r="D24" s="74"/>
      <c r="E24" s="74"/>
      <c r="F24" s="74"/>
      <c r="G24" s="74"/>
      <c r="H24" s="74"/>
    </row>
    <row r="25" spans="1:8" x14ac:dyDescent="0.25">
      <c r="A25" s="74" t="s">
        <v>500</v>
      </c>
      <c r="B25" s="74" t="s">
        <v>522</v>
      </c>
      <c r="C25" s="74"/>
      <c r="D25" s="74"/>
      <c r="E25" s="74"/>
      <c r="F25" s="74"/>
      <c r="G25" s="74"/>
      <c r="H25" s="74"/>
    </row>
    <row r="26" spans="1:8" x14ac:dyDescent="0.25">
      <c r="A26" s="74" t="s">
        <v>500</v>
      </c>
      <c r="B26" s="74" t="s">
        <v>523</v>
      </c>
      <c r="C26" s="74"/>
      <c r="D26" s="74"/>
      <c r="E26" s="74"/>
      <c r="F26" s="74"/>
      <c r="G26" s="74"/>
      <c r="H26" s="74"/>
    </row>
    <row r="27" spans="1:8" x14ac:dyDescent="0.25">
      <c r="A27" s="74" t="s">
        <v>500</v>
      </c>
      <c r="B27" s="74" t="s">
        <v>524</v>
      </c>
      <c r="C27" s="74"/>
      <c r="D27" s="74"/>
      <c r="E27" s="74"/>
      <c r="F27" s="74"/>
      <c r="G27" s="74"/>
      <c r="H27" s="74"/>
    </row>
    <row r="28" spans="1:8" x14ac:dyDescent="0.25">
      <c r="A28" s="74" t="s">
        <v>500</v>
      </c>
      <c r="B28" s="74" t="s">
        <v>525</v>
      </c>
      <c r="C28" s="74"/>
      <c r="D28" s="74"/>
      <c r="E28" s="74"/>
      <c r="F28" s="74"/>
      <c r="G28" s="74"/>
      <c r="H28" s="74"/>
    </row>
    <row r="30" spans="1:8" ht="15.75" x14ac:dyDescent="0.25">
      <c r="A30" s="169" t="s">
        <v>526</v>
      </c>
      <c r="B30" s="169"/>
      <c r="C30" s="169"/>
      <c r="D30" s="169"/>
      <c r="E30" s="169"/>
      <c r="F30" s="169"/>
      <c r="G30" s="169"/>
      <c r="H30" s="169"/>
    </row>
    <row r="32" spans="1:8" x14ac:dyDescent="0.25">
      <c r="A32" s="68" t="s">
        <v>527</v>
      </c>
      <c r="B32" s="68" t="s">
        <v>472</v>
      </c>
      <c r="C32" s="68" t="s">
        <v>528</v>
      </c>
      <c r="D32" s="68" t="s">
        <v>529</v>
      </c>
    </row>
    <row r="33" spans="1:8" x14ac:dyDescent="0.25">
      <c r="A33" s="187" t="s">
        <v>530</v>
      </c>
      <c r="B33" s="188">
        <v>0.75</v>
      </c>
      <c r="C33" s="189">
        <f>1-B33</f>
        <v>0.25</v>
      </c>
      <c r="D33" s="190" t="s">
        <v>531</v>
      </c>
    </row>
    <row r="34" spans="1:8" x14ac:dyDescent="0.25">
      <c r="A34" s="115"/>
      <c r="B34" s="191" t="s">
        <v>532</v>
      </c>
      <c r="C34" s="115"/>
      <c r="D34" s="115"/>
    </row>
    <row r="35" spans="1:8" x14ac:dyDescent="0.25">
      <c r="A35" s="192" t="s">
        <v>533</v>
      </c>
      <c r="B35" s="193">
        <v>0.8</v>
      </c>
      <c r="C35" s="194">
        <f>1-B35</f>
        <v>0.19999999999999996</v>
      </c>
      <c r="D35" s="195" t="s">
        <v>534</v>
      </c>
    </row>
    <row r="36" spans="1:8" x14ac:dyDescent="0.25">
      <c r="A36" s="116"/>
      <c r="B36" s="196" t="s">
        <v>535</v>
      </c>
      <c r="C36" s="116"/>
      <c r="D36" s="116"/>
    </row>
    <row r="37" spans="1:8" x14ac:dyDescent="0.25">
      <c r="A37" s="187" t="s">
        <v>536</v>
      </c>
      <c r="B37" s="188">
        <v>0.88</v>
      </c>
      <c r="C37" s="189">
        <f>1-B37</f>
        <v>0.12</v>
      </c>
      <c r="D37" s="190" t="s">
        <v>537</v>
      </c>
    </row>
    <row r="38" spans="1:8" x14ac:dyDescent="0.25">
      <c r="A38" s="115"/>
      <c r="B38" s="191" t="s">
        <v>538</v>
      </c>
      <c r="C38" s="115"/>
      <c r="D38" s="115"/>
    </row>
    <row r="39" spans="1:8" x14ac:dyDescent="0.25">
      <c r="A39" s="192" t="s">
        <v>539</v>
      </c>
      <c r="B39" s="193">
        <v>0.9</v>
      </c>
      <c r="C39" s="194">
        <f>1-B39</f>
        <v>9.9999999999999978E-2</v>
      </c>
      <c r="D39" s="195" t="s">
        <v>540</v>
      </c>
    </row>
    <row r="40" spans="1:8" x14ac:dyDescent="0.25">
      <c r="A40" s="116"/>
      <c r="B40" s="196" t="s">
        <v>541</v>
      </c>
      <c r="C40" s="116"/>
      <c r="D40" s="116"/>
    </row>
    <row r="42" spans="1:8" ht="15.75" x14ac:dyDescent="0.25">
      <c r="A42" s="169" t="s">
        <v>542</v>
      </c>
      <c r="B42" s="169"/>
      <c r="C42" s="169"/>
      <c r="D42" s="169"/>
      <c r="E42" s="169"/>
      <c r="F42" s="169"/>
      <c r="G42" s="169"/>
      <c r="H42" s="169"/>
    </row>
    <row r="44" spans="1:8" x14ac:dyDescent="0.25">
      <c r="A44" s="74" t="s">
        <v>543</v>
      </c>
      <c r="B44" s="72" t="s">
        <v>544</v>
      </c>
      <c r="C44" s="73"/>
      <c r="D44" s="73"/>
      <c r="E44" s="73"/>
      <c r="F44" s="73"/>
      <c r="G44" s="73"/>
      <c r="H44" s="73"/>
    </row>
    <row r="45" spans="1:8" ht="217.5" x14ac:dyDescent="0.25">
      <c r="B45" s="197" t="s">
        <v>545</v>
      </c>
      <c r="C45" s="66"/>
      <c r="D45" s="66"/>
      <c r="E45" s="66"/>
      <c r="F45" s="66"/>
      <c r="G45" s="66"/>
      <c r="H45" s="66"/>
    </row>
    <row r="47" spans="1:8" x14ac:dyDescent="0.25">
      <c r="A47" s="74" t="s">
        <v>546</v>
      </c>
      <c r="B47" s="72" t="s">
        <v>547</v>
      </c>
      <c r="C47" s="73"/>
      <c r="D47" s="73"/>
      <c r="E47" s="73"/>
      <c r="F47" s="73"/>
      <c r="G47" s="73"/>
      <c r="H47" s="73"/>
    </row>
    <row r="48" spans="1:8" ht="268.5" x14ac:dyDescent="0.25">
      <c r="B48" s="197" t="s">
        <v>548</v>
      </c>
      <c r="C48" s="66"/>
      <c r="D48" s="66"/>
      <c r="E48" s="66"/>
      <c r="F48" s="66"/>
      <c r="G48" s="66"/>
      <c r="H48" s="66"/>
    </row>
    <row r="50" spans="1:8" x14ac:dyDescent="0.25">
      <c r="A50" s="74" t="s">
        <v>549</v>
      </c>
      <c r="B50" s="72" t="s">
        <v>550</v>
      </c>
      <c r="C50" s="73"/>
      <c r="D50" s="73"/>
      <c r="E50" s="73"/>
      <c r="F50" s="73"/>
      <c r="G50" s="73"/>
      <c r="H50" s="73"/>
    </row>
    <row r="51" spans="1:8" ht="192" x14ac:dyDescent="0.25">
      <c r="B51" s="197" t="s">
        <v>551</v>
      </c>
      <c r="C51" s="66"/>
      <c r="D51" s="66"/>
      <c r="E51" s="66"/>
      <c r="F51" s="66"/>
      <c r="G51" s="66"/>
      <c r="H51" s="66"/>
    </row>
    <row r="53" spans="1:8" x14ac:dyDescent="0.25">
      <c r="A53" s="74" t="s">
        <v>546</v>
      </c>
      <c r="B53" s="72" t="s">
        <v>552</v>
      </c>
      <c r="C53" s="73"/>
      <c r="D53" s="73"/>
      <c r="E53" s="73"/>
      <c r="F53" s="73"/>
      <c r="G53" s="73"/>
      <c r="H53" s="73"/>
    </row>
    <row r="54" spans="1:8" ht="230.25" x14ac:dyDescent="0.25">
      <c r="B54" s="197" t="s">
        <v>553</v>
      </c>
      <c r="C54" s="66"/>
      <c r="D54" s="66"/>
      <c r="E54" s="66"/>
      <c r="F54" s="66"/>
      <c r="G54" s="66"/>
      <c r="H54" s="66"/>
    </row>
    <row r="56" spans="1:8" x14ac:dyDescent="0.25">
      <c r="A56" s="74" t="s">
        <v>554</v>
      </c>
      <c r="B56" s="72" t="s">
        <v>555</v>
      </c>
      <c r="C56" s="73"/>
      <c r="D56" s="73"/>
      <c r="E56" s="73"/>
      <c r="F56" s="73"/>
      <c r="G56" s="73"/>
      <c r="H56" s="73"/>
    </row>
    <row r="57" spans="1:8" ht="179.25" x14ac:dyDescent="0.25">
      <c r="B57" s="197" t="s">
        <v>556</v>
      </c>
      <c r="C57" s="66"/>
      <c r="D57" s="66"/>
      <c r="E57" s="66"/>
      <c r="F57" s="66"/>
      <c r="G57" s="66"/>
      <c r="H57" s="66"/>
    </row>
    <row r="59" spans="1:8" ht="15.75" x14ac:dyDescent="0.25">
      <c r="A59" s="169" t="s">
        <v>557</v>
      </c>
      <c r="B59" s="169"/>
      <c r="C59" s="169"/>
      <c r="D59" s="169"/>
      <c r="E59" s="169"/>
      <c r="F59" s="169"/>
      <c r="G59" s="169"/>
      <c r="H59" s="169"/>
    </row>
    <row r="61" spans="1:8" x14ac:dyDescent="0.25">
      <c r="A61" s="67" t="s">
        <v>558</v>
      </c>
      <c r="B61" s="67" t="s">
        <v>559</v>
      </c>
    </row>
    <row r="62" spans="1:8" x14ac:dyDescent="0.25">
      <c r="A62" s="198" t="s">
        <v>560</v>
      </c>
      <c r="B62" s="199" t="s">
        <v>561</v>
      </c>
    </row>
    <row r="63" spans="1:8" x14ac:dyDescent="0.25">
      <c r="A63" s="200" t="s">
        <v>562</v>
      </c>
      <c r="B63" s="201" t="s">
        <v>563</v>
      </c>
    </row>
    <row r="64" spans="1:8" x14ac:dyDescent="0.25">
      <c r="A64" s="204" t="s">
        <v>564</v>
      </c>
      <c r="B64" s="205" t="s">
        <v>565</v>
      </c>
    </row>
    <row r="65" spans="1:2" x14ac:dyDescent="0.25">
      <c r="A65" s="200" t="s">
        <v>566</v>
      </c>
      <c r="B65" s="201" t="s">
        <v>567</v>
      </c>
    </row>
    <row r="66" spans="1:2" x14ac:dyDescent="0.25">
      <c r="A66" s="202" t="s">
        <v>568</v>
      </c>
      <c r="B66" s="203" t="s">
        <v>569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zoomScaleNormal="100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H27" sqref="H27"/>
    </sheetView>
  </sheetViews>
  <sheetFormatPr baseColWidth="10" defaultColWidth="8.7109375" defaultRowHeight="15" x14ac:dyDescent="0.25"/>
  <cols>
    <col min="1" max="1" width="13" customWidth="1"/>
    <col min="2" max="2" width="9" customWidth="1"/>
    <col min="3" max="3" width="10" customWidth="1"/>
    <col min="4" max="9" width="13" customWidth="1"/>
  </cols>
  <sheetData>
    <row r="1" spans="1:9" ht="21.7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ht="19.5" customHeigh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9" ht="30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16.5" customHeight="1" x14ac:dyDescent="0.25">
      <c r="A5" s="7" t="s">
        <v>11</v>
      </c>
      <c r="B5" s="8">
        <v>350</v>
      </c>
      <c r="C5" s="9">
        <v>250</v>
      </c>
      <c r="D5" s="162">
        <v>407.82</v>
      </c>
      <c r="E5" s="10">
        <v>398.62</v>
      </c>
      <c r="F5" s="10">
        <v>411.69</v>
      </c>
      <c r="G5" s="10">
        <v>429.13</v>
      </c>
      <c r="H5" s="10">
        <v>436.97</v>
      </c>
      <c r="I5" s="162">
        <v>460.11</v>
      </c>
    </row>
    <row r="6" spans="1:9" ht="16.5" customHeight="1" x14ac:dyDescent="0.25">
      <c r="A6" s="11"/>
      <c r="B6" s="8"/>
      <c r="C6" s="9">
        <v>350</v>
      </c>
      <c r="D6" s="12">
        <v>401.89</v>
      </c>
      <c r="E6" s="12">
        <v>414.96</v>
      </c>
      <c r="F6" s="12">
        <v>428.04</v>
      </c>
      <c r="G6" s="12">
        <v>445.47</v>
      </c>
      <c r="H6" s="12">
        <v>453.32</v>
      </c>
      <c r="I6" s="12">
        <v>471.62</v>
      </c>
    </row>
    <row r="7" spans="1:9" ht="16.5" customHeight="1" x14ac:dyDescent="0.25">
      <c r="A7" s="11"/>
      <c r="B7" s="8"/>
      <c r="C7" s="9">
        <v>395</v>
      </c>
      <c r="D7" s="10">
        <v>409.25</v>
      </c>
      <c r="E7" s="13">
        <v>422.32</v>
      </c>
      <c r="F7" s="10">
        <v>435.39</v>
      </c>
      <c r="G7" s="10">
        <v>452.83</v>
      </c>
      <c r="H7" s="10">
        <v>460.67</v>
      </c>
      <c r="I7" s="10">
        <v>478.98</v>
      </c>
    </row>
    <row r="8" spans="1:9" ht="16.5" customHeight="1" x14ac:dyDescent="0.25">
      <c r="A8" s="11"/>
      <c r="B8" s="8"/>
      <c r="C8" s="9">
        <v>500</v>
      </c>
      <c r="D8" s="12">
        <v>426.41</v>
      </c>
      <c r="E8" s="12">
        <v>439.48</v>
      </c>
      <c r="F8" s="12">
        <v>452.56</v>
      </c>
      <c r="G8" s="12">
        <v>469.99</v>
      </c>
      <c r="H8" s="12">
        <v>477.84</v>
      </c>
      <c r="I8" s="12">
        <v>496.14</v>
      </c>
    </row>
    <row r="9" spans="1:9" ht="16.5" customHeight="1" x14ac:dyDescent="0.25">
      <c r="A9" s="11"/>
      <c r="B9" s="8"/>
      <c r="C9" s="9">
        <v>750</v>
      </c>
      <c r="D9" s="162">
        <v>476.81</v>
      </c>
      <c r="E9" s="10">
        <v>480.35</v>
      </c>
      <c r="F9" s="10">
        <v>493.43</v>
      </c>
      <c r="G9" s="13">
        <v>510.86</v>
      </c>
      <c r="H9" s="10">
        <v>518.70000000000005</v>
      </c>
      <c r="I9" s="13">
        <v>537.01</v>
      </c>
    </row>
    <row r="10" spans="1:9" ht="4.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6.5" customHeight="1" x14ac:dyDescent="0.25">
      <c r="A11" s="15" t="s">
        <v>12</v>
      </c>
      <c r="B11" s="16">
        <v>350</v>
      </c>
      <c r="C11" s="17">
        <v>250</v>
      </c>
      <c r="D11" s="10"/>
      <c r="E11" s="10"/>
      <c r="F11" s="10"/>
      <c r="G11" s="10"/>
      <c r="H11" s="10"/>
      <c r="I11" s="10"/>
    </row>
    <row r="12" spans="1:9" ht="16.5" customHeight="1" x14ac:dyDescent="0.25">
      <c r="A12" s="18"/>
      <c r="B12" s="16"/>
      <c r="C12" s="17">
        <v>350</v>
      </c>
      <c r="D12" s="12"/>
      <c r="E12" s="12"/>
      <c r="F12" s="12"/>
      <c r="G12" s="163">
        <v>643.04999999999995</v>
      </c>
      <c r="H12" s="12"/>
      <c r="I12" s="12"/>
    </row>
    <row r="13" spans="1:9" ht="16.5" customHeight="1" x14ac:dyDescent="0.25">
      <c r="A13" s="18"/>
      <c r="B13" s="16"/>
      <c r="C13" s="17">
        <v>395</v>
      </c>
      <c r="D13" s="10"/>
      <c r="E13" s="10"/>
      <c r="F13" s="10"/>
      <c r="G13" s="10">
        <v>673.36</v>
      </c>
      <c r="H13" s="10">
        <v>681.2</v>
      </c>
      <c r="I13" s="10"/>
    </row>
    <row r="14" spans="1:9" ht="16.5" customHeight="1" x14ac:dyDescent="0.25">
      <c r="A14" s="18"/>
      <c r="B14" s="16"/>
      <c r="C14" s="17">
        <v>500</v>
      </c>
      <c r="D14" s="12"/>
      <c r="E14" s="12"/>
      <c r="F14" s="12"/>
      <c r="G14" s="12">
        <v>690.52</v>
      </c>
      <c r="H14" s="12">
        <v>698.37</v>
      </c>
      <c r="I14" s="12"/>
    </row>
    <row r="15" spans="1:9" ht="16.5" customHeight="1" x14ac:dyDescent="0.25">
      <c r="A15" s="18"/>
      <c r="B15" s="16"/>
      <c r="C15" s="17">
        <v>750</v>
      </c>
      <c r="D15" s="10"/>
      <c r="E15" s="10"/>
      <c r="F15" s="10"/>
      <c r="G15" s="13">
        <v>731.39</v>
      </c>
      <c r="H15" s="162">
        <v>742.7</v>
      </c>
      <c r="I15" s="10"/>
    </row>
    <row r="16" spans="1:9" ht="4.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6.5" customHeight="1" x14ac:dyDescent="0.25">
      <c r="A17" s="19" t="s">
        <v>13</v>
      </c>
      <c r="B17" s="20">
        <v>350</v>
      </c>
      <c r="C17" s="21">
        <v>250</v>
      </c>
      <c r="D17" s="10"/>
      <c r="E17" s="10"/>
      <c r="F17" s="162">
        <v>628.94000000000005</v>
      </c>
      <c r="G17" s="10"/>
      <c r="H17" s="10"/>
      <c r="I17" s="10"/>
    </row>
    <row r="18" spans="1:9" ht="16.5" customHeight="1" x14ac:dyDescent="0.25">
      <c r="A18" s="22"/>
      <c r="B18" s="20"/>
      <c r="C18" s="21">
        <v>350</v>
      </c>
      <c r="D18" s="12"/>
      <c r="E18" s="12"/>
      <c r="F18" s="12">
        <v>675.26</v>
      </c>
      <c r="G18" s="12">
        <v>692.69</v>
      </c>
      <c r="H18" s="12">
        <v>700.54</v>
      </c>
      <c r="I18" s="12">
        <v>718.84</v>
      </c>
    </row>
    <row r="19" spans="1:9" ht="16.5" customHeight="1" x14ac:dyDescent="0.25">
      <c r="A19" s="22"/>
      <c r="B19" s="20"/>
      <c r="C19" s="21">
        <v>395</v>
      </c>
      <c r="D19" s="10"/>
      <c r="E19" s="10"/>
      <c r="F19" s="10">
        <v>682.62</v>
      </c>
      <c r="G19" s="10">
        <v>700.05</v>
      </c>
      <c r="H19" s="10">
        <v>707.89</v>
      </c>
      <c r="I19" s="10">
        <v>726.2</v>
      </c>
    </row>
    <row r="20" spans="1:9" ht="16.5" customHeight="1" x14ac:dyDescent="0.25">
      <c r="A20" s="22"/>
      <c r="B20" s="20"/>
      <c r="C20" s="21">
        <v>500</v>
      </c>
      <c r="D20" s="12"/>
      <c r="E20" s="12"/>
      <c r="F20" s="12">
        <v>699.78</v>
      </c>
      <c r="G20" s="12">
        <v>717.21</v>
      </c>
      <c r="H20" s="12">
        <v>725.06</v>
      </c>
      <c r="I20" s="12">
        <v>743.36</v>
      </c>
    </row>
    <row r="21" spans="1:9" ht="16.5" customHeight="1" x14ac:dyDescent="0.25">
      <c r="A21" s="22"/>
      <c r="B21" s="20"/>
      <c r="C21" s="21">
        <v>750</v>
      </c>
      <c r="D21" s="10"/>
      <c r="E21" s="10"/>
      <c r="F21" s="10">
        <v>740.65</v>
      </c>
      <c r="G21" s="13">
        <v>758.08</v>
      </c>
      <c r="H21" s="10">
        <v>765.92</v>
      </c>
      <c r="I21" s="162">
        <v>830.8</v>
      </c>
    </row>
    <row r="22" spans="1:9" ht="4.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6.5" customHeight="1" x14ac:dyDescent="0.25">
      <c r="A23" s="23" t="s">
        <v>14</v>
      </c>
      <c r="B23" s="24">
        <v>350</v>
      </c>
      <c r="C23" s="25">
        <v>250</v>
      </c>
      <c r="D23" s="10"/>
      <c r="E23" s="10"/>
      <c r="F23" s="10">
        <v>799.66</v>
      </c>
      <c r="G23" s="10">
        <v>817.1</v>
      </c>
      <c r="H23" s="10">
        <v>824.94</v>
      </c>
      <c r="I23" s="10"/>
    </row>
    <row r="24" spans="1:9" ht="16.5" customHeight="1" x14ac:dyDescent="0.25">
      <c r="A24" s="26"/>
      <c r="B24" s="24"/>
      <c r="C24" s="25">
        <v>350</v>
      </c>
      <c r="D24" s="12"/>
      <c r="E24" s="12"/>
      <c r="F24" s="12">
        <v>816.01</v>
      </c>
      <c r="G24" s="12">
        <v>833.44</v>
      </c>
      <c r="H24" s="12">
        <v>841.29</v>
      </c>
      <c r="I24" s="12"/>
    </row>
    <row r="25" spans="1:9" ht="16.5" customHeight="1" x14ac:dyDescent="0.25">
      <c r="A25" s="26"/>
      <c r="B25" s="24"/>
      <c r="C25" s="25">
        <v>395</v>
      </c>
      <c r="D25" s="10"/>
      <c r="E25" s="10"/>
      <c r="F25" s="10">
        <v>823.37</v>
      </c>
      <c r="G25" s="10">
        <v>840.8</v>
      </c>
      <c r="H25" s="10">
        <v>848.64</v>
      </c>
      <c r="I25" s="162">
        <v>823.93</v>
      </c>
    </row>
    <row r="26" spans="1:9" ht="16.5" customHeight="1" x14ac:dyDescent="0.25">
      <c r="A26" s="26"/>
      <c r="B26" s="24"/>
      <c r="C26" s="25">
        <v>500</v>
      </c>
      <c r="D26" s="12"/>
      <c r="E26" s="163">
        <v>787.6</v>
      </c>
      <c r="F26" s="12">
        <v>840.53</v>
      </c>
      <c r="G26" s="12">
        <v>857.96</v>
      </c>
      <c r="H26" s="12">
        <v>865.81</v>
      </c>
      <c r="I26" s="12"/>
    </row>
    <row r="27" spans="1:9" ht="16.5" customHeight="1" x14ac:dyDescent="0.25">
      <c r="A27" s="26"/>
      <c r="B27" s="24"/>
      <c r="C27" s="25">
        <v>750</v>
      </c>
      <c r="D27" s="10"/>
      <c r="E27" s="162">
        <v>874.27</v>
      </c>
      <c r="F27" s="10">
        <v>881.4</v>
      </c>
      <c r="G27" s="13">
        <v>898.83</v>
      </c>
      <c r="H27" s="162">
        <v>910.15</v>
      </c>
      <c r="I27" s="10"/>
    </row>
    <row r="28" spans="1:9" ht="4.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</row>
    <row r="30" spans="1:9" ht="19.5" customHeight="1" x14ac:dyDescent="0.25">
      <c r="A30" s="4" t="s">
        <v>15</v>
      </c>
      <c r="B30" s="4"/>
      <c r="C30" s="4"/>
      <c r="D30" s="4"/>
      <c r="E30" s="4"/>
      <c r="F30" s="4"/>
      <c r="G30" s="4"/>
      <c r="H30" s="4"/>
      <c r="I30" s="4"/>
    </row>
    <row r="31" spans="1:9" ht="30" customHeight="1" x14ac:dyDescent="0.25">
      <c r="A31" s="6" t="s">
        <v>2</v>
      </c>
      <c r="B31" s="6" t="s">
        <v>3</v>
      </c>
      <c r="C31" s="6" t="s">
        <v>4</v>
      </c>
      <c r="D31" s="6" t="s">
        <v>5</v>
      </c>
      <c r="E31" s="6" t="s">
        <v>6</v>
      </c>
      <c r="F31" s="6" t="s">
        <v>7</v>
      </c>
      <c r="G31" s="6" t="s">
        <v>8</v>
      </c>
      <c r="H31" s="6" t="s">
        <v>9</v>
      </c>
      <c r="I31" s="6" t="s">
        <v>10</v>
      </c>
    </row>
    <row r="32" spans="1:9" ht="16.5" customHeight="1" x14ac:dyDescent="0.25">
      <c r="A32" s="7" t="s">
        <v>11</v>
      </c>
      <c r="B32" s="8">
        <v>500</v>
      </c>
      <c r="C32" s="9">
        <v>250</v>
      </c>
      <c r="D32" s="10">
        <v>422.78</v>
      </c>
      <c r="E32" s="10">
        <v>435.86</v>
      </c>
      <c r="F32" s="10">
        <v>448.93</v>
      </c>
      <c r="G32" s="10">
        <v>466.37</v>
      </c>
      <c r="H32" s="10">
        <v>474.21</v>
      </c>
      <c r="I32" s="10">
        <v>492.52</v>
      </c>
    </row>
    <row r="33" spans="1:9" ht="16.5" customHeight="1" x14ac:dyDescent="0.25">
      <c r="A33" s="11"/>
      <c r="B33" s="8"/>
      <c r="C33" s="9">
        <v>350</v>
      </c>
      <c r="D33" s="12">
        <v>439.13</v>
      </c>
      <c r="E33" s="12">
        <v>452.2</v>
      </c>
      <c r="F33" s="12">
        <v>465.28</v>
      </c>
      <c r="G33" s="12">
        <v>482.71</v>
      </c>
      <c r="H33" s="12">
        <v>490.56</v>
      </c>
      <c r="I33" s="12">
        <v>508.86</v>
      </c>
    </row>
    <row r="34" spans="1:9" ht="16.5" customHeight="1" x14ac:dyDescent="0.25">
      <c r="A34" s="11"/>
      <c r="B34" s="8"/>
      <c r="C34" s="9">
        <v>395</v>
      </c>
      <c r="D34" s="10">
        <v>446.49</v>
      </c>
      <c r="E34" s="10">
        <v>459.56</v>
      </c>
      <c r="F34" s="10">
        <v>472.63</v>
      </c>
      <c r="G34" s="10">
        <v>490.07</v>
      </c>
      <c r="H34" s="10">
        <v>497.91</v>
      </c>
      <c r="I34" s="10">
        <v>516.22</v>
      </c>
    </row>
    <row r="35" spans="1:9" ht="16.5" customHeight="1" x14ac:dyDescent="0.25">
      <c r="A35" s="11"/>
      <c r="B35" s="8"/>
      <c r="C35" s="9">
        <v>500</v>
      </c>
      <c r="D35" s="12">
        <v>463.65</v>
      </c>
      <c r="E35" s="12">
        <v>476.72</v>
      </c>
      <c r="F35" s="12">
        <v>489.8</v>
      </c>
      <c r="G35" s="12">
        <v>507.23</v>
      </c>
      <c r="H35" s="12">
        <v>515.08000000000004</v>
      </c>
      <c r="I35" s="12">
        <v>533.38</v>
      </c>
    </row>
    <row r="36" spans="1:9" ht="16.5" customHeight="1" x14ac:dyDescent="0.25">
      <c r="A36" s="11"/>
      <c r="B36" s="8"/>
      <c r="C36" s="9">
        <v>750</v>
      </c>
      <c r="D36" s="10">
        <v>504.52</v>
      </c>
      <c r="E36" s="10">
        <v>517.59</v>
      </c>
      <c r="F36" s="10">
        <v>530.66999999999996</v>
      </c>
      <c r="G36" s="13">
        <v>548.1</v>
      </c>
      <c r="H36" s="10">
        <v>555.94000000000005</v>
      </c>
      <c r="I36" s="10">
        <v>574.25</v>
      </c>
    </row>
    <row r="37" spans="1:9" ht="4.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6.5" customHeight="1" x14ac:dyDescent="0.25">
      <c r="A38" s="15" t="s">
        <v>12</v>
      </c>
      <c r="B38" s="16">
        <v>500</v>
      </c>
      <c r="C38" s="17">
        <v>250</v>
      </c>
      <c r="D38" s="10">
        <v>643.30999999999995</v>
      </c>
      <c r="E38" s="10">
        <v>656.39</v>
      </c>
      <c r="F38" s="10">
        <v>669.46</v>
      </c>
      <c r="G38" s="10">
        <v>686.9</v>
      </c>
      <c r="H38" s="10">
        <v>694.74</v>
      </c>
      <c r="I38" s="10">
        <v>713.05</v>
      </c>
    </row>
    <row r="39" spans="1:9" ht="16.5" customHeight="1" x14ac:dyDescent="0.25">
      <c r="A39" s="18"/>
      <c r="B39" s="16"/>
      <c r="C39" s="17">
        <v>350</v>
      </c>
      <c r="D39" s="12">
        <v>659.66</v>
      </c>
      <c r="E39" s="12">
        <v>672.73</v>
      </c>
      <c r="F39" s="12">
        <v>685.81</v>
      </c>
      <c r="G39" s="12">
        <v>703.24</v>
      </c>
      <c r="H39" s="12">
        <v>711.09</v>
      </c>
      <c r="I39" s="12">
        <v>729.39</v>
      </c>
    </row>
    <row r="40" spans="1:9" ht="16.5" customHeight="1" x14ac:dyDescent="0.25">
      <c r="A40" s="18"/>
      <c r="B40" s="16"/>
      <c r="C40" s="17">
        <v>395</v>
      </c>
      <c r="D40" s="10">
        <v>667.01</v>
      </c>
      <c r="E40" s="10">
        <v>680.09</v>
      </c>
      <c r="F40" s="10">
        <v>693.16</v>
      </c>
      <c r="G40" s="10">
        <v>710.6</v>
      </c>
      <c r="H40" s="10">
        <v>718.44</v>
      </c>
      <c r="I40" s="10">
        <v>736.75</v>
      </c>
    </row>
    <row r="41" spans="1:9" ht="16.5" customHeight="1" x14ac:dyDescent="0.25">
      <c r="A41" s="18"/>
      <c r="B41" s="16"/>
      <c r="C41" s="17">
        <v>500</v>
      </c>
      <c r="D41" s="12">
        <v>684.18</v>
      </c>
      <c r="E41" s="12">
        <v>697.25</v>
      </c>
      <c r="F41" s="12">
        <v>710.33</v>
      </c>
      <c r="G41" s="12">
        <v>727.76</v>
      </c>
      <c r="H41" s="12">
        <v>735.61</v>
      </c>
      <c r="I41" s="12">
        <v>753.91</v>
      </c>
    </row>
    <row r="42" spans="1:9" ht="16.5" customHeight="1" x14ac:dyDescent="0.25">
      <c r="A42" s="18"/>
      <c r="B42" s="16"/>
      <c r="C42" s="17">
        <v>750</v>
      </c>
      <c r="D42" s="10">
        <v>725.05</v>
      </c>
      <c r="E42" s="10">
        <v>738.12</v>
      </c>
      <c r="F42" s="10">
        <v>751.2</v>
      </c>
      <c r="G42" s="10">
        <v>768.63</v>
      </c>
      <c r="H42" s="10">
        <v>776.47</v>
      </c>
      <c r="I42" s="10">
        <v>794.78</v>
      </c>
    </row>
    <row r="43" spans="1:9" ht="4.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6.5" customHeight="1" x14ac:dyDescent="0.25">
      <c r="A44" s="19" t="s">
        <v>13</v>
      </c>
      <c r="B44" s="20">
        <v>500</v>
      </c>
      <c r="C44" s="21">
        <v>250</v>
      </c>
      <c r="D44" s="10">
        <v>670</v>
      </c>
      <c r="E44" s="10">
        <v>683.08</v>
      </c>
      <c r="F44" s="10">
        <v>696.15</v>
      </c>
      <c r="G44" s="10">
        <v>713.59</v>
      </c>
      <c r="H44" s="10">
        <v>721.43</v>
      </c>
      <c r="I44" s="10">
        <v>739.74</v>
      </c>
    </row>
    <row r="45" spans="1:9" ht="16.5" customHeight="1" x14ac:dyDescent="0.25">
      <c r="A45" s="22"/>
      <c r="B45" s="20"/>
      <c r="C45" s="21">
        <v>350</v>
      </c>
      <c r="D45" s="12">
        <v>686.35</v>
      </c>
      <c r="E45" s="12">
        <v>699.42</v>
      </c>
      <c r="F45" s="12">
        <v>712.5</v>
      </c>
      <c r="G45" s="12">
        <v>729.93</v>
      </c>
      <c r="H45" s="12">
        <v>737.78</v>
      </c>
      <c r="I45" s="12">
        <v>756.08</v>
      </c>
    </row>
    <row r="46" spans="1:9" ht="16.5" customHeight="1" x14ac:dyDescent="0.25">
      <c r="A46" s="22"/>
      <c r="B46" s="20"/>
      <c r="C46" s="21">
        <v>395</v>
      </c>
      <c r="D46" s="10">
        <v>693.71</v>
      </c>
      <c r="E46" s="10">
        <v>706.78</v>
      </c>
      <c r="F46" s="10">
        <v>719.86</v>
      </c>
      <c r="G46" s="10">
        <v>737.29</v>
      </c>
      <c r="H46" s="10">
        <v>745.13</v>
      </c>
      <c r="I46" s="10">
        <v>763.44</v>
      </c>
    </row>
    <row r="47" spans="1:9" ht="16.5" customHeight="1" x14ac:dyDescent="0.25">
      <c r="A47" s="22"/>
      <c r="B47" s="20"/>
      <c r="C47" s="21">
        <v>500</v>
      </c>
      <c r="D47" s="12">
        <v>710.87</v>
      </c>
      <c r="E47" s="12">
        <v>723.94</v>
      </c>
      <c r="F47" s="12">
        <v>737.02</v>
      </c>
      <c r="G47" s="12">
        <v>754.45</v>
      </c>
      <c r="H47" s="12">
        <v>762.3</v>
      </c>
      <c r="I47" s="12">
        <v>780.6</v>
      </c>
    </row>
    <row r="48" spans="1:9" ht="16.5" customHeight="1" x14ac:dyDescent="0.25">
      <c r="A48" s="22"/>
      <c r="B48" s="20"/>
      <c r="C48" s="21">
        <v>750</v>
      </c>
      <c r="D48" s="10">
        <v>751.74</v>
      </c>
      <c r="E48" s="10">
        <v>764.81</v>
      </c>
      <c r="F48" s="10">
        <v>777.89</v>
      </c>
      <c r="G48" s="10">
        <v>795.32</v>
      </c>
      <c r="H48" s="10">
        <v>803.16</v>
      </c>
      <c r="I48" s="10">
        <v>821.47</v>
      </c>
    </row>
    <row r="49" spans="1:9" ht="4.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6.5" customHeight="1" x14ac:dyDescent="0.25">
      <c r="A50" s="23" t="s">
        <v>14</v>
      </c>
      <c r="B50" s="24">
        <v>500</v>
      </c>
      <c r="C50" s="25">
        <v>250</v>
      </c>
      <c r="D50" s="10">
        <v>810.75</v>
      </c>
      <c r="E50" s="10">
        <v>823.83</v>
      </c>
      <c r="F50" s="10">
        <v>836.9</v>
      </c>
      <c r="G50" s="10">
        <v>854.34</v>
      </c>
      <c r="H50" s="10">
        <v>862.18</v>
      </c>
      <c r="I50" s="10">
        <v>880.49</v>
      </c>
    </row>
    <row r="51" spans="1:9" ht="16.5" customHeight="1" x14ac:dyDescent="0.25">
      <c r="A51" s="26"/>
      <c r="B51" s="24"/>
      <c r="C51" s="25">
        <v>350</v>
      </c>
      <c r="D51" s="12">
        <v>827.1</v>
      </c>
      <c r="E51" s="12">
        <v>840.17</v>
      </c>
      <c r="F51" s="12">
        <v>853.25</v>
      </c>
      <c r="G51" s="12">
        <v>870.68</v>
      </c>
      <c r="H51" s="12">
        <v>878.53</v>
      </c>
      <c r="I51" s="12">
        <v>896.83</v>
      </c>
    </row>
    <row r="52" spans="1:9" ht="16.5" customHeight="1" x14ac:dyDescent="0.25">
      <c r="A52" s="26"/>
      <c r="B52" s="24"/>
      <c r="C52" s="25">
        <v>395</v>
      </c>
      <c r="D52" s="10">
        <v>834.46</v>
      </c>
      <c r="E52" s="10">
        <v>847.53</v>
      </c>
      <c r="F52" s="10">
        <v>860.61</v>
      </c>
      <c r="G52" s="10">
        <v>878.04</v>
      </c>
      <c r="H52" s="10">
        <v>885.88</v>
      </c>
      <c r="I52" s="10">
        <v>904.19</v>
      </c>
    </row>
    <row r="53" spans="1:9" ht="16.5" customHeight="1" x14ac:dyDescent="0.25">
      <c r="A53" s="26"/>
      <c r="B53" s="24"/>
      <c r="C53" s="25">
        <v>500</v>
      </c>
      <c r="D53" s="12">
        <v>851.62</v>
      </c>
      <c r="E53" s="12">
        <v>864.69</v>
      </c>
      <c r="F53" s="12">
        <v>877.77</v>
      </c>
      <c r="G53" s="12">
        <v>895.2</v>
      </c>
      <c r="H53" s="12">
        <v>903.05</v>
      </c>
      <c r="I53" s="12">
        <v>921.35</v>
      </c>
    </row>
    <row r="54" spans="1:9" ht="16.5" customHeight="1" x14ac:dyDescent="0.25">
      <c r="A54" s="26"/>
      <c r="B54" s="24"/>
      <c r="C54" s="25">
        <v>750</v>
      </c>
      <c r="D54" s="10">
        <v>892.49</v>
      </c>
      <c r="E54" s="10">
        <v>905.56</v>
      </c>
      <c r="F54" s="10">
        <v>918.64</v>
      </c>
      <c r="G54" s="10">
        <v>936.07</v>
      </c>
      <c r="H54" s="10">
        <v>943.91</v>
      </c>
      <c r="I54" s="10">
        <v>962.22</v>
      </c>
    </row>
    <row r="55" spans="1:9" ht="4.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</sheetData>
  <mergeCells count="3">
    <mergeCell ref="A1:I1"/>
    <mergeCell ref="A3:I3"/>
    <mergeCell ref="A30:I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zoomScaleNormal="100" workbookViewId="0">
      <selection sqref="A1:G1"/>
    </sheetView>
  </sheetViews>
  <sheetFormatPr baseColWidth="10" defaultColWidth="8.7109375" defaultRowHeight="15" x14ac:dyDescent="0.25"/>
  <cols>
    <col min="1" max="1" width="36" customWidth="1"/>
    <col min="2" max="2" width="16" customWidth="1"/>
    <col min="3" max="3" width="18" customWidth="1"/>
    <col min="4" max="4" width="22" customWidth="1"/>
  </cols>
  <sheetData>
    <row r="1" spans="1:4" ht="19.5" customHeight="1" x14ac:dyDescent="0.25">
      <c r="A1" s="3" t="s">
        <v>16</v>
      </c>
      <c r="B1" s="3"/>
      <c r="C1" s="3"/>
      <c r="D1" s="3"/>
    </row>
    <row r="2" spans="1:4" ht="15.75" customHeight="1" x14ac:dyDescent="0.25">
      <c r="A2" s="2" t="s">
        <v>17</v>
      </c>
      <c r="B2" s="2"/>
      <c r="C2" s="2"/>
      <c r="D2" s="2"/>
    </row>
    <row r="4" spans="1:4" ht="19.5" customHeight="1" x14ac:dyDescent="0.25">
      <c r="A4" s="3" t="s">
        <v>18</v>
      </c>
      <c r="B4" s="3"/>
      <c r="C4" s="3"/>
      <c r="D4" s="3"/>
    </row>
    <row r="5" spans="1:4" ht="16.5" customHeight="1" x14ac:dyDescent="0.25">
      <c r="A5" s="27" t="s">
        <v>19</v>
      </c>
      <c r="B5" s="28">
        <v>422.32</v>
      </c>
      <c r="C5" s="29" t="s">
        <v>20</v>
      </c>
      <c r="D5" s="27" t="s">
        <v>21</v>
      </c>
    </row>
    <row r="6" spans="1:4" ht="16.5" customHeight="1" x14ac:dyDescent="0.25">
      <c r="A6" s="30" t="s">
        <v>22</v>
      </c>
      <c r="B6" s="31">
        <v>0.16350000000000001</v>
      </c>
      <c r="C6" s="32" t="s">
        <v>23</v>
      </c>
      <c r="D6" s="30" t="s">
        <v>24</v>
      </c>
    </row>
    <row r="7" spans="1:4" ht="16.5" customHeight="1" x14ac:dyDescent="0.25">
      <c r="A7" s="33" t="s">
        <v>25</v>
      </c>
      <c r="B7" s="34">
        <v>0.17430000000000001</v>
      </c>
      <c r="C7" s="35" t="s">
        <v>23</v>
      </c>
      <c r="D7" s="33" t="s">
        <v>26</v>
      </c>
    </row>
    <row r="8" spans="1:4" ht="16.5" customHeight="1" x14ac:dyDescent="0.25">
      <c r="A8" s="30" t="s">
        <v>27</v>
      </c>
      <c r="B8" s="31">
        <v>0.24829999999999999</v>
      </c>
      <c r="C8" s="32" t="s">
        <v>23</v>
      </c>
      <c r="D8" s="30" t="s">
        <v>28</v>
      </c>
    </row>
    <row r="10" spans="1:4" ht="19.5" customHeight="1" x14ac:dyDescent="0.25">
      <c r="A10" s="3" t="s">
        <v>29</v>
      </c>
      <c r="B10" s="3"/>
      <c r="C10" s="3"/>
      <c r="D10" s="3"/>
    </row>
    <row r="11" spans="1:4" ht="16.5" customHeight="1" x14ac:dyDescent="0.25">
      <c r="A11" s="27" t="s">
        <v>11</v>
      </c>
      <c r="B11" s="28">
        <v>0</v>
      </c>
      <c r="C11" s="29" t="s">
        <v>30</v>
      </c>
      <c r="D11" s="27" t="s">
        <v>31</v>
      </c>
    </row>
    <row r="12" spans="1:4" ht="16.5" customHeight="1" x14ac:dyDescent="0.25">
      <c r="A12" s="27" t="s">
        <v>12</v>
      </c>
      <c r="B12" s="28">
        <v>220.53</v>
      </c>
      <c r="C12" s="29" t="s">
        <v>30</v>
      </c>
      <c r="D12" s="27" t="s">
        <v>32</v>
      </c>
    </row>
    <row r="13" spans="1:4" ht="16.5" customHeight="1" x14ac:dyDescent="0.25">
      <c r="A13" s="27" t="s">
        <v>13</v>
      </c>
      <c r="B13" s="28">
        <v>247.22</v>
      </c>
      <c r="C13" s="29" t="s">
        <v>30</v>
      </c>
      <c r="D13" s="27" t="s">
        <v>33</v>
      </c>
    </row>
    <row r="14" spans="1:4" ht="16.5" customHeight="1" x14ac:dyDescent="0.25">
      <c r="A14" s="27" t="s">
        <v>14</v>
      </c>
      <c r="B14" s="28">
        <v>387.97</v>
      </c>
      <c r="C14" s="29" t="s">
        <v>30</v>
      </c>
      <c r="D14" s="27" t="s">
        <v>34</v>
      </c>
    </row>
    <row r="16" spans="1:4" ht="19.5" customHeight="1" x14ac:dyDescent="0.25">
      <c r="A16" s="3" t="s">
        <v>35</v>
      </c>
      <c r="B16" s="3"/>
      <c r="C16" s="3"/>
      <c r="D16" s="3"/>
    </row>
    <row r="17" spans="1:4" ht="16.5" customHeight="1" x14ac:dyDescent="0.25">
      <c r="A17" s="33" t="s">
        <v>36</v>
      </c>
      <c r="B17" s="34">
        <v>0</v>
      </c>
      <c r="C17" s="35" t="s">
        <v>37</v>
      </c>
      <c r="D17" s="33" t="s">
        <v>38</v>
      </c>
    </row>
    <row r="18" spans="1:4" ht="16.5" customHeight="1" x14ac:dyDescent="0.25">
      <c r="A18" s="30" t="s">
        <v>39</v>
      </c>
      <c r="B18" s="31">
        <v>16.350000000000001</v>
      </c>
      <c r="C18" s="32" t="s">
        <v>37</v>
      </c>
      <c r="D18" s="30" t="s">
        <v>40</v>
      </c>
    </row>
    <row r="19" spans="1:4" ht="16.5" customHeight="1" x14ac:dyDescent="0.25">
      <c r="A19" s="33" t="s">
        <v>41</v>
      </c>
      <c r="B19" s="34">
        <v>7.36</v>
      </c>
      <c r="C19" s="35" t="s">
        <v>37</v>
      </c>
      <c r="D19" s="33" t="s">
        <v>42</v>
      </c>
    </row>
    <row r="20" spans="1:4" ht="16.5" customHeight="1" x14ac:dyDescent="0.25">
      <c r="A20" s="30" t="s">
        <v>43</v>
      </c>
      <c r="B20" s="31">
        <v>17.16</v>
      </c>
      <c r="C20" s="32" t="s">
        <v>37</v>
      </c>
      <c r="D20" s="30" t="s">
        <v>44</v>
      </c>
    </row>
    <row r="21" spans="1:4" ht="16.5" customHeight="1" x14ac:dyDescent="0.25">
      <c r="A21" s="33" t="s">
        <v>45</v>
      </c>
      <c r="B21" s="34">
        <v>40.869999999999997</v>
      </c>
      <c r="C21" s="35" t="s">
        <v>37</v>
      </c>
      <c r="D21" s="33" t="s">
        <v>46</v>
      </c>
    </row>
    <row r="23" spans="1:4" ht="19.5" customHeight="1" x14ac:dyDescent="0.25">
      <c r="A23" s="3" t="s">
        <v>47</v>
      </c>
      <c r="B23" s="3"/>
      <c r="C23" s="3"/>
      <c r="D23" s="3"/>
    </row>
    <row r="24" spans="1:4" ht="16.5" customHeight="1" x14ac:dyDescent="0.25">
      <c r="A24" s="30" t="s">
        <v>48</v>
      </c>
      <c r="B24" s="31">
        <v>0</v>
      </c>
      <c r="C24" s="32" t="s">
        <v>37</v>
      </c>
      <c r="D24" s="30"/>
    </row>
    <row r="25" spans="1:4" ht="16.5" customHeight="1" x14ac:dyDescent="0.25">
      <c r="A25" s="33" t="s">
        <v>49</v>
      </c>
      <c r="B25" s="34">
        <v>13.07</v>
      </c>
      <c r="C25" s="35" t="s">
        <v>37</v>
      </c>
      <c r="D25" s="33"/>
    </row>
    <row r="26" spans="1:4" ht="16.5" customHeight="1" x14ac:dyDescent="0.25">
      <c r="A26" s="30" t="s">
        <v>50</v>
      </c>
      <c r="B26" s="31">
        <v>13.07</v>
      </c>
      <c r="C26" s="32" t="s">
        <v>37</v>
      </c>
      <c r="D26" s="30"/>
    </row>
    <row r="27" spans="1:4" ht="16.5" customHeight="1" x14ac:dyDescent="0.25">
      <c r="A27" s="33" t="s">
        <v>51</v>
      </c>
      <c r="B27" s="34">
        <v>17.43</v>
      </c>
      <c r="C27" s="35" t="s">
        <v>37</v>
      </c>
      <c r="D27" s="33"/>
    </row>
    <row r="28" spans="1:4" ht="16.5" customHeight="1" x14ac:dyDescent="0.25">
      <c r="A28" s="30" t="s">
        <v>52</v>
      </c>
      <c r="B28" s="31">
        <v>7.84</v>
      </c>
      <c r="C28" s="32" t="s">
        <v>37</v>
      </c>
      <c r="D28" s="30"/>
    </row>
    <row r="29" spans="1:4" ht="16.5" customHeight="1" x14ac:dyDescent="0.25">
      <c r="A29" s="33" t="s">
        <v>53</v>
      </c>
      <c r="B29" s="34">
        <v>18.3</v>
      </c>
      <c r="C29" s="35" t="s">
        <v>37</v>
      </c>
      <c r="D29" s="33"/>
    </row>
    <row r="31" spans="1:4" ht="19.5" customHeight="1" x14ac:dyDescent="0.25">
      <c r="A31" s="3" t="s">
        <v>54</v>
      </c>
      <c r="B31" s="3"/>
      <c r="C31" s="3"/>
      <c r="D31" s="3"/>
    </row>
    <row r="32" spans="1:4" ht="16.5" customHeight="1" x14ac:dyDescent="0.25">
      <c r="A32" s="27" t="s">
        <v>55</v>
      </c>
      <c r="B32" s="28">
        <v>422.32</v>
      </c>
      <c r="C32" s="29" t="s">
        <v>56</v>
      </c>
      <c r="D32" s="27" t="s">
        <v>57</v>
      </c>
    </row>
    <row r="33" spans="1:4" ht="16.5" customHeight="1" x14ac:dyDescent="0.25">
      <c r="A33" s="27" t="s">
        <v>58</v>
      </c>
      <c r="B33" s="28">
        <v>510.86</v>
      </c>
      <c r="C33" s="29" t="s">
        <v>56</v>
      </c>
      <c r="D33" s="27" t="s">
        <v>57</v>
      </c>
    </row>
    <row r="34" spans="1:4" ht="16.5" customHeight="1" x14ac:dyDescent="0.25">
      <c r="A34" s="27" t="s">
        <v>59</v>
      </c>
      <c r="B34" s="28">
        <v>537.01</v>
      </c>
      <c r="C34" s="29" t="s">
        <v>56</v>
      </c>
      <c r="D34" s="27" t="s">
        <v>57</v>
      </c>
    </row>
    <row r="35" spans="1:4" ht="16.5" customHeight="1" x14ac:dyDescent="0.25">
      <c r="A35" s="27" t="s">
        <v>60</v>
      </c>
      <c r="B35" s="28">
        <v>548.1</v>
      </c>
      <c r="C35" s="29" t="s">
        <v>56</v>
      </c>
      <c r="D35" s="27" t="s">
        <v>57</v>
      </c>
    </row>
    <row r="36" spans="1:4" ht="16.5" customHeight="1" x14ac:dyDescent="0.25">
      <c r="A36" s="27" t="s">
        <v>61</v>
      </c>
      <c r="B36" s="28">
        <v>731.39</v>
      </c>
      <c r="C36" s="29" t="s">
        <v>56</v>
      </c>
      <c r="D36" s="27" t="s">
        <v>57</v>
      </c>
    </row>
    <row r="37" spans="1:4" ht="16.5" customHeight="1" x14ac:dyDescent="0.25">
      <c r="A37" s="27" t="s">
        <v>62</v>
      </c>
      <c r="B37" s="28">
        <v>758.08</v>
      </c>
      <c r="C37" s="29" t="s">
        <v>56</v>
      </c>
      <c r="D37" s="27" t="s">
        <v>57</v>
      </c>
    </row>
    <row r="38" spans="1:4" ht="16.5" customHeight="1" x14ac:dyDescent="0.25">
      <c r="A38" s="27" t="s">
        <v>63</v>
      </c>
      <c r="B38" s="28">
        <v>898.83</v>
      </c>
      <c r="C38" s="29" t="s">
        <v>56</v>
      </c>
      <c r="D38" s="27" t="s">
        <v>57</v>
      </c>
    </row>
    <row r="40" spans="1:4" ht="19.5" customHeight="1" x14ac:dyDescent="0.25">
      <c r="A40" s="3" t="s">
        <v>64</v>
      </c>
      <c r="B40" s="3"/>
      <c r="C40" s="3"/>
      <c r="D40" s="3"/>
    </row>
    <row r="41" spans="1:4" ht="15" customHeight="1" x14ac:dyDescent="0.25">
      <c r="A41" s="1" t="s">
        <v>65</v>
      </c>
      <c r="B41" s="1"/>
      <c r="C41" s="1"/>
      <c r="D41" s="1"/>
    </row>
    <row r="42" spans="1:4" ht="15" customHeight="1" x14ac:dyDescent="0.25">
      <c r="A42" s="1" t="s">
        <v>66</v>
      </c>
      <c r="B42" s="1"/>
      <c r="C42" s="1"/>
      <c r="D42" s="1"/>
    </row>
    <row r="43" spans="1:4" ht="15" customHeight="1" x14ac:dyDescent="0.25">
      <c r="A43" s="1" t="s">
        <v>67</v>
      </c>
      <c r="B43" s="1"/>
      <c r="C43" s="1"/>
      <c r="D43" s="1"/>
    </row>
    <row r="44" spans="1:4" ht="15" customHeight="1" x14ac:dyDescent="0.25">
      <c r="A44" s="1" t="s">
        <v>68</v>
      </c>
      <c r="B44" s="1"/>
      <c r="C44" s="1"/>
      <c r="D44" s="1"/>
    </row>
    <row r="45" spans="1:4" ht="15" customHeight="1" x14ac:dyDescent="0.25">
      <c r="A45" s="1" t="s">
        <v>69</v>
      </c>
      <c r="B45" s="1"/>
      <c r="C45" s="1"/>
      <c r="D45" s="1"/>
    </row>
    <row r="46" spans="1:4" ht="15" customHeight="1" x14ac:dyDescent="0.25">
      <c r="A46" s="1" t="s">
        <v>70</v>
      </c>
      <c r="B46" s="1"/>
      <c r="C46" s="1"/>
      <c r="D46" s="1"/>
    </row>
  </sheetData>
  <mergeCells count="14">
    <mergeCell ref="A43:D43"/>
    <mergeCell ref="A44:D44"/>
    <mergeCell ref="A45:D45"/>
    <mergeCell ref="A46:D46"/>
    <mergeCell ref="A23:D23"/>
    <mergeCell ref="A31:D31"/>
    <mergeCell ref="A40:D40"/>
    <mergeCell ref="A41:D41"/>
    <mergeCell ref="A42:D42"/>
    <mergeCell ref="A1:D1"/>
    <mergeCell ref="A2:D2"/>
    <mergeCell ref="A4:D4"/>
    <mergeCell ref="A10:D10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zoomScaleNormal="100" workbookViewId="0">
      <pane xSplit="1" ySplit="3" topLeftCell="B4" activePane="bottomRight" state="frozen"/>
      <selection sqref="A1:D1"/>
      <selection pane="topRight" sqref="A1:D1"/>
      <selection pane="bottomLeft" sqref="A1:D1"/>
      <selection pane="bottomRight" sqref="A1:G1"/>
    </sheetView>
  </sheetViews>
  <sheetFormatPr baseColWidth="10" defaultColWidth="8.7109375" defaultRowHeight="15" x14ac:dyDescent="0.25"/>
  <cols>
    <col min="1" max="1" width="14" customWidth="1"/>
    <col min="2" max="7" width="13" customWidth="1"/>
  </cols>
  <sheetData>
    <row r="1" spans="1:7" ht="19.5" customHeight="1" x14ac:dyDescent="0.25">
      <c r="A1" s="5" t="s">
        <v>71</v>
      </c>
      <c r="B1" s="5"/>
      <c r="C1" s="5"/>
      <c r="D1" s="5"/>
      <c r="E1" s="5"/>
      <c r="F1" s="5"/>
      <c r="G1" s="5"/>
    </row>
    <row r="3" spans="1:7" ht="19.5" customHeight="1" x14ac:dyDescent="0.25">
      <c r="A3" s="4" t="s">
        <v>72</v>
      </c>
      <c r="B3" s="4"/>
      <c r="C3" s="4"/>
      <c r="D3" s="4"/>
      <c r="E3" s="4"/>
      <c r="F3" s="4"/>
      <c r="G3" s="4"/>
    </row>
    <row r="4" spans="1:7" ht="21.75" customHeight="1" x14ac:dyDescent="0.25">
      <c r="A4" s="36" t="s">
        <v>73</v>
      </c>
      <c r="B4" s="36" t="s">
        <v>5</v>
      </c>
      <c r="C4" s="36" t="s">
        <v>6</v>
      </c>
      <c r="D4" s="36" t="s">
        <v>7</v>
      </c>
      <c r="E4" s="36" t="s">
        <v>8</v>
      </c>
      <c r="F4" s="36" t="s">
        <v>9</v>
      </c>
      <c r="G4" s="36" t="s">
        <v>10</v>
      </c>
    </row>
    <row r="5" spans="1:7" ht="16.5" customHeight="1" x14ac:dyDescent="0.25">
      <c r="A5" s="36">
        <v>250</v>
      </c>
      <c r="B5" s="10">
        <v>458.79</v>
      </c>
      <c r="C5" s="10">
        <v>474.36</v>
      </c>
      <c r="D5" s="10">
        <v>489.91</v>
      </c>
      <c r="E5" s="10">
        <v>510.66</v>
      </c>
      <c r="F5" s="10">
        <v>519.99</v>
      </c>
      <c r="G5" s="10">
        <v>541.78</v>
      </c>
    </row>
    <row r="6" spans="1:7" ht="16.5" customHeight="1" x14ac:dyDescent="0.25">
      <c r="A6" s="36">
        <v>350</v>
      </c>
      <c r="B6" s="12">
        <v>478.25</v>
      </c>
      <c r="C6" s="12">
        <v>493.8</v>
      </c>
      <c r="D6" s="12">
        <v>509.37</v>
      </c>
      <c r="E6" s="12">
        <v>530.11</v>
      </c>
      <c r="F6" s="12">
        <v>539.45000000000005</v>
      </c>
      <c r="G6" s="12">
        <v>561.23</v>
      </c>
    </row>
    <row r="7" spans="1:7" ht="16.5" customHeight="1" x14ac:dyDescent="0.25">
      <c r="A7" s="36">
        <v>395</v>
      </c>
      <c r="B7" s="10">
        <v>487.01</v>
      </c>
      <c r="C7" s="13">
        <v>502.56</v>
      </c>
      <c r="D7" s="10">
        <v>518.11</v>
      </c>
      <c r="E7" s="10">
        <v>538.87</v>
      </c>
      <c r="F7" s="10">
        <v>548.20000000000005</v>
      </c>
      <c r="G7" s="10">
        <v>569.99</v>
      </c>
    </row>
    <row r="8" spans="1:7" ht="16.5" customHeight="1" x14ac:dyDescent="0.25">
      <c r="A8" s="36">
        <v>500</v>
      </c>
      <c r="B8" s="12">
        <v>507.43</v>
      </c>
      <c r="C8" s="12">
        <v>522.98</v>
      </c>
      <c r="D8" s="12">
        <v>538.54999999999995</v>
      </c>
      <c r="E8" s="12">
        <v>559.29</v>
      </c>
      <c r="F8" s="12">
        <v>568.63</v>
      </c>
      <c r="G8" s="12">
        <v>590.41</v>
      </c>
    </row>
    <row r="9" spans="1:7" ht="16.5" customHeight="1" x14ac:dyDescent="0.25">
      <c r="A9" s="36">
        <v>750</v>
      </c>
      <c r="B9" s="10">
        <v>556.05999999999995</v>
      </c>
      <c r="C9" s="10">
        <v>571.62</v>
      </c>
      <c r="D9" s="10">
        <v>587.17999999999995</v>
      </c>
      <c r="E9" s="13">
        <v>607.91999999999996</v>
      </c>
      <c r="F9" s="10">
        <v>617.25</v>
      </c>
      <c r="G9" s="13">
        <v>639.04</v>
      </c>
    </row>
    <row r="10" spans="1:7" ht="6" customHeight="1" x14ac:dyDescent="0.25"/>
    <row r="12" spans="1:7" ht="19.5" customHeight="1" x14ac:dyDescent="0.25">
      <c r="A12" s="4" t="s">
        <v>74</v>
      </c>
      <c r="B12" s="4"/>
      <c r="C12" s="4"/>
      <c r="D12" s="4"/>
      <c r="E12" s="4"/>
      <c r="F12" s="4"/>
      <c r="G12" s="4"/>
    </row>
    <row r="13" spans="1:7" ht="21.75" customHeight="1" x14ac:dyDescent="0.25">
      <c r="A13" s="36" t="s">
        <v>73</v>
      </c>
      <c r="B13" s="36" t="s">
        <v>5</v>
      </c>
      <c r="C13" s="36" t="s">
        <v>6</v>
      </c>
      <c r="D13" s="36" t="s">
        <v>7</v>
      </c>
      <c r="E13" s="36" t="s">
        <v>8</v>
      </c>
      <c r="F13" s="36" t="s">
        <v>9</v>
      </c>
      <c r="G13" s="36" t="s">
        <v>10</v>
      </c>
    </row>
    <row r="14" spans="1:7" ht="16.5" customHeight="1" x14ac:dyDescent="0.25">
      <c r="A14" s="36">
        <v>250</v>
      </c>
      <c r="B14" s="10">
        <v>721.22</v>
      </c>
      <c r="C14" s="10">
        <v>736.79</v>
      </c>
      <c r="D14" s="10">
        <v>752.34</v>
      </c>
      <c r="E14" s="10">
        <v>773.1</v>
      </c>
      <c r="F14" s="10">
        <v>782.42</v>
      </c>
      <c r="G14" s="10">
        <v>804.21</v>
      </c>
    </row>
    <row r="15" spans="1:7" ht="16.5" customHeight="1" x14ac:dyDescent="0.25">
      <c r="A15" s="36">
        <v>350</v>
      </c>
      <c r="B15" s="12">
        <v>740.68</v>
      </c>
      <c r="C15" s="12">
        <v>756.23</v>
      </c>
      <c r="D15" s="12">
        <v>771.8</v>
      </c>
      <c r="E15" s="12">
        <v>792.54</v>
      </c>
      <c r="F15" s="12">
        <v>801.88</v>
      </c>
      <c r="G15" s="12">
        <v>823.66</v>
      </c>
    </row>
    <row r="16" spans="1:7" ht="16.5" customHeight="1" x14ac:dyDescent="0.25">
      <c r="A16" s="36">
        <v>395</v>
      </c>
      <c r="B16" s="10">
        <v>749.43</v>
      </c>
      <c r="C16" s="10">
        <v>764.99</v>
      </c>
      <c r="D16" s="10">
        <v>780.54</v>
      </c>
      <c r="E16" s="10">
        <v>801.3</v>
      </c>
      <c r="F16" s="10">
        <v>810.63</v>
      </c>
      <c r="G16" s="10">
        <v>832.42</v>
      </c>
    </row>
    <row r="17" spans="1:7" ht="16.5" customHeight="1" x14ac:dyDescent="0.25">
      <c r="A17" s="36">
        <v>500</v>
      </c>
      <c r="B17" s="12">
        <v>769.86</v>
      </c>
      <c r="C17" s="12">
        <v>785.41</v>
      </c>
      <c r="D17" s="12">
        <v>800.98</v>
      </c>
      <c r="E17" s="12">
        <v>821.72</v>
      </c>
      <c r="F17" s="12">
        <v>831.06</v>
      </c>
      <c r="G17" s="12">
        <v>852.84</v>
      </c>
    </row>
    <row r="18" spans="1:7" ht="16.5" customHeight="1" x14ac:dyDescent="0.25">
      <c r="A18" s="36">
        <v>750</v>
      </c>
      <c r="B18" s="10">
        <v>818.49</v>
      </c>
      <c r="C18" s="10">
        <v>834.05</v>
      </c>
      <c r="D18" s="10">
        <v>849.61</v>
      </c>
      <c r="E18" s="13">
        <v>870.35</v>
      </c>
      <c r="F18" s="10">
        <v>879.68</v>
      </c>
      <c r="G18" s="10">
        <v>901.47</v>
      </c>
    </row>
    <row r="19" spans="1:7" ht="6" customHeight="1" x14ac:dyDescent="0.25"/>
    <row r="21" spans="1:7" ht="19.5" customHeight="1" x14ac:dyDescent="0.25">
      <c r="A21" s="4" t="s">
        <v>75</v>
      </c>
      <c r="B21" s="4"/>
      <c r="C21" s="4"/>
      <c r="D21" s="4"/>
      <c r="E21" s="4"/>
      <c r="F21" s="4"/>
      <c r="G21" s="4"/>
    </row>
    <row r="22" spans="1:7" ht="21.75" customHeight="1" x14ac:dyDescent="0.25">
      <c r="A22" s="36" t="s">
        <v>73</v>
      </c>
      <c r="B22" s="36" t="s">
        <v>5</v>
      </c>
      <c r="C22" s="36" t="s">
        <v>6</v>
      </c>
      <c r="D22" s="36" t="s">
        <v>7</v>
      </c>
      <c r="E22" s="36" t="s">
        <v>8</v>
      </c>
      <c r="F22" s="36" t="s">
        <v>9</v>
      </c>
      <c r="G22" s="36" t="s">
        <v>10</v>
      </c>
    </row>
    <row r="23" spans="1:7" ht="16.5" customHeight="1" x14ac:dyDescent="0.25">
      <c r="A23" s="36">
        <v>250</v>
      </c>
      <c r="B23" s="10">
        <v>752.98</v>
      </c>
      <c r="C23" s="10">
        <v>768.55</v>
      </c>
      <c r="D23" s="10">
        <v>784.1</v>
      </c>
      <c r="E23" s="10">
        <v>804.86</v>
      </c>
      <c r="F23" s="10">
        <v>814.19</v>
      </c>
      <c r="G23" s="10">
        <v>835.97</v>
      </c>
    </row>
    <row r="24" spans="1:7" ht="16.5" customHeight="1" x14ac:dyDescent="0.25">
      <c r="A24" s="36">
        <v>350</v>
      </c>
      <c r="B24" s="12">
        <v>772.44</v>
      </c>
      <c r="C24" s="12">
        <v>787.99</v>
      </c>
      <c r="D24" s="12">
        <v>803.56</v>
      </c>
      <c r="E24" s="12">
        <v>824.3</v>
      </c>
      <c r="F24" s="12">
        <v>833.64</v>
      </c>
      <c r="G24" s="12">
        <v>855.42</v>
      </c>
    </row>
    <row r="25" spans="1:7" ht="16.5" customHeight="1" x14ac:dyDescent="0.25">
      <c r="A25" s="36">
        <v>395</v>
      </c>
      <c r="B25" s="10">
        <v>781.2</v>
      </c>
      <c r="C25" s="10">
        <v>796.75</v>
      </c>
      <c r="D25" s="10">
        <v>812.32</v>
      </c>
      <c r="E25" s="10">
        <v>833.06</v>
      </c>
      <c r="F25" s="10">
        <v>842.39</v>
      </c>
      <c r="G25" s="10">
        <v>864.18</v>
      </c>
    </row>
    <row r="26" spans="1:7" ht="16.5" customHeight="1" x14ac:dyDescent="0.25">
      <c r="A26" s="36">
        <v>500</v>
      </c>
      <c r="B26" s="12">
        <v>801.62</v>
      </c>
      <c r="C26" s="12">
        <v>817.17</v>
      </c>
      <c r="D26" s="12">
        <v>832.74</v>
      </c>
      <c r="E26" s="12">
        <v>853.48</v>
      </c>
      <c r="F26" s="12">
        <v>862.82</v>
      </c>
      <c r="G26" s="12">
        <v>884.6</v>
      </c>
    </row>
    <row r="27" spans="1:7" ht="16.5" customHeight="1" x14ac:dyDescent="0.25">
      <c r="A27" s="36">
        <v>750</v>
      </c>
      <c r="B27" s="10">
        <v>850.25</v>
      </c>
      <c r="C27" s="10">
        <v>865.81</v>
      </c>
      <c r="D27" s="10">
        <v>881.37</v>
      </c>
      <c r="E27" s="13">
        <v>902.12</v>
      </c>
      <c r="F27" s="10">
        <v>911.44</v>
      </c>
      <c r="G27" s="10">
        <v>933.23</v>
      </c>
    </row>
    <row r="28" spans="1:7" ht="6" customHeight="1" x14ac:dyDescent="0.25"/>
    <row r="30" spans="1:7" ht="19.5" customHeight="1" x14ac:dyDescent="0.25">
      <c r="A30" s="4" t="s">
        <v>76</v>
      </c>
      <c r="B30" s="4"/>
      <c r="C30" s="4"/>
      <c r="D30" s="4"/>
      <c r="E30" s="4"/>
      <c r="F30" s="4"/>
      <c r="G30" s="4"/>
    </row>
    <row r="31" spans="1:7" ht="21.75" customHeight="1" x14ac:dyDescent="0.25">
      <c r="A31" s="36" t="s">
        <v>73</v>
      </c>
      <c r="B31" s="36" t="s">
        <v>5</v>
      </c>
      <c r="C31" s="36" t="s">
        <v>6</v>
      </c>
      <c r="D31" s="36" t="s">
        <v>7</v>
      </c>
      <c r="E31" s="36" t="s">
        <v>8</v>
      </c>
      <c r="F31" s="36" t="s">
        <v>9</v>
      </c>
      <c r="G31" s="36" t="s">
        <v>10</v>
      </c>
    </row>
    <row r="32" spans="1:7" ht="16.5" customHeight="1" x14ac:dyDescent="0.25">
      <c r="A32" s="36">
        <v>250</v>
      </c>
      <c r="B32" s="10">
        <v>920.48</v>
      </c>
      <c r="C32" s="10">
        <v>936.04</v>
      </c>
      <c r="D32" s="10">
        <v>951.6</v>
      </c>
      <c r="E32" s="10">
        <v>972.35</v>
      </c>
      <c r="F32" s="10">
        <v>981.68</v>
      </c>
      <c r="G32" s="10">
        <v>1003.47</v>
      </c>
    </row>
    <row r="33" spans="1:7" ht="16.5" customHeight="1" x14ac:dyDescent="0.25">
      <c r="A33" s="36">
        <v>350</v>
      </c>
      <c r="B33" s="12">
        <v>939.93</v>
      </c>
      <c r="C33" s="12">
        <v>955.49</v>
      </c>
      <c r="D33" s="12">
        <v>971.05</v>
      </c>
      <c r="E33" s="12">
        <v>991.79</v>
      </c>
      <c r="F33" s="12">
        <v>1001.14</v>
      </c>
      <c r="G33" s="12">
        <v>1022.91</v>
      </c>
    </row>
    <row r="34" spans="1:7" ht="16.5" customHeight="1" x14ac:dyDescent="0.25">
      <c r="A34" s="36">
        <v>395</v>
      </c>
      <c r="B34" s="10">
        <v>948.69</v>
      </c>
      <c r="C34" s="10">
        <v>964.25</v>
      </c>
      <c r="D34" s="10">
        <v>979.81</v>
      </c>
      <c r="E34" s="10">
        <v>1000.55</v>
      </c>
      <c r="F34" s="10">
        <v>1009.88</v>
      </c>
      <c r="G34" s="10">
        <v>1031.67</v>
      </c>
    </row>
    <row r="35" spans="1:7" ht="16.5" customHeight="1" x14ac:dyDescent="0.25">
      <c r="A35" s="36">
        <v>500</v>
      </c>
      <c r="B35" s="12">
        <v>969.11</v>
      </c>
      <c r="C35" s="12">
        <v>984.67</v>
      </c>
      <c r="D35" s="12">
        <v>1000.23</v>
      </c>
      <c r="E35" s="12">
        <v>1020.97</v>
      </c>
      <c r="F35" s="12">
        <v>1030.31</v>
      </c>
      <c r="G35" s="12">
        <v>1052.0899999999999</v>
      </c>
    </row>
    <row r="36" spans="1:7" ht="16.5" customHeight="1" x14ac:dyDescent="0.25">
      <c r="A36" s="36">
        <v>750</v>
      </c>
      <c r="B36" s="10">
        <v>1017.75</v>
      </c>
      <c r="C36" s="10">
        <v>1033.3</v>
      </c>
      <c r="D36" s="10">
        <v>1048.8699999999999</v>
      </c>
      <c r="E36" s="13">
        <v>1069.6099999999999</v>
      </c>
      <c r="F36" s="10">
        <v>1078.94</v>
      </c>
      <c r="G36" s="10">
        <v>1100.73</v>
      </c>
    </row>
    <row r="37" spans="1:7" ht="6" customHeight="1" x14ac:dyDescent="0.25"/>
  </sheetData>
  <mergeCells count="5">
    <mergeCell ref="A1:G1"/>
    <mergeCell ref="A3:G3"/>
    <mergeCell ref="A12:G12"/>
    <mergeCell ref="A21:G21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0111-F94E-4440-869F-FE405A580CD3}">
  <dimension ref="A1:I47"/>
  <sheetViews>
    <sheetView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M25" sqref="M25"/>
    </sheetView>
  </sheetViews>
  <sheetFormatPr baseColWidth="10" defaultRowHeight="15" x14ac:dyDescent="0.25"/>
  <cols>
    <col min="1" max="1" width="16.140625" customWidth="1"/>
    <col min="2" max="2" width="10.42578125" customWidth="1"/>
    <col min="4" max="9" width="17.140625" customWidth="1"/>
  </cols>
  <sheetData>
    <row r="1" spans="1:9" x14ac:dyDescent="0.25">
      <c r="A1" s="64" t="s">
        <v>447</v>
      </c>
    </row>
    <row r="3" spans="1:9" x14ac:dyDescent="0.25">
      <c r="A3" s="65" t="s">
        <v>448</v>
      </c>
      <c r="B3" s="65"/>
      <c r="C3" s="65"/>
      <c r="D3" s="65"/>
      <c r="E3" s="65"/>
      <c r="F3" s="65"/>
      <c r="G3" s="65"/>
      <c r="H3" s="65"/>
      <c r="I3" s="65"/>
    </row>
    <row r="4" spans="1:9" ht="25.5" x14ac:dyDescent="0.25">
      <c r="A4" s="69" t="s">
        <v>2</v>
      </c>
      <c r="B4" s="70" t="s">
        <v>3</v>
      </c>
      <c r="C4" s="70" t="s">
        <v>4</v>
      </c>
      <c r="D4" s="70" t="s">
        <v>449</v>
      </c>
      <c r="E4" s="70" t="s">
        <v>450</v>
      </c>
      <c r="F4" s="70" t="s">
        <v>451</v>
      </c>
      <c r="G4" s="70" t="s">
        <v>452</v>
      </c>
      <c r="H4" s="70" t="s">
        <v>453</v>
      </c>
      <c r="I4" s="71" t="s">
        <v>454</v>
      </c>
    </row>
    <row r="5" spans="1:9" x14ac:dyDescent="0.25">
      <c r="A5" s="86" t="s">
        <v>11</v>
      </c>
      <c r="B5" s="84">
        <v>360</v>
      </c>
      <c r="C5" s="76">
        <v>420</v>
      </c>
      <c r="D5" s="77">
        <f>2*Artmodul_Einzelteilpreise_alt!G3+2*Artmodul_Einzelteilpreise_alt!G18+Artmodul_Einzelteilpreise_alt!G67+8*Artmodul_Einzelteilpreise_alt!G263+4*Artmodul_Einzelteilpreise_alt!G273+4*Artmodul_Einzelteilpreise_alt!G271+4*Artmodul_Einzelteilpreise_alt!G272</f>
        <v>458</v>
      </c>
      <c r="E5" s="77">
        <f>2*Artmodul_Einzelteilpreise_alt!G3+2*Artmodul_Einzelteilpreise_alt!G19+Artmodul_Einzelteilpreise_alt!G72+8*Artmodul_Einzelteilpreise_alt!G263+4*Artmodul_Einzelteilpreise_alt!G273+4*Artmodul_Einzelteilpreise_alt!G272+4*Artmodul_Einzelteilpreise_alt!G272</f>
        <v>458</v>
      </c>
      <c r="F5" s="77">
        <f>2*Artmodul_Einzelteilpreise_alt!G3+2*Artmodul_Einzelteilpreise_alt!G20+Artmodul_Einzelteilpreise_alt!G77+8*Artmodul_Einzelteilpreise_alt!G263+4*Artmodul_Einzelteilpreise_alt!G273+4*Artmodul_Einzelteilpreise_alt!G276+4*Artmodul_Einzelteilpreise_alt!G272</f>
        <v>540</v>
      </c>
      <c r="G5" s="77">
        <f>2*Artmodul_Einzelteilpreise_alt!G3+2*Artmodul_Einzelteilpreise_alt!G21+Artmodul_Einzelteilpreise_alt!G82+8*Artmodul_Einzelteilpreise_alt!G263+4*Artmodul_Einzelteilpreise_alt!G273+4*Artmodul_Einzelteilpreise_alt!G279+4*Artmodul_Einzelteilpreise_alt!G272</f>
        <v>632</v>
      </c>
      <c r="H5" s="77">
        <f>2*Artmodul_Einzelteilpreise_alt!G3+2*Artmodul_Einzelteilpreise_alt!G22+Artmodul_Einzelteilpreise_alt!G87+8*Artmodul_Einzelteilpreise_alt!G263+4*Artmodul_Einzelteilpreise_alt!G273+4*Artmodul_Einzelteilpreise_alt!G280+4*Artmodul_Einzelteilpreise_alt!G272</f>
        <v>731</v>
      </c>
      <c r="I5" s="78">
        <f>2*Artmodul_Einzelteilpreise_alt!G3+2*Artmodul_Einzelteilpreise_alt!G23+Artmodul_Einzelteilpreise_alt!G92+8*Artmodul_Einzelteilpreise_alt!G263+4*Artmodul_Einzelteilpreise_alt!G273+4*Artmodul_Einzelteilpreise_alt!G281+4*Artmodul_Einzelteilpreise_alt!G272</f>
        <v>825</v>
      </c>
    </row>
    <row r="6" spans="1:9" x14ac:dyDescent="0.25">
      <c r="A6" s="87"/>
      <c r="B6" s="84"/>
      <c r="C6" s="76">
        <v>580</v>
      </c>
      <c r="D6" s="80">
        <f>2*Artmodul_Einzelteilpreise_alt!G4+2*Artmodul_Einzelteilpreise_alt!G18+Artmodul_Einzelteilpreise_alt!G68+8*Artmodul_Einzelteilpreise_alt!G263+4*Artmodul_Einzelteilpreise_alt!G274+4*Artmodul_Einzelteilpreise_alt!G271+4*Artmodul_Einzelteilpreise_alt!G272</f>
        <v>493</v>
      </c>
      <c r="E6" s="80">
        <f>2*Artmodul_Einzelteilpreise_alt!G4+2*Artmodul_Einzelteilpreise_alt!G19+Artmodul_Einzelteilpreise_alt!G73+8*Artmodul_Einzelteilpreise_alt!G263+4*Artmodul_Einzelteilpreise_alt!G274+4*Artmodul_Einzelteilpreise_alt!G272+4*Artmodul_Einzelteilpreise_alt!G272</f>
        <v>493</v>
      </c>
      <c r="F6" s="80">
        <f>2*Artmodul_Einzelteilpreise_alt!G4+2*Artmodul_Einzelteilpreise_alt!G20+Artmodul_Einzelteilpreise_alt!G78+8*Artmodul_Einzelteilpreise_alt!G263+4*Artmodul_Einzelteilpreise_alt!G274+4*Artmodul_Einzelteilpreise_alt!G276+4*Artmodul_Einzelteilpreise_alt!G272</f>
        <v>588</v>
      </c>
      <c r="G6" s="80">
        <f>2*Artmodul_Einzelteilpreise_alt!G4+2*Artmodul_Einzelteilpreise_alt!G21+Artmodul_Einzelteilpreise_alt!G83+8*Artmodul_Einzelteilpreise_alt!G263+4*Artmodul_Einzelteilpreise_alt!G274+4*Artmodul_Einzelteilpreise_alt!G279+4*Artmodul_Einzelteilpreise_alt!G272</f>
        <v>689</v>
      </c>
      <c r="H6" s="80">
        <f>2*Artmodul_Einzelteilpreise_alt!G4+2*Artmodul_Einzelteilpreise_alt!G22+Artmodul_Einzelteilpreise_alt!G88+8*Artmodul_Einzelteilpreise_alt!G263+4*Artmodul_Einzelteilpreise_alt!G274+4*Artmodul_Einzelteilpreise_alt!G280+4*Artmodul_Einzelteilpreise_alt!G272</f>
        <v>800</v>
      </c>
      <c r="I6" s="81">
        <f>2*Artmodul_Einzelteilpreise_alt!G4+2*Artmodul_Einzelteilpreise_alt!G23+Artmodul_Einzelteilpreise_alt!G93+8*Artmodul_Einzelteilpreise_alt!G263+4*Artmodul_Einzelteilpreise_alt!G274+4*Artmodul_Einzelteilpreise_alt!G281+4*Artmodul_Einzelteilpreise_alt!G272</f>
        <v>905</v>
      </c>
    </row>
    <row r="7" spans="1:9" x14ac:dyDescent="0.25">
      <c r="A7" s="87"/>
      <c r="B7" s="84"/>
      <c r="C7" s="76">
        <v>780</v>
      </c>
      <c r="D7" s="77">
        <f>2*Artmodul_Einzelteilpreise_alt!G5+2*Artmodul_Einzelteilpreise_alt!G18+Artmodul_Einzelteilpreise_alt!G69+8*Artmodul_Einzelteilpreise_alt!G263+4*Artmodul_Einzelteilpreise_alt!G277+4*Artmodul_Einzelteilpreise_alt!G271+4*Artmodul_Einzelteilpreise_alt!G272</f>
        <v>544</v>
      </c>
      <c r="E7" s="77">
        <f>2*Artmodul_Einzelteilpreise_alt!G5+2*Artmodul_Einzelteilpreise_alt!G19+Artmodul_Einzelteilpreise_alt!G74+8*Artmodul_Einzelteilpreise_alt!G263+4*Artmodul_Einzelteilpreise_alt!G277+4*Artmodul_Einzelteilpreise_alt!G272+4*Artmodul_Einzelteilpreise_alt!G272</f>
        <v>544</v>
      </c>
      <c r="F7" s="77">
        <f>2*Artmodul_Einzelteilpreise_alt!G5+2*Artmodul_Einzelteilpreise_alt!G20+Artmodul_Einzelteilpreise_alt!G79+8*Artmodul_Einzelteilpreise_alt!G263+4*Artmodul_Einzelteilpreise_alt!G277+4*Artmodul_Einzelteilpreise_alt!G276+4*Artmodul_Einzelteilpreise_alt!G272</f>
        <v>651</v>
      </c>
      <c r="G7" s="77">
        <f>2*Artmodul_Einzelteilpreise_alt!G5+2*Artmodul_Einzelteilpreise_alt!G21+Artmodul_Einzelteilpreise_alt!G84+8*Artmodul_Einzelteilpreise_alt!G263+4*Artmodul_Einzelteilpreise_alt!G277+4*Artmodul_Einzelteilpreise_alt!G279+4*Artmodul_Einzelteilpreise_alt!G272</f>
        <v>769</v>
      </c>
      <c r="H7" s="77">
        <f>2*Artmodul_Einzelteilpreise_alt!G5+2*Artmodul_Einzelteilpreise_alt!G22+Artmodul_Einzelteilpreise_alt!G89+8*Artmodul_Einzelteilpreise_alt!G263+4*Artmodul_Einzelteilpreise_alt!G277+4*Artmodul_Einzelteilpreise_alt!G280+4*Artmodul_Einzelteilpreise_alt!G272</f>
        <v>891</v>
      </c>
      <c r="I7" s="78">
        <f>2*Artmodul_Einzelteilpreise_alt!G5+2*Artmodul_Einzelteilpreise_alt!G23+Artmodul_Einzelteilpreise_alt!G94+8*Artmodul_Einzelteilpreise_alt!G263+4*Artmodul_Einzelteilpreise_alt!G277+4*Artmodul_Einzelteilpreise_alt!G281+4*Artmodul_Einzelteilpreise_alt!G272</f>
        <v>1010</v>
      </c>
    </row>
    <row r="8" spans="1:9" x14ac:dyDescent="0.25">
      <c r="A8" s="88"/>
      <c r="B8" s="85"/>
      <c r="C8" s="79">
        <v>980</v>
      </c>
      <c r="D8" s="82">
        <f>2*Artmodul_Einzelteilpreise_alt!G6+2*Artmodul_Einzelteilpreise_alt!G18+Artmodul_Einzelteilpreise_alt!G70+8*Artmodul_Einzelteilpreise_alt!G263+4*Artmodul_Einzelteilpreise_alt!G278+4*Artmodul_Einzelteilpreise_alt!G271+4*Artmodul_Einzelteilpreise_alt!G272</f>
        <v>594</v>
      </c>
      <c r="E8" s="82">
        <f>2*Artmodul_Einzelteilpreise_alt!G6+2*Artmodul_Einzelteilpreise_alt!G19+Artmodul_Einzelteilpreise_alt!G75+8*Artmodul_Einzelteilpreise_alt!G263+4*Artmodul_Einzelteilpreise_alt!G278+4*Artmodul_Einzelteilpreise_alt!G272+4*Artmodul_Einzelteilpreise_alt!G272</f>
        <v>594</v>
      </c>
      <c r="F8" s="82">
        <f>2*Artmodul_Einzelteilpreise_alt!G6+2*Artmodul_Einzelteilpreise_alt!G20+Artmodul_Einzelteilpreise_alt!G80+8*Artmodul_Einzelteilpreise_alt!G263+4*Artmodul_Einzelteilpreise_alt!G278+4*Artmodul_Einzelteilpreise_alt!G276+4*Artmodul_Einzelteilpreise_alt!G272</f>
        <v>714</v>
      </c>
      <c r="G8" s="82">
        <f>2*Artmodul_Einzelteilpreise_alt!G6+2*Artmodul_Einzelteilpreise_alt!G21+Artmodul_Einzelteilpreise_alt!G85+8*Artmodul_Einzelteilpreise_alt!G263+4*Artmodul_Einzelteilpreise_alt!G278+4*Artmodul_Einzelteilpreise_alt!G279+4*Artmodul_Einzelteilpreise_alt!G272</f>
        <v>844</v>
      </c>
      <c r="H8" s="82">
        <f>2*Artmodul_Einzelteilpreise_alt!G6+2*Artmodul_Einzelteilpreise_alt!G22+Artmodul_Einzelteilpreise_alt!G90+8*Artmodul_Einzelteilpreise_alt!G263+4*Artmodul_Einzelteilpreise_alt!G278+4*Artmodul_Einzelteilpreise_alt!G280+4*Artmodul_Einzelteilpreise_alt!G272</f>
        <v>980</v>
      </c>
      <c r="I8" s="83">
        <f>2*Artmodul_Einzelteilpreise_alt!G6+2*Artmodul_Einzelteilpreise_alt!G23+Artmodul_Einzelteilpreise_alt!G95+8*Artmodul_Einzelteilpreise_alt!G263+4*Artmodul_Einzelteilpreise_alt!G278+4*Artmodul_Einzelteilpreise_alt!G281+4*Artmodul_Einzelteilpreise_alt!G272</f>
        <v>1111</v>
      </c>
    </row>
    <row r="9" spans="1:9" x14ac:dyDescent="0.25">
      <c r="A9" s="89"/>
      <c r="B9" s="89"/>
      <c r="C9" s="89"/>
      <c r="D9" s="89"/>
      <c r="E9" s="89"/>
      <c r="F9" s="89"/>
      <c r="G9" s="89"/>
      <c r="H9" s="89"/>
      <c r="I9" s="89"/>
    </row>
    <row r="10" spans="1:9" x14ac:dyDescent="0.25">
      <c r="A10" s="95" t="s">
        <v>12</v>
      </c>
      <c r="B10" s="93">
        <v>360</v>
      </c>
      <c r="C10" s="92">
        <v>420</v>
      </c>
      <c r="D10" s="77">
        <f>2*Artmodul_Einzelteilpreise_alt!G3+2*Artmodul_Einzelteilpreise_alt!G18+Artmodul_Einzelteilpreise_alt!G67+8*Artmodul_Einzelteilpreise_alt!G263+4*Artmodul_Einzelteilpreise_alt!G273+4*Artmodul_Einzelteilpreise_alt!G271+4*Artmodul_Einzelteilpreise_alt!G272+Artmodul_Einzelteilpreise_alt!G191</f>
        <v>627</v>
      </c>
      <c r="E10" s="77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192</f>
        <v>627</v>
      </c>
      <c r="F10" s="77"/>
      <c r="G10" s="77"/>
      <c r="H10" s="77"/>
      <c r="I10" s="78"/>
    </row>
    <row r="11" spans="1:9" x14ac:dyDescent="0.25">
      <c r="A11" s="96"/>
      <c r="B11" s="93"/>
      <c r="C11" s="92">
        <v>580</v>
      </c>
      <c r="D11" s="80">
        <f>2*Artmodul_Einzelteilpreise_alt!G4+2*Artmodul_Einzelteilpreise_alt!G18+Artmodul_Einzelteilpreise_alt!G68+8*Artmodul_Einzelteilpreise_alt!G263+4*Artmodul_Einzelteilpreise_alt!G274+4*Artmodul_Einzelteilpreise_alt!G271+4*Artmodul_Einzelteilpreise_alt!G272+Artmodul_Einzelteilpreise_alt!G193</f>
        <v>677</v>
      </c>
      <c r="E11" s="80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194</f>
        <v>677</v>
      </c>
      <c r="F11" s="80"/>
      <c r="G11" s="80"/>
      <c r="H11" s="80"/>
      <c r="I11" s="81"/>
    </row>
    <row r="12" spans="1:9" x14ac:dyDescent="0.25">
      <c r="A12" s="96"/>
      <c r="B12" s="93"/>
      <c r="C12" s="92">
        <v>780</v>
      </c>
      <c r="D12" s="77">
        <f>2*Artmodul_Einzelteilpreise_alt!G5+2*Artmodul_Einzelteilpreise_alt!G18+Artmodul_Einzelteilpreise_alt!G69+8*Artmodul_Einzelteilpreise_alt!G263+4*Artmodul_Einzelteilpreise_alt!G277+4*Artmodul_Einzelteilpreise_alt!G271+4*Artmodul_Einzelteilpreise_alt!G272+Artmodul_Einzelteilpreise_alt!G195</f>
        <v>742</v>
      </c>
      <c r="E12" s="77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196</f>
        <v>742</v>
      </c>
      <c r="F12" s="77"/>
      <c r="G12" s="77"/>
      <c r="H12" s="77"/>
      <c r="I12" s="78"/>
    </row>
    <row r="13" spans="1:9" x14ac:dyDescent="0.25">
      <c r="A13" s="97"/>
      <c r="B13" s="94"/>
      <c r="C13" s="91">
        <v>980</v>
      </c>
      <c r="D13" s="82">
        <f>2*Artmodul_Einzelteilpreise_alt!G6+2*Artmodul_Einzelteilpreise_alt!G18+Artmodul_Einzelteilpreise_alt!G70+8*Artmodul_Einzelteilpreise_alt!G263+4*Artmodul_Einzelteilpreise_alt!G278+4*Artmodul_Einzelteilpreise_alt!G271+4*Artmodul_Einzelteilpreise_alt!G272+Artmodul_Einzelteilpreise_alt!G197</f>
        <v>844</v>
      </c>
      <c r="E13" s="82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198</f>
        <v>844</v>
      </c>
      <c r="F13" s="82"/>
      <c r="G13" s="82"/>
      <c r="H13" s="82"/>
      <c r="I13" s="83"/>
    </row>
    <row r="14" spans="1:9" x14ac:dyDescent="0.25">
      <c r="A14" s="89"/>
      <c r="B14" s="89"/>
      <c r="C14" s="89"/>
      <c r="D14" s="89"/>
      <c r="E14" s="89"/>
      <c r="F14" s="89"/>
      <c r="G14" s="89"/>
      <c r="H14" s="89"/>
      <c r="I14" s="89"/>
    </row>
    <row r="15" spans="1:9" x14ac:dyDescent="0.25">
      <c r="A15" s="102" t="s">
        <v>317</v>
      </c>
      <c r="B15" s="100">
        <v>360</v>
      </c>
      <c r="C15" s="99">
        <v>420</v>
      </c>
      <c r="D15" s="77"/>
      <c r="E15" s="77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202</f>
        <v>594</v>
      </c>
      <c r="F15" s="77">
        <f>2*Artmodul_Einzelteilpreise_alt!G3+2*Artmodul_Einzelteilpreise_alt!G20+Artmodul_Einzelteilpreise_alt!G77+8*Artmodul_Einzelteilpreise_alt!G263+4*Artmodul_Einzelteilpreise_alt!G273+4*Artmodul_Einzelteilpreise_alt!G276+4*Artmodul_Einzelteilpreise_alt!G272+Artmodul_Einzelteilpreise_alt!G203</f>
        <v>699</v>
      </c>
      <c r="G15" s="77">
        <f>2*Artmodul_Einzelteilpreise_alt!G3+2*Artmodul_Einzelteilpreise_alt!G21+Artmodul_Einzelteilpreise_alt!G82+8*Artmodul_Einzelteilpreise_alt!G263+4*Artmodul_Einzelteilpreise_alt!G273+4*Artmodul_Einzelteilpreise_alt!G279+4*Artmodul_Einzelteilpreise_alt!G272+Artmodul_Einzelteilpreise_alt!G204</f>
        <v>867</v>
      </c>
      <c r="H15" s="77">
        <f>2*Artmodul_Einzelteilpreise_alt!G3+2*Artmodul_Einzelteilpreise_alt!G22+Artmodul_Einzelteilpreise_alt!G87+8*Artmodul_Einzelteilpreise_alt!G263+4*Artmodul_Einzelteilpreise_alt!G273+4*Artmodul_Einzelteilpreise_alt!G280+4*Artmodul_Einzelteilpreise_alt!G272+Artmodul_Einzelteilpreise_alt!G205</f>
        <v>988</v>
      </c>
      <c r="I15" s="78">
        <f>2*Artmodul_Einzelteilpreise_alt!G3+2*Artmodul_Einzelteilpreise_alt!G23+Artmodul_Einzelteilpreise_alt!G92+8*Artmodul_Einzelteilpreise_alt!G263+4*Artmodul_Einzelteilpreise_alt!G273+4*Artmodul_Einzelteilpreise_alt!G281+4*Artmodul_Einzelteilpreise_alt!G272+Artmodul_Einzelteilpreise_alt!G206</f>
        <v>1165</v>
      </c>
    </row>
    <row r="16" spans="1:9" x14ac:dyDescent="0.25">
      <c r="A16" s="103"/>
      <c r="B16" s="100"/>
      <c r="C16" s="99">
        <v>580</v>
      </c>
      <c r="D16" s="80"/>
      <c r="E16" s="80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207</f>
        <v>646</v>
      </c>
      <c r="F16" s="80">
        <f>2*Artmodul_Einzelteilpreise_alt!G4+2*Artmodul_Einzelteilpreise_alt!G20+Artmodul_Einzelteilpreise_alt!G78+8*Artmodul_Einzelteilpreise_alt!G263+4*Artmodul_Einzelteilpreise_alt!G274+4*Artmodul_Einzelteilpreise_alt!G276+4*Artmodul_Einzelteilpreise_alt!G272+Artmodul_Einzelteilpreise_alt!G208</f>
        <v>798</v>
      </c>
      <c r="G16" s="80">
        <f>2*Artmodul_Einzelteilpreise_alt!G4+2*Artmodul_Einzelteilpreise_alt!G21+Artmodul_Einzelteilpreise_alt!G83+8*Artmodul_Einzelteilpreise_alt!G263+4*Artmodul_Einzelteilpreise_alt!G274+4*Artmodul_Einzelteilpreise_alt!G279+4*Artmodul_Einzelteilpreise_alt!G272+Artmodul_Einzelteilpreise_alt!G209</f>
        <v>967</v>
      </c>
      <c r="H16" s="80">
        <f>2*Artmodul_Einzelteilpreise_alt!G4+2*Artmodul_Einzelteilpreise_alt!G22+Artmodul_Einzelteilpreise_alt!G88+8*Artmodul_Einzelteilpreise_alt!G263+4*Artmodul_Einzelteilpreise_alt!G274+4*Artmodul_Einzelteilpreise_alt!G280+4*Artmodul_Einzelteilpreise_alt!G272+Artmodul_Einzelteilpreise_alt!G210</f>
        <v>1137</v>
      </c>
      <c r="I16" s="81">
        <f>2*Artmodul_Einzelteilpreise_alt!G4+2*Artmodul_Einzelteilpreise_alt!G23+Artmodul_Einzelteilpreise_alt!G93+8*Artmodul_Einzelteilpreise_alt!G263+4*Artmodul_Einzelteilpreise_alt!G274+4*Artmodul_Einzelteilpreise_alt!G281+4*Artmodul_Einzelteilpreise_alt!G272+Artmodul_Einzelteilpreise_alt!G211</f>
        <v>1322</v>
      </c>
    </row>
    <row r="17" spans="1:9" x14ac:dyDescent="0.25">
      <c r="A17" s="103"/>
      <c r="B17" s="100"/>
      <c r="C17" s="99">
        <v>780</v>
      </c>
      <c r="D17" s="77"/>
      <c r="E17" s="77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214</f>
        <v>799</v>
      </c>
      <c r="F17" s="77">
        <f>2*Artmodul_Einzelteilpreise_alt!G5+2*Artmodul_Einzelteilpreise_alt!G20+Artmodul_Einzelteilpreise_alt!G79+8*Artmodul_Einzelteilpreise_alt!G263+4*Artmodul_Einzelteilpreise_alt!G277+4*Artmodul_Einzelteilpreise_alt!G276+4*Artmodul_Einzelteilpreise_alt!G272+Artmodul_Einzelteilpreise_alt!G216</f>
        <v>965</v>
      </c>
      <c r="G17" s="77">
        <f>2*Artmodul_Einzelteilpreise_alt!G5+2*Artmodul_Einzelteilpreise_alt!G21+Artmodul_Einzelteilpreise_alt!G84+8*Artmodul_Einzelteilpreise_alt!G263+4*Artmodul_Einzelteilpreise_alt!G277+4*Artmodul_Einzelteilpreise_alt!G279+4*Artmodul_Einzelteilpreise_alt!G272+Artmodul_Einzelteilpreise_alt!G217</f>
        <v>1233</v>
      </c>
      <c r="H17" s="77">
        <f>2*Artmodul_Einzelteilpreise_alt!G5+2*Artmodul_Einzelteilpreise_alt!G22+Artmodul_Einzelteilpreise_alt!G89+8*Artmodul_Einzelteilpreise_alt!G263+4*Artmodul_Einzelteilpreise_alt!G277+4*Artmodul_Einzelteilpreise_alt!G280+4*Artmodul_Einzelteilpreise_alt!G272+Artmodul_Einzelteilpreise_alt!G218</f>
        <v>1433</v>
      </c>
      <c r="I17" s="78">
        <f>2*Artmodul_Einzelteilpreise_alt!G5+2*Artmodul_Einzelteilpreise_alt!G23+Artmodul_Einzelteilpreise_alt!G94+8*Artmodul_Einzelteilpreise_alt!G263+4*Artmodul_Einzelteilpreise_alt!G277+4*Artmodul_Einzelteilpreise_alt!G281+4*Artmodul_Einzelteilpreise_alt!G272+Artmodul_Einzelteilpreise_alt!G219</f>
        <v>1678</v>
      </c>
    </row>
    <row r="18" spans="1:9" x14ac:dyDescent="0.25">
      <c r="A18" s="104"/>
      <c r="B18" s="101"/>
      <c r="C18" s="98">
        <v>980</v>
      </c>
      <c r="D18" s="82"/>
      <c r="E18" s="82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220</f>
        <v>863</v>
      </c>
      <c r="F18" s="82">
        <f>2*Artmodul_Einzelteilpreise_alt!G6+2*Artmodul_Einzelteilpreise_alt!G20+Artmodul_Einzelteilpreise_alt!G80+8*Artmodul_Einzelteilpreise_alt!G263+4*Artmodul_Einzelteilpreise_alt!G278+4*Artmodul_Einzelteilpreise_alt!G276+4*Artmodul_Einzelteilpreise_alt!G272+Artmodul_Einzelteilpreise_alt!G221</f>
        <v>1089</v>
      </c>
      <c r="G18" s="82">
        <f>2*Artmodul_Einzelteilpreise_alt!G6+2*Artmodul_Einzelteilpreise_alt!G21+Artmodul_Einzelteilpreise_alt!G85+8*Artmodul_Einzelteilpreise_alt!G263+4*Artmodul_Einzelteilpreise_alt!G278+4*Artmodul_Einzelteilpreise_alt!G279+4*Artmodul_Einzelteilpreise_alt!G272+Artmodul_Einzelteilpreise_alt!G222</f>
        <v>1367</v>
      </c>
      <c r="H18" s="82">
        <f>2*Artmodul_Einzelteilpreise_alt!G6+2*Artmodul_Einzelteilpreise_alt!G22+Artmodul_Einzelteilpreise_alt!G90+8*Artmodul_Einzelteilpreise_alt!G263+4*Artmodul_Einzelteilpreise_alt!G278+4*Artmodul_Einzelteilpreise_alt!G280+4*Artmodul_Einzelteilpreise_alt!G272+Artmodul_Einzelteilpreise_alt!G223</f>
        <v>1605</v>
      </c>
      <c r="I18" s="83">
        <f>2*Artmodul_Einzelteilpreise_alt!G6+2*Artmodul_Einzelteilpreise_alt!G23+Artmodul_Einzelteilpreise_alt!G95+8*Artmodul_Einzelteilpreise_alt!G263+4*Artmodul_Einzelteilpreise_alt!G278+4*Artmodul_Einzelteilpreise_alt!G281+4*Artmodul_Einzelteilpreise_alt!G272+Artmodul_Einzelteilpreise_alt!G224</f>
        <v>1880</v>
      </c>
    </row>
    <row r="19" spans="1:9" x14ac:dyDescent="0.25">
      <c r="A19" s="89"/>
      <c r="B19" s="89"/>
      <c r="C19" s="89"/>
      <c r="D19" s="89"/>
      <c r="E19" s="89"/>
      <c r="F19" s="89"/>
      <c r="G19" s="89"/>
      <c r="H19" s="89"/>
      <c r="I19" s="89"/>
    </row>
    <row r="20" spans="1:9" x14ac:dyDescent="0.25">
      <c r="A20" s="110" t="s">
        <v>14</v>
      </c>
      <c r="B20" s="108">
        <v>360</v>
      </c>
      <c r="C20" s="107">
        <v>420</v>
      </c>
      <c r="D20" s="77">
        <f>2*Artmodul_Einzelteilpreise_alt!G3+2*Artmodul_Einzelteilpreise_alt!G18+Artmodul_Einzelteilpreise_alt!G67+8*Artmodul_Einzelteilpreise_alt!G263+4*Artmodul_Einzelteilpreise_alt!G273+4*Artmodul_Einzelteilpreise_alt!G271+4*Artmodul_Einzelteilpreise_alt!G272+Artmodul_Einzelteilpreise_alt!G225</f>
        <v>743</v>
      </c>
      <c r="E20" s="77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226</f>
        <v>810</v>
      </c>
      <c r="F20" s="77"/>
      <c r="G20" s="77"/>
      <c r="H20" s="77"/>
      <c r="I20" s="78"/>
    </row>
    <row r="21" spans="1:9" x14ac:dyDescent="0.25">
      <c r="A21" s="111"/>
      <c r="B21" s="108"/>
      <c r="C21" s="107">
        <v>580</v>
      </c>
      <c r="D21" s="80">
        <f>2*Artmodul_Einzelteilpreise_alt!G4+2*Artmodul_Einzelteilpreise_alt!G18+Artmodul_Einzelteilpreise_alt!G68+8*Artmodul_Einzelteilpreise_alt!G263+4*Artmodul_Einzelteilpreise_alt!G274+4*Artmodul_Einzelteilpreise_alt!G271+4*Artmodul_Einzelteilpreise_alt!G272+Artmodul_Einzelteilpreise_alt!G227</f>
        <v>791</v>
      </c>
      <c r="E21" s="80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228</f>
        <v>846</v>
      </c>
      <c r="F21" s="80"/>
      <c r="G21" s="80"/>
      <c r="H21" s="80"/>
      <c r="I21" s="81"/>
    </row>
    <row r="22" spans="1:9" x14ac:dyDescent="0.25">
      <c r="A22" s="111"/>
      <c r="B22" s="108"/>
      <c r="C22" s="107">
        <v>780</v>
      </c>
      <c r="D22" s="77">
        <f>2*Artmodul_Einzelteilpreise_alt!G5+2*Artmodul_Einzelteilpreise_alt!G18+Artmodul_Einzelteilpreise_alt!G69+8*Artmodul_Einzelteilpreise_alt!G263+4*Artmodul_Einzelteilpreise_alt!G277+4*Artmodul_Einzelteilpreise_alt!G271+4*Artmodul_Einzelteilpreise_alt!G272+Artmodul_Einzelteilpreise_alt!G229</f>
        <v>853</v>
      </c>
      <c r="E22" s="77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230</f>
        <v>900</v>
      </c>
      <c r="F22" s="77"/>
      <c r="G22" s="77"/>
      <c r="H22" s="77"/>
      <c r="I22" s="78"/>
    </row>
    <row r="23" spans="1:9" x14ac:dyDescent="0.25">
      <c r="A23" s="112"/>
      <c r="B23" s="109"/>
      <c r="C23" s="106">
        <v>980</v>
      </c>
      <c r="D23" s="82">
        <f>2*Artmodul_Einzelteilpreise_alt!G6+2*Artmodul_Einzelteilpreise_alt!G18+Artmodul_Einzelteilpreise_alt!G70+8*Artmodul_Einzelteilpreise_alt!G263+4*Artmodul_Einzelteilpreise_alt!G278+4*Artmodul_Einzelteilpreise_alt!G271+4*Artmodul_Einzelteilpreise_alt!G272+Artmodul_Einzelteilpreise_alt!G231</f>
        <v>942</v>
      </c>
      <c r="E23" s="82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232</f>
        <v>1023</v>
      </c>
      <c r="F23" s="82"/>
      <c r="G23" s="82"/>
      <c r="H23" s="82"/>
      <c r="I23" s="83"/>
    </row>
    <row r="24" spans="1:9" x14ac:dyDescent="0.25">
      <c r="A24" s="89"/>
      <c r="B24" s="89"/>
      <c r="C24" s="89"/>
      <c r="D24" s="89"/>
      <c r="E24" s="89"/>
      <c r="F24" s="89"/>
      <c r="G24" s="89"/>
      <c r="H24" s="89"/>
      <c r="I24" s="89"/>
    </row>
    <row r="26" spans="1:9" x14ac:dyDescent="0.25">
      <c r="A26" s="65" t="s">
        <v>455</v>
      </c>
      <c r="B26" s="65"/>
      <c r="C26" s="65"/>
      <c r="D26" s="65"/>
      <c r="E26" s="65"/>
      <c r="F26" s="65"/>
      <c r="G26" s="65"/>
      <c r="H26" s="65"/>
      <c r="I26" s="65"/>
    </row>
    <row r="27" spans="1:9" ht="25.5" x14ac:dyDescent="0.25">
      <c r="A27" s="69" t="s">
        <v>2</v>
      </c>
      <c r="B27" s="70" t="s">
        <v>3</v>
      </c>
      <c r="C27" s="70" t="s">
        <v>4</v>
      </c>
      <c r="D27" s="70" t="s">
        <v>449</v>
      </c>
      <c r="E27" s="70" t="s">
        <v>450</v>
      </c>
      <c r="F27" s="70" t="s">
        <v>451</v>
      </c>
      <c r="G27" s="70" t="s">
        <v>452</v>
      </c>
      <c r="H27" s="70" t="s">
        <v>453</v>
      </c>
      <c r="I27" s="71" t="s">
        <v>454</v>
      </c>
    </row>
    <row r="28" spans="1:9" x14ac:dyDescent="0.25">
      <c r="A28" s="86" t="s">
        <v>11</v>
      </c>
      <c r="B28" s="84">
        <v>580</v>
      </c>
      <c r="C28" s="76">
        <v>420</v>
      </c>
      <c r="D28" s="77">
        <f>2*Artmodul_Einzelteilpreise_alt!G8+2*Artmodul_Einzelteilpreise_alt!G24+Artmodul_Einzelteilpreise_alt!G67+8*Artmodul_Einzelteilpreise_alt!G263+4*Artmodul_Einzelteilpreise_alt!G273+4*Artmodul_Einzelteilpreise_alt!G271+4*Artmodul_Einzelteilpreise_alt!G274</f>
        <v>514</v>
      </c>
      <c r="E28" s="77">
        <f>2*Artmodul_Einzelteilpreise_alt!G8+2*Artmodul_Einzelteilpreise_alt!G25+Artmodul_Einzelteilpreise_alt!G72+8*Artmodul_Einzelteilpreise_alt!G263+4*Artmodul_Einzelteilpreise_alt!G273+4*Artmodul_Einzelteilpreise_alt!G272+4*Artmodul_Einzelteilpreise_alt!G274</f>
        <v>514</v>
      </c>
      <c r="F28" s="77">
        <f>2*Artmodul_Einzelteilpreise_alt!G8+2*Artmodul_Einzelteilpreise_alt!G26+Artmodul_Einzelteilpreise_alt!G77+8*Artmodul_Einzelteilpreise_alt!G263+4*Artmodul_Einzelteilpreise_alt!G273+4*Artmodul_Einzelteilpreise_alt!G276+4*Artmodul_Einzelteilpreise_alt!G274</f>
        <v>638</v>
      </c>
      <c r="G28" s="77">
        <f>2*Artmodul_Einzelteilpreise_alt!G8+2*Artmodul_Einzelteilpreise_alt!G27+Artmodul_Einzelteilpreise_alt!G82+8*Artmodul_Einzelteilpreise_alt!G263+4*Artmodul_Einzelteilpreise_alt!G273+4*Artmodul_Einzelteilpreise_alt!G279+4*Artmodul_Einzelteilpreise_alt!G274</f>
        <v>756</v>
      </c>
      <c r="H28" s="77">
        <f>2*Artmodul_Einzelteilpreise_alt!G8+2*Artmodul_Einzelteilpreise_alt!G28+Artmodul_Einzelteilpreise_alt!G87+8*Artmodul_Einzelteilpreise_alt!G263+4*Artmodul_Einzelteilpreise_alt!G273+4*Artmodul_Einzelteilpreise_alt!G280+4*Artmodul_Einzelteilpreise_alt!G274</f>
        <v>885</v>
      </c>
      <c r="I28" s="78">
        <f>2*Artmodul_Einzelteilpreise_alt!G8+2*Artmodul_Einzelteilpreise_alt!G29+Artmodul_Einzelteilpreise_alt!G92+8*Artmodul_Einzelteilpreise_alt!G263+4*Artmodul_Einzelteilpreise_alt!G273+4*Artmodul_Einzelteilpreise_alt!G281+4*Artmodul_Einzelteilpreise_alt!G274</f>
        <v>1007</v>
      </c>
    </row>
    <row r="29" spans="1:9" x14ac:dyDescent="0.25">
      <c r="A29" s="87"/>
      <c r="B29" s="84"/>
      <c r="C29" s="76">
        <v>580</v>
      </c>
      <c r="D29" s="80">
        <f>2*Artmodul_Einzelteilpreise_alt!G9+2*Artmodul_Einzelteilpreise_alt!G24+Artmodul_Einzelteilpreise_alt!G68+8*Artmodul_Einzelteilpreise_alt!G263+4*Artmodul_Einzelteilpreise_alt!G274+4*Artmodul_Einzelteilpreise_alt!G271+4*Artmodul_Einzelteilpreise_alt!G274</f>
        <v>567</v>
      </c>
      <c r="E29" s="80">
        <f>2*Artmodul_Einzelteilpreise_alt!G9+2*Artmodul_Einzelteilpreise_alt!G25+Artmodul_Einzelteilpreise_alt!G73+8*Artmodul_Einzelteilpreise_alt!G263+4*Artmodul_Einzelteilpreise_alt!G274+4*Artmodul_Einzelteilpreise_alt!G272+4*Artmodul_Einzelteilpreise_alt!G274</f>
        <v>567</v>
      </c>
      <c r="F29" s="80">
        <f>2*Artmodul_Einzelteilpreise_alt!G9+2*Artmodul_Einzelteilpreise_alt!G26+Artmodul_Einzelteilpreise_alt!G78+8*Artmodul_Einzelteilpreise_alt!G263+4*Artmodul_Einzelteilpreise_alt!G274+4*Artmodul_Einzelteilpreise_alt!G276+4*Artmodul_Einzelteilpreise_alt!G274</f>
        <v>704</v>
      </c>
      <c r="G29" s="80">
        <f>2*Artmodul_Einzelteilpreise_alt!G9+2*Artmodul_Einzelteilpreise_alt!G27+Artmodul_Einzelteilpreise_alt!G83+8*Artmodul_Einzelteilpreise_alt!G263+4*Artmodul_Einzelteilpreise_alt!G274+4*Artmodul_Einzelteilpreise_alt!G279+4*Artmodul_Einzelteilpreise_alt!G274</f>
        <v>831</v>
      </c>
      <c r="H29" s="80">
        <f>2*Artmodul_Einzelteilpreise_alt!G9+2*Artmodul_Einzelteilpreise_alt!G28+Artmodul_Einzelteilpreise_alt!G88+8*Artmodul_Einzelteilpreise_alt!G263+4*Artmodul_Einzelteilpreise_alt!G274+4*Artmodul_Einzelteilpreise_alt!G280+4*Artmodul_Einzelteilpreise_alt!G274</f>
        <v>972</v>
      </c>
      <c r="I29" s="81">
        <f>2*Artmodul_Einzelteilpreise_alt!G9+2*Artmodul_Einzelteilpreise_alt!G29+Artmodul_Einzelteilpreise_alt!G93+8*Artmodul_Einzelteilpreise_alt!G263+4*Artmodul_Einzelteilpreise_alt!G274+4*Artmodul_Einzelteilpreise_alt!G281+4*Artmodul_Einzelteilpreise_alt!G274</f>
        <v>1105</v>
      </c>
    </row>
    <row r="30" spans="1:9" x14ac:dyDescent="0.25">
      <c r="A30" s="87"/>
      <c r="B30" s="84"/>
      <c r="C30" s="76">
        <v>780</v>
      </c>
      <c r="D30" s="77">
        <f>2*Artmodul_Einzelteilpreise_alt!G10+2*Artmodul_Einzelteilpreise_alt!G24+Artmodul_Einzelteilpreise_alt!G69+8*Artmodul_Einzelteilpreise_alt!G263+4*Artmodul_Einzelteilpreise_alt!G277+4*Artmodul_Einzelteilpreise_alt!G271+4*Artmodul_Einzelteilpreise_alt!G274</f>
        <v>632</v>
      </c>
      <c r="E30" s="77">
        <f>2*Artmodul_Einzelteilpreise_alt!G10+2*Artmodul_Einzelteilpreise_alt!G25+Artmodul_Einzelteilpreise_alt!G74+8*Artmodul_Einzelteilpreise_alt!G263+4*Artmodul_Einzelteilpreise_alt!G277+4*Artmodul_Einzelteilpreise_alt!G272+4*Artmodul_Einzelteilpreise_alt!G274</f>
        <v>632</v>
      </c>
      <c r="F30" s="77">
        <f>2*Artmodul_Einzelteilpreise_alt!G10+2*Artmodul_Einzelteilpreise_alt!G26+Artmodul_Einzelteilpreise_alt!G79+8*Artmodul_Einzelteilpreise_alt!G263+4*Artmodul_Einzelteilpreise_alt!G277+4*Artmodul_Einzelteilpreise_alt!G276+4*Artmodul_Einzelteilpreise_alt!G274</f>
        <v>781</v>
      </c>
      <c r="G30" s="77">
        <f>2*Artmodul_Einzelteilpreise_alt!G10+2*Artmodul_Einzelteilpreise_alt!G27+Artmodul_Einzelteilpreise_alt!G84+8*Artmodul_Einzelteilpreise_alt!G263+4*Artmodul_Einzelteilpreise_alt!G277+4*Artmodul_Einzelteilpreise_alt!G279+4*Artmodul_Einzelteilpreise_alt!G274</f>
        <v>925</v>
      </c>
      <c r="H30" s="77">
        <f>2*Artmodul_Einzelteilpreise_alt!G10+2*Artmodul_Einzelteilpreise_alt!G28+Artmodul_Einzelteilpreise_alt!G89+8*Artmodul_Einzelteilpreise_alt!G263+4*Artmodul_Einzelteilpreise_alt!G277+4*Artmodul_Einzelteilpreise_alt!G280+4*Artmodul_Einzelteilpreise_alt!G274</f>
        <v>1077</v>
      </c>
      <c r="I30" s="78">
        <f>2*Artmodul_Einzelteilpreise_alt!G10+2*Artmodul_Einzelteilpreise_alt!G29+Artmodul_Einzelteilpreise_alt!G94+8*Artmodul_Einzelteilpreise_alt!G263+4*Artmodul_Einzelteilpreise_alt!G277+4*Artmodul_Einzelteilpreise_alt!G281+4*Artmodul_Einzelteilpreise_alt!G274</f>
        <v>1224</v>
      </c>
    </row>
    <row r="31" spans="1:9" x14ac:dyDescent="0.25">
      <c r="A31" s="88"/>
      <c r="B31" s="85"/>
      <c r="C31" s="79">
        <v>980</v>
      </c>
      <c r="D31" s="82">
        <f>2*Artmodul_Einzelteilpreise_alt!G11+2*Artmodul_Einzelteilpreise_alt!G24+Artmodul_Einzelteilpreise_alt!G70+8*Artmodul_Einzelteilpreise_alt!G263+4*Artmodul_Einzelteilpreise_alt!G278+4*Artmodul_Einzelteilpreise_alt!G271+4*Artmodul_Einzelteilpreise_alt!G274</f>
        <v>700</v>
      </c>
      <c r="E31" s="82">
        <f>2*Artmodul_Einzelteilpreise_alt!G11+2*Artmodul_Einzelteilpreise_alt!G25+Artmodul_Einzelteilpreise_alt!G75+8*Artmodul_Einzelteilpreise_alt!G263+4*Artmodul_Einzelteilpreise_alt!G278+4*Artmodul_Einzelteilpreise_alt!G272+4*Artmodul_Einzelteilpreise_alt!G274</f>
        <v>700</v>
      </c>
      <c r="F31" s="82">
        <f>2*Artmodul_Einzelteilpreise_alt!G11+2*Artmodul_Einzelteilpreise_alt!G26+Artmodul_Einzelteilpreise_alt!G80+8*Artmodul_Einzelteilpreise_alt!G263+4*Artmodul_Einzelteilpreise_alt!G278+4*Artmodul_Einzelteilpreise_alt!G276+4*Artmodul_Einzelteilpreise_alt!G274</f>
        <v>862</v>
      </c>
      <c r="G31" s="82">
        <f>2*Artmodul_Einzelteilpreise_alt!G11+2*Artmodul_Einzelteilpreise_alt!G27+Artmodul_Einzelteilpreise_alt!G85+8*Artmodul_Einzelteilpreise_alt!G263+4*Artmodul_Einzelteilpreise_alt!G278+4*Artmodul_Einzelteilpreise_alt!G279+4*Artmodul_Einzelteilpreise_alt!G274</f>
        <v>1018</v>
      </c>
      <c r="H31" s="82">
        <f>2*Artmodul_Einzelteilpreise_alt!G11+2*Artmodul_Einzelteilpreise_alt!G28+Artmodul_Einzelteilpreise_alt!G90+8*Artmodul_Einzelteilpreise_alt!G263+4*Artmodul_Einzelteilpreise_alt!G278+4*Artmodul_Einzelteilpreise_alt!G280+4*Artmodul_Einzelteilpreise_alt!G274</f>
        <v>1184</v>
      </c>
      <c r="I31" s="83">
        <f>2*Artmodul_Einzelteilpreise_alt!G11+2*Artmodul_Einzelteilpreise_alt!G29+Artmodul_Einzelteilpreise_alt!G95+8*Artmodul_Einzelteilpreise_alt!G263+4*Artmodul_Einzelteilpreise_alt!G278+4*Artmodul_Einzelteilpreise_alt!G281+4*Artmodul_Einzelteilpreise_alt!G274</f>
        <v>1343</v>
      </c>
    </row>
    <row r="32" spans="1:9" x14ac:dyDescent="0.25">
      <c r="A32" s="89"/>
      <c r="B32" s="89"/>
      <c r="C32" s="89"/>
      <c r="D32" s="89"/>
      <c r="E32" s="89"/>
      <c r="F32" s="89"/>
      <c r="G32" s="89"/>
      <c r="H32" s="89"/>
      <c r="I32" s="89"/>
    </row>
    <row r="33" spans="1:9" x14ac:dyDescent="0.25">
      <c r="A33" s="95" t="s">
        <v>12</v>
      </c>
      <c r="B33" s="93">
        <v>580</v>
      </c>
      <c r="C33" s="92">
        <v>420</v>
      </c>
      <c r="D33" s="77">
        <f>2*Artmodul_Einzelteilpreise_alt!G8+2*Artmodul_Einzelteilpreise_alt!G24+Artmodul_Einzelteilpreise_alt!G67+8*Artmodul_Einzelteilpreise_alt!G263+4*Artmodul_Einzelteilpreise_alt!G273+4*Artmodul_Einzelteilpreise_alt!G271+4*Artmodul_Einzelteilpreise_alt!G274+Artmodul_Einzelteilpreise_alt!G191</f>
        <v>683</v>
      </c>
      <c r="E33" s="77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192</f>
        <v>683</v>
      </c>
      <c r="F33" s="77"/>
      <c r="G33" s="77"/>
      <c r="H33" s="77"/>
      <c r="I33" s="78"/>
    </row>
    <row r="34" spans="1:9" x14ac:dyDescent="0.25">
      <c r="A34" s="96"/>
      <c r="B34" s="93"/>
      <c r="C34" s="92">
        <v>580</v>
      </c>
      <c r="D34" s="80">
        <f>2*Artmodul_Einzelteilpreise_alt!G9+2*Artmodul_Einzelteilpreise_alt!G24+Artmodul_Einzelteilpreise_alt!G68+8*Artmodul_Einzelteilpreise_alt!G263+4*Artmodul_Einzelteilpreise_alt!G274+4*Artmodul_Einzelteilpreise_alt!G271+4*Artmodul_Einzelteilpreise_alt!G274+Artmodul_Einzelteilpreise_alt!G193</f>
        <v>751</v>
      </c>
      <c r="E34" s="80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194</f>
        <v>751</v>
      </c>
      <c r="F34" s="80"/>
      <c r="G34" s="80"/>
      <c r="H34" s="80"/>
      <c r="I34" s="81"/>
    </row>
    <row r="35" spans="1:9" x14ac:dyDescent="0.25">
      <c r="A35" s="96"/>
      <c r="B35" s="93"/>
      <c r="C35" s="92">
        <v>780</v>
      </c>
      <c r="D35" s="77">
        <f>2*Artmodul_Einzelteilpreise_alt!G10+2*Artmodul_Einzelteilpreise_alt!G24+Artmodul_Einzelteilpreise_alt!G69+8*Artmodul_Einzelteilpreise_alt!G263+4*Artmodul_Einzelteilpreise_alt!G277+4*Artmodul_Einzelteilpreise_alt!G271+4*Artmodul_Einzelteilpreise_alt!G274+Artmodul_Einzelteilpreise_alt!G195</f>
        <v>830</v>
      </c>
      <c r="E35" s="77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196</f>
        <v>830</v>
      </c>
      <c r="F35" s="77"/>
      <c r="G35" s="77"/>
      <c r="H35" s="77"/>
      <c r="I35" s="78"/>
    </row>
    <row r="36" spans="1:9" x14ac:dyDescent="0.25">
      <c r="A36" s="97"/>
      <c r="B36" s="94"/>
      <c r="C36" s="91">
        <v>980</v>
      </c>
      <c r="D36" s="82">
        <f>2*Artmodul_Einzelteilpreise_alt!G11+2*Artmodul_Einzelteilpreise_alt!G24+Artmodul_Einzelteilpreise_alt!G70+8*Artmodul_Einzelteilpreise_alt!G263+4*Artmodul_Einzelteilpreise_alt!G278+4*Artmodul_Einzelteilpreise_alt!G271+4*Artmodul_Einzelteilpreise_alt!G274+Artmodul_Einzelteilpreise_alt!G197</f>
        <v>950</v>
      </c>
      <c r="E36" s="82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198</f>
        <v>950</v>
      </c>
      <c r="F36" s="82"/>
      <c r="G36" s="82"/>
      <c r="H36" s="82"/>
      <c r="I36" s="83"/>
    </row>
    <row r="37" spans="1:9" x14ac:dyDescent="0.25">
      <c r="A37" s="89"/>
      <c r="B37" s="89"/>
      <c r="C37" s="89"/>
      <c r="D37" s="89"/>
      <c r="E37" s="89"/>
      <c r="F37" s="89"/>
      <c r="G37" s="89"/>
      <c r="H37" s="89"/>
      <c r="I37" s="89"/>
    </row>
    <row r="38" spans="1:9" x14ac:dyDescent="0.25">
      <c r="A38" s="102" t="s">
        <v>317</v>
      </c>
      <c r="B38" s="100">
        <v>580</v>
      </c>
      <c r="C38" s="99">
        <v>420</v>
      </c>
      <c r="D38" s="77"/>
      <c r="E38" s="77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202</f>
        <v>650</v>
      </c>
      <c r="F38" s="77">
        <f>2*Artmodul_Einzelteilpreise_alt!G8+2*Artmodul_Einzelteilpreise_alt!G26+Artmodul_Einzelteilpreise_alt!G77+8*Artmodul_Einzelteilpreise_alt!G263+4*Artmodul_Einzelteilpreise_alt!G273+4*Artmodul_Einzelteilpreise_alt!G276+4*Artmodul_Einzelteilpreise_alt!G274+Artmodul_Einzelteilpreise_alt!G203</f>
        <v>797</v>
      </c>
      <c r="G38" s="77">
        <f>2*Artmodul_Einzelteilpreise_alt!G8+2*Artmodul_Einzelteilpreise_alt!G27+Artmodul_Einzelteilpreise_alt!G82+8*Artmodul_Einzelteilpreise_alt!G263+4*Artmodul_Einzelteilpreise_alt!G273+4*Artmodul_Einzelteilpreise_alt!G279+4*Artmodul_Einzelteilpreise_alt!G274+Artmodul_Einzelteilpreise_alt!G204</f>
        <v>991</v>
      </c>
      <c r="H38" s="77">
        <f>2*Artmodul_Einzelteilpreise_alt!G8+2*Artmodul_Einzelteilpreise_alt!G28+Artmodul_Einzelteilpreise_alt!G87+8*Artmodul_Einzelteilpreise_alt!G263+4*Artmodul_Einzelteilpreise_alt!G273+4*Artmodul_Einzelteilpreise_alt!G280+4*Artmodul_Einzelteilpreise_alt!G274+Artmodul_Einzelteilpreise_alt!G205</f>
        <v>1142</v>
      </c>
      <c r="I38" s="78">
        <f>2*Artmodul_Einzelteilpreise_alt!G8+2*Artmodul_Einzelteilpreise_alt!G29+Artmodul_Einzelteilpreise_alt!G92+8*Artmodul_Einzelteilpreise_alt!G263+4*Artmodul_Einzelteilpreise_alt!G273+4*Artmodul_Einzelteilpreise_alt!G281+4*Artmodul_Einzelteilpreise_alt!G274+Artmodul_Einzelteilpreise_alt!G206</f>
        <v>1347</v>
      </c>
    </row>
    <row r="39" spans="1:9" x14ac:dyDescent="0.25">
      <c r="A39" s="103"/>
      <c r="B39" s="100"/>
      <c r="C39" s="99">
        <v>580</v>
      </c>
      <c r="D39" s="80"/>
      <c r="E39" s="80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207</f>
        <v>720</v>
      </c>
      <c r="F39" s="80">
        <f>2*Artmodul_Einzelteilpreise_alt!G9+2*Artmodul_Einzelteilpreise_alt!G26+Artmodul_Einzelteilpreise_alt!G78+8*Artmodul_Einzelteilpreise_alt!G263+4*Artmodul_Einzelteilpreise_alt!G274+4*Artmodul_Einzelteilpreise_alt!G276+4*Artmodul_Einzelteilpreise_alt!G274+Artmodul_Einzelteilpreise_alt!G208</f>
        <v>914</v>
      </c>
      <c r="G39" s="80">
        <f>2*Artmodul_Einzelteilpreise_alt!G9+2*Artmodul_Einzelteilpreise_alt!G27+Artmodul_Einzelteilpreise_alt!G83+8*Artmodul_Einzelteilpreise_alt!G263+4*Artmodul_Einzelteilpreise_alt!G274+4*Artmodul_Einzelteilpreise_alt!G279+4*Artmodul_Einzelteilpreise_alt!G274+Artmodul_Einzelteilpreise_alt!G209</f>
        <v>1109</v>
      </c>
      <c r="H39" s="80">
        <f>2*Artmodul_Einzelteilpreise_alt!G9+2*Artmodul_Einzelteilpreise_alt!G28+Artmodul_Einzelteilpreise_alt!G88+8*Artmodul_Einzelteilpreise_alt!G263+4*Artmodul_Einzelteilpreise_alt!G274+4*Artmodul_Einzelteilpreise_alt!G280+4*Artmodul_Einzelteilpreise_alt!G274+Artmodul_Einzelteilpreise_alt!G210</f>
        <v>1309</v>
      </c>
      <c r="I39" s="81">
        <f>2*Artmodul_Einzelteilpreise_alt!G9+2*Artmodul_Einzelteilpreise_alt!G29+Artmodul_Einzelteilpreise_alt!G93+8*Artmodul_Einzelteilpreise_alt!G263+4*Artmodul_Einzelteilpreise_alt!G274+4*Artmodul_Einzelteilpreise_alt!G281+4*Artmodul_Einzelteilpreise_alt!G274+Artmodul_Einzelteilpreise_alt!G211</f>
        <v>1522</v>
      </c>
    </row>
    <row r="40" spans="1:9" x14ac:dyDescent="0.25">
      <c r="A40" s="103"/>
      <c r="B40" s="100"/>
      <c r="C40" s="99">
        <v>780</v>
      </c>
      <c r="D40" s="77"/>
      <c r="E40" s="77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214</f>
        <v>887</v>
      </c>
      <c r="F40" s="77">
        <f>2*Artmodul_Einzelteilpreise_alt!G10+2*Artmodul_Einzelteilpreise_alt!G26+Artmodul_Einzelteilpreise_alt!G79+8*Artmodul_Einzelteilpreise_alt!G263+4*Artmodul_Einzelteilpreise_alt!G277+4*Artmodul_Einzelteilpreise_alt!G276+4*Artmodul_Einzelteilpreise_alt!G274+Artmodul_Einzelteilpreise_alt!G216</f>
        <v>1095</v>
      </c>
      <c r="G40" s="77">
        <f>2*Artmodul_Einzelteilpreise_alt!G10+2*Artmodul_Einzelteilpreise_alt!G27+Artmodul_Einzelteilpreise_alt!G84+8*Artmodul_Einzelteilpreise_alt!G263+4*Artmodul_Einzelteilpreise_alt!G277+4*Artmodul_Einzelteilpreise_alt!G279+4*Artmodul_Einzelteilpreise_alt!G274+Artmodul_Einzelteilpreise_alt!G217</f>
        <v>1389</v>
      </c>
      <c r="H40" s="77">
        <f>2*Artmodul_Einzelteilpreise_alt!G10+2*Artmodul_Einzelteilpreise_alt!G28+Artmodul_Einzelteilpreise_alt!G89+8*Artmodul_Einzelteilpreise_alt!G263+4*Artmodul_Einzelteilpreise_alt!G277+4*Artmodul_Einzelteilpreise_alt!G280+4*Artmodul_Einzelteilpreise_alt!G274+Artmodul_Einzelteilpreise_alt!G218</f>
        <v>1619</v>
      </c>
      <c r="I40" s="78">
        <f>2*Artmodul_Einzelteilpreise_alt!G10+2*Artmodul_Einzelteilpreise_alt!G29+Artmodul_Einzelteilpreise_alt!G94+8*Artmodul_Einzelteilpreise_alt!G263+4*Artmodul_Einzelteilpreise_alt!G277+4*Artmodul_Einzelteilpreise_alt!G281+4*Artmodul_Einzelteilpreise_alt!G274+Artmodul_Einzelteilpreise_alt!G219</f>
        <v>1892</v>
      </c>
    </row>
    <row r="41" spans="1:9" x14ac:dyDescent="0.25">
      <c r="A41" s="104"/>
      <c r="B41" s="101"/>
      <c r="C41" s="98">
        <v>980</v>
      </c>
      <c r="D41" s="82"/>
      <c r="E41" s="82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220</f>
        <v>969</v>
      </c>
      <c r="F41" s="82">
        <f>2*Artmodul_Einzelteilpreise_alt!G11+2*Artmodul_Einzelteilpreise_alt!G26+Artmodul_Einzelteilpreise_alt!G80+8*Artmodul_Einzelteilpreise_alt!G263+4*Artmodul_Einzelteilpreise_alt!G278+4*Artmodul_Einzelteilpreise_alt!G276+4*Artmodul_Einzelteilpreise_alt!G274+Artmodul_Einzelteilpreise_alt!G221</f>
        <v>1237</v>
      </c>
      <c r="G41" s="82">
        <f>2*Artmodul_Einzelteilpreise_alt!G11+2*Artmodul_Einzelteilpreise_alt!G27+Artmodul_Einzelteilpreise_alt!G85+8*Artmodul_Einzelteilpreise_alt!G263+4*Artmodul_Einzelteilpreise_alt!G278+4*Artmodul_Einzelteilpreise_alt!G279+4*Artmodul_Einzelteilpreise_alt!G274+Artmodul_Einzelteilpreise_alt!G222</f>
        <v>1541</v>
      </c>
      <c r="H41" s="82">
        <f>2*Artmodul_Einzelteilpreise_alt!G11+2*Artmodul_Einzelteilpreise_alt!G28+Artmodul_Einzelteilpreise_alt!G90+8*Artmodul_Einzelteilpreise_alt!G263+4*Artmodul_Einzelteilpreise_alt!G278+4*Artmodul_Einzelteilpreise_alt!G280+4*Artmodul_Einzelteilpreise_alt!G274+Artmodul_Einzelteilpreise_alt!G223</f>
        <v>1809</v>
      </c>
      <c r="I41" s="83">
        <f>2*Artmodul_Einzelteilpreise_alt!G11+2*Artmodul_Einzelteilpreise_alt!G29+Artmodul_Einzelteilpreise_alt!G95+8*Artmodul_Einzelteilpreise_alt!G263+4*Artmodul_Einzelteilpreise_alt!G278+4*Artmodul_Einzelteilpreise_alt!G281+4*Artmodul_Einzelteilpreise_alt!G274+Artmodul_Einzelteilpreise_alt!G224</f>
        <v>2112</v>
      </c>
    </row>
    <row r="42" spans="1:9" x14ac:dyDescent="0.25">
      <c r="A42" s="89"/>
      <c r="B42" s="89"/>
      <c r="C42" s="89"/>
      <c r="D42" s="89"/>
      <c r="E42" s="89"/>
      <c r="F42" s="89"/>
      <c r="G42" s="89"/>
      <c r="H42" s="89"/>
      <c r="I42" s="89"/>
    </row>
    <row r="43" spans="1:9" x14ac:dyDescent="0.25">
      <c r="A43" s="110" t="s">
        <v>14</v>
      </c>
      <c r="B43" s="108">
        <v>580</v>
      </c>
      <c r="C43" s="107">
        <v>420</v>
      </c>
      <c r="D43" s="77">
        <f>2*Artmodul_Einzelteilpreise_alt!G8+2*Artmodul_Einzelteilpreise_alt!G24+Artmodul_Einzelteilpreise_alt!G67+8*Artmodul_Einzelteilpreise_alt!G263+4*Artmodul_Einzelteilpreise_alt!G273+4*Artmodul_Einzelteilpreise_alt!G271+4*Artmodul_Einzelteilpreise_alt!G274+Artmodul_Einzelteilpreise_alt!G225</f>
        <v>799</v>
      </c>
      <c r="E43" s="77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226</f>
        <v>866</v>
      </c>
      <c r="F43" s="77"/>
      <c r="G43" s="77"/>
      <c r="H43" s="77"/>
      <c r="I43" s="78"/>
    </row>
    <row r="44" spans="1:9" x14ac:dyDescent="0.25">
      <c r="A44" s="111"/>
      <c r="B44" s="108"/>
      <c r="C44" s="107">
        <v>580</v>
      </c>
      <c r="D44" s="80">
        <f>2*Artmodul_Einzelteilpreise_alt!G9+2*Artmodul_Einzelteilpreise_alt!G24+Artmodul_Einzelteilpreise_alt!G68+8*Artmodul_Einzelteilpreise_alt!G263+4*Artmodul_Einzelteilpreise_alt!G274+4*Artmodul_Einzelteilpreise_alt!G271+4*Artmodul_Einzelteilpreise_alt!G274+Artmodul_Einzelteilpreise_alt!G227</f>
        <v>865</v>
      </c>
      <c r="E44" s="80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228</f>
        <v>920</v>
      </c>
      <c r="F44" s="80"/>
      <c r="G44" s="80"/>
      <c r="H44" s="80"/>
      <c r="I44" s="81"/>
    </row>
    <row r="45" spans="1:9" x14ac:dyDescent="0.25">
      <c r="A45" s="111"/>
      <c r="B45" s="108"/>
      <c r="C45" s="107">
        <v>780</v>
      </c>
      <c r="D45" s="77">
        <f>2*Artmodul_Einzelteilpreise_alt!G10+2*Artmodul_Einzelteilpreise_alt!G24+Artmodul_Einzelteilpreise_alt!G69+8*Artmodul_Einzelteilpreise_alt!G263+4*Artmodul_Einzelteilpreise_alt!G277+4*Artmodul_Einzelteilpreise_alt!G271+4*Artmodul_Einzelteilpreise_alt!G274+Artmodul_Einzelteilpreise_alt!G229</f>
        <v>941</v>
      </c>
      <c r="E45" s="77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230</f>
        <v>988</v>
      </c>
      <c r="F45" s="77"/>
      <c r="G45" s="77"/>
      <c r="H45" s="77"/>
      <c r="I45" s="78"/>
    </row>
    <row r="46" spans="1:9" x14ac:dyDescent="0.25">
      <c r="A46" s="112"/>
      <c r="B46" s="109"/>
      <c r="C46" s="106">
        <v>980</v>
      </c>
      <c r="D46" s="82">
        <f>2*Artmodul_Einzelteilpreise_alt!G11+2*Artmodul_Einzelteilpreise_alt!G24+Artmodul_Einzelteilpreise_alt!G70+8*Artmodul_Einzelteilpreise_alt!G263+4*Artmodul_Einzelteilpreise_alt!G278+4*Artmodul_Einzelteilpreise_alt!G271+4*Artmodul_Einzelteilpreise_alt!G274+Artmodul_Einzelteilpreise_alt!G231</f>
        <v>1048</v>
      </c>
      <c r="E46" s="82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232</f>
        <v>1129</v>
      </c>
      <c r="F46" s="82"/>
      <c r="G46" s="82"/>
      <c r="H46" s="82"/>
      <c r="I46" s="83"/>
    </row>
    <row r="47" spans="1:9" x14ac:dyDescent="0.25">
      <c r="A47" s="89"/>
      <c r="B47" s="89"/>
      <c r="C47" s="89"/>
      <c r="D47" s="89"/>
      <c r="E47" s="89"/>
      <c r="F47" s="89"/>
      <c r="G47" s="89"/>
      <c r="H47" s="89"/>
      <c r="I47" s="89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07E2-9A43-4BD1-A715-98905DCA4725}">
  <dimension ref="A1:R309"/>
  <sheetViews>
    <sheetView workbookViewId="0">
      <selection activeCell="I17" sqref="I17"/>
    </sheetView>
  </sheetViews>
  <sheetFormatPr baseColWidth="10" defaultRowHeight="15" x14ac:dyDescent="0.25"/>
  <cols>
    <col min="1" max="1" width="21" style="38" customWidth="1"/>
    <col min="2" max="2" width="13.28515625" style="38" customWidth="1"/>
    <col min="3" max="3" width="24.7109375" style="38" customWidth="1"/>
    <col min="4" max="4" width="47.5703125" style="38" customWidth="1"/>
    <col min="5" max="6" width="13.28515625" style="38" customWidth="1"/>
    <col min="7" max="8" width="17.140625" style="38" customWidth="1"/>
    <col min="9" max="9" width="19" style="38" customWidth="1"/>
    <col min="10" max="13" width="17.140625" style="38" customWidth="1"/>
    <col min="14" max="14" width="19" style="38" customWidth="1"/>
    <col min="15" max="15" width="17.140625" style="38" customWidth="1"/>
    <col min="16" max="16" width="11.42578125" style="38"/>
    <col min="17" max="18" width="28.5703125" style="38" customWidth="1"/>
    <col min="19" max="16384" width="11.42578125" style="38"/>
  </cols>
  <sheetData>
    <row r="1" spans="1:18" ht="18.75" x14ac:dyDescent="0.3">
      <c r="A1" s="37" t="s">
        <v>77</v>
      </c>
      <c r="B1" s="37" t="s">
        <v>78</v>
      </c>
      <c r="C1" s="37" t="s">
        <v>79</v>
      </c>
      <c r="D1" s="37" t="s">
        <v>80</v>
      </c>
      <c r="E1" s="37" t="s">
        <v>81</v>
      </c>
      <c r="F1" s="37" t="s">
        <v>82</v>
      </c>
      <c r="G1" s="37" t="s">
        <v>83</v>
      </c>
      <c r="H1" s="37" t="s">
        <v>84</v>
      </c>
      <c r="I1" s="37" t="s">
        <v>85</v>
      </c>
      <c r="J1" s="37" t="s">
        <v>86</v>
      </c>
      <c r="K1" s="37" t="s">
        <v>87</v>
      </c>
      <c r="L1" s="37" t="s">
        <v>88</v>
      </c>
      <c r="M1" s="37" t="s">
        <v>89</v>
      </c>
      <c r="N1" s="37" t="s">
        <v>90</v>
      </c>
      <c r="O1" s="37" t="s">
        <v>91</v>
      </c>
      <c r="Q1" s="39" t="s">
        <v>92</v>
      </c>
      <c r="R1" s="39"/>
    </row>
    <row r="2" spans="1:18" x14ac:dyDescent="0.25">
      <c r="A2" s="38">
        <v>3000</v>
      </c>
      <c r="B2" s="38" t="s">
        <v>93</v>
      </c>
      <c r="C2" s="38" t="s">
        <v>94</v>
      </c>
      <c r="D2" s="38" t="s">
        <v>95</v>
      </c>
      <c r="E2" s="38">
        <v>360</v>
      </c>
      <c r="F2" s="38">
        <v>360</v>
      </c>
      <c r="G2" s="40">
        <v>34</v>
      </c>
      <c r="H2" s="40">
        <v>114</v>
      </c>
      <c r="I2" s="40">
        <v>89</v>
      </c>
      <c r="J2" s="40">
        <v>177</v>
      </c>
      <c r="L2" s="40">
        <f t="shared" ref="L2:O65" si="0">IF(G2="","",ROUND(G2*1.15,0))</f>
        <v>39</v>
      </c>
      <c r="M2" s="40">
        <f t="shared" si="0"/>
        <v>131</v>
      </c>
      <c r="N2" s="40">
        <f t="shared" si="0"/>
        <v>102</v>
      </c>
      <c r="O2" s="40">
        <f t="shared" si="0"/>
        <v>204</v>
      </c>
      <c r="Q2" s="41" t="s">
        <v>96</v>
      </c>
      <c r="R2" s="38" t="s">
        <v>97</v>
      </c>
    </row>
    <row r="3" spans="1:18" x14ac:dyDescent="0.25">
      <c r="A3" s="38">
        <v>3001</v>
      </c>
      <c r="B3" s="38" t="s">
        <v>93</v>
      </c>
      <c r="C3" s="38" t="s">
        <v>94</v>
      </c>
      <c r="D3" s="38" t="s">
        <v>98</v>
      </c>
      <c r="E3" s="38">
        <v>420</v>
      </c>
      <c r="F3" s="38">
        <v>360</v>
      </c>
      <c r="G3" s="40">
        <v>34</v>
      </c>
      <c r="H3" s="40">
        <v>121</v>
      </c>
      <c r="I3" s="40">
        <v>92</v>
      </c>
      <c r="J3" s="40">
        <v>178</v>
      </c>
      <c r="L3" s="40">
        <f t="shared" si="0"/>
        <v>39</v>
      </c>
      <c r="M3" s="40">
        <f t="shared" si="0"/>
        <v>139</v>
      </c>
      <c r="N3" s="40">
        <f t="shared" si="0"/>
        <v>106</v>
      </c>
      <c r="O3" s="40">
        <f t="shared" si="0"/>
        <v>205</v>
      </c>
      <c r="Q3" s="41" t="s">
        <v>99</v>
      </c>
      <c r="R3" s="38">
        <f>COUNTIF(B:B,"Platte")</f>
        <v>258</v>
      </c>
    </row>
    <row r="4" spans="1:18" x14ac:dyDescent="0.25">
      <c r="A4" s="38">
        <v>3002</v>
      </c>
      <c r="B4" s="38" t="s">
        <v>93</v>
      </c>
      <c r="C4" s="38" t="s">
        <v>94</v>
      </c>
      <c r="D4" s="38" t="s">
        <v>100</v>
      </c>
      <c r="E4" s="38">
        <v>580</v>
      </c>
      <c r="F4" s="38">
        <v>360</v>
      </c>
      <c r="G4" s="40">
        <v>43</v>
      </c>
      <c r="H4" s="40">
        <v>161</v>
      </c>
      <c r="I4" s="40">
        <v>130</v>
      </c>
      <c r="J4" s="40">
        <v>185</v>
      </c>
      <c r="L4" s="40">
        <f t="shared" si="0"/>
        <v>49</v>
      </c>
      <c r="M4" s="40">
        <f t="shared" si="0"/>
        <v>185</v>
      </c>
      <c r="N4" s="40">
        <f t="shared" si="0"/>
        <v>150</v>
      </c>
      <c r="O4" s="40">
        <f t="shared" si="0"/>
        <v>213</v>
      </c>
      <c r="Q4" s="41" t="s">
        <v>101</v>
      </c>
      <c r="R4" s="38">
        <f>COUNTIF(B:B,"Zubehör")</f>
        <v>47</v>
      </c>
    </row>
    <row r="5" spans="1:18" x14ac:dyDescent="0.25">
      <c r="A5" s="38">
        <v>3003</v>
      </c>
      <c r="B5" s="38" t="s">
        <v>93</v>
      </c>
      <c r="C5" s="38" t="s">
        <v>94</v>
      </c>
      <c r="D5" s="38" t="s">
        <v>102</v>
      </c>
      <c r="E5" s="38">
        <v>780</v>
      </c>
      <c r="F5" s="38">
        <v>360</v>
      </c>
      <c r="G5" s="40">
        <v>56</v>
      </c>
      <c r="H5" s="40">
        <v>185</v>
      </c>
      <c r="I5" s="40">
        <v>144</v>
      </c>
      <c r="J5" s="40">
        <v>190</v>
      </c>
      <c r="L5" s="40">
        <f t="shared" si="0"/>
        <v>64</v>
      </c>
      <c r="M5" s="40">
        <f t="shared" si="0"/>
        <v>213</v>
      </c>
      <c r="N5" s="40">
        <f t="shared" si="0"/>
        <v>166</v>
      </c>
      <c r="O5" s="40">
        <f t="shared" si="0"/>
        <v>219</v>
      </c>
      <c r="Q5" s="41" t="s">
        <v>103</v>
      </c>
      <c r="R5" s="38" t="s">
        <v>104</v>
      </c>
    </row>
    <row r="6" spans="1:18" x14ac:dyDescent="0.25">
      <c r="A6" s="38">
        <v>3004</v>
      </c>
      <c r="B6" s="38" t="s">
        <v>93</v>
      </c>
      <c r="C6" s="38" t="s">
        <v>94</v>
      </c>
      <c r="D6" s="38" t="s">
        <v>105</v>
      </c>
      <c r="E6" s="38">
        <v>980</v>
      </c>
      <c r="F6" s="38">
        <v>360</v>
      </c>
      <c r="G6" s="40">
        <v>70</v>
      </c>
      <c r="H6" s="40">
        <v>223</v>
      </c>
      <c r="I6" s="40">
        <v>174</v>
      </c>
      <c r="J6" s="40">
        <v>209</v>
      </c>
      <c r="L6" s="40">
        <f t="shared" si="0"/>
        <v>81</v>
      </c>
      <c r="M6" s="40">
        <f t="shared" si="0"/>
        <v>256</v>
      </c>
      <c r="N6" s="40">
        <f t="shared" si="0"/>
        <v>200</v>
      </c>
      <c r="O6" s="40">
        <f t="shared" si="0"/>
        <v>240</v>
      </c>
      <c r="Q6" s="41" t="s">
        <v>106</v>
      </c>
      <c r="R6" s="38">
        <f>COUNTIF(K:K,"*nicht OK*")</f>
        <v>10</v>
      </c>
    </row>
    <row r="7" spans="1:18" x14ac:dyDescent="0.25">
      <c r="A7" s="38">
        <v>3005</v>
      </c>
      <c r="B7" s="38" t="s">
        <v>93</v>
      </c>
      <c r="C7" s="38" t="s">
        <v>94</v>
      </c>
      <c r="D7" s="38" t="s">
        <v>107</v>
      </c>
      <c r="E7" s="38">
        <v>360</v>
      </c>
      <c r="F7" s="38">
        <v>580</v>
      </c>
      <c r="G7" s="40">
        <v>43</v>
      </c>
      <c r="H7" s="40">
        <v>161</v>
      </c>
      <c r="I7" s="40">
        <v>130</v>
      </c>
      <c r="J7" s="40">
        <v>185</v>
      </c>
      <c r="L7" s="40">
        <f t="shared" si="0"/>
        <v>49</v>
      </c>
      <c r="M7" s="40">
        <f t="shared" si="0"/>
        <v>185</v>
      </c>
      <c r="N7" s="40">
        <f t="shared" si="0"/>
        <v>150</v>
      </c>
      <c r="O7" s="40">
        <f t="shared" si="0"/>
        <v>213</v>
      </c>
      <c r="Q7" s="41" t="s">
        <v>108</v>
      </c>
      <c r="R7" s="38">
        <v>1.1499999999999999</v>
      </c>
    </row>
    <row r="8" spans="1:18" x14ac:dyDescent="0.25">
      <c r="A8" s="38">
        <v>3006</v>
      </c>
      <c r="B8" s="38" t="s">
        <v>93</v>
      </c>
      <c r="C8" s="38" t="s">
        <v>94</v>
      </c>
      <c r="D8" s="38" t="s">
        <v>109</v>
      </c>
      <c r="E8" s="38">
        <v>420</v>
      </c>
      <c r="F8" s="38">
        <v>580</v>
      </c>
      <c r="G8" s="40">
        <v>49</v>
      </c>
      <c r="H8" s="40">
        <v>181</v>
      </c>
      <c r="I8" s="40">
        <v>147</v>
      </c>
      <c r="J8" s="40">
        <v>186</v>
      </c>
      <c r="L8" s="40">
        <f t="shared" si="0"/>
        <v>56</v>
      </c>
      <c r="M8" s="40">
        <f t="shared" si="0"/>
        <v>208</v>
      </c>
      <c r="N8" s="40">
        <f t="shared" si="0"/>
        <v>169</v>
      </c>
      <c r="O8" s="40">
        <f t="shared" si="0"/>
        <v>214</v>
      </c>
      <c r="Q8" s="41" t="s">
        <v>110</v>
      </c>
      <c r="R8" s="38" t="s">
        <v>111</v>
      </c>
    </row>
    <row r="9" spans="1:18" x14ac:dyDescent="0.25">
      <c r="A9" s="38">
        <v>3007</v>
      </c>
      <c r="B9" s="38" t="s">
        <v>93</v>
      </c>
      <c r="C9" s="38" t="s">
        <v>94</v>
      </c>
      <c r="D9" s="38" t="s">
        <v>112</v>
      </c>
      <c r="E9" s="38">
        <v>580</v>
      </c>
      <c r="F9" s="38">
        <v>580</v>
      </c>
      <c r="G9" s="40">
        <v>67</v>
      </c>
      <c r="H9" s="40">
        <v>228</v>
      </c>
      <c r="I9" s="40">
        <v>183</v>
      </c>
      <c r="J9" s="40">
        <v>191</v>
      </c>
      <c r="L9" s="40">
        <f t="shared" si="0"/>
        <v>77</v>
      </c>
      <c r="M9" s="40">
        <f t="shared" si="0"/>
        <v>262</v>
      </c>
      <c r="N9" s="40">
        <f t="shared" si="0"/>
        <v>210</v>
      </c>
      <c r="O9" s="40">
        <f t="shared" si="0"/>
        <v>220</v>
      </c>
    </row>
    <row r="10" spans="1:18" x14ac:dyDescent="0.25">
      <c r="A10" s="38">
        <v>3008</v>
      </c>
      <c r="B10" s="38" t="s">
        <v>93</v>
      </c>
      <c r="C10" s="38" t="s">
        <v>94</v>
      </c>
      <c r="D10" s="38" t="s">
        <v>113</v>
      </c>
      <c r="E10" s="38">
        <v>780</v>
      </c>
      <c r="F10" s="38">
        <v>580</v>
      </c>
      <c r="G10" s="40">
        <v>87</v>
      </c>
      <c r="H10" s="40">
        <v>275</v>
      </c>
      <c r="I10" s="40">
        <v>225</v>
      </c>
      <c r="J10" s="40">
        <v>237</v>
      </c>
      <c r="L10" s="40">
        <f t="shared" si="0"/>
        <v>100</v>
      </c>
      <c r="M10" s="40">
        <f t="shared" si="0"/>
        <v>316</v>
      </c>
      <c r="N10" s="40">
        <f t="shared" si="0"/>
        <v>259</v>
      </c>
      <c r="O10" s="40">
        <f t="shared" si="0"/>
        <v>273</v>
      </c>
    </row>
    <row r="11" spans="1:18" x14ac:dyDescent="0.25">
      <c r="A11" s="38">
        <v>3009</v>
      </c>
      <c r="B11" s="38" t="s">
        <v>93</v>
      </c>
      <c r="C11" s="38" t="s">
        <v>94</v>
      </c>
      <c r="D11" s="38" t="s">
        <v>114</v>
      </c>
      <c r="E11" s="38">
        <v>980</v>
      </c>
      <c r="F11" s="38">
        <v>580</v>
      </c>
      <c r="G11" s="40">
        <v>110</v>
      </c>
      <c r="H11" s="40">
        <v>355</v>
      </c>
      <c r="I11" s="40">
        <v>286</v>
      </c>
      <c r="J11" s="40">
        <v>276</v>
      </c>
      <c r="L11" s="40">
        <f t="shared" si="0"/>
        <v>127</v>
      </c>
      <c r="M11" s="40">
        <f t="shared" si="0"/>
        <v>408</v>
      </c>
      <c r="N11" s="40">
        <f t="shared" si="0"/>
        <v>329</v>
      </c>
      <c r="O11" s="40">
        <f t="shared" si="0"/>
        <v>317</v>
      </c>
    </row>
    <row r="12" spans="1:18" x14ac:dyDescent="0.25">
      <c r="A12" s="38">
        <v>3010</v>
      </c>
      <c r="B12" s="38" t="s">
        <v>93</v>
      </c>
      <c r="C12" s="38" t="s">
        <v>94</v>
      </c>
      <c r="D12" s="38" t="s">
        <v>115</v>
      </c>
      <c r="E12" s="38">
        <v>780</v>
      </c>
      <c r="F12" s="38">
        <v>780</v>
      </c>
      <c r="G12" s="40">
        <v>113</v>
      </c>
      <c r="H12" s="40">
        <v>302</v>
      </c>
      <c r="I12" s="40">
        <v>272</v>
      </c>
      <c r="J12" s="40">
        <v>295</v>
      </c>
      <c r="L12" s="40">
        <f t="shared" si="0"/>
        <v>130</v>
      </c>
      <c r="M12" s="40">
        <f t="shared" si="0"/>
        <v>347</v>
      </c>
      <c r="N12" s="40">
        <f t="shared" si="0"/>
        <v>313</v>
      </c>
      <c r="O12" s="40">
        <f t="shared" si="0"/>
        <v>339</v>
      </c>
    </row>
    <row r="13" spans="1:18" x14ac:dyDescent="0.25">
      <c r="A13" s="38">
        <v>3011</v>
      </c>
      <c r="B13" s="38" t="s">
        <v>93</v>
      </c>
      <c r="C13" s="38" t="s">
        <v>94</v>
      </c>
      <c r="D13" s="38" t="s">
        <v>116</v>
      </c>
      <c r="E13" s="38">
        <v>980</v>
      </c>
      <c r="F13" s="38">
        <v>780</v>
      </c>
      <c r="G13" s="40">
        <v>139</v>
      </c>
      <c r="H13" s="40">
        <v>416</v>
      </c>
      <c r="I13" s="40">
        <v>216</v>
      </c>
      <c r="J13" s="40">
        <v>406</v>
      </c>
      <c r="L13" s="40">
        <f t="shared" si="0"/>
        <v>160</v>
      </c>
      <c r="M13" s="40">
        <f t="shared" si="0"/>
        <v>478</v>
      </c>
      <c r="N13" s="40">
        <f t="shared" si="0"/>
        <v>248</v>
      </c>
      <c r="O13" s="40">
        <f t="shared" si="0"/>
        <v>467</v>
      </c>
    </row>
    <row r="14" spans="1:18" x14ac:dyDescent="0.25">
      <c r="A14" s="38">
        <v>3012</v>
      </c>
      <c r="B14" s="38" t="s">
        <v>93</v>
      </c>
      <c r="C14" s="38" t="s">
        <v>94</v>
      </c>
      <c r="D14" s="38" t="s">
        <v>117</v>
      </c>
      <c r="E14" s="38">
        <v>980</v>
      </c>
      <c r="F14" s="38">
        <v>980</v>
      </c>
      <c r="G14" s="40">
        <v>180</v>
      </c>
      <c r="H14" s="40">
        <v>496</v>
      </c>
      <c r="I14" s="40">
        <v>257</v>
      </c>
      <c r="J14" s="40">
        <v>483</v>
      </c>
      <c r="L14" s="40">
        <f t="shared" si="0"/>
        <v>207</v>
      </c>
      <c r="M14" s="40">
        <f t="shared" si="0"/>
        <v>570</v>
      </c>
      <c r="N14" s="40">
        <f t="shared" si="0"/>
        <v>296</v>
      </c>
      <c r="O14" s="40">
        <f t="shared" si="0"/>
        <v>555</v>
      </c>
    </row>
    <row r="15" spans="1:18" x14ac:dyDescent="0.25">
      <c r="A15" s="38">
        <v>3013</v>
      </c>
      <c r="B15" s="38" t="s">
        <v>93</v>
      </c>
      <c r="C15" s="38" t="s">
        <v>94</v>
      </c>
      <c r="D15" s="38" t="s">
        <v>118</v>
      </c>
      <c r="E15" s="38">
        <v>420</v>
      </c>
      <c r="F15" s="38">
        <v>780</v>
      </c>
      <c r="G15" s="40">
        <v>71</v>
      </c>
      <c r="H15" s="40">
        <v>219</v>
      </c>
      <c r="I15" s="40">
        <v>113</v>
      </c>
      <c r="J15" s="40">
        <v>213</v>
      </c>
      <c r="L15" s="40">
        <f t="shared" si="0"/>
        <v>82</v>
      </c>
      <c r="M15" s="40">
        <f t="shared" si="0"/>
        <v>252</v>
      </c>
      <c r="N15" s="40">
        <f t="shared" si="0"/>
        <v>130</v>
      </c>
      <c r="O15" s="40">
        <f t="shared" si="0"/>
        <v>245</v>
      </c>
    </row>
    <row r="16" spans="1:18" x14ac:dyDescent="0.25">
      <c r="A16" s="38">
        <v>3014</v>
      </c>
      <c r="B16" s="38" t="s">
        <v>93</v>
      </c>
      <c r="C16" s="38" t="s">
        <v>94</v>
      </c>
      <c r="D16" s="38" t="s">
        <v>119</v>
      </c>
      <c r="E16" s="38">
        <v>420</v>
      </c>
      <c r="F16" s="38">
        <v>980</v>
      </c>
      <c r="G16" s="40">
        <v>88</v>
      </c>
      <c r="H16" s="40">
        <v>247</v>
      </c>
      <c r="I16" s="40">
        <v>128</v>
      </c>
      <c r="J16" s="40">
        <v>241</v>
      </c>
      <c r="L16" s="40">
        <f t="shared" si="0"/>
        <v>101</v>
      </c>
      <c r="M16" s="40">
        <f t="shared" si="0"/>
        <v>284</v>
      </c>
      <c r="N16" s="40">
        <f t="shared" si="0"/>
        <v>147</v>
      </c>
      <c r="O16" s="40">
        <f t="shared" si="0"/>
        <v>277</v>
      </c>
    </row>
    <row r="17" spans="1:15" x14ac:dyDescent="0.25">
      <c r="A17" s="38" t="s">
        <v>120</v>
      </c>
      <c r="B17" s="38" t="s">
        <v>93</v>
      </c>
      <c r="C17" s="38" t="s">
        <v>94</v>
      </c>
      <c r="D17" s="38" t="s">
        <v>121</v>
      </c>
      <c r="E17" s="38">
        <v>420</v>
      </c>
      <c r="F17" s="38">
        <v>420</v>
      </c>
      <c r="G17" s="40">
        <v>56</v>
      </c>
      <c r="H17" s="40">
        <v>134</v>
      </c>
      <c r="I17" s="40">
        <v>69</v>
      </c>
      <c r="J17" s="40">
        <v>130</v>
      </c>
      <c r="L17" s="40">
        <f t="shared" si="0"/>
        <v>64</v>
      </c>
      <c r="M17" s="40">
        <f t="shared" si="0"/>
        <v>154</v>
      </c>
      <c r="N17" s="40">
        <f t="shared" si="0"/>
        <v>79</v>
      </c>
      <c r="O17" s="40">
        <f t="shared" si="0"/>
        <v>150</v>
      </c>
    </row>
    <row r="18" spans="1:15" x14ac:dyDescent="0.25">
      <c r="A18" s="38">
        <v>3100</v>
      </c>
      <c r="B18" s="38" t="s">
        <v>93</v>
      </c>
      <c r="C18" s="38" t="s">
        <v>122</v>
      </c>
      <c r="D18" s="38" t="s">
        <v>123</v>
      </c>
      <c r="E18" s="38">
        <v>360</v>
      </c>
      <c r="F18" s="38">
        <v>180</v>
      </c>
      <c r="G18" s="40">
        <v>34</v>
      </c>
      <c r="H18" s="40">
        <v>114</v>
      </c>
      <c r="I18" s="40">
        <v>89</v>
      </c>
      <c r="J18" s="40">
        <v>201</v>
      </c>
      <c r="L18" s="40">
        <f t="shared" si="0"/>
        <v>39</v>
      </c>
      <c r="M18" s="40">
        <f t="shared" si="0"/>
        <v>131</v>
      </c>
      <c r="N18" s="40">
        <f t="shared" si="0"/>
        <v>102</v>
      </c>
      <c r="O18" s="40">
        <f t="shared" si="0"/>
        <v>231</v>
      </c>
    </row>
    <row r="19" spans="1:15" x14ac:dyDescent="0.25">
      <c r="A19" s="38">
        <v>3101</v>
      </c>
      <c r="B19" s="38" t="s">
        <v>93</v>
      </c>
      <c r="C19" s="38" t="s">
        <v>122</v>
      </c>
      <c r="D19" s="38" t="s">
        <v>124</v>
      </c>
      <c r="E19" s="38">
        <v>360</v>
      </c>
      <c r="F19" s="38">
        <v>360</v>
      </c>
      <c r="G19" s="40">
        <v>34</v>
      </c>
      <c r="H19" s="40">
        <v>114</v>
      </c>
      <c r="I19" s="40">
        <v>89</v>
      </c>
      <c r="J19" s="40">
        <v>177</v>
      </c>
      <c r="L19" s="40">
        <f t="shared" si="0"/>
        <v>39</v>
      </c>
      <c r="M19" s="40">
        <f t="shared" si="0"/>
        <v>131</v>
      </c>
      <c r="N19" s="40">
        <f t="shared" si="0"/>
        <v>102</v>
      </c>
      <c r="O19" s="40">
        <f t="shared" si="0"/>
        <v>204</v>
      </c>
    </row>
    <row r="20" spans="1:15" x14ac:dyDescent="0.25">
      <c r="A20" s="38">
        <v>3102</v>
      </c>
      <c r="B20" s="38" t="s">
        <v>93</v>
      </c>
      <c r="C20" s="38" t="s">
        <v>122</v>
      </c>
      <c r="D20" s="38" t="s">
        <v>125</v>
      </c>
      <c r="E20" s="38">
        <v>360</v>
      </c>
      <c r="F20" s="38">
        <v>720</v>
      </c>
      <c r="G20" s="40">
        <v>52</v>
      </c>
      <c r="H20" s="40">
        <v>181</v>
      </c>
      <c r="I20" s="40">
        <v>143</v>
      </c>
      <c r="J20" s="40">
        <v>212</v>
      </c>
      <c r="L20" s="40">
        <f t="shared" si="0"/>
        <v>60</v>
      </c>
      <c r="M20" s="40">
        <f t="shared" si="0"/>
        <v>208</v>
      </c>
      <c r="N20" s="40">
        <f t="shared" si="0"/>
        <v>164</v>
      </c>
      <c r="O20" s="40">
        <f t="shared" si="0"/>
        <v>244</v>
      </c>
    </row>
    <row r="21" spans="1:15" x14ac:dyDescent="0.25">
      <c r="A21" s="38">
        <v>3103</v>
      </c>
      <c r="B21" s="38" t="s">
        <v>93</v>
      </c>
      <c r="C21" s="38" t="s">
        <v>122</v>
      </c>
      <c r="D21" s="38" t="s">
        <v>126</v>
      </c>
      <c r="E21" s="38">
        <v>360</v>
      </c>
      <c r="F21" s="38">
        <v>1080</v>
      </c>
      <c r="G21" s="40">
        <v>76</v>
      </c>
      <c r="H21" s="40">
        <v>267</v>
      </c>
      <c r="I21" s="40">
        <v>222</v>
      </c>
      <c r="J21" s="40">
        <v>240</v>
      </c>
      <c r="L21" s="40">
        <f t="shared" si="0"/>
        <v>87</v>
      </c>
      <c r="M21" s="40">
        <f t="shared" si="0"/>
        <v>307</v>
      </c>
      <c r="N21" s="40">
        <f t="shared" si="0"/>
        <v>255</v>
      </c>
      <c r="O21" s="40">
        <f t="shared" si="0"/>
        <v>276</v>
      </c>
    </row>
    <row r="22" spans="1:15" x14ac:dyDescent="0.25">
      <c r="A22" s="38">
        <v>3104</v>
      </c>
      <c r="B22" s="38" t="s">
        <v>93</v>
      </c>
      <c r="C22" s="38" t="s">
        <v>122</v>
      </c>
      <c r="D22" s="38" t="s">
        <v>127</v>
      </c>
      <c r="E22" s="38">
        <v>360</v>
      </c>
      <c r="F22" s="38">
        <v>1440</v>
      </c>
      <c r="G22" s="40">
        <v>100</v>
      </c>
      <c r="H22" s="40">
        <v>336</v>
      </c>
      <c r="I22" s="40">
        <v>281</v>
      </c>
      <c r="J22" s="40">
        <v>529</v>
      </c>
      <c r="L22" s="40">
        <f t="shared" si="0"/>
        <v>115</v>
      </c>
      <c r="M22" s="40">
        <f t="shared" si="0"/>
        <v>386</v>
      </c>
      <c r="N22" s="40">
        <f t="shared" si="0"/>
        <v>323</v>
      </c>
      <c r="O22" s="40">
        <f t="shared" si="0"/>
        <v>608</v>
      </c>
    </row>
    <row r="23" spans="1:15" x14ac:dyDescent="0.25">
      <c r="A23" s="38">
        <v>3105</v>
      </c>
      <c r="B23" s="38" t="s">
        <v>93</v>
      </c>
      <c r="C23" s="38" t="s">
        <v>122</v>
      </c>
      <c r="D23" s="38" t="s">
        <v>128</v>
      </c>
      <c r="E23" s="38">
        <v>360</v>
      </c>
      <c r="F23" s="38">
        <v>1800</v>
      </c>
      <c r="G23" s="40">
        <v>125</v>
      </c>
      <c r="H23" s="40">
        <v>246</v>
      </c>
      <c r="I23" s="40">
        <v>343</v>
      </c>
      <c r="J23" s="40">
        <v>645</v>
      </c>
      <c r="L23" s="40">
        <f t="shared" si="0"/>
        <v>144</v>
      </c>
      <c r="M23" s="40">
        <f t="shared" si="0"/>
        <v>283</v>
      </c>
      <c r="N23" s="40">
        <f t="shared" si="0"/>
        <v>394</v>
      </c>
      <c r="O23" s="40">
        <f t="shared" si="0"/>
        <v>742</v>
      </c>
    </row>
    <row r="24" spans="1:15" x14ac:dyDescent="0.25">
      <c r="A24" s="38">
        <v>3106</v>
      </c>
      <c r="B24" s="38" t="s">
        <v>93</v>
      </c>
      <c r="C24" s="38" t="s">
        <v>122</v>
      </c>
      <c r="D24" s="38" t="s">
        <v>129</v>
      </c>
      <c r="E24" s="38">
        <v>580</v>
      </c>
      <c r="F24" s="38">
        <v>180</v>
      </c>
      <c r="G24" s="40">
        <v>43</v>
      </c>
      <c r="H24" s="40">
        <v>161</v>
      </c>
      <c r="I24" s="40">
        <v>130</v>
      </c>
      <c r="J24" s="40">
        <v>208</v>
      </c>
      <c r="L24" s="40">
        <f t="shared" si="0"/>
        <v>49</v>
      </c>
      <c r="M24" s="40">
        <f t="shared" si="0"/>
        <v>185</v>
      </c>
      <c r="N24" s="40">
        <f t="shared" si="0"/>
        <v>150</v>
      </c>
      <c r="O24" s="40">
        <f t="shared" si="0"/>
        <v>239</v>
      </c>
    </row>
    <row r="25" spans="1:15" x14ac:dyDescent="0.25">
      <c r="A25" s="38">
        <v>3107</v>
      </c>
      <c r="B25" s="38" t="s">
        <v>93</v>
      </c>
      <c r="C25" s="38" t="s">
        <v>122</v>
      </c>
      <c r="D25" s="38" t="s">
        <v>130</v>
      </c>
      <c r="E25" s="38">
        <v>580</v>
      </c>
      <c r="F25" s="38">
        <v>360</v>
      </c>
      <c r="G25" s="40">
        <v>43</v>
      </c>
      <c r="H25" s="40">
        <v>161</v>
      </c>
      <c r="I25" s="40">
        <v>130</v>
      </c>
      <c r="J25" s="40">
        <v>185</v>
      </c>
      <c r="L25" s="40">
        <f t="shared" si="0"/>
        <v>49</v>
      </c>
      <c r="M25" s="40">
        <f t="shared" si="0"/>
        <v>185</v>
      </c>
      <c r="N25" s="40">
        <f t="shared" si="0"/>
        <v>150</v>
      </c>
      <c r="O25" s="40">
        <f t="shared" si="0"/>
        <v>213</v>
      </c>
    </row>
    <row r="26" spans="1:15" x14ac:dyDescent="0.25">
      <c r="A26" s="38">
        <v>3108</v>
      </c>
      <c r="B26" s="38" t="s">
        <v>93</v>
      </c>
      <c r="C26" s="38" t="s">
        <v>122</v>
      </c>
      <c r="D26" s="38" t="s">
        <v>131</v>
      </c>
      <c r="E26" s="38">
        <v>580</v>
      </c>
      <c r="F26" s="38">
        <v>720</v>
      </c>
      <c r="G26" s="40">
        <v>82</v>
      </c>
      <c r="H26" s="40">
        <v>262</v>
      </c>
      <c r="I26" s="40">
        <v>216</v>
      </c>
      <c r="J26" s="40">
        <v>245</v>
      </c>
      <c r="L26" s="40">
        <f t="shared" si="0"/>
        <v>94</v>
      </c>
      <c r="M26" s="40">
        <f t="shared" si="0"/>
        <v>301</v>
      </c>
      <c r="N26" s="40">
        <f t="shared" si="0"/>
        <v>248</v>
      </c>
      <c r="O26" s="40">
        <f t="shared" si="0"/>
        <v>282</v>
      </c>
    </row>
    <row r="27" spans="1:15" x14ac:dyDescent="0.25">
      <c r="A27" s="38">
        <v>3109</v>
      </c>
      <c r="B27" s="38" t="s">
        <v>93</v>
      </c>
      <c r="C27" s="38" t="s">
        <v>122</v>
      </c>
      <c r="D27" s="38" t="s">
        <v>132</v>
      </c>
      <c r="E27" s="38">
        <v>580</v>
      </c>
      <c r="F27" s="38">
        <v>1080</v>
      </c>
      <c r="G27" s="40">
        <v>119</v>
      </c>
      <c r="H27" s="40">
        <v>377</v>
      </c>
      <c r="I27" s="40">
        <v>300</v>
      </c>
      <c r="J27" s="40">
        <v>307</v>
      </c>
      <c r="L27" s="40">
        <f t="shared" si="0"/>
        <v>137</v>
      </c>
      <c r="M27" s="40">
        <f t="shared" si="0"/>
        <v>434</v>
      </c>
      <c r="N27" s="40">
        <f t="shared" si="0"/>
        <v>345</v>
      </c>
      <c r="O27" s="40">
        <f t="shared" si="0"/>
        <v>353</v>
      </c>
    </row>
    <row r="28" spans="1:15" x14ac:dyDescent="0.25">
      <c r="A28" s="38">
        <v>3110</v>
      </c>
      <c r="B28" s="38" t="s">
        <v>93</v>
      </c>
      <c r="C28" s="38" t="s">
        <v>122</v>
      </c>
      <c r="D28" s="38" t="s">
        <v>133</v>
      </c>
      <c r="E28" s="38">
        <v>580</v>
      </c>
      <c r="F28" s="38">
        <v>1440</v>
      </c>
      <c r="G28" s="40">
        <v>158</v>
      </c>
      <c r="H28" s="40">
        <v>484</v>
      </c>
      <c r="I28" s="40">
        <v>400</v>
      </c>
      <c r="J28" s="40">
        <v>752</v>
      </c>
      <c r="L28" s="40">
        <f t="shared" si="0"/>
        <v>182</v>
      </c>
      <c r="M28" s="40">
        <f t="shared" si="0"/>
        <v>557</v>
      </c>
      <c r="N28" s="40">
        <f t="shared" si="0"/>
        <v>460</v>
      </c>
      <c r="O28" s="40">
        <f t="shared" si="0"/>
        <v>865</v>
      </c>
    </row>
    <row r="29" spans="1:15" x14ac:dyDescent="0.25">
      <c r="A29" s="38">
        <v>3111</v>
      </c>
      <c r="B29" s="38" t="s">
        <v>93</v>
      </c>
      <c r="C29" s="38" t="s">
        <v>122</v>
      </c>
      <c r="D29" s="38" t="s">
        <v>134</v>
      </c>
      <c r="E29" s="38">
        <v>580</v>
      </c>
      <c r="F29" s="38">
        <v>1800</v>
      </c>
      <c r="G29" s="40">
        <v>197</v>
      </c>
      <c r="H29" s="40">
        <v>388</v>
      </c>
      <c r="I29" s="40">
        <v>467</v>
      </c>
      <c r="J29" s="40">
        <v>879</v>
      </c>
      <c r="L29" s="40">
        <f t="shared" si="0"/>
        <v>227</v>
      </c>
      <c r="M29" s="40">
        <f t="shared" si="0"/>
        <v>446</v>
      </c>
      <c r="N29" s="40">
        <f t="shared" si="0"/>
        <v>537</v>
      </c>
      <c r="O29" s="40">
        <f t="shared" si="0"/>
        <v>1011</v>
      </c>
    </row>
    <row r="30" spans="1:15" x14ac:dyDescent="0.25">
      <c r="A30" s="38">
        <v>3112</v>
      </c>
      <c r="B30" s="38" t="s">
        <v>93</v>
      </c>
      <c r="C30" s="38" t="s">
        <v>122</v>
      </c>
      <c r="D30" s="38" t="s">
        <v>135</v>
      </c>
      <c r="E30" s="38">
        <v>180</v>
      </c>
      <c r="F30" s="38">
        <v>780</v>
      </c>
      <c r="G30" s="40">
        <v>56</v>
      </c>
      <c r="H30" s="40">
        <v>185</v>
      </c>
      <c r="I30" s="40">
        <v>144</v>
      </c>
      <c r="J30" s="40">
        <v>212</v>
      </c>
      <c r="L30" s="40">
        <f t="shared" si="0"/>
        <v>64</v>
      </c>
      <c r="M30" s="40">
        <f t="shared" si="0"/>
        <v>213</v>
      </c>
      <c r="N30" s="40">
        <f t="shared" si="0"/>
        <v>166</v>
      </c>
      <c r="O30" s="40">
        <f t="shared" si="0"/>
        <v>244</v>
      </c>
    </row>
    <row r="31" spans="1:15" x14ac:dyDescent="0.25">
      <c r="A31" s="38">
        <v>3113</v>
      </c>
      <c r="B31" s="38" t="s">
        <v>93</v>
      </c>
      <c r="C31" s="38" t="s">
        <v>122</v>
      </c>
      <c r="D31" s="38" t="s">
        <v>136</v>
      </c>
      <c r="E31" s="38">
        <v>180</v>
      </c>
      <c r="F31" s="38">
        <v>980</v>
      </c>
      <c r="G31" s="40">
        <v>70</v>
      </c>
      <c r="H31" s="40">
        <v>223</v>
      </c>
      <c r="I31" s="40">
        <v>174</v>
      </c>
      <c r="J31" s="40">
        <v>229</v>
      </c>
      <c r="L31" s="40">
        <f t="shared" si="0"/>
        <v>81</v>
      </c>
      <c r="M31" s="40">
        <f t="shared" si="0"/>
        <v>256</v>
      </c>
      <c r="N31" s="40">
        <f t="shared" si="0"/>
        <v>200</v>
      </c>
      <c r="O31" s="40">
        <f t="shared" si="0"/>
        <v>263</v>
      </c>
    </row>
    <row r="32" spans="1:15" x14ac:dyDescent="0.25">
      <c r="A32" s="38">
        <v>3114</v>
      </c>
      <c r="B32" s="38" t="s">
        <v>93</v>
      </c>
      <c r="C32" s="38" t="s">
        <v>122</v>
      </c>
      <c r="D32" s="38" t="s">
        <v>137</v>
      </c>
      <c r="E32" s="38">
        <v>360</v>
      </c>
      <c r="F32" s="38">
        <v>780</v>
      </c>
      <c r="G32" s="40">
        <v>56</v>
      </c>
      <c r="H32" s="40">
        <v>185</v>
      </c>
      <c r="I32" s="40">
        <v>144</v>
      </c>
      <c r="J32" s="40">
        <v>190</v>
      </c>
      <c r="L32" s="40">
        <f t="shared" si="0"/>
        <v>64</v>
      </c>
      <c r="M32" s="40">
        <f t="shared" si="0"/>
        <v>213</v>
      </c>
      <c r="N32" s="40">
        <f t="shared" si="0"/>
        <v>166</v>
      </c>
      <c r="O32" s="40">
        <f t="shared" si="0"/>
        <v>219</v>
      </c>
    </row>
    <row r="33" spans="1:15" x14ac:dyDescent="0.25">
      <c r="A33" s="38">
        <v>3115</v>
      </c>
      <c r="B33" s="38" t="s">
        <v>93</v>
      </c>
      <c r="C33" s="38" t="s">
        <v>122</v>
      </c>
      <c r="D33" s="38" t="s">
        <v>138</v>
      </c>
      <c r="E33" s="38">
        <v>360</v>
      </c>
      <c r="F33" s="38">
        <v>980</v>
      </c>
      <c r="G33" s="40">
        <v>70</v>
      </c>
      <c r="H33" s="40">
        <v>223</v>
      </c>
      <c r="I33" s="40">
        <v>174</v>
      </c>
      <c r="J33" s="40">
        <v>209</v>
      </c>
      <c r="L33" s="40">
        <f t="shared" si="0"/>
        <v>81</v>
      </c>
      <c r="M33" s="40">
        <f t="shared" si="0"/>
        <v>256</v>
      </c>
      <c r="N33" s="40">
        <f t="shared" si="0"/>
        <v>200</v>
      </c>
      <c r="O33" s="40">
        <f t="shared" si="0"/>
        <v>240</v>
      </c>
    </row>
    <row r="34" spans="1:15" x14ac:dyDescent="0.25">
      <c r="A34" s="38">
        <v>3116</v>
      </c>
      <c r="B34" s="38" t="s">
        <v>93</v>
      </c>
      <c r="C34" s="38" t="s">
        <v>122</v>
      </c>
      <c r="D34" s="38" t="s">
        <v>139</v>
      </c>
      <c r="E34" s="38">
        <v>720</v>
      </c>
      <c r="F34" s="38">
        <v>780</v>
      </c>
      <c r="G34" s="40">
        <v>107</v>
      </c>
      <c r="H34" s="40">
        <v>355</v>
      </c>
      <c r="I34" s="40">
        <v>277</v>
      </c>
      <c r="J34" s="40">
        <v>268</v>
      </c>
      <c r="L34" s="40">
        <f t="shared" si="0"/>
        <v>123</v>
      </c>
      <c r="M34" s="40">
        <f t="shared" si="0"/>
        <v>408</v>
      </c>
      <c r="N34" s="40">
        <f t="shared" si="0"/>
        <v>319</v>
      </c>
      <c r="O34" s="40">
        <f t="shared" si="0"/>
        <v>308</v>
      </c>
    </row>
    <row r="35" spans="1:15" x14ac:dyDescent="0.25">
      <c r="A35" s="38">
        <v>3117</v>
      </c>
      <c r="B35" s="38" t="s">
        <v>93</v>
      </c>
      <c r="C35" s="38" t="s">
        <v>122</v>
      </c>
      <c r="D35" s="38" t="s">
        <v>140</v>
      </c>
      <c r="E35" s="38">
        <v>720</v>
      </c>
      <c r="F35" s="38">
        <v>980</v>
      </c>
      <c r="G35" s="40">
        <v>134</v>
      </c>
      <c r="H35" s="40">
        <v>406</v>
      </c>
      <c r="I35" s="40">
        <v>320</v>
      </c>
      <c r="J35" s="40">
        <v>329</v>
      </c>
      <c r="L35" s="40">
        <f t="shared" si="0"/>
        <v>154</v>
      </c>
      <c r="M35" s="40">
        <f t="shared" si="0"/>
        <v>467</v>
      </c>
      <c r="N35" s="40">
        <f t="shared" si="0"/>
        <v>368</v>
      </c>
      <c r="O35" s="40">
        <f t="shared" si="0"/>
        <v>378</v>
      </c>
    </row>
    <row r="36" spans="1:15" x14ac:dyDescent="0.25">
      <c r="A36" s="38">
        <v>3118</v>
      </c>
      <c r="B36" s="38" t="s">
        <v>93</v>
      </c>
      <c r="C36" s="38" t="s">
        <v>122</v>
      </c>
      <c r="D36" s="38" t="s">
        <v>141</v>
      </c>
      <c r="E36" s="38">
        <v>1080</v>
      </c>
      <c r="F36" s="38">
        <v>780</v>
      </c>
      <c r="G36" s="40">
        <v>161</v>
      </c>
      <c r="H36" s="40">
        <v>517</v>
      </c>
      <c r="I36" s="40">
        <v>409</v>
      </c>
      <c r="J36" s="40">
        <v>385</v>
      </c>
      <c r="L36" s="40">
        <f t="shared" si="0"/>
        <v>185</v>
      </c>
      <c r="M36" s="40">
        <f t="shared" si="0"/>
        <v>595</v>
      </c>
      <c r="N36" s="40">
        <f t="shared" si="0"/>
        <v>470</v>
      </c>
      <c r="O36" s="40">
        <f t="shared" si="0"/>
        <v>443</v>
      </c>
    </row>
    <row r="37" spans="1:15" x14ac:dyDescent="0.25">
      <c r="A37" s="38">
        <v>3119</v>
      </c>
      <c r="B37" s="38" t="s">
        <v>93</v>
      </c>
      <c r="C37" s="38" t="s">
        <v>122</v>
      </c>
      <c r="D37" s="38" t="s">
        <v>142</v>
      </c>
      <c r="E37" s="38">
        <v>1080</v>
      </c>
      <c r="F37" s="38">
        <v>980</v>
      </c>
      <c r="G37" s="40">
        <v>200</v>
      </c>
      <c r="H37" s="40">
        <v>626</v>
      </c>
      <c r="I37" s="40">
        <v>474</v>
      </c>
      <c r="J37" s="40">
        <v>431</v>
      </c>
      <c r="L37" s="40">
        <f t="shared" si="0"/>
        <v>230</v>
      </c>
      <c r="M37" s="40">
        <f t="shared" si="0"/>
        <v>720</v>
      </c>
      <c r="N37" s="40">
        <f t="shared" si="0"/>
        <v>545</v>
      </c>
      <c r="O37" s="40">
        <f t="shared" si="0"/>
        <v>496</v>
      </c>
    </row>
    <row r="38" spans="1:15" x14ac:dyDescent="0.25">
      <c r="A38" s="38">
        <v>3120</v>
      </c>
      <c r="B38" s="38" t="s">
        <v>93</v>
      </c>
      <c r="C38" s="38" t="s">
        <v>122</v>
      </c>
      <c r="D38" s="38" t="s">
        <v>143</v>
      </c>
      <c r="E38" s="38">
        <v>1440</v>
      </c>
      <c r="F38" s="38">
        <v>780</v>
      </c>
      <c r="G38" s="40">
        <v>211</v>
      </c>
      <c r="H38" s="40">
        <v>630</v>
      </c>
      <c r="I38" s="40">
        <v>499</v>
      </c>
      <c r="J38" s="40">
        <v>939</v>
      </c>
      <c r="L38" s="40">
        <f t="shared" si="0"/>
        <v>243</v>
      </c>
      <c r="M38" s="40">
        <f t="shared" si="0"/>
        <v>725</v>
      </c>
      <c r="N38" s="40">
        <f t="shared" si="0"/>
        <v>574</v>
      </c>
      <c r="O38" s="40">
        <f t="shared" si="0"/>
        <v>1080</v>
      </c>
    </row>
    <row r="39" spans="1:15" x14ac:dyDescent="0.25">
      <c r="A39" s="38">
        <v>3121</v>
      </c>
      <c r="B39" s="38" t="s">
        <v>93</v>
      </c>
      <c r="C39" s="38" t="s">
        <v>122</v>
      </c>
      <c r="D39" s="38" t="s">
        <v>144</v>
      </c>
      <c r="E39" s="38">
        <v>1440</v>
      </c>
      <c r="F39" s="38">
        <v>980</v>
      </c>
      <c r="G39" s="40">
        <v>264</v>
      </c>
      <c r="H39" s="40">
        <v>778</v>
      </c>
      <c r="I39" s="40">
        <v>616</v>
      </c>
      <c r="J39" s="40">
        <v>1159</v>
      </c>
      <c r="L39" s="40">
        <f t="shared" si="0"/>
        <v>304</v>
      </c>
      <c r="M39" s="40">
        <f t="shared" si="0"/>
        <v>895</v>
      </c>
      <c r="N39" s="40">
        <f t="shared" si="0"/>
        <v>708</v>
      </c>
      <c r="O39" s="40">
        <f t="shared" si="0"/>
        <v>1333</v>
      </c>
    </row>
    <row r="40" spans="1:15" x14ac:dyDescent="0.25">
      <c r="A40" s="38">
        <v>3122</v>
      </c>
      <c r="B40" s="38" t="s">
        <v>93</v>
      </c>
      <c r="C40" s="38" t="s">
        <v>122</v>
      </c>
      <c r="D40" s="38" t="s">
        <v>145</v>
      </c>
      <c r="E40" s="38">
        <v>1800</v>
      </c>
      <c r="F40" s="38">
        <v>780</v>
      </c>
      <c r="G40" s="40">
        <v>264</v>
      </c>
      <c r="H40" s="40">
        <v>520</v>
      </c>
      <c r="I40" s="40">
        <v>612</v>
      </c>
      <c r="J40" s="40">
        <v>1151</v>
      </c>
      <c r="L40" s="40">
        <f t="shared" si="0"/>
        <v>304</v>
      </c>
      <c r="M40" s="40">
        <f t="shared" si="0"/>
        <v>598</v>
      </c>
      <c r="N40" s="40">
        <f t="shared" si="0"/>
        <v>704</v>
      </c>
      <c r="O40" s="40">
        <f t="shared" si="0"/>
        <v>1324</v>
      </c>
    </row>
    <row r="41" spans="1:15" x14ac:dyDescent="0.25">
      <c r="A41" s="38">
        <v>3123</v>
      </c>
      <c r="B41" s="38" t="s">
        <v>93</v>
      </c>
      <c r="C41" s="38" t="s">
        <v>122</v>
      </c>
      <c r="D41" s="38" t="s">
        <v>146</v>
      </c>
      <c r="E41" s="38">
        <v>1800</v>
      </c>
      <c r="F41" s="38">
        <v>980</v>
      </c>
      <c r="G41" s="40">
        <v>329</v>
      </c>
      <c r="H41" s="40">
        <v>648</v>
      </c>
      <c r="I41" s="40">
        <v>753</v>
      </c>
      <c r="J41" s="40">
        <v>1417</v>
      </c>
      <c r="L41" s="40">
        <f t="shared" si="0"/>
        <v>378</v>
      </c>
      <c r="M41" s="40">
        <f t="shared" si="0"/>
        <v>745</v>
      </c>
      <c r="N41" s="40">
        <f t="shared" si="0"/>
        <v>866</v>
      </c>
      <c r="O41" s="40">
        <f t="shared" si="0"/>
        <v>1630</v>
      </c>
    </row>
    <row r="42" spans="1:15" x14ac:dyDescent="0.25">
      <c r="A42" s="38">
        <v>3124</v>
      </c>
      <c r="B42" s="38" t="s">
        <v>93</v>
      </c>
      <c r="C42" s="38" t="s">
        <v>122</v>
      </c>
      <c r="D42" s="38" t="s">
        <v>147</v>
      </c>
      <c r="E42" s="38">
        <v>580</v>
      </c>
      <c r="F42" s="38">
        <v>580</v>
      </c>
      <c r="G42" s="40">
        <v>67</v>
      </c>
      <c r="H42" s="40">
        <v>228</v>
      </c>
      <c r="I42" s="40">
        <v>183</v>
      </c>
      <c r="J42" s="40">
        <v>191</v>
      </c>
      <c r="L42" s="40">
        <f t="shared" si="0"/>
        <v>77</v>
      </c>
      <c r="M42" s="40">
        <f t="shared" si="0"/>
        <v>262</v>
      </c>
      <c r="N42" s="40">
        <f t="shared" si="0"/>
        <v>210</v>
      </c>
      <c r="O42" s="40">
        <f t="shared" si="0"/>
        <v>220</v>
      </c>
    </row>
    <row r="43" spans="1:15" x14ac:dyDescent="0.25">
      <c r="A43" s="38" t="s">
        <v>148</v>
      </c>
      <c r="B43" s="38" t="s">
        <v>93</v>
      </c>
      <c r="C43" s="38" t="s">
        <v>122</v>
      </c>
      <c r="D43" s="38" t="s">
        <v>149</v>
      </c>
      <c r="E43" s="38">
        <v>660</v>
      </c>
      <c r="F43" s="38">
        <v>360</v>
      </c>
      <c r="G43" s="40">
        <v>162</v>
      </c>
      <c r="H43" s="40">
        <v>319</v>
      </c>
      <c r="I43" s="40">
        <v>165</v>
      </c>
      <c r="J43" s="40">
        <v>310</v>
      </c>
      <c r="L43" s="40">
        <f t="shared" si="0"/>
        <v>186</v>
      </c>
      <c r="M43" s="40">
        <f t="shared" si="0"/>
        <v>367</v>
      </c>
      <c r="N43" s="40">
        <f t="shared" si="0"/>
        <v>190</v>
      </c>
      <c r="O43" s="40">
        <f t="shared" si="0"/>
        <v>357</v>
      </c>
    </row>
    <row r="44" spans="1:15" x14ac:dyDescent="0.25">
      <c r="A44" s="38">
        <v>3200</v>
      </c>
      <c r="B44" s="38" t="s">
        <v>93</v>
      </c>
      <c r="C44" s="38" t="s">
        <v>150</v>
      </c>
      <c r="D44" s="38" t="s">
        <v>151</v>
      </c>
      <c r="E44" s="38">
        <v>360</v>
      </c>
      <c r="F44" s="38">
        <v>360</v>
      </c>
      <c r="G44" s="40">
        <v>34</v>
      </c>
      <c r="H44" s="40">
        <v>114</v>
      </c>
      <c r="I44" s="40">
        <v>89</v>
      </c>
      <c r="J44" s="40">
        <v>177</v>
      </c>
      <c r="L44" s="40">
        <f t="shared" si="0"/>
        <v>39</v>
      </c>
      <c r="M44" s="40">
        <f t="shared" si="0"/>
        <v>131</v>
      </c>
      <c r="N44" s="40">
        <f t="shared" si="0"/>
        <v>102</v>
      </c>
      <c r="O44" s="40">
        <f t="shared" si="0"/>
        <v>204</v>
      </c>
    </row>
    <row r="45" spans="1:15" x14ac:dyDescent="0.25">
      <c r="A45" s="38">
        <v>3201</v>
      </c>
      <c r="B45" s="38" t="s">
        <v>93</v>
      </c>
      <c r="C45" s="38" t="s">
        <v>150</v>
      </c>
      <c r="D45" s="38" t="s">
        <v>152</v>
      </c>
      <c r="E45" s="38">
        <v>360</v>
      </c>
      <c r="F45" s="38">
        <v>720</v>
      </c>
      <c r="G45" s="40">
        <v>52</v>
      </c>
      <c r="H45" s="40">
        <v>181</v>
      </c>
      <c r="I45" s="40">
        <v>143</v>
      </c>
      <c r="J45" s="40">
        <v>212</v>
      </c>
      <c r="L45" s="40">
        <f t="shared" si="0"/>
        <v>60</v>
      </c>
      <c r="M45" s="40">
        <f t="shared" si="0"/>
        <v>208</v>
      </c>
      <c r="N45" s="40">
        <f t="shared" si="0"/>
        <v>164</v>
      </c>
      <c r="O45" s="40">
        <f t="shared" si="0"/>
        <v>244</v>
      </c>
    </row>
    <row r="46" spans="1:15" x14ac:dyDescent="0.25">
      <c r="A46" s="38">
        <v>3202</v>
      </c>
      <c r="B46" s="38" t="s">
        <v>93</v>
      </c>
      <c r="C46" s="38" t="s">
        <v>150</v>
      </c>
      <c r="D46" s="38" t="s">
        <v>153</v>
      </c>
      <c r="E46" s="38">
        <v>360</v>
      </c>
      <c r="F46" s="38">
        <v>1080</v>
      </c>
      <c r="G46" s="40">
        <v>76</v>
      </c>
      <c r="H46" s="40">
        <v>267</v>
      </c>
      <c r="I46" s="40">
        <v>222</v>
      </c>
      <c r="J46" s="40">
        <v>240</v>
      </c>
      <c r="L46" s="40">
        <f t="shared" si="0"/>
        <v>87</v>
      </c>
      <c r="M46" s="40">
        <f t="shared" si="0"/>
        <v>307</v>
      </c>
      <c r="N46" s="40">
        <f t="shared" si="0"/>
        <v>255</v>
      </c>
      <c r="O46" s="40">
        <f t="shared" si="0"/>
        <v>276</v>
      </c>
    </row>
    <row r="47" spans="1:15" x14ac:dyDescent="0.25">
      <c r="A47" s="38">
        <v>3203</v>
      </c>
      <c r="B47" s="38" t="s">
        <v>93</v>
      </c>
      <c r="C47" s="38" t="s">
        <v>150</v>
      </c>
      <c r="D47" s="38" t="s">
        <v>154</v>
      </c>
      <c r="E47" s="38">
        <v>360</v>
      </c>
      <c r="F47" s="38">
        <v>1440</v>
      </c>
      <c r="G47" s="40">
        <v>100</v>
      </c>
      <c r="H47" s="40">
        <v>336</v>
      </c>
      <c r="I47" s="40">
        <v>281</v>
      </c>
      <c r="J47" s="40">
        <v>529</v>
      </c>
      <c r="L47" s="40">
        <f t="shared" si="0"/>
        <v>115</v>
      </c>
      <c r="M47" s="40">
        <f t="shared" si="0"/>
        <v>386</v>
      </c>
      <c r="N47" s="40">
        <f t="shared" si="0"/>
        <v>323</v>
      </c>
      <c r="O47" s="40">
        <f t="shared" si="0"/>
        <v>608</v>
      </c>
    </row>
    <row r="48" spans="1:15" x14ac:dyDescent="0.25">
      <c r="A48" s="38">
        <v>3204</v>
      </c>
      <c r="B48" s="38" t="s">
        <v>93</v>
      </c>
      <c r="C48" s="38" t="s">
        <v>150</v>
      </c>
      <c r="D48" s="38" t="s">
        <v>155</v>
      </c>
      <c r="E48" s="38">
        <v>360</v>
      </c>
      <c r="F48" s="38">
        <v>1800</v>
      </c>
      <c r="G48" s="40">
        <v>125</v>
      </c>
      <c r="H48" s="40">
        <v>246</v>
      </c>
      <c r="I48" s="40">
        <v>343</v>
      </c>
      <c r="J48" s="40">
        <v>645</v>
      </c>
      <c r="L48" s="40">
        <f t="shared" si="0"/>
        <v>144</v>
      </c>
      <c r="M48" s="40">
        <f t="shared" si="0"/>
        <v>283</v>
      </c>
      <c r="N48" s="40">
        <f t="shared" si="0"/>
        <v>394</v>
      </c>
      <c r="O48" s="40">
        <f t="shared" si="0"/>
        <v>742</v>
      </c>
    </row>
    <row r="49" spans="1:15" x14ac:dyDescent="0.25">
      <c r="A49" s="38">
        <v>3205</v>
      </c>
      <c r="B49" s="38" t="s">
        <v>93</v>
      </c>
      <c r="C49" s="38" t="s">
        <v>150</v>
      </c>
      <c r="D49" s="38" t="s">
        <v>156</v>
      </c>
      <c r="E49" s="38">
        <v>580</v>
      </c>
      <c r="F49" s="38">
        <v>360</v>
      </c>
      <c r="G49" s="40">
        <v>43</v>
      </c>
      <c r="H49" s="40">
        <v>161</v>
      </c>
      <c r="I49" s="40">
        <v>130</v>
      </c>
      <c r="J49" s="40">
        <v>185</v>
      </c>
      <c r="L49" s="40">
        <f t="shared" si="0"/>
        <v>49</v>
      </c>
      <c r="M49" s="40">
        <f t="shared" si="0"/>
        <v>185</v>
      </c>
      <c r="N49" s="40">
        <f t="shared" si="0"/>
        <v>150</v>
      </c>
      <c r="O49" s="40">
        <f t="shared" si="0"/>
        <v>213</v>
      </c>
    </row>
    <row r="50" spans="1:15" x14ac:dyDescent="0.25">
      <c r="A50" s="38">
        <v>3206</v>
      </c>
      <c r="B50" s="38" t="s">
        <v>93</v>
      </c>
      <c r="C50" s="38" t="s">
        <v>150</v>
      </c>
      <c r="D50" s="38" t="s">
        <v>157</v>
      </c>
      <c r="E50" s="38">
        <v>580</v>
      </c>
      <c r="F50" s="38">
        <v>720</v>
      </c>
      <c r="G50" s="40">
        <v>82</v>
      </c>
      <c r="H50" s="40">
        <v>262</v>
      </c>
      <c r="I50" s="40">
        <v>216</v>
      </c>
      <c r="J50" s="40">
        <v>245</v>
      </c>
      <c r="L50" s="40">
        <f t="shared" si="0"/>
        <v>94</v>
      </c>
      <c r="M50" s="40">
        <f t="shared" si="0"/>
        <v>301</v>
      </c>
      <c r="N50" s="40">
        <f t="shared" si="0"/>
        <v>248</v>
      </c>
      <c r="O50" s="40">
        <f t="shared" si="0"/>
        <v>282</v>
      </c>
    </row>
    <row r="51" spans="1:15" x14ac:dyDescent="0.25">
      <c r="A51" s="38">
        <v>3207</v>
      </c>
      <c r="B51" s="38" t="s">
        <v>93</v>
      </c>
      <c r="C51" s="38" t="s">
        <v>150</v>
      </c>
      <c r="D51" s="38" t="s">
        <v>158</v>
      </c>
      <c r="E51" s="38">
        <v>580</v>
      </c>
      <c r="F51" s="38">
        <v>1080</v>
      </c>
      <c r="G51" s="40">
        <v>119</v>
      </c>
      <c r="H51" s="40">
        <v>377</v>
      </c>
      <c r="I51" s="40">
        <v>300</v>
      </c>
      <c r="J51" s="40">
        <v>307</v>
      </c>
      <c r="L51" s="40">
        <f t="shared" si="0"/>
        <v>137</v>
      </c>
      <c r="M51" s="40">
        <f t="shared" si="0"/>
        <v>434</v>
      </c>
      <c r="N51" s="40">
        <f t="shared" si="0"/>
        <v>345</v>
      </c>
      <c r="O51" s="40">
        <f t="shared" si="0"/>
        <v>353</v>
      </c>
    </row>
    <row r="52" spans="1:15" x14ac:dyDescent="0.25">
      <c r="A52" s="38">
        <v>3208</v>
      </c>
      <c r="B52" s="38" t="s">
        <v>93</v>
      </c>
      <c r="C52" s="38" t="s">
        <v>150</v>
      </c>
      <c r="D52" s="38" t="s">
        <v>159</v>
      </c>
      <c r="E52" s="38">
        <v>580</v>
      </c>
      <c r="F52" s="38">
        <v>1440</v>
      </c>
      <c r="G52" s="40">
        <v>158</v>
      </c>
      <c r="H52" s="40">
        <v>484</v>
      </c>
      <c r="I52" s="40">
        <v>400</v>
      </c>
      <c r="J52" s="40">
        <v>752</v>
      </c>
      <c r="L52" s="40">
        <f t="shared" si="0"/>
        <v>182</v>
      </c>
      <c r="M52" s="40">
        <f t="shared" si="0"/>
        <v>557</v>
      </c>
      <c r="N52" s="40">
        <f t="shared" si="0"/>
        <v>460</v>
      </c>
      <c r="O52" s="40">
        <f t="shared" si="0"/>
        <v>865</v>
      </c>
    </row>
    <row r="53" spans="1:15" x14ac:dyDescent="0.25">
      <c r="A53" s="38">
        <v>3209</v>
      </c>
      <c r="B53" s="38" t="s">
        <v>93</v>
      </c>
      <c r="C53" s="38" t="s">
        <v>150</v>
      </c>
      <c r="D53" s="38" t="s">
        <v>160</v>
      </c>
      <c r="E53" s="38">
        <v>580</v>
      </c>
      <c r="F53" s="38">
        <v>1800</v>
      </c>
      <c r="G53" s="40">
        <v>197</v>
      </c>
      <c r="H53" s="40">
        <v>388</v>
      </c>
      <c r="I53" s="40">
        <v>467</v>
      </c>
      <c r="J53" s="40">
        <v>879</v>
      </c>
      <c r="L53" s="40">
        <f t="shared" si="0"/>
        <v>227</v>
      </c>
      <c r="M53" s="40">
        <f t="shared" si="0"/>
        <v>446</v>
      </c>
      <c r="N53" s="40">
        <f t="shared" si="0"/>
        <v>537</v>
      </c>
      <c r="O53" s="40">
        <f t="shared" si="0"/>
        <v>1011</v>
      </c>
    </row>
    <row r="54" spans="1:15" x14ac:dyDescent="0.25">
      <c r="A54" s="38">
        <v>3210</v>
      </c>
      <c r="B54" s="38" t="s">
        <v>93</v>
      </c>
      <c r="C54" s="38" t="s">
        <v>150</v>
      </c>
      <c r="D54" s="38" t="s">
        <v>161</v>
      </c>
      <c r="E54" s="38">
        <v>180</v>
      </c>
      <c r="F54" s="38">
        <v>780</v>
      </c>
      <c r="G54" s="40">
        <v>56</v>
      </c>
      <c r="H54" s="40">
        <v>185</v>
      </c>
      <c r="I54" s="40">
        <v>144</v>
      </c>
      <c r="J54" s="40">
        <v>212</v>
      </c>
      <c r="L54" s="40">
        <f t="shared" si="0"/>
        <v>64</v>
      </c>
      <c r="M54" s="40">
        <f t="shared" si="0"/>
        <v>213</v>
      </c>
      <c r="N54" s="40">
        <f t="shared" si="0"/>
        <v>166</v>
      </c>
      <c r="O54" s="40">
        <f t="shared" si="0"/>
        <v>244</v>
      </c>
    </row>
    <row r="55" spans="1:15" x14ac:dyDescent="0.25">
      <c r="A55" s="38">
        <v>3211</v>
      </c>
      <c r="B55" s="38" t="s">
        <v>93</v>
      </c>
      <c r="C55" s="38" t="s">
        <v>150</v>
      </c>
      <c r="D55" s="38" t="s">
        <v>162</v>
      </c>
      <c r="E55" s="38">
        <v>180</v>
      </c>
      <c r="F55" s="38">
        <v>980</v>
      </c>
      <c r="G55" s="40">
        <v>70</v>
      </c>
      <c r="H55" s="40">
        <v>223</v>
      </c>
      <c r="I55" s="40">
        <v>174</v>
      </c>
      <c r="J55" s="40">
        <v>229</v>
      </c>
      <c r="L55" s="40">
        <f t="shared" si="0"/>
        <v>81</v>
      </c>
      <c r="M55" s="40">
        <f t="shared" si="0"/>
        <v>256</v>
      </c>
      <c r="N55" s="40">
        <f t="shared" si="0"/>
        <v>200</v>
      </c>
      <c r="O55" s="40">
        <f t="shared" si="0"/>
        <v>263</v>
      </c>
    </row>
    <row r="56" spans="1:15" x14ac:dyDescent="0.25">
      <c r="A56" s="38">
        <v>3212</v>
      </c>
      <c r="B56" s="38" t="s">
        <v>93</v>
      </c>
      <c r="C56" s="38" t="s">
        <v>150</v>
      </c>
      <c r="D56" s="38" t="s">
        <v>163</v>
      </c>
      <c r="E56" s="38">
        <v>360</v>
      </c>
      <c r="F56" s="38">
        <v>780</v>
      </c>
      <c r="G56" s="40">
        <v>56</v>
      </c>
      <c r="H56" s="40">
        <v>185</v>
      </c>
      <c r="I56" s="40">
        <v>144</v>
      </c>
      <c r="J56" s="40">
        <v>190</v>
      </c>
      <c r="L56" s="40">
        <f t="shared" si="0"/>
        <v>64</v>
      </c>
      <c r="M56" s="40">
        <f t="shared" si="0"/>
        <v>213</v>
      </c>
      <c r="N56" s="40">
        <f t="shared" si="0"/>
        <v>166</v>
      </c>
      <c r="O56" s="40">
        <f t="shared" si="0"/>
        <v>219</v>
      </c>
    </row>
    <row r="57" spans="1:15" x14ac:dyDescent="0.25">
      <c r="A57" s="38">
        <v>3213</v>
      </c>
      <c r="B57" s="38" t="s">
        <v>93</v>
      </c>
      <c r="C57" s="38" t="s">
        <v>150</v>
      </c>
      <c r="D57" s="38" t="s">
        <v>164</v>
      </c>
      <c r="E57" s="38">
        <v>360</v>
      </c>
      <c r="F57" s="38">
        <v>980</v>
      </c>
      <c r="G57" s="40">
        <v>70</v>
      </c>
      <c r="H57" s="40">
        <v>223</v>
      </c>
      <c r="I57" s="40">
        <v>174</v>
      </c>
      <c r="J57" s="40">
        <v>209</v>
      </c>
      <c r="L57" s="40">
        <f t="shared" si="0"/>
        <v>81</v>
      </c>
      <c r="M57" s="40">
        <f t="shared" si="0"/>
        <v>256</v>
      </c>
      <c r="N57" s="40">
        <f t="shared" si="0"/>
        <v>200</v>
      </c>
      <c r="O57" s="40">
        <f t="shared" si="0"/>
        <v>240</v>
      </c>
    </row>
    <row r="58" spans="1:15" x14ac:dyDescent="0.25">
      <c r="A58" s="38">
        <v>3214</v>
      </c>
      <c r="B58" s="38" t="s">
        <v>93</v>
      </c>
      <c r="C58" s="38" t="s">
        <v>150</v>
      </c>
      <c r="D58" s="38" t="s">
        <v>165</v>
      </c>
      <c r="E58" s="38">
        <v>720</v>
      </c>
      <c r="F58" s="38">
        <v>780</v>
      </c>
      <c r="G58" s="40">
        <v>107</v>
      </c>
      <c r="H58" s="40">
        <v>355</v>
      </c>
      <c r="I58" s="40">
        <v>277</v>
      </c>
      <c r="J58" s="40">
        <v>268</v>
      </c>
      <c r="L58" s="40">
        <f t="shared" si="0"/>
        <v>123</v>
      </c>
      <c r="M58" s="40">
        <f t="shared" si="0"/>
        <v>408</v>
      </c>
      <c r="N58" s="40">
        <f t="shared" si="0"/>
        <v>319</v>
      </c>
      <c r="O58" s="40">
        <f t="shared" si="0"/>
        <v>308</v>
      </c>
    </row>
    <row r="59" spans="1:15" x14ac:dyDescent="0.25">
      <c r="A59" s="38">
        <v>3215</v>
      </c>
      <c r="B59" s="38" t="s">
        <v>93</v>
      </c>
      <c r="C59" s="38" t="s">
        <v>150</v>
      </c>
      <c r="D59" s="38" t="s">
        <v>166</v>
      </c>
      <c r="E59" s="38">
        <v>720</v>
      </c>
      <c r="F59" s="38">
        <v>980</v>
      </c>
      <c r="G59" s="40">
        <v>134</v>
      </c>
      <c r="H59" s="40">
        <v>406</v>
      </c>
      <c r="I59" s="40">
        <v>320</v>
      </c>
      <c r="J59" s="40">
        <v>329</v>
      </c>
      <c r="L59" s="40">
        <f t="shared" si="0"/>
        <v>154</v>
      </c>
      <c r="M59" s="40">
        <f t="shared" si="0"/>
        <v>467</v>
      </c>
      <c r="N59" s="40">
        <f t="shared" si="0"/>
        <v>368</v>
      </c>
      <c r="O59" s="40">
        <f t="shared" si="0"/>
        <v>378</v>
      </c>
    </row>
    <row r="60" spans="1:15" x14ac:dyDescent="0.25">
      <c r="A60" s="38">
        <v>3216</v>
      </c>
      <c r="B60" s="38" t="s">
        <v>93</v>
      </c>
      <c r="C60" s="38" t="s">
        <v>150</v>
      </c>
      <c r="D60" s="38" t="s">
        <v>167</v>
      </c>
      <c r="E60" s="38">
        <v>1080</v>
      </c>
      <c r="F60" s="38">
        <v>780</v>
      </c>
      <c r="G60" s="40">
        <v>161</v>
      </c>
      <c r="H60" s="40">
        <v>517</v>
      </c>
      <c r="I60" s="40">
        <v>409</v>
      </c>
      <c r="J60" s="40">
        <v>385</v>
      </c>
      <c r="L60" s="40">
        <f t="shared" si="0"/>
        <v>185</v>
      </c>
      <c r="M60" s="40">
        <f t="shared" si="0"/>
        <v>595</v>
      </c>
      <c r="N60" s="40">
        <f t="shared" si="0"/>
        <v>470</v>
      </c>
      <c r="O60" s="40">
        <f t="shared" si="0"/>
        <v>443</v>
      </c>
    </row>
    <row r="61" spans="1:15" x14ac:dyDescent="0.25">
      <c r="A61" s="38">
        <v>3217</v>
      </c>
      <c r="B61" s="38" t="s">
        <v>93</v>
      </c>
      <c r="C61" s="38" t="s">
        <v>150</v>
      </c>
      <c r="D61" s="38" t="s">
        <v>168</v>
      </c>
      <c r="E61" s="38">
        <v>1080</v>
      </c>
      <c r="F61" s="38">
        <v>980</v>
      </c>
      <c r="G61" s="40">
        <v>200</v>
      </c>
      <c r="H61" s="40">
        <v>626</v>
      </c>
      <c r="I61" s="40">
        <v>474</v>
      </c>
      <c r="J61" s="40">
        <v>431</v>
      </c>
      <c r="L61" s="40">
        <f t="shared" si="0"/>
        <v>230</v>
      </c>
      <c r="M61" s="40">
        <f t="shared" si="0"/>
        <v>720</v>
      </c>
      <c r="N61" s="40">
        <f t="shared" si="0"/>
        <v>545</v>
      </c>
      <c r="O61" s="40">
        <f t="shared" si="0"/>
        <v>496</v>
      </c>
    </row>
    <row r="62" spans="1:15" x14ac:dyDescent="0.25">
      <c r="A62" s="38">
        <v>3218</v>
      </c>
      <c r="B62" s="38" t="s">
        <v>93</v>
      </c>
      <c r="C62" s="38" t="s">
        <v>150</v>
      </c>
      <c r="D62" s="38" t="s">
        <v>169</v>
      </c>
      <c r="E62" s="38">
        <v>1440</v>
      </c>
      <c r="F62" s="38">
        <v>780</v>
      </c>
      <c r="G62" s="40">
        <v>211</v>
      </c>
      <c r="H62" s="40">
        <v>630</v>
      </c>
      <c r="I62" s="40">
        <v>499</v>
      </c>
      <c r="J62" s="40">
        <v>939</v>
      </c>
      <c r="L62" s="40">
        <f t="shared" si="0"/>
        <v>243</v>
      </c>
      <c r="M62" s="40">
        <f t="shared" si="0"/>
        <v>725</v>
      </c>
      <c r="N62" s="40">
        <f t="shared" si="0"/>
        <v>574</v>
      </c>
      <c r="O62" s="40">
        <f t="shared" si="0"/>
        <v>1080</v>
      </c>
    </row>
    <row r="63" spans="1:15" x14ac:dyDescent="0.25">
      <c r="A63" s="38">
        <v>3219</v>
      </c>
      <c r="B63" s="38" t="s">
        <v>93</v>
      </c>
      <c r="C63" s="38" t="s">
        <v>150</v>
      </c>
      <c r="D63" s="38" t="s">
        <v>170</v>
      </c>
      <c r="E63" s="38">
        <v>1440</v>
      </c>
      <c r="F63" s="38">
        <v>980</v>
      </c>
      <c r="G63" s="40">
        <v>264</v>
      </c>
      <c r="H63" s="40">
        <v>778</v>
      </c>
      <c r="I63" s="40">
        <v>616</v>
      </c>
      <c r="J63" s="40">
        <v>1159</v>
      </c>
      <c r="L63" s="40">
        <f t="shared" si="0"/>
        <v>304</v>
      </c>
      <c r="M63" s="40">
        <f t="shared" si="0"/>
        <v>895</v>
      </c>
      <c r="N63" s="40">
        <f t="shared" si="0"/>
        <v>708</v>
      </c>
      <c r="O63" s="40">
        <f t="shared" si="0"/>
        <v>1333</v>
      </c>
    </row>
    <row r="64" spans="1:15" x14ac:dyDescent="0.25">
      <c r="A64" s="38">
        <v>3220</v>
      </c>
      <c r="B64" s="38" t="s">
        <v>93</v>
      </c>
      <c r="C64" s="38" t="s">
        <v>150</v>
      </c>
      <c r="D64" s="38" t="s">
        <v>171</v>
      </c>
      <c r="E64" s="38">
        <v>1800</v>
      </c>
      <c r="F64" s="38">
        <v>780</v>
      </c>
      <c r="G64" s="40">
        <v>264</v>
      </c>
      <c r="H64" s="40">
        <v>520</v>
      </c>
      <c r="I64" s="40">
        <v>612</v>
      </c>
      <c r="J64" s="40">
        <v>1151</v>
      </c>
      <c r="L64" s="40">
        <f t="shared" si="0"/>
        <v>304</v>
      </c>
      <c r="M64" s="40">
        <f t="shared" si="0"/>
        <v>598</v>
      </c>
      <c r="N64" s="40">
        <f t="shared" si="0"/>
        <v>704</v>
      </c>
      <c r="O64" s="40">
        <f t="shared" si="0"/>
        <v>1324</v>
      </c>
    </row>
    <row r="65" spans="1:15" x14ac:dyDescent="0.25">
      <c r="A65" s="38">
        <v>3221</v>
      </c>
      <c r="B65" s="38" t="s">
        <v>93</v>
      </c>
      <c r="C65" s="38" t="s">
        <v>150</v>
      </c>
      <c r="D65" s="38" t="s">
        <v>172</v>
      </c>
      <c r="E65" s="38">
        <v>1800</v>
      </c>
      <c r="F65" s="38">
        <v>980</v>
      </c>
      <c r="G65" s="40">
        <v>329</v>
      </c>
      <c r="H65" s="40">
        <v>648</v>
      </c>
      <c r="I65" s="40">
        <v>753</v>
      </c>
      <c r="J65" s="40">
        <v>1417</v>
      </c>
      <c r="L65" s="40">
        <f t="shared" si="0"/>
        <v>378</v>
      </c>
      <c r="M65" s="40">
        <f t="shared" si="0"/>
        <v>745</v>
      </c>
      <c r="N65" s="40">
        <f t="shared" si="0"/>
        <v>866</v>
      </c>
      <c r="O65" s="40">
        <f t="shared" ref="O65:O128" si="1">IF(J65="","",ROUND(J65*1.15,0))</f>
        <v>1630</v>
      </c>
    </row>
    <row r="66" spans="1:15" x14ac:dyDescent="0.25">
      <c r="A66" s="38">
        <v>3300</v>
      </c>
      <c r="B66" s="38" t="s">
        <v>93</v>
      </c>
      <c r="C66" s="38" t="s">
        <v>173</v>
      </c>
      <c r="D66" s="38" t="s">
        <v>174</v>
      </c>
      <c r="E66" s="38">
        <v>360</v>
      </c>
      <c r="F66" s="38">
        <v>180</v>
      </c>
      <c r="G66" s="40">
        <v>34</v>
      </c>
      <c r="H66" s="40">
        <v>114</v>
      </c>
      <c r="I66" s="40">
        <v>89</v>
      </c>
      <c r="J66" s="40">
        <v>201</v>
      </c>
      <c r="L66" s="40">
        <f t="shared" ref="L66:O129" si="2">IF(G66="","",ROUND(G66*1.15,0))</f>
        <v>39</v>
      </c>
      <c r="M66" s="40">
        <f t="shared" si="2"/>
        <v>131</v>
      </c>
      <c r="N66" s="40">
        <f t="shared" si="2"/>
        <v>102</v>
      </c>
      <c r="O66" s="40">
        <f t="shared" si="1"/>
        <v>231</v>
      </c>
    </row>
    <row r="67" spans="1:15" x14ac:dyDescent="0.25">
      <c r="A67" s="38">
        <v>3301</v>
      </c>
      <c r="B67" s="38" t="s">
        <v>93</v>
      </c>
      <c r="C67" s="38" t="s">
        <v>173</v>
      </c>
      <c r="D67" s="38" t="s">
        <v>175</v>
      </c>
      <c r="E67" s="38">
        <v>420</v>
      </c>
      <c r="F67" s="38">
        <v>180</v>
      </c>
      <c r="G67" s="40">
        <v>34</v>
      </c>
      <c r="H67" s="40">
        <v>121</v>
      </c>
      <c r="I67" s="40">
        <v>92</v>
      </c>
      <c r="J67" s="40">
        <v>202</v>
      </c>
      <c r="L67" s="40">
        <f t="shared" si="2"/>
        <v>39</v>
      </c>
      <c r="M67" s="40">
        <f t="shared" si="2"/>
        <v>139</v>
      </c>
      <c r="N67" s="40">
        <f t="shared" si="2"/>
        <v>106</v>
      </c>
      <c r="O67" s="40">
        <f t="shared" si="1"/>
        <v>232</v>
      </c>
    </row>
    <row r="68" spans="1:15" x14ac:dyDescent="0.25">
      <c r="A68" s="38">
        <v>3302</v>
      </c>
      <c r="B68" s="38" t="s">
        <v>93</v>
      </c>
      <c r="C68" s="38" t="s">
        <v>173</v>
      </c>
      <c r="D68" s="38" t="s">
        <v>176</v>
      </c>
      <c r="E68" s="38">
        <v>580</v>
      </c>
      <c r="F68" s="38">
        <v>180</v>
      </c>
      <c r="G68" s="40">
        <v>43</v>
      </c>
      <c r="H68" s="40">
        <v>161</v>
      </c>
      <c r="I68" s="40">
        <v>130</v>
      </c>
      <c r="J68" s="40">
        <v>208</v>
      </c>
      <c r="L68" s="40">
        <f t="shared" si="2"/>
        <v>49</v>
      </c>
      <c r="M68" s="40">
        <f t="shared" si="2"/>
        <v>185</v>
      </c>
      <c r="N68" s="40">
        <f t="shared" si="2"/>
        <v>150</v>
      </c>
      <c r="O68" s="40">
        <f t="shared" si="1"/>
        <v>239</v>
      </c>
    </row>
    <row r="69" spans="1:15" x14ac:dyDescent="0.25">
      <c r="A69" s="38">
        <v>3303</v>
      </c>
      <c r="B69" s="38" t="s">
        <v>93</v>
      </c>
      <c r="C69" s="38" t="s">
        <v>173</v>
      </c>
      <c r="D69" s="38" t="s">
        <v>177</v>
      </c>
      <c r="E69" s="38">
        <v>780</v>
      </c>
      <c r="F69" s="38">
        <v>180</v>
      </c>
      <c r="G69" s="40">
        <v>56</v>
      </c>
      <c r="H69" s="40">
        <v>185</v>
      </c>
      <c r="I69" s="40">
        <v>144</v>
      </c>
      <c r="J69" s="40">
        <v>212</v>
      </c>
      <c r="L69" s="40">
        <f t="shared" si="2"/>
        <v>64</v>
      </c>
      <c r="M69" s="40">
        <f t="shared" si="2"/>
        <v>213</v>
      </c>
      <c r="N69" s="40">
        <f t="shared" si="2"/>
        <v>166</v>
      </c>
      <c r="O69" s="40">
        <f t="shared" si="1"/>
        <v>244</v>
      </c>
    </row>
    <row r="70" spans="1:15" x14ac:dyDescent="0.25">
      <c r="A70" s="38">
        <v>3304</v>
      </c>
      <c r="B70" s="38" t="s">
        <v>93</v>
      </c>
      <c r="C70" s="38" t="s">
        <v>173</v>
      </c>
      <c r="D70" s="38" t="s">
        <v>178</v>
      </c>
      <c r="E70" s="38">
        <v>980</v>
      </c>
      <c r="F70" s="38">
        <v>180</v>
      </c>
      <c r="G70" s="40">
        <v>70</v>
      </c>
      <c r="H70" s="40">
        <v>223</v>
      </c>
      <c r="I70" s="40">
        <v>174</v>
      </c>
      <c r="J70" s="40">
        <v>229</v>
      </c>
      <c r="L70" s="40">
        <f t="shared" si="2"/>
        <v>81</v>
      </c>
      <c r="M70" s="40">
        <f t="shared" si="2"/>
        <v>256</v>
      </c>
      <c r="N70" s="40">
        <f t="shared" si="2"/>
        <v>200</v>
      </c>
      <c r="O70" s="40">
        <f t="shared" si="1"/>
        <v>263</v>
      </c>
    </row>
    <row r="71" spans="1:15" x14ac:dyDescent="0.25">
      <c r="A71" s="38">
        <v>3305</v>
      </c>
      <c r="B71" s="38" t="s">
        <v>93</v>
      </c>
      <c r="C71" s="38" t="s">
        <v>173</v>
      </c>
      <c r="D71" s="38" t="s">
        <v>179</v>
      </c>
      <c r="E71" s="38">
        <v>360</v>
      </c>
      <c r="F71" s="38">
        <v>360</v>
      </c>
      <c r="G71" s="40">
        <v>34</v>
      </c>
      <c r="H71" s="40">
        <v>114</v>
      </c>
      <c r="I71" s="40">
        <v>89</v>
      </c>
      <c r="J71" s="40">
        <v>177</v>
      </c>
      <c r="L71" s="40">
        <f t="shared" si="2"/>
        <v>39</v>
      </c>
      <c r="M71" s="40">
        <f t="shared" si="2"/>
        <v>131</v>
      </c>
      <c r="N71" s="40">
        <f t="shared" si="2"/>
        <v>102</v>
      </c>
      <c r="O71" s="40">
        <f t="shared" si="1"/>
        <v>204</v>
      </c>
    </row>
    <row r="72" spans="1:15" x14ac:dyDescent="0.25">
      <c r="A72" s="38">
        <v>3306</v>
      </c>
      <c r="B72" s="38" t="s">
        <v>93</v>
      </c>
      <c r="C72" s="38" t="s">
        <v>173</v>
      </c>
      <c r="D72" s="38" t="s">
        <v>180</v>
      </c>
      <c r="E72" s="38">
        <v>420</v>
      </c>
      <c r="F72" s="38">
        <v>360</v>
      </c>
      <c r="G72" s="40">
        <v>34</v>
      </c>
      <c r="H72" s="40">
        <v>121</v>
      </c>
      <c r="I72" s="40">
        <v>92</v>
      </c>
      <c r="J72" s="40">
        <v>178</v>
      </c>
      <c r="L72" s="40">
        <f t="shared" si="2"/>
        <v>39</v>
      </c>
      <c r="M72" s="40">
        <f t="shared" si="2"/>
        <v>139</v>
      </c>
      <c r="N72" s="40">
        <f t="shared" si="2"/>
        <v>106</v>
      </c>
      <c r="O72" s="40">
        <f t="shared" si="1"/>
        <v>205</v>
      </c>
    </row>
    <row r="73" spans="1:15" x14ac:dyDescent="0.25">
      <c r="A73" s="38">
        <v>3307</v>
      </c>
      <c r="B73" s="38" t="s">
        <v>93</v>
      </c>
      <c r="C73" s="38" t="s">
        <v>173</v>
      </c>
      <c r="D73" s="38" t="s">
        <v>181</v>
      </c>
      <c r="E73" s="38">
        <v>580</v>
      </c>
      <c r="F73" s="38">
        <v>360</v>
      </c>
      <c r="G73" s="40">
        <v>43</v>
      </c>
      <c r="H73" s="40">
        <v>161</v>
      </c>
      <c r="I73" s="40">
        <v>130</v>
      </c>
      <c r="J73" s="40">
        <v>185</v>
      </c>
      <c r="L73" s="40">
        <f t="shared" si="2"/>
        <v>49</v>
      </c>
      <c r="M73" s="40">
        <f t="shared" si="2"/>
        <v>185</v>
      </c>
      <c r="N73" s="40">
        <f t="shared" si="2"/>
        <v>150</v>
      </c>
      <c r="O73" s="40">
        <f t="shared" si="1"/>
        <v>213</v>
      </c>
    </row>
    <row r="74" spans="1:15" x14ac:dyDescent="0.25">
      <c r="A74" s="38">
        <v>3308</v>
      </c>
      <c r="B74" s="38" t="s">
        <v>93</v>
      </c>
      <c r="C74" s="38" t="s">
        <v>173</v>
      </c>
      <c r="D74" s="38" t="s">
        <v>182</v>
      </c>
      <c r="E74" s="38">
        <v>780</v>
      </c>
      <c r="F74" s="38">
        <v>360</v>
      </c>
      <c r="G74" s="40">
        <v>56</v>
      </c>
      <c r="H74" s="40">
        <v>185</v>
      </c>
      <c r="I74" s="40">
        <v>144</v>
      </c>
      <c r="J74" s="40">
        <v>190</v>
      </c>
      <c r="L74" s="40">
        <f t="shared" si="2"/>
        <v>64</v>
      </c>
      <c r="M74" s="40">
        <f t="shared" si="2"/>
        <v>213</v>
      </c>
      <c r="N74" s="40">
        <f t="shared" si="2"/>
        <v>166</v>
      </c>
      <c r="O74" s="40">
        <f t="shared" si="1"/>
        <v>219</v>
      </c>
    </row>
    <row r="75" spans="1:15" x14ac:dyDescent="0.25">
      <c r="A75" s="38">
        <v>3309</v>
      </c>
      <c r="B75" s="38" t="s">
        <v>93</v>
      </c>
      <c r="C75" s="38" t="s">
        <v>173</v>
      </c>
      <c r="D75" s="38" t="s">
        <v>183</v>
      </c>
      <c r="E75" s="38">
        <v>980</v>
      </c>
      <c r="F75" s="38">
        <v>360</v>
      </c>
      <c r="G75" s="40">
        <v>70</v>
      </c>
      <c r="H75" s="40">
        <v>223</v>
      </c>
      <c r="I75" s="40">
        <v>174</v>
      </c>
      <c r="J75" s="40">
        <v>209</v>
      </c>
      <c r="L75" s="40">
        <f t="shared" si="2"/>
        <v>81</v>
      </c>
      <c r="M75" s="40">
        <f t="shared" si="2"/>
        <v>256</v>
      </c>
      <c r="N75" s="40">
        <f t="shared" si="2"/>
        <v>200</v>
      </c>
      <c r="O75" s="40">
        <f t="shared" si="1"/>
        <v>240</v>
      </c>
    </row>
    <row r="76" spans="1:15" x14ac:dyDescent="0.25">
      <c r="A76" s="38">
        <v>3310</v>
      </c>
      <c r="B76" s="38" t="s">
        <v>93</v>
      </c>
      <c r="C76" s="38" t="s">
        <v>173</v>
      </c>
      <c r="D76" s="38" t="s">
        <v>184</v>
      </c>
      <c r="E76" s="38">
        <v>360</v>
      </c>
      <c r="F76" s="38">
        <v>720</v>
      </c>
      <c r="G76" s="40">
        <v>52</v>
      </c>
      <c r="H76" s="40">
        <v>181</v>
      </c>
      <c r="I76" s="40">
        <v>143</v>
      </c>
      <c r="J76" s="40">
        <v>212</v>
      </c>
      <c r="L76" s="40">
        <f t="shared" si="2"/>
        <v>60</v>
      </c>
      <c r="M76" s="40">
        <f t="shared" si="2"/>
        <v>208</v>
      </c>
      <c r="N76" s="40">
        <f t="shared" si="2"/>
        <v>164</v>
      </c>
      <c r="O76" s="40">
        <f t="shared" si="1"/>
        <v>244</v>
      </c>
    </row>
    <row r="77" spans="1:15" x14ac:dyDescent="0.25">
      <c r="A77" s="38">
        <v>3311</v>
      </c>
      <c r="B77" s="38" t="s">
        <v>93</v>
      </c>
      <c r="C77" s="38" t="s">
        <v>173</v>
      </c>
      <c r="D77" s="38" t="s">
        <v>185</v>
      </c>
      <c r="E77" s="38">
        <v>420</v>
      </c>
      <c r="F77" s="38">
        <v>720</v>
      </c>
      <c r="G77" s="40">
        <v>60</v>
      </c>
      <c r="H77" s="40">
        <v>212</v>
      </c>
      <c r="I77" s="40">
        <v>166</v>
      </c>
      <c r="J77" s="40">
        <v>212</v>
      </c>
      <c r="L77" s="40">
        <f t="shared" si="2"/>
        <v>69</v>
      </c>
      <c r="M77" s="40">
        <f t="shared" si="2"/>
        <v>244</v>
      </c>
      <c r="N77" s="40">
        <f t="shared" si="2"/>
        <v>191</v>
      </c>
      <c r="O77" s="40">
        <f t="shared" si="1"/>
        <v>244</v>
      </c>
    </row>
    <row r="78" spans="1:15" x14ac:dyDescent="0.25">
      <c r="A78" s="38">
        <v>3312</v>
      </c>
      <c r="B78" s="38" t="s">
        <v>93</v>
      </c>
      <c r="C78" s="38" t="s">
        <v>173</v>
      </c>
      <c r="D78" s="38" t="s">
        <v>186</v>
      </c>
      <c r="E78" s="38">
        <v>580</v>
      </c>
      <c r="F78" s="38">
        <v>720</v>
      </c>
      <c r="G78" s="40">
        <v>82</v>
      </c>
      <c r="H78" s="40">
        <v>262</v>
      </c>
      <c r="I78" s="40">
        <v>216</v>
      </c>
      <c r="J78" s="40">
        <v>245</v>
      </c>
      <c r="L78" s="40">
        <f t="shared" si="2"/>
        <v>94</v>
      </c>
      <c r="M78" s="40">
        <f t="shared" si="2"/>
        <v>301</v>
      </c>
      <c r="N78" s="40">
        <f t="shared" si="2"/>
        <v>248</v>
      </c>
      <c r="O78" s="40">
        <f t="shared" si="1"/>
        <v>282</v>
      </c>
    </row>
    <row r="79" spans="1:15" x14ac:dyDescent="0.25">
      <c r="A79" s="38">
        <v>3313</v>
      </c>
      <c r="B79" s="38" t="s">
        <v>93</v>
      </c>
      <c r="C79" s="38" t="s">
        <v>173</v>
      </c>
      <c r="D79" s="38" t="s">
        <v>187</v>
      </c>
      <c r="E79" s="38">
        <v>780</v>
      </c>
      <c r="F79" s="38">
        <v>720</v>
      </c>
      <c r="G79" s="40">
        <v>107</v>
      </c>
      <c r="H79" s="40">
        <v>355</v>
      </c>
      <c r="I79" s="40">
        <v>277</v>
      </c>
      <c r="J79" s="40">
        <v>268</v>
      </c>
      <c r="L79" s="40">
        <f t="shared" si="2"/>
        <v>123</v>
      </c>
      <c r="M79" s="40">
        <f t="shared" si="2"/>
        <v>408</v>
      </c>
      <c r="N79" s="40">
        <f t="shared" si="2"/>
        <v>319</v>
      </c>
      <c r="O79" s="40">
        <f t="shared" si="1"/>
        <v>308</v>
      </c>
    </row>
    <row r="80" spans="1:15" x14ac:dyDescent="0.25">
      <c r="A80" s="38">
        <v>3314</v>
      </c>
      <c r="B80" s="38" t="s">
        <v>93</v>
      </c>
      <c r="C80" s="38" t="s">
        <v>173</v>
      </c>
      <c r="D80" s="38" t="s">
        <v>188</v>
      </c>
      <c r="E80" s="38">
        <v>980</v>
      </c>
      <c r="F80" s="38">
        <v>720</v>
      </c>
      <c r="G80" s="40">
        <v>134</v>
      </c>
      <c r="H80" s="40">
        <v>406</v>
      </c>
      <c r="I80" s="40">
        <v>320</v>
      </c>
      <c r="J80" s="40">
        <v>329</v>
      </c>
      <c r="L80" s="40">
        <f t="shared" si="2"/>
        <v>154</v>
      </c>
      <c r="M80" s="40">
        <f t="shared" si="2"/>
        <v>467</v>
      </c>
      <c r="N80" s="40">
        <f t="shared" si="2"/>
        <v>368</v>
      </c>
      <c r="O80" s="40">
        <f t="shared" si="1"/>
        <v>378</v>
      </c>
    </row>
    <row r="81" spans="1:15" x14ac:dyDescent="0.25">
      <c r="A81" s="38">
        <v>3315</v>
      </c>
      <c r="B81" s="38" t="s">
        <v>93</v>
      </c>
      <c r="C81" s="38" t="s">
        <v>173</v>
      </c>
      <c r="D81" s="38" t="s">
        <v>189</v>
      </c>
      <c r="E81" s="38">
        <v>360</v>
      </c>
      <c r="F81" s="38">
        <v>1080</v>
      </c>
      <c r="G81" s="40">
        <v>88</v>
      </c>
      <c r="H81" s="40">
        <v>267</v>
      </c>
      <c r="I81" s="40">
        <v>222</v>
      </c>
      <c r="J81" s="40">
        <v>240</v>
      </c>
      <c r="L81" s="40">
        <f t="shared" si="2"/>
        <v>101</v>
      </c>
      <c r="M81" s="40">
        <f t="shared" si="2"/>
        <v>307</v>
      </c>
      <c r="N81" s="40">
        <f t="shared" si="2"/>
        <v>255</v>
      </c>
      <c r="O81" s="40">
        <f t="shared" si="1"/>
        <v>276</v>
      </c>
    </row>
    <row r="82" spans="1:15" x14ac:dyDescent="0.25">
      <c r="A82" s="38">
        <v>3316</v>
      </c>
      <c r="B82" s="38" t="s">
        <v>93</v>
      </c>
      <c r="C82" s="38" t="s">
        <v>173</v>
      </c>
      <c r="D82" s="38" t="s">
        <v>190</v>
      </c>
      <c r="E82" s="38">
        <v>420</v>
      </c>
      <c r="F82" s="38">
        <v>1080</v>
      </c>
      <c r="G82" s="40">
        <v>88</v>
      </c>
      <c r="H82" s="40">
        <v>304</v>
      </c>
      <c r="I82" s="40">
        <v>241</v>
      </c>
      <c r="J82" s="40">
        <v>259</v>
      </c>
      <c r="L82" s="40">
        <f t="shared" si="2"/>
        <v>101</v>
      </c>
      <c r="M82" s="40">
        <f t="shared" si="2"/>
        <v>350</v>
      </c>
      <c r="N82" s="40">
        <f t="shared" si="2"/>
        <v>277</v>
      </c>
      <c r="O82" s="40">
        <f t="shared" si="1"/>
        <v>298</v>
      </c>
    </row>
    <row r="83" spans="1:15" x14ac:dyDescent="0.25">
      <c r="A83" s="38">
        <v>3317</v>
      </c>
      <c r="B83" s="38" t="s">
        <v>93</v>
      </c>
      <c r="C83" s="38" t="s">
        <v>173</v>
      </c>
      <c r="D83" s="38" t="s">
        <v>191</v>
      </c>
      <c r="E83" s="38">
        <v>580</v>
      </c>
      <c r="F83" s="38">
        <v>1080</v>
      </c>
      <c r="G83" s="40">
        <v>119</v>
      </c>
      <c r="H83" s="40">
        <v>377</v>
      </c>
      <c r="I83" s="40">
        <v>300</v>
      </c>
      <c r="J83" s="40">
        <v>307</v>
      </c>
      <c r="L83" s="40">
        <f t="shared" si="2"/>
        <v>137</v>
      </c>
      <c r="M83" s="40">
        <f t="shared" si="2"/>
        <v>434</v>
      </c>
      <c r="N83" s="40">
        <f t="shared" si="2"/>
        <v>345</v>
      </c>
      <c r="O83" s="40">
        <f t="shared" si="1"/>
        <v>353</v>
      </c>
    </row>
    <row r="84" spans="1:15" x14ac:dyDescent="0.25">
      <c r="A84" s="38">
        <v>3318</v>
      </c>
      <c r="B84" s="38" t="s">
        <v>93</v>
      </c>
      <c r="C84" s="38" t="s">
        <v>173</v>
      </c>
      <c r="D84" s="38" t="s">
        <v>192</v>
      </c>
      <c r="E84" s="38">
        <v>780</v>
      </c>
      <c r="F84" s="38">
        <v>1080</v>
      </c>
      <c r="G84" s="40">
        <v>161</v>
      </c>
      <c r="H84" s="40">
        <v>517</v>
      </c>
      <c r="I84" s="40">
        <v>409</v>
      </c>
      <c r="J84" s="40">
        <v>385</v>
      </c>
      <c r="L84" s="40">
        <f t="shared" si="2"/>
        <v>185</v>
      </c>
      <c r="M84" s="40">
        <f t="shared" si="2"/>
        <v>595</v>
      </c>
      <c r="N84" s="40">
        <f t="shared" si="2"/>
        <v>470</v>
      </c>
      <c r="O84" s="40">
        <f t="shared" si="1"/>
        <v>443</v>
      </c>
    </row>
    <row r="85" spans="1:15" x14ac:dyDescent="0.25">
      <c r="A85" s="38">
        <v>3319</v>
      </c>
      <c r="B85" s="38" t="s">
        <v>93</v>
      </c>
      <c r="C85" s="38" t="s">
        <v>173</v>
      </c>
      <c r="D85" s="38" t="s">
        <v>193</v>
      </c>
      <c r="E85" s="38">
        <v>980</v>
      </c>
      <c r="F85" s="38">
        <v>1080</v>
      </c>
      <c r="G85" s="40">
        <v>200</v>
      </c>
      <c r="H85" s="40">
        <v>626</v>
      </c>
      <c r="I85" s="40">
        <v>474</v>
      </c>
      <c r="J85" s="40">
        <v>431</v>
      </c>
      <c r="L85" s="40">
        <f t="shared" si="2"/>
        <v>230</v>
      </c>
      <c r="M85" s="40">
        <f t="shared" si="2"/>
        <v>720</v>
      </c>
      <c r="N85" s="40">
        <f t="shared" si="2"/>
        <v>545</v>
      </c>
      <c r="O85" s="40">
        <f t="shared" si="1"/>
        <v>496</v>
      </c>
    </row>
    <row r="86" spans="1:15" x14ac:dyDescent="0.25">
      <c r="A86" s="38">
        <v>3320</v>
      </c>
      <c r="B86" s="38" t="s">
        <v>93</v>
      </c>
      <c r="C86" s="38" t="s">
        <v>173</v>
      </c>
      <c r="D86" s="38" t="s">
        <v>194</v>
      </c>
      <c r="E86" s="38">
        <v>360</v>
      </c>
      <c r="F86" s="38">
        <v>1440</v>
      </c>
      <c r="G86" s="40">
        <v>100</v>
      </c>
      <c r="H86" s="40">
        <v>336</v>
      </c>
      <c r="I86" s="40">
        <v>281</v>
      </c>
      <c r="J86" s="40">
        <v>529</v>
      </c>
      <c r="L86" s="40">
        <f t="shared" si="2"/>
        <v>115</v>
      </c>
      <c r="M86" s="40">
        <f t="shared" si="2"/>
        <v>386</v>
      </c>
      <c r="N86" s="40">
        <f t="shared" si="2"/>
        <v>323</v>
      </c>
      <c r="O86" s="40">
        <f t="shared" si="1"/>
        <v>608</v>
      </c>
    </row>
    <row r="87" spans="1:15" x14ac:dyDescent="0.25">
      <c r="A87" s="38">
        <v>3321</v>
      </c>
      <c r="B87" s="38" t="s">
        <v>93</v>
      </c>
      <c r="C87" s="38" t="s">
        <v>173</v>
      </c>
      <c r="D87" s="38" t="s">
        <v>195</v>
      </c>
      <c r="E87" s="38">
        <v>420</v>
      </c>
      <c r="F87" s="38">
        <v>1440</v>
      </c>
      <c r="G87" s="40">
        <v>115</v>
      </c>
      <c r="H87" s="40">
        <v>365</v>
      </c>
      <c r="I87" s="40">
        <v>291</v>
      </c>
      <c r="J87" s="40">
        <v>547</v>
      </c>
      <c r="L87" s="40">
        <f t="shared" si="2"/>
        <v>132</v>
      </c>
      <c r="M87" s="40">
        <f t="shared" si="2"/>
        <v>420</v>
      </c>
      <c r="N87" s="40">
        <f t="shared" si="2"/>
        <v>335</v>
      </c>
      <c r="O87" s="40">
        <f t="shared" si="1"/>
        <v>629</v>
      </c>
    </row>
    <row r="88" spans="1:15" x14ac:dyDescent="0.25">
      <c r="A88" s="38">
        <v>3322</v>
      </c>
      <c r="B88" s="38" t="s">
        <v>93</v>
      </c>
      <c r="C88" s="38" t="s">
        <v>173</v>
      </c>
      <c r="D88" s="38" t="s">
        <v>196</v>
      </c>
      <c r="E88" s="38">
        <v>580</v>
      </c>
      <c r="F88" s="38">
        <v>1440</v>
      </c>
      <c r="G88" s="40">
        <v>158</v>
      </c>
      <c r="H88" s="40">
        <v>484</v>
      </c>
      <c r="I88" s="40">
        <v>400</v>
      </c>
      <c r="J88" s="40">
        <v>752</v>
      </c>
      <c r="L88" s="40">
        <f t="shared" si="2"/>
        <v>182</v>
      </c>
      <c r="M88" s="40">
        <f t="shared" si="2"/>
        <v>557</v>
      </c>
      <c r="N88" s="40">
        <f t="shared" si="2"/>
        <v>460</v>
      </c>
      <c r="O88" s="40">
        <f t="shared" si="1"/>
        <v>865</v>
      </c>
    </row>
    <row r="89" spans="1:15" x14ac:dyDescent="0.25">
      <c r="A89" s="38">
        <v>3323</v>
      </c>
      <c r="B89" s="38" t="s">
        <v>93</v>
      </c>
      <c r="C89" s="38" t="s">
        <v>173</v>
      </c>
      <c r="D89" s="38" t="s">
        <v>197</v>
      </c>
      <c r="E89" s="38">
        <v>780</v>
      </c>
      <c r="F89" s="38">
        <v>1440</v>
      </c>
      <c r="G89" s="40">
        <v>211</v>
      </c>
      <c r="H89" s="40">
        <v>630</v>
      </c>
      <c r="I89" s="40">
        <v>499</v>
      </c>
      <c r="J89" s="40">
        <v>939</v>
      </c>
      <c r="L89" s="40">
        <f t="shared" si="2"/>
        <v>243</v>
      </c>
      <c r="M89" s="40">
        <f t="shared" si="2"/>
        <v>725</v>
      </c>
      <c r="N89" s="40">
        <f t="shared" si="2"/>
        <v>574</v>
      </c>
      <c r="O89" s="40">
        <f t="shared" si="1"/>
        <v>1080</v>
      </c>
    </row>
    <row r="90" spans="1:15" x14ac:dyDescent="0.25">
      <c r="A90" s="38">
        <v>3324</v>
      </c>
      <c r="B90" s="38" t="s">
        <v>93</v>
      </c>
      <c r="C90" s="38" t="s">
        <v>173</v>
      </c>
      <c r="D90" s="38" t="s">
        <v>198</v>
      </c>
      <c r="E90" s="38">
        <v>980</v>
      </c>
      <c r="F90" s="38">
        <v>1440</v>
      </c>
      <c r="G90" s="40">
        <v>264</v>
      </c>
      <c r="H90" s="40">
        <v>778</v>
      </c>
      <c r="I90" s="40">
        <v>616</v>
      </c>
      <c r="J90" s="40">
        <v>1159</v>
      </c>
      <c r="L90" s="40">
        <f t="shared" si="2"/>
        <v>304</v>
      </c>
      <c r="M90" s="40">
        <f t="shared" si="2"/>
        <v>895</v>
      </c>
      <c r="N90" s="40">
        <f t="shared" si="2"/>
        <v>708</v>
      </c>
      <c r="O90" s="40">
        <f t="shared" si="1"/>
        <v>1333</v>
      </c>
    </row>
    <row r="91" spans="1:15" x14ac:dyDescent="0.25">
      <c r="A91" s="38">
        <v>3325</v>
      </c>
      <c r="B91" s="38" t="s">
        <v>93</v>
      </c>
      <c r="C91" s="38" t="s">
        <v>173</v>
      </c>
      <c r="D91" s="38" t="s">
        <v>199</v>
      </c>
      <c r="E91" s="38">
        <v>360</v>
      </c>
      <c r="F91" s="38">
        <v>1800</v>
      </c>
      <c r="G91" s="40">
        <v>125</v>
      </c>
      <c r="H91" s="40">
        <v>246</v>
      </c>
      <c r="I91" s="40">
        <v>343</v>
      </c>
      <c r="J91" s="40">
        <v>645</v>
      </c>
      <c r="L91" s="40">
        <f t="shared" si="2"/>
        <v>144</v>
      </c>
      <c r="M91" s="40">
        <f t="shared" si="2"/>
        <v>283</v>
      </c>
      <c r="N91" s="40">
        <f t="shared" si="2"/>
        <v>394</v>
      </c>
      <c r="O91" s="40">
        <f t="shared" si="1"/>
        <v>742</v>
      </c>
    </row>
    <row r="92" spans="1:15" x14ac:dyDescent="0.25">
      <c r="A92" s="38">
        <v>3326</v>
      </c>
      <c r="B92" s="38" t="s">
        <v>93</v>
      </c>
      <c r="C92" s="38" t="s">
        <v>173</v>
      </c>
      <c r="D92" s="38" t="s">
        <v>200</v>
      </c>
      <c r="E92" s="38">
        <v>420</v>
      </c>
      <c r="F92" s="38">
        <v>1800</v>
      </c>
      <c r="G92" s="40">
        <v>143</v>
      </c>
      <c r="H92" s="40">
        <v>281</v>
      </c>
      <c r="I92" s="40">
        <v>350</v>
      </c>
      <c r="J92" s="40">
        <v>658</v>
      </c>
      <c r="L92" s="40">
        <f t="shared" si="2"/>
        <v>164</v>
      </c>
      <c r="M92" s="40">
        <f t="shared" si="2"/>
        <v>323</v>
      </c>
      <c r="N92" s="40">
        <f t="shared" si="2"/>
        <v>403</v>
      </c>
      <c r="O92" s="40">
        <f t="shared" si="1"/>
        <v>757</v>
      </c>
    </row>
    <row r="93" spans="1:15" x14ac:dyDescent="0.25">
      <c r="A93" s="38">
        <v>3327</v>
      </c>
      <c r="B93" s="38" t="s">
        <v>93</v>
      </c>
      <c r="C93" s="38" t="s">
        <v>173</v>
      </c>
      <c r="D93" s="38" t="s">
        <v>201</v>
      </c>
      <c r="E93" s="38">
        <v>580</v>
      </c>
      <c r="F93" s="38">
        <v>1800</v>
      </c>
      <c r="G93" s="40">
        <v>197</v>
      </c>
      <c r="H93" s="40">
        <v>388</v>
      </c>
      <c r="I93" s="40">
        <v>467</v>
      </c>
      <c r="J93" s="40">
        <v>879</v>
      </c>
      <c r="L93" s="40">
        <f t="shared" si="2"/>
        <v>227</v>
      </c>
      <c r="M93" s="40">
        <f t="shared" si="2"/>
        <v>446</v>
      </c>
      <c r="N93" s="40">
        <f t="shared" si="2"/>
        <v>537</v>
      </c>
      <c r="O93" s="40">
        <f t="shared" si="1"/>
        <v>1011</v>
      </c>
    </row>
    <row r="94" spans="1:15" x14ac:dyDescent="0.25">
      <c r="A94" s="38">
        <v>3328</v>
      </c>
      <c r="B94" s="38" t="s">
        <v>93</v>
      </c>
      <c r="C94" s="38" t="s">
        <v>173</v>
      </c>
      <c r="D94" s="38" t="s">
        <v>202</v>
      </c>
      <c r="E94" s="38">
        <v>780</v>
      </c>
      <c r="F94" s="38">
        <v>1800</v>
      </c>
      <c r="G94" s="40">
        <v>264</v>
      </c>
      <c r="H94" s="40">
        <v>520</v>
      </c>
      <c r="I94" s="40">
        <v>612</v>
      </c>
      <c r="J94" s="40">
        <v>1151</v>
      </c>
      <c r="L94" s="40">
        <f t="shared" si="2"/>
        <v>304</v>
      </c>
      <c r="M94" s="40">
        <f t="shared" si="2"/>
        <v>598</v>
      </c>
      <c r="N94" s="40">
        <f t="shared" si="2"/>
        <v>704</v>
      </c>
      <c r="O94" s="40">
        <f t="shared" si="1"/>
        <v>1324</v>
      </c>
    </row>
    <row r="95" spans="1:15" x14ac:dyDescent="0.25">
      <c r="A95" s="38">
        <v>3329</v>
      </c>
      <c r="B95" s="38" t="s">
        <v>93</v>
      </c>
      <c r="C95" s="38" t="s">
        <v>173</v>
      </c>
      <c r="D95" s="38" t="s">
        <v>203</v>
      </c>
      <c r="E95" s="38">
        <v>980</v>
      </c>
      <c r="F95" s="38">
        <v>1800</v>
      </c>
      <c r="G95" s="40">
        <v>329</v>
      </c>
      <c r="H95" s="40">
        <v>648</v>
      </c>
      <c r="I95" s="40">
        <v>753</v>
      </c>
      <c r="J95" s="40">
        <v>1417</v>
      </c>
      <c r="L95" s="40">
        <f t="shared" si="2"/>
        <v>378</v>
      </c>
      <c r="M95" s="40">
        <f t="shared" si="2"/>
        <v>745</v>
      </c>
      <c r="N95" s="40">
        <f t="shared" si="2"/>
        <v>866</v>
      </c>
      <c r="O95" s="40">
        <f t="shared" si="1"/>
        <v>1630</v>
      </c>
    </row>
    <row r="96" spans="1:15" x14ac:dyDescent="0.25">
      <c r="A96" s="38">
        <v>3500</v>
      </c>
      <c r="B96" s="38" t="s">
        <v>93</v>
      </c>
      <c r="C96" s="38" t="s">
        <v>204</v>
      </c>
      <c r="D96" s="38" t="s">
        <v>205</v>
      </c>
      <c r="E96" s="38">
        <v>360</v>
      </c>
      <c r="F96" s="38">
        <v>180</v>
      </c>
      <c r="G96" s="40">
        <v>34</v>
      </c>
      <c r="H96" s="40">
        <v>114</v>
      </c>
      <c r="I96" s="40">
        <v>89</v>
      </c>
      <c r="J96" s="40">
        <v>201</v>
      </c>
      <c r="L96" s="40">
        <f t="shared" si="2"/>
        <v>39</v>
      </c>
      <c r="M96" s="40">
        <f t="shared" si="2"/>
        <v>131</v>
      </c>
      <c r="N96" s="40">
        <f t="shared" si="2"/>
        <v>102</v>
      </c>
      <c r="O96" s="40">
        <f t="shared" si="1"/>
        <v>231</v>
      </c>
    </row>
    <row r="97" spans="1:15" x14ac:dyDescent="0.25">
      <c r="A97" s="38">
        <v>3501</v>
      </c>
      <c r="B97" s="38" t="s">
        <v>93</v>
      </c>
      <c r="C97" s="38" t="s">
        <v>204</v>
      </c>
      <c r="D97" s="38" t="s">
        <v>206</v>
      </c>
      <c r="E97" s="38">
        <v>360</v>
      </c>
      <c r="F97" s="38">
        <v>360</v>
      </c>
      <c r="G97" s="40">
        <v>34</v>
      </c>
      <c r="H97" s="40">
        <v>114</v>
      </c>
      <c r="I97" s="40">
        <v>89</v>
      </c>
      <c r="J97" s="40">
        <v>177</v>
      </c>
      <c r="L97" s="40">
        <f t="shared" si="2"/>
        <v>39</v>
      </c>
      <c r="M97" s="40">
        <f t="shared" si="2"/>
        <v>131</v>
      </c>
      <c r="N97" s="40">
        <f t="shared" si="2"/>
        <v>102</v>
      </c>
      <c r="O97" s="40">
        <f t="shared" si="1"/>
        <v>204</v>
      </c>
    </row>
    <row r="98" spans="1:15" x14ac:dyDescent="0.25">
      <c r="A98" s="38">
        <v>3502</v>
      </c>
      <c r="B98" s="38" t="s">
        <v>93</v>
      </c>
      <c r="C98" s="38" t="s">
        <v>204</v>
      </c>
      <c r="D98" s="38" t="s">
        <v>207</v>
      </c>
      <c r="E98" s="38">
        <v>360</v>
      </c>
      <c r="F98" s="38">
        <v>720</v>
      </c>
      <c r="G98" s="40">
        <v>52</v>
      </c>
      <c r="H98" s="40">
        <v>181</v>
      </c>
      <c r="I98" s="40">
        <v>143</v>
      </c>
      <c r="J98" s="40">
        <v>212</v>
      </c>
      <c r="L98" s="40">
        <f t="shared" si="2"/>
        <v>60</v>
      </c>
      <c r="M98" s="40">
        <f t="shared" si="2"/>
        <v>208</v>
      </c>
      <c r="N98" s="40">
        <f t="shared" si="2"/>
        <v>164</v>
      </c>
      <c r="O98" s="40">
        <f t="shared" si="1"/>
        <v>244</v>
      </c>
    </row>
    <row r="99" spans="1:15" x14ac:dyDescent="0.25">
      <c r="A99" s="38">
        <v>3503</v>
      </c>
      <c r="B99" s="38" t="s">
        <v>93</v>
      </c>
      <c r="C99" s="38" t="s">
        <v>204</v>
      </c>
      <c r="D99" s="38" t="s">
        <v>208</v>
      </c>
      <c r="E99" s="38">
        <v>360</v>
      </c>
      <c r="F99" s="38">
        <v>1080</v>
      </c>
      <c r="G99" s="40">
        <v>76</v>
      </c>
      <c r="H99" s="40">
        <v>267</v>
      </c>
      <c r="I99" s="40">
        <v>222</v>
      </c>
      <c r="J99" s="40">
        <v>240</v>
      </c>
      <c r="L99" s="40">
        <f t="shared" si="2"/>
        <v>87</v>
      </c>
      <c r="M99" s="40">
        <f t="shared" si="2"/>
        <v>307</v>
      </c>
      <c r="N99" s="40">
        <f t="shared" si="2"/>
        <v>255</v>
      </c>
      <c r="O99" s="40">
        <f t="shared" si="1"/>
        <v>276</v>
      </c>
    </row>
    <row r="100" spans="1:15" x14ac:dyDescent="0.25">
      <c r="A100" s="38">
        <v>3504</v>
      </c>
      <c r="B100" s="38" t="s">
        <v>93</v>
      </c>
      <c r="C100" s="38" t="s">
        <v>204</v>
      </c>
      <c r="D100" s="38" t="s">
        <v>209</v>
      </c>
      <c r="E100" s="38">
        <v>360</v>
      </c>
      <c r="F100" s="38">
        <v>1440</v>
      </c>
      <c r="G100" s="40">
        <v>100</v>
      </c>
      <c r="H100" s="40">
        <v>336</v>
      </c>
      <c r="I100" s="40">
        <v>281</v>
      </c>
      <c r="J100" s="40">
        <v>529</v>
      </c>
      <c r="L100" s="40">
        <f t="shared" si="2"/>
        <v>115</v>
      </c>
      <c r="M100" s="40">
        <f t="shared" si="2"/>
        <v>386</v>
      </c>
      <c r="N100" s="40">
        <f t="shared" si="2"/>
        <v>323</v>
      </c>
      <c r="O100" s="40">
        <f t="shared" si="1"/>
        <v>608</v>
      </c>
    </row>
    <row r="101" spans="1:15" x14ac:dyDescent="0.25">
      <c r="A101" s="38">
        <v>3505</v>
      </c>
      <c r="B101" s="38" t="s">
        <v>93</v>
      </c>
      <c r="C101" s="38" t="s">
        <v>204</v>
      </c>
      <c r="D101" s="38" t="s">
        <v>210</v>
      </c>
      <c r="E101" s="38">
        <v>360</v>
      </c>
      <c r="F101" s="38">
        <v>1800</v>
      </c>
      <c r="G101" s="40">
        <v>125</v>
      </c>
      <c r="H101" s="40">
        <v>246</v>
      </c>
      <c r="I101" s="40">
        <v>343</v>
      </c>
      <c r="J101" s="40">
        <v>645</v>
      </c>
      <c r="L101" s="40">
        <f t="shared" si="2"/>
        <v>144</v>
      </c>
      <c r="M101" s="40">
        <f t="shared" si="2"/>
        <v>283</v>
      </c>
      <c r="N101" s="40">
        <f t="shared" si="2"/>
        <v>394</v>
      </c>
      <c r="O101" s="40">
        <f t="shared" si="1"/>
        <v>742</v>
      </c>
    </row>
    <row r="102" spans="1:15" x14ac:dyDescent="0.25">
      <c r="A102" s="38">
        <v>3506</v>
      </c>
      <c r="B102" s="38" t="s">
        <v>93</v>
      </c>
      <c r="C102" s="38" t="s">
        <v>204</v>
      </c>
      <c r="D102" s="38" t="s">
        <v>211</v>
      </c>
      <c r="E102" s="38">
        <v>580</v>
      </c>
      <c r="F102" s="38">
        <v>180</v>
      </c>
      <c r="G102" s="40">
        <v>43</v>
      </c>
      <c r="H102" s="40">
        <v>161</v>
      </c>
      <c r="I102" s="40">
        <v>130</v>
      </c>
      <c r="J102" s="40">
        <v>208</v>
      </c>
      <c r="L102" s="40">
        <f t="shared" si="2"/>
        <v>49</v>
      </c>
      <c r="M102" s="40">
        <f t="shared" si="2"/>
        <v>185</v>
      </c>
      <c r="N102" s="40">
        <f t="shared" si="2"/>
        <v>150</v>
      </c>
      <c r="O102" s="40">
        <f t="shared" si="1"/>
        <v>239</v>
      </c>
    </row>
    <row r="103" spans="1:15" x14ac:dyDescent="0.25">
      <c r="A103" s="38">
        <v>3507</v>
      </c>
      <c r="B103" s="38" t="s">
        <v>93</v>
      </c>
      <c r="C103" s="38" t="s">
        <v>204</v>
      </c>
      <c r="D103" s="38" t="s">
        <v>212</v>
      </c>
      <c r="E103" s="38">
        <v>580</v>
      </c>
      <c r="F103" s="38">
        <v>360</v>
      </c>
      <c r="G103" s="40">
        <v>43</v>
      </c>
      <c r="H103" s="40">
        <v>161</v>
      </c>
      <c r="I103" s="40">
        <v>130</v>
      </c>
      <c r="J103" s="40">
        <v>185</v>
      </c>
      <c r="L103" s="40">
        <f t="shared" si="2"/>
        <v>49</v>
      </c>
      <c r="M103" s="40">
        <f t="shared" si="2"/>
        <v>185</v>
      </c>
      <c r="N103" s="40">
        <f t="shared" si="2"/>
        <v>150</v>
      </c>
      <c r="O103" s="40">
        <f t="shared" si="1"/>
        <v>213</v>
      </c>
    </row>
    <row r="104" spans="1:15" x14ac:dyDescent="0.25">
      <c r="A104" s="38">
        <v>3508</v>
      </c>
      <c r="B104" s="38" t="s">
        <v>93</v>
      </c>
      <c r="C104" s="38" t="s">
        <v>204</v>
      </c>
      <c r="D104" s="38" t="s">
        <v>213</v>
      </c>
      <c r="E104" s="38">
        <v>580</v>
      </c>
      <c r="F104" s="38">
        <v>720</v>
      </c>
      <c r="G104" s="40">
        <v>82</v>
      </c>
      <c r="H104" s="40">
        <v>262</v>
      </c>
      <c r="I104" s="40">
        <v>216</v>
      </c>
      <c r="J104" s="40">
        <v>245</v>
      </c>
      <c r="L104" s="40">
        <f t="shared" si="2"/>
        <v>94</v>
      </c>
      <c r="M104" s="40">
        <f t="shared" si="2"/>
        <v>301</v>
      </c>
      <c r="N104" s="40">
        <f t="shared" si="2"/>
        <v>248</v>
      </c>
      <c r="O104" s="40">
        <f t="shared" si="1"/>
        <v>282</v>
      </c>
    </row>
    <row r="105" spans="1:15" x14ac:dyDescent="0.25">
      <c r="A105" s="38">
        <v>3509</v>
      </c>
      <c r="B105" s="38" t="s">
        <v>93</v>
      </c>
      <c r="C105" s="38" t="s">
        <v>204</v>
      </c>
      <c r="D105" s="38" t="s">
        <v>214</v>
      </c>
      <c r="E105" s="38">
        <v>580</v>
      </c>
      <c r="F105" s="38">
        <v>1080</v>
      </c>
      <c r="G105" s="40">
        <v>119</v>
      </c>
      <c r="H105" s="40">
        <v>377</v>
      </c>
      <c r="I105" s="40">
        <v>300</v>
      </c>
      <c r="J105" s="40">
        <v>307</v>
      </c>
      <c r="L105" s="40">
        <f t="shared" si="2"/>
        <v>137</v>
      </c>
      <c r="M105" s="40">
        <f t="shared" si="2"/>
        <v>434</v>
      </c>
      <c r="N105" s="40">
        <f t="shared" si="2"/>
        <v>345</v>
      </c>
      <c r="O105" s="40">
        <f t="shared" si="1"/>
        <v>353</v>
      </c>
    </row>
    <row r="106" spans="1:15" x14ac:dyDescent="0.25">
      <c r="A106" s="38">
        <v>3510</v>
      </c>
      <c r="B106" s="38" t="s">
        <v>93</v>
      </c>
      <c r="C106" s="38" t="s">
        <v>204</v>
      </c>
      <c r="D106" s="38" t="s">
        <v>215</v>
      </c>
      <c r="E106" s="38">
        <v>580</v>
      </c>
      <c r="F106" s="38">
        <v>1440</v>
      </c>
      <c r="G106" s="40">
        <v>158</v>
      </c>
      <c r="H106" s="40">
        <v>484</v>
      </c>
      <c r="I106" s="40">
        <v>400</v>
      </c>
      <c r="J106" s="40">
        <v>752</v>
      </c>
      <c r="L106" s="40">
        <f t="shared" si="2"/>
        <v>182</v>
      </c>
      <c r="M106" s="40">
        <f t="shared" si="2"/>
        <v>557</v>
      </c>
      <c r="N106" s="40">
        <f t="shared" si="2"/>
        <v>460</v>
      </c>
      <c r="O106" s="40">
        <f t="shared" si="1"/>
        <v>865</v>
      </c>
    </row>
    <row r="107" spans="1:15" x14ac:dyDescent="0.25">
      <c r="A107" s="38">
        <v>3511</v>
      </c>
      <c r="B107" s="38" t="s">
        <v>93</v>
      </c>
      <c r="C107" s="38" t="s">
        <v>204</v>
      </c>
      <c r="D107" s="38" t="s">
        <v>216</v>
      </c>
      <c r="E107" s="38">
        <v>580</v>
      </c>
      <c r="F107" s="38">
        <v>1800</v>
      </c>
      <c r="G107" s="40">
        <v>197</v>
      </c>
      <c r="H107" s="40">
        <v>388</v>
      </c>
      <c r="I107" s="40">
        <v>467</v>
      </c>
      <c r="J107" s="40">
        <v>879</v>
      </c>
      <c r="L107" s="40">
        <f t="shared" si="2"/>
        <v>227</v>
      </c>
      <c r="M107" s="40">
        <f t="shared" si="2"/>
        <v>446</v>
      </c>
      <c r="N107" s="40">
        <f t="shared" si="2"/>
        <v>537</v>
      </c>
      <c r="O107" s="40">
        <f t="shared" si="1"/>
        <v>1011</v>
      </c>
    </row>
    <row r="108" spans="1:15" x14ac:dyDescent="0.25">
      <c r="A108" s="38">
        <v>3512</v>
      </c>
      <c r="B108" s="38" t="s">
        <v>93</v>
      </c>
      <c r="C108" s="38" t="s">
        <v>204</v>
      </c>
      <c r="D108" s="38" t="s">
        <v>217</v>
      </c>
      <c r="E108" s="38">
        <v>180</v>
      </c>
      <c r="F108" s="38">
        <v>780</v>
      </c>
      <c r="G108" s="40">
        <v>56</v>
      </c>
      <c r="H108" s="40">
        <v>185</v>
      </c>
      <c r="I108" s="40">
        <v>144</v>
      </c>
      <c r="J108" s="40">
        <v>212</v>
      </c>
      <c r="L108" s="40">
        <f t="shared" si="2"/>
        <v>64</v>
      </c>
      <c r="M108" s="40">
        <f t="shared" si="2"/>
        <v>213</v>
      </c>
      <c r="N108" s="40">
        <f t="shared" si="2"/>
        <v>166</v>
      </c>
      <c r="O108" s="40">
        <f t="shared" si="1"/>
        <v>244</v>
      </c>
    </row>
    <row r="109" spans="1:15" x14ac:dyDescent="0.25">
      <c r="A109" s="38">
        <v>3513</v>
      </c>
      <c r="B109" s="38" t="s">
        <v>93</v>
      </c>
      <c r="C109" s="38" t="s">
        <v>204</v>
      </c>
      <c r="D109" s="38" t="s">
        <v>218</v>
      </c>
      <c r="E109" s="38">
        <v>180</v>
      </c>
      <c r="F109" s="38">
        <v>980</v>
      </c>
      <c r="G109" s="40">
        <v>70</v>
      </c>
      <c r="H109" s="40">
        <v>223</v>
      </c>
      <c r="I109" s="40">
        <v>174</v>
      </c>
      <c r="J109" s="40">
        <v>229</v>
      </c>
      <c r="L109" s="40">
        <f t="shared" si="2"/>
        <v>81</v>
      </c>
      <c r="M109" s="40">
        <f t="shared" si="2"/>
        <v>256</v>
      </c>
      <c r="N109" s="40">
        <f t="shared" si="2"/>
        <v>200</v>
      </c>
      <c r="O109" s="40">
        <f t="shared" si="1"/>
        <v>263</v>
      </c>
    </row>
    <row r="110" spans="1:15" x14ac:dyDescent="0.25">
      <c r="A110" s="38">
        <v>3514</v>
      </c>
      <c r="B110" s="38" t="s">
        <v>93</v>
      </c>
      <c r="C110" s="38" t="s">
        <v>204</v>
      </c>
      <c r="D110" s="38" t="s">
        <v>219</v>
      </c>
      <c r="E110" s="38">
        <v>360</v>
      </c>
      <c r="F110" s="38">
        <v>780</v>
      </c>
      <c r="G110" s="40">
        <v>56</v>
      </c>
      <c r="H110" s="40">
        <v>185</v>
      </c>
      <c r="I110" s="40">
        <v>144</v>
      </c>
      <c r="J110" s="40">
        <v>190</v>
      </c>
      <c r="L110" s="40">
        <f t="shared" si="2"/>
        <v>64</v>
      </c>
      <c r="M110" s="40">
        <f t="shared" si="2"/>
        <v>213</v>
      </c>
      <c r="N110" s="40">
        <f t="shared" si="2"/>
        <v>166</v>
      </c>
      <c r="O110" s="40">
        <f t="shared" si="1"/>
        <v>219</v>
      </c>
    </row>
    <row r="111" spans="1:15" x14ac:dyDescent="0.25">
      <c r="A111" s="38">
        <v>3515</v>
      </c>
      <c r="B111" s="38" t="s">
        <v>93</v>
      </c>
      <c r="C111" s="38" t="s">
        <v>204</v>
      </c>
      <c r="D111" s="38" t="s">
        <v>220</v>
      </c>
      <c r="E111" s="38">
        <v>360</v>
      </c>
      <c r="F111" s="38">
        <v>980</v>
      </c>
      <c r="G111" s="40">
        <v>70</v>
      </c>
      <c r="H111" s="40">
        <v>223</v>
      </c>
      <c r="I111" s="40">
        <v>174</v>
      </c>
      <c r="J111" s="40">
        <v>209</v>
      </c>
      <c r="L111" s="40">
        <f t="shared" si="2"/>
        <v>81</v>
      </c>
      <c r="M111" s="40">
        <f t="shared" si="2"/>
        <v>256</v>
      </c>
      <c r="N111" s="40">
        <f t="shared" si="2"/>
        <v>200</v>
      </c>
      <c r="O111" s="40">
        <f t="shared" si="1"/>
        <v>240</v>
      </c>
    </row>
    <row r="112" spans="1:15" x14ac:dyDescent="0.25">
      <c r="A112" s="38">
        <v>3516</v>
      </c>
      <c r="B112" s="38" t="s">
        <v>93</v>
      </c>
      <c r="C112" s="38" t="s">
        <v>204</v>
      </c>
      <c r="D112" s="38" t="s">
        <v>221</v>
      </c>
      <c r="E112" s="38">
        <v>720</v>
      </c>
      <c r="F112" s="38">
        <v>780</v>
      </c>
      <c r="G112" s="40">
        <v>107</v>
      </c>
      <c r="H112" s="40">
        <v>355</v>
      </c>
      <c r="I112" s="40">
        <v>277</v>
      </c>
      <c r="J112" s="40">
        <v>268</v>
      </c>
      <c r="L112" s="40">
        <f t="shared" si="2"/>
        <v>123</v>
      </c>
      <c r="M112" s="40">
        <f t="shared" si="2"/>
        <v>408</v>
      </c>
      <c r="N112" s="40">
        <f t="shared" si="2"/>
        <v>319</v>
      </c>
      <c r="O112" s="40">
        <f t="shared" si="1"/>
        <v>308</v>
      </c>
    </row>
    <row r="113" spans="1:15" x14ac:dyDescent="0.25">
      <c r="A113" s="38">
        <v>3517</v>
      </c>
      <c r="B113" s="38" t="s">
        <v>93</v>
      </c>
      <c r="C113" s="38" t="s">
        <v>204</v>
      </c>
      <c r="D113" s="38" t="s">
        <v>222</v>
      </c>
      <c r="E113" s="38">
        <v>720</v>
      </c>
      <c r="F113" s="38">
        <v>980</v>
      </c>
      <c r="G113" s="40">
        <v>134</v>
      </c>
      <c r="H113" s="40">
        <v>406</v>
      </c>
      <c r="I113" s="40">
        <v>320</v>
      </c>
      <c r="J113" s="40">
        <v>329</v>
      </c>
      <c r="L113" s="40">
        <f t="shared" si="2"/>
        <v>154</v>
      </c>
      <c r="M113" s="40">
        <f t="shared" si="2"/>
        <v>467</v>
      </c>
      <c r="N113" s="40">
        <f t="shared" si="2"/>
        <v>368</v>
      </c>
      <c r="O113" s="40">
        <f t="shared" si="1"/>
        <v>378</v>
      </c>
    </row>
    <row r="114" spans="1:15" x14ac:dyDescent="0.25">
      <c r="A114" s="38">
        <v>3518</v>
      </c>
      <c r="B114" s="38" t="s">
        <v>93</v>
      </c>
      <c r="C114" s="38" t="s">
        <v>204</v>
      </c>
      <c r="D114" s="38" t="s">
        <v>223</v>
      </c>
      <c r="E114" s="38">
        <v>1080</v>
      </c>
      <c r="F114" s="38">
        <v>780</v>
      </c>
      <c r="G114" s="40">
        <v>161</v>
      </c>
      <c r="H114" s="40">
        <v>517</v>
      </c>
      <c r="I114" s="40">
        <v>409</v>
      </c>
      <c r="J114" s="40">
        <v>385</v>
      </c>
      <c r="L114" s="40">
        <f t="shared" si="2"/>
        <v>185</v>
      </c>
      <c r="M114" s="40">
        <f t="shared" si="2"/>
        <v>595</v>
      </c>
      <c r="N114" s="40">
        <f t="shared" si="2"/>
        <v>470</v>
      </c>
      <c r="O114" s="40">
        <f t="shared" si="1"/>
        <v>443</v>
      </c>
    </row>
    <row r="115" spans="1:15" x14ac:dyDescent="0.25">
      <c r="A115" s="38">
        <v>3519</v>
      </c>
      <c r="B115" s="38" t="s">
        <v>93</v>
      </c>
      <c r="C115" s="38" t="s">
        <v>204</v>
      </c>
      <c r="D115" s="38" t="s">
        <v>224</v>
      </c>
      <c r="E115" s="38">
        <v>1080</v>
      </c>
      <c r="F115" s="38">
        <v>980</v>
      </c>
      <c r="G115" s="40">
        <v>200</v>
      </c>
      <c r="H115" s="40">
        <v>626</v>
      </c>
      <c r="I115" s="40">
        <v>474</v>
      </c>
      <c r="J115" s="40">
        <v>431</v>
      </c>
      <c r="L115" s="40">
        <f t="shared" si="2"/>
        <v>230</v>
      </c>
      <c r="M115" s="40">
        <f t="shared" si="2"/>
        <v>720</v>
      </c>
      <c r="N115" s="40">
        <f t="shared" si="2"/>
        <v>545</v>
      </c>
      <c r="O115" s="40">
        <f t="shared" si="1"/>
        <v>496</v>
      </c>
    </row>
    <row r="116" spans="1:15" x14ac:dyDescent="0.25">
      <c r="A116" s="38">
        <v>3520</v>
      </c>
      <c r="B116" s="38" t="s">
        <v>93</v>
      </c>
      <c r="C116" s="38" t="s">
        <v>204</v>
      </c>
      <c r="D116" s="38" t="s">
        <v>225</v>
      </c>
      <c r="E116" s="38">
        <v>1440</v>
      </c>
      <c r="F116" s="38">
        <v>780</v>
      </c>
      <c r="G116" s="40">
        <v>211</v>
      </c>
      <c r="H116" s="40">
        <v>630</v>
      </c>
      <c r="I116" s="40">
        <v>499</v>
      </c>
      <c r="J116" s="40">
        <v>939</v>
      </c>
      <c r="L116" s="40">
        <f t="shared" si="2"/>
        <v>243</v>
      </c>
      <c r="M116" s="40">
        <f t="shared" si="2"/>
        <v>725</v>
      </c>
      <c r="N116" s="40">
        <f t="shared" si="2"/>
        <v>574</v>
      </c>
      <c r="O116" s="40">
        <f t="shared" si="1"/>
        <v>1080</v>
      </c>
    </row>
    <row r="117" spans="1:15" x14ac:dyDescent="0.25">
      <c r="A117" s="38">
        <v>3521</v>
      </c>
      <c r="B117" s="38" t="s">
        <v>93</v>
      </c>
      <c r="C117" s="38" t="s">
        <v>204</v>
      </c>
      <c r="D117" s="38" t="s">
        <v>226</v>
      </c>
      <c r="E117" s="38">
        <v>1440</v>
      </c>
      <c r="F117" s="38">
        <v>980</v>
      </c>
      <c r="G117" s="40">
        <v>264</v>
      </c>
      <c r="H117" s="40">
        <v>778</v>
      </c>
      <c r="I117" s="40">
        <v>616</v>
      </c>
      <c r="J117" s="40">
        <v>1159</v>
      </c>
      <c r="L117" s="40">
        <f t="shared" si="2"/>
        <v>304</v>
      </c>
      <c r="M117" s="40">
        <f t="shared" si="2"/>
        <v>895</v>
      </c>
      <c r="N117" s="40">
        <f t="shared" si="2"/>
        <v>708</v>
      </c>
      <c r="O117" s="40">
        <f t="shared" si="1"/>
        <v>1333</v>
      </c>
    </row>
    <row r="118" spans="1:15" x14ac:dyDescent="0.25">
      <c r="A118" s="38">
        <v>3522</v>
      </c>
      <c r="B118" s="38" t="s">
        <v>93</v>
      </c>
      <c r="C118" s="38" t="s">
        <v>204</v>
      </c>
      <c r="D118" s="38" t="s">
        <v>227</v>
      </c>
      <c r="E118" s="38">
        <v>1800</v>
      </c>
      <c r="F118" s="38">
        <v>780</v>
      </c>
      <c r="G118" s="40">
        <v>264</v>
      </c>
      <c r="H118" s="40">
        <v>520</v>
      </c>
      <c r="I118" s="40">
        <v>612</v>
      </c>
      <c r="J118" s="40">
        <v>1151</v>
      </c>
      <c r="L118" s="40">
        <f t="shared" si="2"/>
        <v>304</v>
      </c>
      <c r="M118" s="40">
        <f t="shared" si="2"/>
        <v>598</v>
      </c>
      <c r="N118" s="40">
        <f t="shared" si="2"/>
        <v>704</v>
      </c>
      <c r="O118" s="40">
        <f t="shared" si="1"/>
        <v>1324</v>
      </c>
    </row>
    <row r="119" spans="1:15" x14ac:dyDescent="0.25">
      <c r="A119" s="38">
        <v>3523</v>
      </c>
      <c r="B119" s="38" t="s">
        <v>93</v>
      </c>
      <c r="C119" s="38" t="s">
        <v>204</v>
      </c>
      <c r="D119" s="38" t="s">
        <v>228</v>
      </c>
      <c r="E119" s="38">
        <v>1800</v>
      </c>
      <c r="F119" s="38">
        <v>980</v>
      </c>
      <c r="G119" s="40">
        <v>329</v>
      </c>
      <c r="H119" s="40">
        <v>648</v>
      </c>
      <c r="I119" s="40">
        <v>753</v>
      </c>
      <c r="J119" s="40">
        <v>1417</v>
      </c>
      <c r="L119" s="40">
        <f t="shared" si="2"/>
        <v>378</v>
      </c>
      <c r="M119" s="40">
        <f t="shared" si="2"/>
        <v>745</v>
      </c>
      <c r="N119" s="40">
        <f t="shared" si="2"/>
        <v>866</v>
      </c>
      <c r="O119" s="40">
        <f t="shared" si="1"/>
        <v>1630</v>
      </c>
    </row>
    <row r="120" spans="1:15" x14ac:dyDescent="0.25">
      <c r="A120" s="38">
        <v>3524</v>
      </c>
      <c r="B120" s="38" t="s">
        <v>93</v>
      </c>
      <c r="C120" s="38" t="s">
        <v>204</v>
      </c>
      <c r="D120" s="38" t="s">
        <v>229</v>
      </c>
      <c r="E120" s="38">
        <v>580</v>
      </c>
      <c r="F120" s="38">
        <v>580</v>
      </c>
      <c r="G120" s="40">
        <v>67</v>
      </c>
      <c r="H120" s="40">
        <v>228</v>
      </c>
      <c r="I120" s="40">
        <v>183</v>
      </c>
      <c r="J120" s="40">
        <v>191</v>
      </c>
      <c r="L120" s="40">
        <f t="shared" si="2"/>
        <v>77</v>
      </c>
      <c r="M120" s="40">
        <f t="shared" si="2"/>
        <v>262</v>
      </c>
      <c r="N120" s="40">
        <f t="shared" si="2"/>
        <v>210</v>
      </c>
      <c r="O120" s="40">
        <f t="shared" si="1"/>
        <v>220</v>
      </c>
    </row>
    <row r="121" spans="1:15" x14ac:dyDescent="0.25">
      <c r="A121" s="38">
        <v>3600</v>
      </c>
      <c r="B121" s="38" t="s">
        <v>93</v>
      </c>
      <c r="C121" s="38" t="s">
        <v>230</v>
      </c>
      <c r="D121" s="38" t="s">
        <v>231</v>
      </c>
      <c r="E121" s="38">
        <v>360</v>
      </c>
      <c r="F121" s="38">
        <v>360</v>
      </c>
      <c r="G121" s="40">
        <v>34</v>
      </c>
      <c r="H121" s="40">
        <v>114</v>
      </c>
      <c r="I121" s="40">
        <v>89</v>
      </c>
      <c r="J121" s="40">
        <v>177</v>
      </c>
      <c r="L121" s="40">
        <f t="shared" si="2"/>
        <v>39</v>
      </c>
      <c r="M121" s="40">
        <f t="shared" si="2"/>
        <v>131</v>
      </c>
      <c r="N121" s="40">
        <f t="shared" si="2"/>
        <v>102</v>
      </c>
      <c r="O121" s="40">
        <f t="shared" si="1"/>
        <v>204</v>
      </c>
    </row>
    <row r="122" spans="1:15" x14ac:dyDescent="0.25">
      <c r="A122" s="38">
        <v>3601</v>
      </c>
      <c r="B122" s="38" t="s">
        <v>93</v>
      </c>
      <c r="C122" s="38" t="s">
        <v>230</v>
      </c>
      <c r="D122" s="38" t="s">
        <v>232</v>
      </c>
      <c r="E122" s="38">
        <v>360</v>
      </c>
      <c r="F122" s="38">
        <v>720</v>
      </c>
      <c r="G122" s="40">
        <v>52</v>
      </c>
      <c r="H122" s="40">
        <v>181</v>
      </c>
      <c r="I122" s="40">
        <v>143</v>
      </c>
      <c r="J122" s="40">
        <v>212</v>
      </c>
      <c r="L122" s="40">
        <f t="shared" si="2"/>
        <v>60</v>
      </c>
      <c r="M122" s="40">
        <f t="shared" si="2"/>
        <v>208</v>
      </c>
      <c r="N122" s="40">
        <f t="shared" si="2"/>
        <v>164</v>
      </c>
      <c r="O122" s="40">
        <f t="shared" si="1"/>
        <v>244</v>
      </c>
    </row>
    <row r="123" spans="1:15" x14ac:dyDescent="0.25">
      <c r="A123" s="38">
        <v>3602</v>
      </c>
      <c r="B123" s="38" t="s">
        <v>93</v>
      </c>
      <c r="C123" s="38" t="s">
        <v>230</v>
      </c>
      <c r="D123" s="38" t="s">
        <v>233</v>
      </c>
      <c r="E123" s="38">
        <v>360</v>
      </c>
      <c r="F123" s="38">
        <v>1080</v>
      </c>
      <c r="G123" s="40">
        <v>76</v>
      </c>
      <c r="H123" s="40">
        <v>267</v>
      </c>
      <c r="I123" s="40">
        <v>222</v>
      </c>
      <c r="J123" s="40">
        <v>240</v>
      </c>
      <c r="L123" s="40">
        <f t="shared" si="2"/>
        <v>87</v>
      </c>
      <c r="M123" s="40">
        <f t="shared" si="2"/>
        <v>307</v>
      </c>
      <c r="N123" s="40">
        <f t="shared" si="2"/>
        <v>255</v>
      </c>
      <c r="O123" s="40">
        <f t="shared" si="1"/>
        <v>276</v>
      </c>
    </row>
    <row r="124" spans="1:15" x14ac:dyDescent="0.25">
      <c r="A124" s="38">
        <v>3603</v>
      </c>
      <c r="B124" s="38" t="s">
        <v>93</v>
      </c>
      <c r="C124" s="38" t="s">
        <v>230</v>
      </c>
      <c r="D124" s="38" t="s">
        <v>234</v>
      </c>
      <c r="E124" s="38">
        <v>360</v>
      </c>
      <c r="F124" s="38">
        <v>1440</v>
      </c>
      <c r="G124" s="40">
        <v>100</v>
      </c>
      <c r="H124" s="40">
        <v>336</v>
      </c>
      <c r="I124" s="40">
        <v>281</v>
      </c>
      <c r="J124" s="40">
        <v>529</v>
      </c>
      <c r="L124" s="40">
        <f t="shared" si="2"/>
        <v>115</v>
      </c>
      <c r="M124" s="40">
        <f t="shared" si="2"/>
        <v>386</v>
      </c>
      <c r="N124" s="40">
        <f t="shared" si="2"/>
        <v>323</v>
      </c>
      <c r="O124" s="40">
        <f t="shared" si="1"/>
        <v>608</v>
      </c>
    </row>
    <row r="125" spans="1:15" x14ac:dyDescent="0.25">
      <c r="A125" s="38">
        <v>3604</v>
      </c>
      <c r="B125" s="38" t="s">
        <v>93</v>
      </c>
      <c r="C125" s="38" t="s">
        <v>230</v>
      </c>
      <c r="D125" s="38" t="s">
        <v>235</v>
      </c>
      <c r="E125" s="38">
        <v>360</v>
      </c>
      <c r="F125" s="38">
        <v>1800</v>
      </c>
      <c r="G125" s="40">
        <v>125</v>
      </c>
      <c r="H125" s="40">
        <v>246</v>
      </c>
      <c r="I125" s="40">
        <v>343</v>
      </c>
      <c r="J125" s="40">
        <v>645</v>
      </c>
      <c r="L125" s="40">
        <f t="shared" si="2"/>
        <v>144</v>
      </c>
      <c r="M125" s="40">
        <f t="shared" si="2"/>
        <v>283</v>
      </c>
      <c r="N125" s="40">
        <f t="shared" si="2"/>
        <v>394</v>
      </c>
      <c r="O125" s="40">
        <f t="shared" si="1"/>
        <v>742</v>
      </c>
    </row>
    <row r="126" spans="1:15" x14ac:dyDescent="0.25">
      <c r="A126" s="38">
        <v>3605</v>
      </c>
      <c r="B126" s="38" t="s">
        <v>93</v>
      </c>
      <c r="C126" s="38" t="s">
        <v>230</v>
      </c>
      <c r="D126" s="38" t="s">
        <v>236</v>
      </c>
      <c r="E126" s="38">
        <v>580</v>
      </c>
      <c r="F126" s="38">
        <v>360</v>
      </c>
      <c r="G126" s="40">
        <v>43</v>
      </c>
      <c r="H126" s="40">
        <v>161</v>
      </c>
      <c r="I126" s="40">
        <v>130</v>
      </c>
      <c r="J126" s="40">
        <v>185</v>
      </c>
      <c r="L126" s="40">
        <f t="shared" si="2"/>
        <v>49</v>
      </c>
      <c r="M126" s="40">
        <f t="shared" si="2"/>
        <v>185</v>
      </c>
      <c r="N126" s="40">
        <f t="shared" si="2"/>
        <v>150</v>
      </c>
      <c r="O126" s="40">
        <f t="shared" si="1"/>
        <v>213</v>
      </c>
    </row>
    <row r="127" spans="1:15" x14ac:dyDescent="0.25">
      <c r="A127" s="38">
        <v>3606</v>
      </c>
      <c r="B127" s="38" t="s">
        <v>93</v>
      </c>
      <c r="C127" s="38" t="s">
        <v>230</v>
      </c>
      <c r="D127" s="38" t="s">
        <v>237</v>
      </c>
      <c r="E127" s="38">
        <v>580</v>
      </c>
      <c r="F127" s="38">
        <v>720</v>
      </c>
      <c r="G127" s="40">
        <v>82</v>
      </c>
      <c r="H127" s="40">
        <v>262</v>
      </c>
      <c r="I127" s="40">
        <v>216</v>
      </c>
      <c r="J127" s="40">
        <v>245</v>
      </c>
      <c r="L127" s="40">
        <f t="shared" si="2"/>
        <v>94</v>
      </c>
      <c r="M127" s="40">
        <f t="shared" si="2"/>
        <v>301</v>
      </c>
      <c r="N127" s="40">
        <f t="shared" si="2"/>
        <v>248</v>
      </c>
      <c r="O127" s="40">
        <f t="shared" si="1"/>
        <v>282</v>
      </c>
    </row>
    <row r="128" spans="1:15" x14ac:dyDescent="0.25">
      <c r="A128" s="38">
        <v>3607</v>
      </c>
      <c r="B128" s="38" t="s">
        <v>93</v>
      </c>
      <c r="C128" s="38" t="s">
        <v>230</v>
      </c>
      <c r="D128" s="38" t="s">
        <v>238</v>
      </c>
      <c r="E128" s="38">
        <v>580</v>
      </c>
      <c r="F128" s="38">
        <v>1080</v>
      </c>
      <c r="G128" s="40">
        <v>119</v>
      </c>
      <c r="H128" s="40">
        <v>377</v>
      </c>
      <c r="I128" s="40">
        <v>300</v>
      </c>
      <c r="J128" s="40">
        <v>307</v>
      </c>
      <c r="L128" s="40">
        <f t="shared" si="2"/>
        <v>137</v>
      </c>
      <c r="M128" s="40">
        <f t="shared" si="2"/>
        <v>434</v>
      </c>
      <c r="N128" s="40">
        <f t="shared" si="2"/>
        <v>345</v>
      </c>
      <c r="O128" s="40">
        <f t="shared" si="1"/>
        <v>353</v>
      </c>
    </row>
    <row r="129" spans="1:15" x14ac:dyDescent="0.25">
      <c r="A129" s="38">
        <v>3608</v>
      </c>
      <c r="B129" s="38" t="s">
        <v>93</v>
      </c>
      <c r="C129" s="38" t="s">
        <v>230</v>
      </c>
      <c r="D129" s="38" t="s">
        <v>239</v>
      </c>
      <c r="E129" s="38">
        <v>580</v>
      </c>
      <c r="F129" s="38">
        <v>1440</v>
      </c>
      <c r="G129" s="40">
        <v>158</v>
      </c>
      <c r="H129" s="40">
        <v>484</v>
      </c>
      <c r="I129" s="40">
        <v>400</v>
      </c>
      <c r="J129" s="40">
        <v>752</v>
      </c>
      <c r="L129" s="40">
        <f t="shared" si="2"/>
        <v>182</v>
      </c>
      <c r="M129" s="40">
        <f t="shared" si="2"/>
        <v>557</v>
      </c>
      <c r="N129" s="40">
        <f t="shared" si="2"/>
        <v>460</v>
      </c>
      <c r="O129" s="40">
        <f t="shared" si="2"/>
        <v>865</v>
      </c>
    </row>
    <row r="130" spans="1:15" x14ac:dyDescent="0.25">
      <c r="A130" s="38">
        <v>3609</v>
      </c>
      <c r="B130" s="38" t="s">
        <v>93</v>
      </c>
      <c r="C130" s="38" t="s">
        <v>230</v>
      </c>
      <c r="D130" s="38" t="s">
        <v>240</v>
      </c>
      <c r="E130" s="38">
        <v>580</v>
      </c>
      <c r="F130" s="38">
        <v>1800</v>
      </c>
      <c r="G130" s="40">
        <v>197</v>
      </c>
      <c r="H130" s="40">
        <v>388</v>
      </c>
      <c r="I130" s="40">
        <v>467</v>
      </c>
      <c r="J130" s="40">
        <v>879</v>
      </c>
      <c r="L130" s="40">
        <f t="shared" ref="L130:O193" si="3">IF(G130="","",ROUND(G130*1.15,0))</f>
        <v>227</v>
      </c>
      <c r="M130" s="40">
        <f t="shared" si="3"/>
        <v>446</v>
      </c>
      <c r="N130" s="40">
        <f t="shared" si="3"/>
        <v>537</v>
      </c>
      <c r="O130" s="40">
        <f t="shared" si="3"/>
        <v>1011</v>
      </c>
    </row>
    <row r="131" spans="1:15" x14ac:dyDescent="0.25">
      <c r="A131" s="38">
        <v>3610</v>
      </c>
      <c r="B131" s="38" t="s">
        <v>93</v>
      </c>
      <c r="C131" s="38" t="s">
        <v>230</v>
      </c>
      <c r="D131" s="38" t="s">
        <v>241</v>
      </c>
      <c r="E131" s="38">
        <v>720</v>
      </c>
      <c r="F131" s="38">
        <v>780</v>
      </c>
      <c r="G131" s="40">
        <v>107</v>
      </c>
      <c r="H131" s="40">
        <v>355</v>
      </c>
      <c r="I131" s="40">
        <v>277</v>
      </c>
      <c r="J131" s="40">
        <v>268</v>
      </c>
      <c r="L131" s="40">
        <f t="shared" si="3"/>
        <v>123</v>
      </c>
      <c r="M131" s="40">
        <f t="shared" si="3"/>
        <v>408</v>
      </c>
      <c r="N131" s="40">
        <f t="shared" si="3"/>
        <v>319</v>
      </c>
      <c r="O131" s="40">
        <f t="shared" si="3"/>
        <v>308</v>
      </c>
    </row>
    <row r="132" spans="1:15" x14ac:dyDescent="0.25">
      <c r="A132" s="38">
        <v>3611</v>
      </c>
      <c r="B132" s="38" t="s">
        <v>93</v>
      </c>
      <c r="C132" s="38" t="s">
        <v>230</v>
      </c>
      <c r="D132" s="38" t="s">
        <v>242</v>
      </c>
      <c r="E132" s="38">
        <v>720</v>
      </c>
      <c r="F132" s="38">
        <v>980</v>
      </c>
      <c r="G132" s="40">
        <v>134</v>
      </c>
      <c r="H132" s="40">
        <v>406</v>
      </c>
      <c r="I132" s="40">
        <v>320</v>
      </c>
      <c r="J132" s="40">
        <v>329</v>
      </c>
      <c r="L132" s="40">
        <f t="shared" si="3"/>
        <v>154</v>
      </c>
      <c r="M132" s="40">
        <f t="shared" si="3"/>
        <v>467</v>
      </c>
      <c r="N132" s="40">
        <f t="shared" si="3"/>
        <v>368</v>
      </c>
      <c r="O132" s="40">
        <f t="shared" si="3"/>
        <v>378</v>
      </c>
    </row>
    <row r="133" spans="1:15" x14ac:dyDescent="0.25">
      <c r="A133" s="38">
        <v>3612</v>
      </c>
      <c r="B133" s="38" t="s">
        <v>93</v>
      </c>
      <c r="C133" s="38" t="s">
        <v>230</v>
      </c>
      <c r="D133" s="38" t="s">
        <v>243</v>
      </c>
      <c r="E133" s="38">
        <v>1080</v>
      </c>
      <c r="F133" s="38">
        <v>780</v>
      </c>
      <c r="G133" s="40">
        <v>161</v>
      </c>
      <c r="H133" s="40">
        <v>517</v>
      </c>
      <c r="I133" s="40">
        <v>409</v>
      </c>
      <c r="J133" s="40">
        <v>385</v>
      </c>
      <c r="L133" s="40">
        <f t="shared" si="3"/>
        <v>185</v>
      </c>
      <c r="M133" s="40">
        <f t="shared" si="3"/>
        <v>595</v>
      </c>
      <c r="N133" s="40">
        <f t="shared" si="3"/>
        <v>470</v>
      </c>
      <c r="O133" s="40">
        <f t="shared" si="3"/>
        <v>443</v>
      </c>
    </row>
    <row r="134" spans="1:15" x14ac:dyDescent="0.25">
      <c r="A134" s="38">
        <v>3613</v>
      </c>
      <c r="B134" s="38" t="s">
        <v>93</v>
      </c>
      <c r="C134" s="38" t="s">
        <v>230</v>
      </c>
      <c r="D134" s="38" t="s">
        <v>244</v>
      </c>
      <c r="E134" s="38">
        <v>1080</v>
      </c>
      <c r="F134" s="38">
        <v>980</v>
      </c>
      <c r="G134" s="40">
        <v>200</v>
      </c>
      <c r="H134" s="40">
        <v>626</v>
      </c>
      <c r="I134" s="40">
        <v>474</v>
      </c>
      <c r="J134" s="40">
        <v>431</v>
      </c>
      <c r="L134" s="40">
        <f t="shared" si="3"/>
        <v>230</v>
      </c>
      <c r="M134" s="40">
        <f t="shared" si="3"/>
        <v>720</v>
      </c>
      <c r="N134" s="40">
        <f t="shared" si="3"/>
        <v>545</v>
      </c>
      <c r="O134" s="40">
        <f t="shared" si="3"/>
        <v>496</v>
      </c>
    </row>
    <row r="135" spans="1:15" x14ac:dyDescent="0.25">
      <c r="A135" s="38">
        <v>3614</v>
      </c>
      <c r="B135" s="38" t="s">
        <v>93</v>
      </c>
      <c r="C135" s="38" t="s">
        <v>230</v>
      </c>
      <c r="D135" s="38" t="s">
        <v>245</v>
      </c>
      <c r="E135" s="38">
        <v>1440</v>
      </c>
      <c r="F135" s="38">
        <v>780</v>
      </c>
      <c r="G135" s="40">
        <v>211</v>
      </c>
      <c r="H135" s="40">
        <v>630</v>
      </c>
      <c r="I135" s="40">
        <v>499</v>
      </c>
      <c r="J135" s="40">
        <v>939</v>
      </c>
      <c r="L135" s="40">
        <f t="shared" si="3"/>
        <v>243</v>
      </c>
      <c r="M135" s="40">
        <f t="shared" si="3"/>
        <v>725</v>
      </c>
      <c r="N135" s="40">
        <f t="shared" si="3"/>
        <v>574</v>
      </c>
      <c r="O135" s="40">
        <f t="shared" si="3"/>
        <v>1080</v>
      </c>
    </row>
    <row r="136" spans="1:15" x14ac:dyDescent="0.25">
      <c r="A136" s="38">
        <v>3615</v>
      </c>
      <c r="B136" s="38" t="s">
        <v>93</v>
      </c>
      <c r="C136" s="38" t="s">
        <v>230</v>
      </c>
      <c r="D136" s="38" t="s">
        <v>246</v>
      </c>
      <c r="E136" s="38">
        <v>1440</v>
      </c>
      <c r="F136" s="38">
        <v>980</v>
      </c>
      <c r="G136" s="40">
        <v>264</v>
      </c>
      <c r="H136" s="40">
        <v>778</v>
      </c>
      <c r="I136" s="40">
        <v>616</v>
      </c>
      <c r="J136" s="40">
        <v>1159</v>
      </c>
      <c r="L136" s="40">
        <f t="shared" si="3"/>
        <v>304</v>
      </c>
      <c r="M136" s="40">
        <f t="shared" si="3"/>
        <v>895</v>
      </c>
      <c r="N136" s="40">
        <f t="shared" si="3"/>
        <v>708</v>
      </c>
      <c r="O136" s="40">
        <f t="shared" si="3"/>
        <v>1333</v>
      </c>
    </row>
    <row r="137" spans="1:15" x14ac:dyDescent="0.25">
      <c r="A137" s="38">
        <v>3616</v>
      </c>
      <c r="B137" s="38" t="s">
        <v>93</v>
      </c>
      <c r="C137" s="38" t="s">
        <v>230</v>
      </c>
      <c r="D137" s="38" t="s">
        <v>247</v>
      </c>
      <c r="E137" s="38">
        <v>1800</v>
      </c>
      <c r="F137" s="38">
        <v>780</v>
      </c>
      <c r="G137" s="40">
        <v>264</v>
      </c>
      <c r="H137" s="40">
        <v>520</v>
      </c>
      <c r="I137" s="40">
        <v>612</v>
      </c>
      <c r="J137" s="40">
        <v>1151</v>
      </c>
      <c r="L137" s="40">
        <f t="shared" si="3"/>
        <v>304</v>
      </c>
      <c r="M137" s="40">
        <f t="shared" si="3"/>
        <v>598</v>
      </c>
      <c r="N137" s="40">
        <f t="shared" si="3"/>
        <v>704</v>
      </c>
      <c r="O137" s="40">
        <f t="shared" si="3"/>
        <v>1324</v>
      </c>
    </row>
    <row r="138" spans="1:15" x14ac:dyDescent="0.25">
      <c r="A138" s="38">
        <v>3617</v>
      </c>
      <c r="B138" s="38" t="s">
        <v>93</v>
      </c>
      <c r="C138" s="38" t="s">
        <v>230</v>
      </c>
      <c r="D138" s="38" t="s">
        <v>248</v>
      </c>
      <c r="E138" s="38">
        <v>1800</v>
      </c>
      <c r="F138" s="38">
        <v>980</v>
      </c>
      <c r="G138" s="40">
        <v>329</v>
      </c>
      <c r="H138" s="40">
        <v>648</v>
      </c>
      <c r="I138" s="40">
        <v>753</v>
      </c>
      <c r="J138" s="40">
        <v>1417</v>
      </c>
      <c r="L138" s="40">
        <f t="shared" si="3"/>
        <v>378</v>
      </c>
      <c r="M138" s="40">
        <f t="shared" si="3"/>
        <v>745</v>
      </c>
      <c r="N138" s="40">
        <f t="shared" si="3"/>
        <v>866</v>
      </c>
      <c r="O138" s="40">
        <f t="shared" si="3"/>
        <v>1630</v>
      </c>
    </row>
    <row r="139" spans="1:15" x14ac:dyDescent="0.25">
      <c r="A139" s="38">
        <v>3620</v>
      </c>
      <c r="B139" s="38" t="s">
        <v>93</v>
      </c>
      <c r="C139" s="38" t="s">
        <v>249</v>
      </c>
      <c r="D139" s="38" t="s">
        <v>250</v>
      </c>
      <c r="E139" s="38">
        <v>360</v>
      </c>
      <c r="F139" s="38">
        <v>360</v>
      </c>
      <c r="G139" s="40">
        <v>34</v>
      </c>
      <c r="H139" s="40">
        <v>67</v>
      </c>
      <c r="I139" s="40">
        <v>89</v>
      </c>
      <c r="J139" s="40">
        <v>177</v>
      </c>
      <c r="L139" s="40">
        <f t="shared" si="3"/>
        <v>39</v>
      </c>
      <c r="M139" s="40">
        <f t="shared" si="3"/>
        <v>77</v>
      </c>
      <c r="N139" s="40">
        <f t="shared" si="3"/>
        <v>102</v>
      </c>
      <c r="O139" s="40">
        <f t="shared" si="3"/>
        <v>204</v>
      </c>
    </row>
    <row r="140" spans="1:15" x14ac:dyDescent="0.25">
      <c r="A140" s="38">
        <v>3621</v>
      </c>
      <c r="B140" s="38" t="s">
        <v>93</v>
      </c>
      <c r="C140" s="38" t="s">
        <v>249</v>
      </c>
      <c r="D140" s="38" t="s">
        <v>251</v>
      </c>
      <c r="E140" s="38">
        <v>360</v>
      </c>
      <c r="F140" s="38">
        <v>720</v>
      </c>
      <c r="G140" s="40">
        <v>52</v>
      </c>
      <c r="H140" s="40">
        <v>102</v>
      </c>
      <c r="I140" s="40">
        <v>143</v>
      </c>
      <c r="J140" s="40">
        <v>212</v>
      </c>
      <c r="L140" s="40">
        <f t="shared" si="3"/>
        <v>60</v>
      </c>
      <c r="M140" s="40">
        <f t="shared" si="3"/>
        <v>117</v>
      </c>
      <c r="N140" s="40">
        <f t="shared" si="3"/>
        <v>164</v>
      </c>
      <c r="O140" s="40">
        <f t="shared" si="3"/>
        <v>244</v>
      </c>
    </row>
    <row r="141" spans="1:15" x14ac:dyDescent="0.25">
      <c r="A141" s="38">
        <v>3622</v>
      </c>
      <c r="B141" s="38" t="s">
        <v>93</v>
      </c>
      <c r="C141" s="38" t="s">
        <v>249</v>
      </c>
      <c r="D141" s="38" t="s">
        <v>252</v>
      </c>
      <c r="E141" s="38">
        <v>360</v>
      </c>
      <c r="F141" s="38">
        <v>1080</v>
      </c>
      <c r="G141" s="40">
        <v>76</v>
      </c>
      <c r="H141" s="40">
        <v>150</v>
      </c>
      <c r="I141" s="40">
        <v>222</v>
      </c>
      <c r="J141" s="40">
        <v>240</v>
      </c>
      <c r="L141" s="40">
        <f t="shared" si="3"/>
        <v>87</v>
      </c>
      <c r="M141" s="40">
        <f t="shared" si="3"/>
        <v>173</v>
      </c>
      <c r="N141" s="40">
        <f t="shared" si="3"/>
        <v>255</v>
      </c>
      <c r="O141" s="40">
        <f t="shared" si="3"/>
        <v>276</v>
      </c>
    </row>
    <row r="142" spans="1:15" x14ac:dyDescent="0.25">
      <c r="A142" s="38">
        <v>3623</v>
      </c>
      <c r="B142" s="38" t="s">
        <v>93</v>
      </c>
      <c r="C142" s="38" t="s">
        <v>249</v>
      </c>
      <c r="D142" s="38" t="s">
        <v>253</v>
      </c>
      <c r="E142" s="38">
        <v>360</v>
      </c>
      <c r="F142" s="38">
        <v>1440</v>
      </c>
      <c r="G142" s="40">
        <v>100</v>
      </c>
      <c r="H142" s="40">
        <v>197</v>
      </c>
      <c r="I142" s="40">
        <v>281</v>
      </c>
      <c r="J142" s="40">
        <v>529</v>
      </c>
      <c r="L142" s="40">
        <f t="shared" si="3"/>
        <v>115</v>
      </c>
      <c r="M142" s="40">
        <f t="shared" si="3"/>
        <v>227</v>
      </c>
      <c r="N142" s="40">
        <f t="shared" si="3"/>
        <v>323</v>
      </c>
      <c r="O142" s="40">
        <f t="shared" si="3"/>
        <v>608</v>
      </c>
    </row>
    <row r="143" spans="1:15" x14ac:dyDescent="0.25">
      <c r="A143" s="38">
        <v>3624</v>
      </c>
      <c r="B143" s="38" t="s">
        <v>93</v>
      </c>
      <c r="C143" s="38" t="s">
        <v>249</v>
      </c>
      <c r="D143" s="38" t="s">
        <v>254</v>
      </c>
      <c r="E143" s="38">
        <v>360</v>
      </c>
      <c r="F143" s="38">
        <v>1800</v>
      </c>
      <c r="G143" s="40">
        <v>125</v>
      </c>
      <c r="H143" s="40">
        <v>246</v>
      </c>
      <c r="I143" s="40">
        <v>343</v>
      </c>
      <c r="J143" s="40">
        <v>645</v>
      </c>
      <c r="L143" s="40">
        <f t="shared" si="3"/>
        <v>144</v>
      </c>
      <c r="M143" s="40">
        <f t="shared" si="3"/>
        <v>283</v>
      </c>
      <c r="N143" s="40">
        <f t="shared" si="3"/>
        <v>394</v>
      </c>
      <c r="O143" s="40">
        <f t="shared" si="3"/>
        <v>742</v>
      </c>
    </row>
    <row r="144" spans="1:15" x14ac:dyDescent="0.25">
      <c r="A144" s="38">
        <v>3625</v>
      </c>
      <c r="B144" s="38" t="s">
        <v>93</v>
      </c>
      <c r="C144" s="38" t="s">
        <v>249</v>
      </c>
      <c r="D144" s="38" t="s">
        <v>255</v>
      </c>
      <c r="E144" s="38">
        <v>580</v>
      </c>
      <c r="F144" s="38">
        <v>360</v>
      </c>
      <c r="G144" s="40">
        <v>43</v>
      </c>
      <c r="H144" s="40">
        <v>85</v>
      </c>
      <c r="I144" s="40">
        <v>130</v>
      </c>
      <c r="J144" s="40">
        <v>185</v>
      </c>
      <c r="L144" s="40">
        <f t="shared" si="3"/>
        <v>49</v>
      </c>
      <c r="M144" s="40">
        <f t="shared" si="3"/>
        <v>98</v>
      </c>
      <c r="N144" s="40">
        <f t="shared" si="3"/>
        <v>150</v>
      </c>
      <c r="O144" s="40">
        <f t="shared" si="3"/>
        <v>213</v>
      </c>
    </row>
    <row r="145" spans="1:15" x14ac:dyDescent="0.25">
      <c r="A145" s="38">
        <v>3626</v>
      </c>
      <c r="B145" s="38" t="s">
        <v>93</v>
      </c>
      <c r="C145" s="38" t="s">
        <v>249</v>
      </c>
      <c r="D145" s="38" t="s">
        <v>256</v>
      </c>
      <c r="E145" s="38">
        <v>580</v>
      </c>
      <c r="F145" s="38">
        <v>720</v>
      </c>
      <c r="G145" s="40">
        <v>82</v>
      </c>
      <c r="H145" s="40">
        <v>161</v>
      </c>
      <c r="I145" s="40">
        <v>216</v>
      </c>
      <c r="J145" s="40">
        <v>245</v>
      </c>
      <c r="L145" s="40">
        <f t="shared" si="3"/>
        <v>94</v>
      </c>
      <c r="M145" s="40">
        <f t="shared" si="3"/>
        <v>185</v>
      </c>
      <c r="N145" s="40">
        <f t="shared" si="3"/>
        <v>248</v>
      </c>
      <c r="O145" s="40">
        <f t="shared" si="3"/>
        <v>282</v>
      </c>
    </row>
    <row r="146" spans="1:15" x14ac:dyDescent="0.25">
      <c r="A146" s="38">
        <v>3627</v>
      </c>
      <c r="B146" s="38" t="s">
        <v>93</v>
      </c>
      <c r="C146" s="38" t="s">
        <v>249</v>
      </c>
      <c r="D146" s="38" t="s">
        <v>257</v>
      </c>
      <c r="E146" s="38">
        <v>580</v>
      </c>
      <c r="F146" s="38">
        <v>1080</v>
      </c>
      <c r="G146" s="40">
        <v>119</v>
      </c>
      <c r="H146" s="40">
        <v>234</v>
      </c>
      <c r="I146" s="40">
        <v>300</v>
      </c>
      <c r="J146" s="40">
        <v>307</v>
      </c>
      <c r="L146" s="40">
        <f t="shared" si="3"/>
        <v>137</v>
      </c>
      <c r="M146" s="40">
        <f t="shared" si="3"/>
        <v>269</v>
      </c>
      <c r="N146" s="40">
        <f t="shared" si="3"/>
        <v>345</v>
      </c>
      <c r="O146" s="40">
        <f t="shared" si="3"/>
        <v>353</v>
      </c>
    </row>
    <row r="147" spans="1:15" x14ac:dyDescent="0.25">
      <c r="A147" s="38">
        <v>3628</v>
      </c>
      <c r="B147" s="38" t="s">
        <v>93</v>
      </c>
      <c r="C147" s="38" t="s">
        <v>249</v>
      </c>
      <c r="D147" s="38" t="s">
        <v>258</v>
      </c>
      <c r="E147" s="38">
        <v>580</v>
      </c>
      <c r="F147" s="38">
        <v>1440</v>
      </c>
      <c r="G147" s="40">
        <v>158</v>
      </c>
      <c r="H147" s="40">
        <v>311</v>
      </c>
      <c r="I147" s="40">
        <v>400</v>
      </c>
      <c r="J147" s="40">
        <v>752</v>
      </c>
      <c r="L147" s="40">
        <f t="shared" si="3"/>
        <v>182</v>
      </c>
      <c r="M147" s="40">
        <f t="shared" si="3"/>
        <v>358</v>
      </c>
      <c r="N147" s="40">
        <f t="shared" si="3"/>
        <v>460</v>
      </c>
      <c r="O147" s="40">
        <f t="shared" si="3"/>
        <v>865</v>
      </c>
    </row>
    <row r="148" spans="1:15" x14ac:dyDescent="0.25">
      <c r="A148" s="38">
        <v>3629</v>
      </c>
      <c r="B148" s="38" t="s">
        <v>93</v>
      </c>
      <c r="C148" s="38" t="s">
        <v>249</v>
      </c>
      <c r="D148" s="38" t="s">
        <v>259</v>
      </c>
      <c r="E148" s="38">
        <v>580</v>
      </c>
      <c r="F148" s="38">
        <v>1800</v>
      </c>
      <c r="G148" s="40">
        <v>197</v>
      </c>
      <c r="H148" s="40">
        <v>388</v>
      </c>
      <c r="I148" s="40">
        <v>467</v>
      </c>
      <c r="J148" s="40">
        <v>879</v>
      </c>
      <c r="L148" s="40">
        <f t="shared" si="3"/>
        <v>227</v>
      </c>
      <c r="M148" s="40">
        <f t="shared" si="3"/>
        <v>446</v>
      </c>
      <c r="N148" s="40">
        <f t="shared" si="3"/>
        <v>537</v>
      </c>
      <c r="O148" s="40">
        <f t="shared" si="3"/>
        <v>1011</v>
      </c>
    </row>
    <row r="149" spans="1:15" x14ac:dyDescent="0.25">
      <c r="A149" s="38">
        <v>3700</v>
      </c>
      <c r="B149" s="38" t="s">
        <v>93</v>
      </c>
      <c r="C149" s="38" t="s">
        <v>260</v>
      </c>
      <c r="D149" s="38" t="s">
        <v>261</v>
      </c>
      <c r="E149" s="38">
        <v>360</v>
      </c>
      <c r="F149" s="38">
        <v>360</v>
      </c>
      <c r="G149" s="40">
        <v>34</v>
      </c>
      <c r="H149" s="40">
        <v>114</v>
      </c>
      <c r="I149" s="40">
        <v>89</v>
      </c>
      <c r="J149" s="40">
        <v>177</v>
      </c>
      <c r="L149" s="40">
        <f t="shared" si="3"/>
        <v>39</v>
      </c>
      <c r="M149" s="40">
        <f t="shared" si="3"/>
        <v>131</v>
      </c>
      <c r="N149" s="40">
        <f t="shared" si="3"/>
        <v>102</v>
      </c>
      <c r="O149" s="40">
        <f t="shared" si="3"/>
        <v>204</v>
      </c>
    </row>
    <row r="150" spans="1:15" x14ac:dyDescent="0.25">
      <c r="A150" s="38">
        <v>3701</v>
      </c>
      <c r="B150" s="38" t="s">
        <v>93</v>
      </c>
      <c r="C150" s="38" t="s">
        <v>260</v>
      </c>
      <c r="D150" s="38" t="s">
        <v>262</v>
      </c>
      <c r="E150" s="38">
        <v>420</v>
      </c>
      <c r="F150" s="38">
        <v>360</v>
      </c>
      <c r="G150" s="40">
        <v>34</v>
      </c>
      <c r="H150" s="40">
        <v>121</v>
      </c>
      <c r="I150" s="40">
        <v>92</v>
      </c>
      <c r="J150" s="40">
        <v>178</v>
      </c>
      <c r="L150" s="40">
        <f t="shared" si="3"/>
        <v>39</v>
      </c>
      <c r="M150" s="40">
        <f t="shared" si="3"/>
        <v>139</v>
      </c>
      <c r="N150" s="40">
        <f t="shared" si="3"/>
        <v>106</v>
      </c>
      <c r="O150" s="40">
        <f t="shared" si="3"/>
        <v>205</v>
      </c>
    </row>
    <row r="151" spans="1:15" x14ac:dyDescent="0.25">
      <c r="A151" s="38">
        <v>3702</v>
      </c>
      <c r="B151" s="38" t="s">
        <v>93</v>
      </c>
      <c r="C151" s="38" t="s">
        <v>260</v>
      </c>
      <c r="D151" s="38" t="s">
        <v>263</v>
      </c>
      <c r="E151" s="38">
        <v>580</v>
      </c>
      <c r="F151" s="38">
        <v>360</v>
      </c>
      <c r="G151" s="40">
        <v>43</v>
      </c>
      <c r="H151" s="40">
        <v>161</v>
      </c>
      <c r="I151" s="40">
        <v>130</v>
      </c>
      <c r="J151" s="40">
        <v>185</v>
      </c>
      <c r="L151" s="40">
        <f t="shared" si="3"/>
        <v>49</v>
      </c>
      <c r="M151" s="40">
        <f t="shared" si="3"/>
        <v>185</v>
      </c>
      <c r="N151" s="40">
        <f t="shared" si="3"/>
        <v>150</v>
      </c>
      <c r="O151" s="40">
        <f t="shared" si="3"/>
        <v>213</v>
      </c>
    </row>
    <row r="152" spans="1:15" x14ac:dyDescent="0.25">
      <c r="A152" s="38">
        <v>3703</v>
      </c>
      <c r="B152" s="38" t="s">
        <v>93</v>
      </c>
      <c r="C152" s="38" t="s">
        <v>260</v>
      </c>
      <c r="D152" s="38" t="s">
        <v>264</v>
      </c>
      <c r="E152" s="38">
        <v>780</v>
      </c>
      <c r="F152" s="38">
        <v>360</v>
      </c>
      <c r="G152" s="40">
        <v>56</v>
      </c>
      <c r="H152" s="40">
        <v>185</v>
      </c>
      <c r="I152" s="40">
        <v>144</v>
      </c>
      <c r="J152" s="40">
        <v>190</v>
      </c>
      <c r="L152" s="40">
        <f t="shared" si="3"/>
        <v>64</v>
      </c>
      <c r="M152" s="40">
        <f t="shared" si="3"/>
        <v>213</v>
      </c>
      <c r="N152" s="40">
        <f t="shared" si="3"/>
        <v>166</v>
      </c>
      <c r="O152" s="40">
        <f t="shared" si="3"/>
        <v>219</v>
      </c>
    </row>
    <row r="153" spans="1:15" x14ac:dyDescent="0.25">
      <c r="A153" s="38">
        <v>3704</v>
      </c>
      <c r="B153" s="38" t="s">
        <v>93</v>
      </c>
      <c r="C153" s="38" t="s">
        <v>260</v>
      </c>
      <c r="D153" s="38" t="s">
        <v>265</v>
      </c>
      <c r="E153" s="38">
        <v>980</v>
      </c>
      <c r="F153" s="38">
        <v>360</v>
      </c>
      <c r="G153" s="40">
        <v>70</v>
      </c>
      <c r="H153" s="40">
        <v>223</v>
      </c>
      <c r="I153" s="40">
        <v>174</v>
      </c>
      <c r="J153" s="40">
        <v>209</v>
      </c>
      <c r="L153" s="40">
        <f t="shared" si="3"/>
        <v>81</v>
      </c>
      <c r="M153" s="40">
        <f t="shared" si="3"/>
        <v>256</v>
      </c>
      <c r="N153" s="40">
        <f t="shared" si="3"/>
        <v>200</v>
      </c>
      <c r="O153" s="40">
        <f t="shared" si="3"/>
        <v>240</v>
      </c>
    </row>
    <row r="154" spans="1:15" x14ac:dyDescent="0.25">
      <c r="A154" s="38">
        <v>3705</v>
      </c>
      <c r="B154" s="38" t="s">
        <v>93</v>
      </c>
      <c r="C154" s="38" t="s">
        <v>260</v>
      </c>
      <c r="D154" s="38" t="s">
        <v>266</v>
      </c>
      <c r="E154" s="38">
        <v>360</v>
      </c>
      <c r="F154" s="38">
        <v>580</v>
      </c>
      <c r="G154" s="40">
        <v>43</v>
      </c>
      <c r="H154" s="40">
        <v>161</v>
      </c>
      <c r="I154" s="40">
        <v>130</v>
      </c>
      <c r="J154" s="40">
        <v>185</v>
      </c>
      <c r="L154" s="40">
        <f t="shared" si="3"/>
        <v>49</v>
      </c>
      <c r="M154" s="40">
        <f t="shared" si="3"/>
        <v>185</v>
      </c>
      <c r="N154" s="40">
        <f t="shared" si="3"/>
        <v>150</v>
      </c>
      <c r="O154" s="40">
        <f t="shared" si="3"/>
        <v>213</v>
      </c>
    </row>
    <row r="155" spans="1:15" x14ac:dyDescent="0.25">
      <c r="A155" s="38">
        <v>3706</v>
      </c>
      <c r="B155" s="38" t="s">
        <v>93</v>
      </c>
      <c r="C155" s="38" t="s">
        <v>260</v>
      </c>
      <c r="D155" s="38" t="s">
        <v>267</v>
      </c>
      <c r="E155" s="38">
        <v>420</v>
      </c>
      <c r="F155" s="38">
        <v>580</v>
      </c>
      <c r="G155" s="40">
        <v>49</v>
      </c>
      <c r="H155" s="40">
        <v>181</v>
      </c>
      <c r="I155" s="40">
        <v>147</v>
      </c>
      <c r="J155" s="40">
        <v>186</v>
      </c>
      <c r="L155" s="40">
        <f t="shared" si="3"/>
        <v>56</v>
      </c>
      <c r="M155" s="40">
        <f t="shared" si="3"/>
        <v>208</v>
      </c>
      <c r="N155" s="40">
        <f t="shared" si="3"/>
        <v>169</v>
      </c>
      <c r="O155" s="40">
        <f t="shared" si="3"/>
        <v>214</v>
      </c>
    </row>
    <row r="156" spans="1:15" x14ac:dyDescent="0.25">
      <c r="A156" s="38">
        <v>3707</v>
      </c>
      <c r="B156" s="38" t="s">
        <v>93</v>
      </c>
      <c r="C156" s="38" t="s">
        <v>260</v>
      </c>
      <c r="D156" s="38" t="s">
        <v>268</v>
      </c>
      <c r="E156" s="38">
        <v>580</v>
      </c>
      <c r="F156" s="38">
        <v>580</v>
      </c>
      <c r="G156" s="40">
        <v>67</v>
      </c>
      <c r="H156" s="40">
        <v>228</v>
      </c>
      <c r="I156" s="40">
        <v>183</v>
      </c>
      <c r="J156" s="40">
        <v>191</v>
      </c>
      <c r="L156" s="40">
        <f t="shared" si="3"/>
        <v>77</v>
      </c>
      <c r="M156" s="40">
        <f t="shared" si="3"/>
        <v>262</v>
      </c>
      <c r="N156" s="40">
        <f t="shared" si="3"/>
        <v>210</v>
      </c>
      <c r="O156" s="40">
        <f t="shared" si="3"/>
        <v>220</v>
      </c>
    </row>
    <row r="157" spans="1:15" x14ac:dyDescent="0.25">
      <c r="A157" s="38">
        <v>3708</v>
      </c>
      <c r="B157" s="38" t="s">
        <v>93</v>
      </c>
      <c r="C157" s="38" t="s">
        <v>260</v>
      </c>
      <c r="D157" s="38" t="s">
        <v>269</v>
      </c>
      <c r="E157" s="38">
        <v>780</v>
      </c>
      <c r="F157" s="38">
        <v>580</v>
      </c>
      <c r="G157" s="40">
        <v>87</v>
      </c>
      <c r="H157" s="40">
        <v>275</v>
      </c>
      <c r="I157" s="40">
        <v>225</v>
      </c>
      <c r="J157" s="40">
        <v>237</v>
      </c>
      <c r="L157" s="40">
        <f t="shared" si="3"/>
        <v>100</v>
      </c>
      <c r="M157" s="40">
        <f t="shared" si="3"/>
        <v>316</v>
      </c>
      <c r="N157" s="40">
        <f t="shared" si="3"/>
        <v>259</v>
      </c>
      <c r="O157" s="40">
        <f t="shared" si="3"/>
        <v>273</v>
      </c>
    </row>
    <row r="158" spans="1:15" x14ac:dyDescent="0.25">
      <c r="A158" s="38">
        <v>3709</v>
      </c>
      <c r="B158" s="38" t="s">
        <v>93</v>
      </c>
      <c r="C158" s="38" t="s">
        <v>260</v>
      </c>
      <c r="D158" s="38" t="s">
        <v>270</v>
      </c>
      <c r="E158" s="38">
        <v>980</v>
      </c>
      <c r="F158" s="38">
        <v>580</v>
      </c>
      <c r="G158" s="40">
        <v>110</v>
      </c>
      <c r="H158" s="40">
        <v>355</v>
      </c>
      <c r="I158" s="40">
        <v>286</v>
      </c>
      <c r="J158" s="40">
        <v>276</v>
      </c>
      <c r="L158" s="40">
        <f t="shared" si="3"/>
        <v>127</v>
      </c>
      <c r="M158" s="40">
        <f t="shared" si="3"/>
        <v>408</v>
      </c>
      <c r="N158" s="40">
        <f t="shared" si="3"/>
        <v>329</v>
      </c>
      <c r="O158" s="40">
        <f t="shared" si="3"/>
        <v>317</v>
      </c>
    </row>
    <row r="159" spans="1:15" x14ac:dyDescent="0.25">
      <c r="A159" s="38">
        <v>3710</v>
      </c>
      <c r="B159" s="38" t="s">
        <v>93</v>
      </c>
      <c r="C159" s="38" t="s">
        <v>260</v>
      </c>
      <c r="D159" s="38" t="s">
        <v>271</v>
      </c>
      <c r="E159" s="38">
        <v>780</v>
      </c>
      <c r="F159" s="38">
        <v>780</v>
      </c>
      <c r="G159" s="40">
        <v>110</v>
      </c>
      <c r="H159" s="40">
        <v>302</v>
      </c>
      <c r="I159" s="40">
        <v>272</v>
      </c>
      <c r="J159" s="40">
        <v>295</v>
      </c>
      <c r="L159" s="40">
        <f t="shared" si="3"/>
        <v>127</v>
      </c>
      <c r="M159" s="40">
        <f t="shared" si="3"/>
        <v>347</v>
      </c>
      <c r="N159" s="40">
        <f t="shared" si="3"/>
        <v>313</v>
      </c>
      <c r="O159" s="40">
        <f t="shared" si="3"/>
        <v>339</v>
      </c>
    </row>
    <row r="160" spans="1:15" x14ac:dyDescent="0.25">
      <c r="A160" s="38">
        <v>3711</v>
      </c>
      <c r="B160" s="38" t="s">
        <v>93</v>
      </c>
      <c r="C160" s="38" t="s">
        <v>260</v>
      </c>
      <c r="D160" s="38" t="s">
        <v>272</v>
      </c>
      <c r="E160" s="38">
        <v>980</v>
      </c>
      <c r="F160" s="38">
        <v>780</v>
      </c>
      <c r="G160" s="40">
        <v>138</v>
      </c>
      <c r="H160" s="40">
        <v>272</v>
      </c>
      <c r="I160" s="40"/>
      <c r="J160" s="40"/>
      <c r="L160" s="40">
        <f t="shared" si="3"/>
        <v>159</v>
      </c>
      <c r="M160" s="40">
        <f t="shared" si="3"/>
        <v>313</v>
      </c>
      <c r="N160" s="40" t="str">
        <f t="shared" si="3"/>
        <v/>
      </c>
      <c r="O160" s="40" t="str">
        <f t="shared" si="3"/>
        <v/>
      </c>
    </row>
    <row r="161" spans="1:15" x14ac:dyDescent="0.25">
      <c r="A161" s="38">
        <v>3712</v>
      </c>
      <c r="B161" s="38" t="s">
        <v>93</v>
      </c>
      <c r="C161" s="38" t="s">
        <v>260</v>
      </c>
      <c r="D161" s="38" t="s">
        <v>273</v>
      </c>
      <c r="E161" s="38">
        <v>980</v>
      </c>
      <c r="F161" s="38">
        <v>980</v>
      </c>
      <c r="G161" s="40">
        <v>166</v>
      </c>
      <c r="H161" s="40">
        <v>327</v>
      </c>
      <c r="I161" s="40"/>
      <c r="J161" s="40"/>
      <c r="L161" s="40">
        <f t="shared" si="3"/>
        <v>191</v>
      </c>
      <c r="M161" s="40">
        <f t="shared" si="3"/>
        <v>376</v>
      </c>
      <c r="N161" s="40" t="str">
        <f t="shared" si="3"/>
        <v/>
      </c>
      <c r="O161" s="40" t="str">
        <f t="shared" si="3"/>
        <v/>
      </c>
    </row>
    <row r="162" spans="1:15" x14ac:dyDescent="0.25">
      <c r="A162" s="38">
        <v>3750</v>
      </c>
      <c r="B162" s="38" t="s">
        <v>93</v>
      </c>
      <c r="C162" s="38" t="s">
        <v>274</v>
      </c>
      <c r="D162" s="38" t="s">
        <v>275</v>
      </c>
      <c r="E162" s="38">
        <v>360</v>
      </c>
      <c r="F162" s="38">
        <v>360</v>
      </c>
      <c r="G162" s="40">
        <v>34</v>
      </c>
      <c r="H162" s="40">
        <v>114</v>
      </c>
      <c r="I162" s="40">
        <v>89</v>
      </c>
      <c r="J162" s="40">
        <v>177</v>
      </c>
      <c r="L162" s="40">
        <f t="shared" si="3"/>
        <v>39</v>
      </c>
      <c r="M162" s="40">
        <f t="shared" si="3"/>
        <v>131</v>
      </c>
      <c r="N162" s="40">
        <f t="shared" si="3"/>
        <v>102</v>
      </c>
      <c r="O162" s="40">
        <f t="shared" si="3"/>
        <v>204</v>
      </c>
    </row>
    <row r="163" spans="1:15" x14ac:dyDescent="0.25">
      <c r="A163" s="38">
        <v>3751</v>
      </c>
      <c r="B163" s="38" t="s">
        <v>93</v>
      </c>
      <c r="C163" s="38" t="s">
        <v>274</v>
      </c>
      <c r="D163" s="38" t="s">
        <v>276</v>
      </c>
      <c r="E163" s="38">
        <v>420</v>
      </c>
      <c r="F163" s="38">
        <v>360</v>
      </c>
      <c r="G163" s="40">
        <v>34</v>
      </c>
      <c r="H163" s="40">
        <v>121</v>
      </c>
      <c r="I163" s="40">
        <v>92</v>
      </c>
      <c r="J163" s="40">
        <v>178</v>
      </c>
      <c r="L163" s="40">
        <f t="shared" si="3"/>
        <v>39</v>
      </c>
      <c r="M163" s="40">
        <f t="shared" si="3"/>
        <v>139</v>
      </c>
      <c r="N163" s="40">
        <f t="shared" si="3"/>
        <v>106</v>
      </c>
      <c r="O163" s="40">
        <f t="shared" si="3"/>
        <v>205</v>
      </c>
    </row>
    <row r="164" spans="1:15" x14ac:dyDescent="0.25">
      <c r="A164" s="38">
        <v>3752</v>
      </c>
      <c r="B164" s="38" t="s">
        <v>93</v>
      </c>
      <c r="C164" s="38" t="s">
        <v>274</v>
      </c>
      <c r="D164" s="38" t="s">
        <v>277</v>
      </c>
      <c r="E164" s="38">
        <v>580</v>
      </c>
      <c r="F164" s="38">
        <v>360</v>
      </c>
      <c r="G164" s="40">
        <v>43</v>
      </c>
      <c r="H164" s="40">
        <v>161</v>
      </c>
      <c r="I164" s="40">
        <v>130</v>
      </c>
      <c r="J164" s="40">
        <v>185</v>
      </c>
      <c r="L164" s="40">
        <f t="shared" si="3"/>
        <v>49</v>
      </c>
      <c r="M164" s="40">
        <f t="shared" si="3"/>
        <v>185</v>
      </c>
      <c r="N164" s="40">
        <f t="shared" si="3"/>
        <v>150</v>
      </c>
      <c r="O164" s="40">
        <f t="shared" si="3"/>
        <v>213</v>
      </c>
    </row>
    <row r="165" spans="1:15" x14ac:dyDescent="0.25">
      <c r="A165" s="38">
        <v>3753</v>
      </c>
      <c r="B165" s="38" t="s">
        <v>93</v>
      </c>
      <c r="C165" s="38" t="s">
        <v>274</v>
      </c>
      <c r="D165" s="38" t="s">
        <v>278</v>
      </c>
      <c r="E165" s="38">
        <v>780</v>
      </c>
      <c r="F165" s="38">
        <v>360</v>
      </c>
      <c r="G165" s="40">
        <v>56</v>
      </c>
      <c r="H165" s="40">
        <v>185</v>
      </c>
      <c r="I165" s="40">
        <v>144</v>
      </c>
      <c r="J165" s="40">
        <v>190</v>
      </c>
      <c r="L165" s="40">
        <f t="shared" si="3"/>
        <v>64</v>
      </c>
      <c r="M165" s="40">
        <f t="shared" si="3"/>
        <v>213</v>
      </c>
      <c r="N165" s="40">
        <f t="shared" si="3"/>
        <v>166</v>
      </c>
      <c r="O165" s="40">
        <f t="shared" si="3"/>
        <v>219</v>
      </c>
    </row>
    <row r="166" spans="1:15" x14ac:dyDescent="0.25">
      <c r="A166" s="38">
        <v>3754</v>
      </c>
      <c r="B166" s="38" t="s">
        <v>93</v>
      </c>
      <c r="C166" s="38" t="s">
        <v>274</v>
      </c>
      <c r="D166" s="38" t="s">
        <v>279</v>
      </c>
      <c r="E166" s="38">
        <v>980</v>
      </c>
      <c r="F166" s="38">
        <v>360</v>
      </c>
      <c r="G166" s="40">
        <v>70</v>
      </c>
      <c r="H166" s="40">
        <v>223</v>
      </c>
      <c r="I166" s="40">
        <v>174</v>
      </c>
      <c r="J166" s="40">
        <v>209</v>
      </c>
      <c r="L166" s="40">
        <f t="shared" si="3"/>
        <v>81</v>
      </c>
      <c r="M166" s="40">
        <f t="shared" si="3"/>
        <v>256</v>
      </c>
      <c r="N166" s="40">
        <f t="shared" si="3"/>
        <v>200</v>
      </c>
      <c r="O166" s="40">
        <f t="shared" si="3"/>
        <v>240</v>
      </c>
    </row>
    <row r="167" spans="1:15" x14ac:dyDescent="0.25">
      <c r="A167" s="38">
        <v>3755</v>
      </c>
      <c r="B167" s="38" t="s">
        <v>93</v>
      </c>
      <c r="C167" s="38" t="s">
        <v>274</v>
      </c>
      <c r="D167" s="38" t="s">
        <v>280</v>
      </c>
      <c r="E167" s="38">
        <v>360</v>
      </c>
      <c r="F167" s="38">
        <v>580</v>
      </c>
      <c r="G167" s="40">
        <v>43</v>
      </c>
      <c r="H167" s="40">
        <v>161</v>
      </c>
      <c r="I167" s="40">
        <v>130</v>
      </c>
      <c r="J167" s="40">
        <v>185</v>
      </c>
      <c r="L167" s="40">
        <f t="shared" si="3"/>
        <v>49</v>
      </c>
      <c r="M167" s="40">
        <f t="shared" si="3"/>
        <v>185</v>
      </c>
      <c r="N167" s="40">
        <f t="shared" si="3"/>
        <v>150</v>
      </c>
      <c r="O167" s="40">
        <f t="shared" si="3"/>
        <v>213</v>
      </c>
    </row>
    <row r="168" spans="1:15" x14ac:dyDescent="0.25">
      <c r="A168" s="38">
        <v>3756</v>
      </c>
      <c r="B168" s="38" t="s">
        <v>93</v>
      </c>
      <c r="C168" s="38" t="s">
        <v>274</v>
      </c>
      <c r="D168" s="38" t="s">
        <v>281</v>
      </c>
      <c r="E168" s="38">
        <v>420</v>
      </c>
      <c r="F168" s="38">
        <v>580</v>
      </c>
      <c r="G168" s="40">
        <v>49</v>
      </c>
      <c r="H168" s="40">
        <v>181</v>
      </c>
      <c r="I168" s="40">
        <v>147</v>
      </c>
      <c r="J168" s="40">
        <v>186</v>
      </c>
      <c r="L168" s="40">
        <f t="shared" si="3"/>
        <v>56</v>
      </c>
      <c r="M168" s="40">
        <f t="shared" si="3"/>
        <v>208</v>
      </c>
      <c r="N168" s="40">
        <f t="shared" si="3"/>
        <v>169</v>
      </c>
      <c r="O168" s="40">
        <f t="shared" si="3"/>
        <v>214</v>
      </c>
    </row>
    <row r="169" spans="1:15" x14ac:dyDescent="0.25">
      <c r="A169" s="38">
        <v>3757</v>
      </c>
      <c r="B169" s="38" t="s">
        <v>93</v>
      </c>
      <c r="C169" s="38" t="s">
        <v>274</v>
      </c>
      <c r="D169" s="38" t="s">
        <v>282</v>
      </c>
      <c r="E169" s="38">
        <v>580</v>
      </c>
      <c r="F169" s="38">
        <v>580</v>
      </c>
      <c r="G169" s="40">
        <v>67</v>
      </c>
      <c r="H169" s="40">
        <v>228</v>
      </c>
      <c r="I169" s="40">
        <v>183</v>
      </c>
      <c r="J169" s="40">
        <v>191</v>
      </c>
      <c r="L169" s="40">
        <f t="shared" si="3"/>
        <v>77</v>
      </c>
      <c r="M169" s="40">
        <f t="shared" si="3"/>
        <v>262</v>
      </c>
      <c r="N169" s="40">
        <f t="shared" si="3"/>
        <v>210</v>
      </c>
      <c r="O169" s="40">
        <f t="shared" si="3"/>
        <v>220</v>
      </c>
    </row>
    <row r="170" spans="1:15" x14ac:dyDescent="0.25">
      <c r="A170" s="38">
        <v>3758</v>
      </c>
      <c r="B170" s="38" t="s">
        <v>93</v>
      </c>
      <c r="C170" s="38" t="s">
        <v>274</v>
      </c>
      <c r="D170" s="38" t="s">
        <v>283</v>
      </c>
      <c r="E170" s="38">
        <v>780</v>
      </c>
      <c r="F170" s="38">
        <v>580</v>
      </c>
      <c r="G170" s="40">
        <v>87</v>
      </c>
      <c r="H170" s="40">
        <v>275</v>
      </c>
      <c r="I170" s="40">
        <v>225</v>
      </c>
      <c r="J170" s="40">
        <v>237</v>
      </c>
      <c r="L170" s="40">
        <f t="shared" si="3"/>
        <v>100</v>
      </c>
      <c r="M170" s="40">
        <f t="shared" si="3"/>
        <v>316</v>
      </c>
      <c r="N170" s="40">
        <f t="shared" si="3"/>
        <v>259</v>
      </c>
      <c r="O170" s="40">
        <f t="shared" si="3"/>
        <v>273</v>
      </c>
    </row>
    <row r="171" spans="1:15" x14ac:dyDescent="0.25">
      <c r="A171" s="38">
        <v>3759</v>
      </c>
      <c r="B171" s="38" t="s">
        <v>93</v>
      </c>
      <c r="C171" s="38" t="s">
        <v>274</v>
      </c>
      <c r="D171" s="38" t="s">
        <v>284</v>
      </c>
      <c r="E171" s="38">
        <v>980</v>
      </c>
      <c r="F171" s="38">
        <v>580</v>
      </c>
      <c r="G171" s="40">
        <v>110</v>
      </c>
      <c r="H171" s="40">
        <v>355</v>
      </c>
      <c r="I171" s="40">
        <v>286</v>
      </c>
      <c r="J171" s="40">
        <v>276</v>
      </c>
      <c r="L171" s="40">
        <f t="shared" si="3"/>
        <v>127</v>
      </c>
      <c r="M171" s="40">
        <f t="shared" si="3"/>
        <v>408</v>
      </c>
      <c r="N171" s="40">
        <f t="shared" si="3"/>
        <v>329</v>
      </c>
      <c r="O171" s="40">
        <f t="shared" si="3"/>
        <v>317</v>
      </c>
    </row>
    <row r="172" spans="1:15" x14ac:dyDescent="0.25">
      <c r="A172" s="38">
        <v>3760</v>
      </c>
      <c r="B172" s="38" t="s">
        <v>93</v>
      </c>
      <c r="C172" s="38" t="s">
        <v>274</v>
      </c>
      <c r="D172" s="38" t="s">
        <v>285</v>
      </c>
      <c r="E172" s="38">
        <v>780</v>
      </c>
      <c r="F172" s="38">
        <v>780</v>
      </c>
      <c r="G172" s="40">
        <v>126</v>
      </c>
      <c r="H172" s="40">
        <v>302</v>
      </c>
      <c r="I172" s="40">
        <v>272</v>
      </c>
      <c r="J172" s="40">
        <v>295</v>
      </c>
      <c r="L172" s="40">
        <f t="shared" si="3"/>
        <v>145</v>
      </c>
      <c r="M172" s="40">
        <f t="shared" si="3"/>
        <v>347</v>
      </c>
      <c r="N172" s="40">
        <f t="shared" si="3"/>
        <v>313</v>
      </c>
      <c r="O172" s="40">
        <f t="shared" si="3"/>
        <v>339</v>
      </c>
    </row>
    <row r="173" spans="1:15" x14ac:dyDescent="0.25">
      <c r="A173" s="38">
        <v>3761</v>
      </c>
      <c r="B173" s="38" t="s">
        <v>93</v>
      </c>
      <c r="C173" s="38" t="s">
        <v>274</v>
      </c>
      <c r="D173" s="38" t="s">
        <v>286</v>
      </c>
      <c r="E173" s="38">
        <v>980</v>
      </c>
      <c r="F173" s="38">
        <v>780</v>
      </c>
      <c r="G173" s="40">
        <v>139</v>
      </c>
      <c r="H173" s="40">
        <v>416</v>
      </c>
      <c r="I173" s="40"/>
      <c r="J173" s="40"/>
      <c r="L173" s="40">
        <f t="shared" si="3"/>
        <v>160</v>
      </c>
      <c r="M173" s="40">
        <f t="shared" si="3"/>
        <v>478</v>
      </c>
      <c r="N173" s="40" t="str">
        <f t="shared" si="3"/>
        <v/>
      </c>
      <c r="O173" s="40" t="str">
        <f t="shared" si="3"/>
        <v/>
      </c>
    </row>
    <row r="174" spans="1:15" x14ac:dyDescent="0.25">
      <c r="A174" s="38">
        <v>3762</v>
      </c>
      <c r="B174" s="38" t="s">
        <v>93</v>
      </c>
      <c r="C174" s="38" t="s">
        <v>274</v>
      </c>
      <c r="D174" s="38" t="s">
        <v>287</v>
      </c>
      <c r="E174" s="38">
        <v>980</v>
      </c>
      <c r="F174" s="38">
        <v>980</v>
      </c>
      <c r="G174" s="40">
        <v>180</v>
      </c>
      <c r="H174" s="40">
        <v>354</v>
      </c>
      <c r="I174" s="40"/>
      <c r="J174" s="40"/>
      <c r="L174" s="40">
        <f t="shared" si="3"/>
        <v>207</v>
      </c>
      <c r="M174" s="40">
        <f t="shared" si="3"/>
        <v>407</v>
      </c>
      <c r="N174" s="40" t="str">
        <f t="shared" si="3"/>
        <v/>
      </c>
      <c r="O174" s="40" t="str">
        <f t="shared" si="3"/>
        <v/>
      </c>
    </row>
    <row r="175" spans="1:15" x14ac:dyDescent="0.25">
      <c r="A175" s="38">
        <v>3800</v>
      </c>
      <c r="B175" s="38" t="s">
        <v>93</v>
      </c>
      <c r="C175" s="38" t="s">
        <v>288</v>
      </c>
      <c r="D175" s="38" t="s">
        <v>289</v>
      </c>
      <c r="E175" s="38">
        <v>360</v>
      </c>
      <c r="F175" s="38">
        <v>360</v>
      </c>
      <c r="G175" s="40">
        <v>34</v>
      </c>
      <c r="H175" s="40">
        <v>114</v>
      </c>
      <c r="I175" s="40">
        <v>89</v>
      </c>
      <c r="J175" s="40">
        <v>177</v>
      </c>
      <c r="L175" s="40">
        <f t="shared" si="3"/>
        <v>39</v>
      </c>
      <c r="M175" s="40">
        <f t="shared" si="3"/>
        <v>131</v>
      </c>
      <c r="N175" s="40">
        <f t="shared" si="3"/>
        <v>102</v>
      </c>
      <c r="O175" s="40">
        <f t="shared" si="3"/>
        <v>204</v>
      </c>
    </row>
    <row r="176" spans="1:15" x14ac:dyDescent="0.25">
      <c r="A176" s="38">
        <v>3801</v>
      </c>
      <c r="B176" s="38" t="s">
        <v>93</v>
      </c>
      <c r="C176" s="38" t="s">
        <v>288</v>
      </c>
      <c r="D176" s="38" t="s">
        <v>290</v>
      </c>
      <c r="E176" s="38">
        <v>420</v>
      </c>
      <c r="F176" s="38">
        <v>360</v>
      </c>
      <c r="G176" s="40">
        <v>34</v>
      </c>
      <c r="H176" s="40">
        <v>121</v>
      </c>
      <c r="I176" s="40">
        <v>92</v>
      </c>
      <c r="J176" s="40">
        <v>178</v>
      </c>
      <c r="L176" s="40">
        <f t="shared" si="3"/>
        <v>39</v>
      </c>
      <c r="M176" s="40">
        <f t="shared" si="3"/>
        <v>139</v>
      </c>
      <c r="N176" s="40">
        <f t="shared" si="3"/>
        <v>106</v>
      </c>
      <c r="O176" s="40">
        <f t="shared" si="3"/>
        <v>205</v>
      </c>
    </row>
    <row r="177" spans="1:15" x14ac:dyDescent="0.25">
      <c r="A177" s="38">
        <v>3802</v>
      </c>
      <c r="B177" s="38" t="s">
        <v>93</v>
      </c>
      <c r="C177" s="38" t="s">
        <v>288</v>
      </c>
      <c r="D177" s="38" t="s">
        <v>291</v>
      </c>
      <c r="E177" s="38">
        <v>580</v>
      </c>
      <c r="F177" s="38">
        <v>360</v>
      </c>
      <c r="G177" s="40">
        <v>43</v>
      </c>
      <c r="H177" s="40">
        <v>161</v>
      </c>
      <c r="I177" s="40">
        <v>130</v>
      </c>
      <c r="J177" s="40">
        <v>185</v>
      </c>
      <c r="L177" s="40">
        <f t="shared" si="3"/>
        <v>49</v>
      </c>
      <c r="M177" s="40">
        <f t="shared" si="3"/>
        <v>185</v>
      </c>
      <c r="N177" s="40">
        <f t="shared" si="3"/>
        <v>150</v>
      </c>
      <c r="O177" s="40">
        <f t="shared" si="3"/>
        <v>213</v>
      </c>
    </row>
    <row r="178" spans="1:15" x14ac:dyDescent="0.25">
      <c r="A178" s="38">
        <v>3803</v>
      </c>
      <c r="B178" s="38" t="s">
        <v>93</v>
      </c>
      <c r="C178" s="38" t="s">
        <v>288</v>
      </c>
      <c r="D178" s="38" t="s">
        <v>292</v>
      </c>
      <c r="E178" s="38">
        <v>780</v>
      </c>
      <c r="F178" s="38">
        <v>360</v>
      </c>
      <c r="G178" s="40">
        <v>56</v>
      </c>
      <c r="H178" s="40">
        <v>185</v>
      </c>
      <c r="I178" s="40">
        <v>144</v>
      </c>
      <c r="J178" s="40">
        <v>190</v>
      </c>
      <c r="L178" s="40">
        <f t="shared" si="3"/>
        <v>64</v>
      </c>
      <c r="M178" s="40">
        <f t="shared" si="3"/>
        <v>213</v>
      </c>
      <c r="N178" s="40">
        <f t="shared" si="3"/>
        <v>166</v>
      </c>
      <c r="O178" s="40">
        <f t="shared" si="3"/>
        <v>219</v>
      </c>
    </row>
    <row r="179" spans="1:15" x14ac:dyDescent="0.25">
      <c r="A179" s="38">
        <v>3804</v>
      </c>
      <c r="B179" s="38" t="s">
        <v>93</v>
      </c>
      <c r="C179" s="38" t="s">
        <v>288</v>
      </c>
      <c r="D179" s="38" t="s">
        <v>293</v>
      </c>
      <c r="E179" s="38">
        <v>980</v>
      </c>
      <c r="F179" s="38">
        <v>360</v>
      </c>
      <c r="G179" s="40">
        <v>70</v>
      </c>
      <c r="H179" s="40">
        <v>223</v>
      </c>
      <c r="I179" s="40">
        <v>174</v>
      </c>
      <c r="J179" s="40">
        <v>209</v>
      </c>
      <c r="L179" s="40">
        <f t="shared" si="3"/>
        <v>81</v>
      </c>
      <c r="M179" s="40">
        <f t="shared" si="3"/>
        <v>256</v>
      </c>
      <c r="N179" s="40">
        <f t="shared" si="3"/>
        <v>200</v>
      </c>
      <c r="O179" s="40">
        <f t="shared" si="3"/>
        <v>240</v>
      </c>
    </row>
    <row r="180" spans="1:15" x14ac:dyDescent="0.25">
      <c r="A180" s="38">
        <v>3805</v>
      </c>
      <c r="B180" s="38" t="s">
        <v>93</v>
      </c>
      <c r="C180" s="38" t="s">
        <v>288</v>
      </c>
      <c r="D180" s="38" t="s">
        <v>294</v>
      </c>
      <c r="E180" s="38">
        <v>360</v>
      </c>
      <c r="F180" s="38">
        <v>580</v>
      </c>
      <c r="G180" s="40">
        <v>43</v>
      </c>
      <c r="H180" s="40">
        <v>161</v>
      </c>
      <c r="I180" s="40">
        <v>130</v>
      </c>
      <c r="J180" s="40">
        <v>185</v>
      </c>
      <c r="L180" s="40">
        <f t="shared" si="3"/>
        <v>49</v>
      </c>
      <c r="M180" s="40">
        <f t="shared" si="3"/>
        <v>185</v>
      </c>
      <c r="N180" s="40">
        <f t="shared" si="3"/>
        <v>150</v>
      </c>
      <c r="O180" s="40">
        <f t="shared" si="3"/>
        <v>213</v>
      </c>
    </row>
    <row r="181" spans="1:15" x14ac:dyDescent="0.25">
      <c r="A181" s="38">
        <v>3806</v>
      </c>
      <c r="B181" s="38" t="s">
        <v>93</v>
      </c>
      <c r="C181" s="38" t="s">
        <v>288</v>
      </c>
      <c r="D181" s="38" t="s">
        <v>295</v>
      </c>
      <c r="E181" s="38">
        <v>420</v>
      </c>
      <c r="F181" s="38">
        <v>580</v>
      </c>
      <c r="G181" s="40">
        <v>49</v>
      </c>
      <c r="H181" s="40">
        <v>181</v>
      </c>
      <c r="I181" s="40">
        <v>147</v>
      </c>
      <c r="J181" s="40">
        <v>186</v>
      </c>
      <c r="L181" s="40">
        <f t="shared" si="3"/>
        <v>56</v>
      </c>
      <c r="M181" s="40">
        <f t="shared" si="3"/>
        <v>208</v>
      </c>
      <c r="N181" s="40">
        <f t="shared" si="3"/>
        <v>169</v>
      </c>
      <c r="O181" s="40">
        <f t="shared" si="3"/>
        <v>214</v>
      </c>
    </row>
    <row r="182" spans="1:15" x14ac:dyDescent="0.25">
      <c r="A182" s="38">
        <v>3807</v>
      </c>
      <c r="B182" s="38" t="s">
        <v>93</v>
      </c>
      <c r="C182" s="38" t="s">
        <v>288</v>
      </c>
      <c r="D182" s="38" t="s">
        <v>296</v>
      </c>
      <c r="E182" s="38">
        <v>580</v>
      </c>
      <c r="F182" s="38">
        <v>580</v>
      </c>
      <c r="G182" s="40">
        <v>67</v>
      </c>
      <c r="H182" s="40">
        <v>228</v>
      </c>
      <c r="I182" s="40">
        <v>183</v>
      </c>
      <c r="J182" s="40">
        <v>191</v>
      </c>
      <c r="L182" s="40">
        <f t="shared" si="3"/>
        <v>77</v>
      </c>
      <c r="M182" s="40">
        <f t="shared" si="3"/>
        <v>262</v>
      </c>
      <c r="N182" s="40">
        <f t="shared" si="3"/>
        <v>210</v>
      </c>
      <c r="O182" s="40">
        <f t="shared" si="3"/>
        <v>220</v>
      </c>
    </row>
    <row r="183" spans="1:15" x14ac:dyDescent="0.25">
      <c r="A183" s="38">
        <v>3808</v>
      </c>
      <c r="B183" s="38" t="s">
        <v>93</v>
      </c>
      <c r="C183" s="38" t="s">
        <v>288</v>
      </c>
      <c r="D183" s="38" t="s">
        <v>297</v>
      </c>
      <c r="E183" s="38">
        <v>780</v>
      </c>
      <c r="F183" s="38">
        <v>580</v>
      </c>
      <c r="G183" s="40">
        <v>87</v>
      </c>
      <c r="H183" s="40">
        <v>275</v>
      </c>
      <c r="I183" s="40">
        <v>225</v>
      </c>
      <c r="J183" s="40">
        <v>237</v>
      </c>
      <c r="L183" s="40">
        <f t="shared" si="3"/>
        <v>100</v>
      </c>
      <c r="M183" s="40">
        <f t="shared" si="3"/>
        <v>316</v>
      </c>
      <c r="N183" s="40">
        <f t="shared" si="3"/>
        <v>259</v>
      </c>
      <c r="O183" s="40">
        <f t="shared" si="3"/>
        <v>273</v>
      </c>
    </row>
    <row r="184" spans="1:15" x14ac:dyDescent="0.25">
      <c r="A184" s="38">
        <v>3809</v>
      </c>
      <c r="B184" s="38" t="s">
        <v>93</v>
      </c>
      <c r="C184" s="38" t="s">
        <v>288</v>
      </c>
      <c r="D184" s="38" t="s">
        <v>298</v>
      </c>
      <c r="E184" s="38">
        <v>980</v>
      </c>
      <c r="F184" s="38">
        <v>580</v>
      </c>
      <c r="G184" s="40">
        <v>110</v>
      </c>
      <c r="H184" s="40">
        <v>355</v>
      </c>
      <c r="I184" s="40">
        <v>286</v>
      </c>
      <c r="J184" s="40">
        <v>276</v>
      </c>
      <c r="L184" s="40">
        <f t="shared" si="3"/>
        <v>127</v>
      </c>
      <c r="M184" s="40">
        <f t="shared" si="3"/>
        <v>408</v>
      </c>
      <c r="N184" s="40">
        <f t="shared" si="3"/>
        <v>329</v>
      </c>
      <c r="O184" s="40">
        <f t="shared" si="3"/>
        <v>317</v>
      </c>
    </row>
    <row r="185" spans="1:15" x14ac:dyDescent="0.25">
      <c r="A185" s="38">
        <v>3810</v>
      </c>
      <c r="B185" s="38" t="s">
        <v>93</v>
      </c>
      <c r="C185" s="38" t="s">
        <v>288</v>
      </c>
      <c r="D185" s="38" t="s">
        <v>299</v>
      </c>
      <c r="E185" s="38">
        <v>420</v>
      </c>
      <c r="F185" s="38">
        <v>780</v>
      </c>
      <c r="G185" s="40">
        <v>65</v>
      </c>
      <c r="H185" s="40">
        <v>128</v>
      </c>
      <c r="I185" s="40"/>
      <c r="J185" s="40"/>
      <c r="L185" s="40">
        <f t="shared" si="3"/>
        <v>75</v>
      </c>
      <c r="M185" s="40">
        <f t="shared" si="3"/>
        <v>147</v>
      </c>
      <c r="N185" s="40" t="str">
        <f t="shared" si="3"/>
        <v/>
      </c>
      <c r="O185" s="40" t="str">
        <f t="shared" si="3"/>
        <v/>
      </c>
    </row>
    <row r="186" spans="1:15" x14ac:dyDescent="0.25">
      <c r="A186" s="38">
        <v>3811</v>
      </c>
      <c r="B186" s="38" t="s">
        <v>93</v>
      </c>
      <c r="C186" s="38" t="s">
        <v>288</v>
      </c>
      <c r="D186" s="38" t="s">
        <v>300</v>
      </c>
      <c r="E186" s="38">
        <v>420</v>
      </c>
      <c r="F186" s="38">
        <v>980</v>
      </c>
      <c r="G186" s="40">
        <v>79</v>
      </c>
      <c r="H186" s="40">
        <v>155</v>
      </c>
      <c r="I186" s="40"/>
      <c r="J186" s="40"/>
      <c r="L186" s="40">
        <f t="shared" si="3"/>
        <v>91</v>
      </c>
      <c r="M186" s="40">
        <f t="shared" si="3"/>
        <v>178</v>
      </c>
      <c r="N186" s="40" t="str">
        <f t="shared" si="3"/>
        <v/>
      </c>
      <c r="O186" s="40" t="str">
        <f t="shared" si="3"/>
        <v/>
      </c>
    </row>
    <row r="187" spans="1:15" x14ac:dyDescent="0.25">
      <c r="A187" s="38">
        <v>3812</v>
      </c>
      <c r="B187" s="38" t="s">
        <v>93</v>
      </c>
      <c r="C187" s="38" t="s">
        <v>288</v>
      </c>
      <c r="D187" s="38" t="s">
        <v>301</v>
      </c>
      <c r="E187" s="38">
        <v>780</v>
      </c>
      <c r="F187" s="38">
        <v>780</v>
      </c>
      <c r="G187" s="40">
        <v>126</v>
      </c>
      <c r="H187" s="40">
        <v>302</v>
      </c>
      <c r="I187" s="40">
        <v>272</v>
      </c>
      <c r="J187" s="40">
        <v>295</v>
      </c>
      <c r="L187" s="40">
        <f t="shared" si="3"/>
        <v>145</v>
      </c>
      <c r="M187" s="40">
        <f t="shared" si="3"/>
        <v>347</v>
      </c>
      <c r="N187" s="40">
        <f t="shared" si="3"/>
        <v>313</v>
      </c>
      <c r="O187" s="40">
        <f t="shared" si="3"/>
        <v>339</v>
      </c>
    </row>
    <row r="188" spans="1:15" x14ac:dyDescent="0.25">
      <c r="A188" s="38">
        <v>3813</v>
      </c>
      <c r="B188" s="38" t="s">
        <v>93</v>
      </c>
      <c r="C188" s="38" t="s">
        <v>288</v>
      </c>
      <c r="D188" s="38" t="s">
        <v>302</v>
      </c>
      <c r="E188" s="38">
        <v>780</v>
      </c>
      <c r="F188" s="38">
        <v>980</v>
      </c>
      <c r="G188" s="40">
        <v>139</v>
      </c>
      <c r="H188" s="40">
        <v>416</v>
      </c>
      <c r="I188" s="40"/>
      <c r="J188" s="40"/>
      <c r="L188" s="40">
        <f t="shared" si="3"/>
        <v>160</v>
      </c>
      <c r="M188" s="40">
        <f t="shared" si="3"/>
        <v>478</v>
      </c>
      <c r="N188" s="40" t="str">
        <f t="shared" si="3"/>
        <v/>
      </c>
      <c r="O188" s="40" t="str">
        <f t="shared" si="3"/>
        <v/>
      </c>
    </row>
    <row r="189" spans="1:15" x14ac:dyDescent="0.25">
      <c r="A189" s="38">
        <v>3814</v>
      </c>
      <c r="B189" s="38" t="s">
        <v>93</v>
      </c>
      <c r="C189" s="38" t="s">
        <v>288</v>
      </c>
      <c r="D189" s="38" t="s">
        <v>303</v>
      </c>
      <c r="E189" s="38">
        <v>980</v>
      </c>
      <c r="F189" s="38">
        <v>780</v>
      </c>
      <c r="G189" s="40">
        <v>139</v>
      </c>
      <c r="H189" s="40">
        <v>416</v>
      </c>
      <c r="I189" s="40"/>
      <c r="J189" s="40"/>
      <c r="L189" s="40">
        <f t="shared" si="3"/>
        <v>160</v>
      </c>
      <c r="M189" s="40">
        <f t="shared" si="3"/>
        <v>478</v>
      </c>
      <c r="N189" s="40" t="str">
        <f t="shared" si="3"/>
        <v/>
      </c>
      <c r="O189" s="40" t="str">
        <f t="shared" si="3"/>
        <v/>
      </c>
    </row>
    <row r="190" spans="1:15" x14ac:dyDescent="0.25">
      <c r="A190" s="38">
        <v>3815</v>
      </c>
      <c r="B190" s="38" t="s">
        <v>93</v>
      </c>
      <c r="C190" s="38" t="s">
        <v>288</v>
      </c>
      <c r="D190" s="38" t="s">
        <v>304</v>
      </c>
      <c r="E190" s="38">
        <v>980</v>
      </c>
      <c r="F190" s="38">
        <v>980</v>
      </c>
      <c r="G190" s="40">
        <v>180</v>
      </c>
      <c r="H190" s="40">
        <v>354</v>
      </c>
      <c r="I190" s="40"/>
      <c r="J190" s="40"/>
      <c r="L190" s="40">
        <f t="shared" si="3"/>
        <v>207</v>
      </c>
      <c r="M190" s="40">
        <f t="shared" si="3"/>
        <v>407</v>
      </c>
      <c r="N190" s="40" t="str">
        <f t="shared" si="3"/>
        <v/>
      </c>
      <c r="O190" s="40" t="str">
        <f t="shared" si="3"/>
        <v/>
      </c>
    </row>
    <row r="191" spans="1:15" x14ac:dyDescent="0.25">
      <c r="A191" s="38">
        <v>5000</v>
      </c>
      <c r="B191" s="38" t="s">
        <v>93</v>
      </c>
      <c r="C191" s="38" t="s">
        <v>12</v>
      </c>
      <c r="D191" s="38" t="s">
        <v>305</v>
      </c>
      <c r="E191" s="38">
        <v>420</v>
      </c>
      <c r="F191" s="38">
        <v>180</v>
      </c>
      <c r="G191" s="40">
        <v>169</v>
      </c>
      <c r="H191" s="40">
        <v>255</v>
      </c>
      <c r="I191" s="40">
        <v>237</v>
      </c>
      <c r="J191" s="40">
        <v>446</v>
      </c>
      <c r="L191" s="40">
        <f t="shared" si="3"/>
        <v>194</v>
      </c>
      <c r="M191" s="40">
        <f t="shared" si="3"/>
        <v>293</v>
      </c>
      <c r="N191" s="40">
        <f t="shared" si="3"/>
        <v>273</v>
      </c>
      <c r="O191" s="40">
        <f t="shared" si="3"/>
        <v>513</v>
      </c>
    </row>
    <row r="192" spans="1:15" x14ac:dyDescent="0.25">
      <c r="A192" s="38">
        <v>5001</v>
      </c>
      <c r="B192" s="38" t="s">
        <v>93</v>
      </c>
      <c r="C192" s="38" t="s">
        <v>12</v>
      </c>
      <c r="D192" s="38" t="s">
        <v>306</v>
      </c>
      <c r="E192" s="38">
        <v>420</v>
      </c>
      <c r="F192" s="38">
        <v>360</v>
      </c>
      <c r="G192" s="40">
        <v>169</v>
      </c>
      <c r="H192" s="40">
        <v>255</v>
      </c>
      <c r="I192" s="40">
        <v>237</v>
      </c>
      <c r="J192" s="40">
        <v>446</v>
      </c>
      <c r="L192" s="40">
        <f t="shared" si="3"/>
        <v>194</v>
      </c>
      <c r="M192" s="40">
        <f t="shared" si="3"/>
        <v>293</v>
      </c>
      <c r="N192" s="40">
        <f t="shared" si="3"/>
        <v>273</v>
      </c>
      <c r="O192" s="40">
        <f t="shared" si="3"/>
        <v>513</v>
      </c>
    </row>
    <row r="193" spans="1:15" x14ac:dyDescent="0.25">
      <c r="A193" s="38">
        <v>5002</v>
      </c>
      <c r="B193" s="38" t="s">
        <v>93</v>
      </c>
      <c r="C193" s="38" t="s">
        <v>12</v>
      </c>
      <c r="D193" s="38" t="s">
        <v>307</v>
      </c>
      <c r="E193" s="38">
        <v>580</v>
      </c>
      <c r="F193" s="38">
        <v>180</v>
      </c>
      <c r="G193" s="40">
        <v>184</v>
      </c>
      <c r="H193" s="40">
        <v>283</v>
      </c>
      <c r="I193" s="40">
        <v>259</v>
      </c>
      <c r="J193" s="40">
        <v>487</v>
      </c>
      <c r="L193" s="40">
        <f t="shared" si="3"/>
        <v>212</v>
      </c>
      <c r="M193" s="40">
        <f t="shared" si="3"/>
        <v>325</v>
      </c>
      <c r="N193" s="40">
        <f t="shared" si="3"/>
        <v>298</v>
      </c>
      <c r="O193" s="40">
        <f t="shared" ref="O193:O256" si="4">IF(J193="","",ROUND(J193*1.15,0))</f>
        <v>560</v>
      </c>
    </row>
    <row r="194" spans="1:15" x14ac:dyDescent="0.25">
      <c r="A194" s="38">
        <v>5003</v>
      </c>
      <c r="B194" s="38" t="s">
        <v>93</v>
      </c>
      <c r="C194" s="38" t="s">
        <v>12</v>
      </c>
      <c r="D194" s="38" t="s">
        <v>308</v>
      </c>
      <c r="E194" s="38">
        <v>580</v>
      </c>
      <c r="F194" s="38">
        <v>360</v>
      </c>
      <c r="G194" s="40">
        <v>184</v>
      </c>
      <c r="H194" s="40">
        <v>283</v>
      </c>
      <c r="I194" s="40">
        <v>259</v>
      </c>
      <c r="J194" s="40">
        <v>487</v>
      </c>
      <c r="L194" s="40">
        <f t="shared" ref="L194:O261" si="5">IF(G194="","",ROUND(G194*1.15,0))</f>
        <v>212</v>
      </c>
      <c r="M194" s="40">
        <f t="shared" si="5"/>
        <v>325</v>
      </c>
      <c r="N194" s="40">
        <f t="shared" si="5"/>
        <v>298</v>
      </c>
      <c r="O194" s="40">
        <f t="shared" si="4"/>
        <v>560</v>
      </c>
    </row>
    <row r="195" spans="1:15" x14ac:dyDescent="0.25">
      <c r="A195" s="38">
        <v>5004</v>
      </c>
      <c r="B195" s="38" t="s">
        <v>93</v>
      </c>
      <c r="C195" s="38" t="s">
        <v>12</v>
      </c>
      <c r="D195" s="38" t="s">
        <v>309</v>
      </c>
      <c r="E195" s="38">
        <v>780</v>
      </c>
      <c r="F195" s="38">
        <v>180</v>
      </c>
      <c r="G195" s="40">
        <v>198</v>
      </c>
      <c r="H195" s="40">
        <v>310</v>
      </c>
      <c r="I195" s="40">
        <v>280</v>
      </c>
      <c r="J195" s="40">
        <v>527</v>
      </c>
      <c r="L195" s="40">
        <f t="shared" si="5"/>
        <v>228</v>
      </c>
      <c r="M195" s="40">
        <f t="shared" si="5"/>
        <v>357</v>
      </c>
      <c r="N195" s="40">
        <f t="shared" si="5"/>
        <v>322</v>
      </c>
      <c r="O195" s="40">
        <f t="shared" si="4"/>
        <v>606</v>
      </c>
    </row>
    <row r="196" spans="1:15" x14ac:dyDescent="0.25">
      <c r="A196" s="38">
        <v>5005</v>
      </c>
      <c r="B196" s="38" t="s">
        <v>93</v>
      </c>
      <c r="C196" s="38" t="s">
        <v>12</v>
      </c>
      <c r="D196" s="38" t="s">
        <v>310</v>
      </c>
      <c r="E196" s="38">
        <v>780</v>
      </c>
      <c r="F196" s="38">
        <v>360</v>
      </c>
      <c r="G196" s="40">
        <v>198</v>
      </c>
      <c r="H196" s="40">
        <v>310</v>
      </c>
      <c r="I196" s="40">
        <v>280</v>
      </c>
      <c r="J196" s="40">
        <v>527</v>
      </c>
      <c r="L196" s="40">
        <f t="shared" si="5"/>
        <v>228</v>
      </c>
      <c r="M196" s="40">
        <f t="shared" si="5"/>
        <v>357</v>
      </c>
      <c r="N196" s="40">
        <f t="shared" si="5"/>
        <v>322</v>
      </c>
      <c r="O196" s="40">
        <f t="shared" si="4"/>
        <v>606</v>
      </c>
    </row>
    <row r="197" spans="1:15" x14ac:dyDescent="0.25">
      <c r="A197" s="38">
        <v>5006</v>
      </c>
      <c r="B197" s="38" t="s">
        <v>93</v>
      </c>
      <c r="C197" s="38" t="s">
        <v>12</v>
      </c>
      <c r="D197" s="38" t="s">
        <v>311</v>
      </c>
      <c r="E197" s="38">
        <v>980</v>
      </c>
      <c r="F197" s="38">
        <v>180</v>
      </c>
      <c r="G197" s="40">
        <v>250</v>
      </c>
      <c r="H197" s="40">
        <v>369</v>
      </c>
      <c r="I197" s="40">
        <v>345</v>
      </c>
      <c r="J197" s="40">
        <v>649</v>
      </c>
      <c r="L197" s="40">
        <f t="shared" si="5"/>
        <v>288</v>
      </c>
      <c r="M197" s="40">
        <f t="shared" si="5"/>
        <v>424</v>
      </c>
      <c r="N197" s="40">
        <f t="shared" si="5"/>
        <v>397</v>
      </c>
      <c r="O197" s="40">
        <f t="shared" si="4"/>
        <v>746</v>
      </c>
    </row>
    <row r="198" spans="1:15" x14ac:dyDescent="0.25">
      <c r="A198" s="38">
        <v>5007</v>
      </c>
      <c r="B198" s="38" t="s">
        <v>93</v>
      </c>
      <c r="C198" s="38" t="s">
        <v>12</v>
      </c>
      <c r="D198" s="38" t="s">
        <v>312</v>
      </c>
      <c r="E198" s="38">
        <v>980</v>
      </c>
      <c r="F198" s="38">
        <v>360</v>
      </c>
      <c r="G198" s="40">
        <v>250</v>
      </c>
      <c r="H198" s="40">
        <v>369</v>
      </c>
      <c r="I198" s="40">
        <v>345</v>
      </c>
      <c r="J198" s="40">
        <v>649</v>
      </c>
      <c r="L198" s="40">
        <f t="shared" si="5"/>
        <v>288</v>
      </c>
      <c r="M198" s="40">
        <f t="shared" si="5"/>
        <v>424</v>
      </c>
      <c r="N198" s="40">
        <f t="shared" si="5"/>
        <v>397</v>
      </c>
      <c r="O198" s="40">
        <f t="shared" si="4"/>
        <v>746</v>
      </c>
    </row>
    <row r="199" spans="1:15" x14ac:dyDescent="0.25">
      <c r="A199" s="38">
        <v>5009</v>
      </c>
      <c r="B199" s="38" t="s">
        <v>93</v>
      </c>
      <c r="C199" s="38" t="s">
        <v>12</v>
      </c>
      <c r="D199" s="38" t="s">
        <v>313</v>
      </c>
      <c r="E199" s="38">
        <v>360</v>
      </c>
      <c r="F199" s="38">
        <v>180</v>
      </c>
      <c r="G199" s="40">
        <v>169</v>
      </c>
      <c r="H199" s="40">
        <v>333</v>
      </c>
      <c r="I199" s="40">
        <v>345</v>
      </c>
      <c r="J199" s="40">
        <v>649</v>
      </c>
      <c r="L199" s="40">
        <f t="shared" si="5"/>
        <v>194</v>
      </c>
      <c r="M199" s="40">
        <f t="shared" si="5"/>
        <v>383</v>
      </c>
      <c r="N199" s="40">
        <f t="shared" si="5"/>
        <v>397</v>
      </c>
      <c r="O199" s="40">
        <f t="shared" si="4"/>
        <v>746</v>
      </c>
    </row>
    <row r="200" spans="1:15" x14ac:dyDescent="0.25">
      <c r="A200" s="38">
        <v>5008</v>
      </c>
      <c r="B200" s="38" t="s">
        <v>93</v>
      </c>
      <c r="C200" s="38" t="s">
        <v>12</v>
      </c>
      <c r="D200" s="38" t="s">
        <v>314</v>
      </c>
      <c r="E200" s="38">
        <v>360</v>
      </c>
      <c r="F200" s="38">
        <v>360</v>
      </c>
      <c r="G200" s="40">
        <v>169</v>
      </c>
      <c r="H200" s="40">
        <v>333</v>
      </c>
      <c r="I200" s="40">
        <v>345</v>
      </c>
      <c r="J200" s="40">
        <v>649</v>
      </c>
      <c r="L200" s="40">
        <f t="shared" si="5"/>
        <v>194</v>
      </c>
      <c r="M200" s="40">
        <f t="shared" si="5"/>
        <v>383</v>
      </c>
      <c r="N200" s="40">
        <f t="shared" si="5"/>
        <v>397</v>
      </c>
      <c r="O200" s="40">
        <f t="shared" si="4"/>
        <v>746</v>
      </c>
    </row>
    <row r="201" spans="1:15" x14ac:dyDescent="0.25">
      <c r="A201" s="38" t="s">
        <v>315</v>
      </c>
      <c r="B201" s="38" t="s">
        <v>93</v>
      </c>
      <c r="C201" s="38" t="s">
        <v>12</v>
      </c>
      <c r="D201" s="38" t="s">
        <v>316</v>
      </c>
      <c r="E201" s="38">
        <v>980</v>
      </c>
      <c r="F201" s="38">
        <v>420</v>
      </c>
      <c r="G201" s="40">
        <v>255</v>
      </c>
      <c r="H201" s="40">
        <v>502</v>
      </c>
      <c r="I201" s="40">
        <v>345</v>
      </c>
      <c r="J201" s="40">
        <v>649</v>
      </c>
      <c r="L201" s="40">
        <f t="shared" si="5"/>
        <v>293</v>
      </c>
      <c r="M201" s="40">
        <f t="shared" si="5"/>
        <v>577</v>
      </c>
      <c r="N201" s="40">
        <f t="shared" si="5"/>
        <v>397</v>
      </c>
      <c r="O201" s="40">
        <f t="shared" si="4"/>
        <v>746</v>
      </c>
    </row>
    <row r="202" spans="1:15" x14ac:dyDescent="0.25">
      <c r="A202" s="38">
        <v>5100</v>
      </c>
      <c r="B202" s="38" t="s">
        <v>93</v>
      </c>
      <c r="C202" s="38" t="s">
        <v>317</v>
      </c>
      <c r="D202" s="38" t="s">
        <v>318</v>
      </c>
      <c r="E202" s="38">
        <v>420</v>
      </c>
      <c r="F202" s="38">
        <v>360</v>
      </c>
      <c r="G202" s="40">
        <v>136</v>
      </c>
      <c r="H202" s="40">
        <v>205</v>
      </c>
      <c r="I202" s="40">
        <v>182</v>
      </c>
      <c r="J202" s="40">
        <v>479</v>
      </c>
      <c r="L202" s="40">
        <f t="shared" si="5"/>
        <v>156</v>
      </c>
      <c r="M202" s="40">
        <f t="shared" si="5"/>
        <v>236</v>
      </c>
      <c r="N202" s="40">
        <f t="shared" si="5"/>
        <v>209</v>
      </c>
      <c r="O202" s="40">
        <f t="shared" si="4"/>
        <v>551</v>
      </c>
    </row>
    <row r="203" spans="1:15" x14ac:dyDescent="0.25">
      <c r="A203" s="38">
        <v>5101</v>
      </c>
      <c r="B203" s="38" t="s">
        <v>93</v>
      </c>
      <c r="C203" s="38" t="s">
        <v>317</v>
      </c>
      <c r="D203" s="38" t="s">
        <v>319</v>
      </c>
      <c r="E203" s="38">
        <v>420</v>
      </c>
      <c r="F203" s="38">
        <v>720</v>
      </c>
      <c r="G203" s="40">
        <v>159</v>
      </c>
      <c r="H203" s="40">
        <v>270</v>
      </c>
      <c r="I203" s="40">
        <v>230</v>
      </c>
      <c r="J203" s="40">
        <v>544</v>
      </c>
      <c r="L203" s="40">
        <f t="shared" si="5"/>
        <v>183</v>
      </c>
      <c r="M203" s="40">
        <f t="shared" si="5"/>
        <v>311</v>
      </c>
      <c r="N203" s="40">
        <f t="shared" si="5"/>
        <v>265</v>
      </c>
      <c r="O203" s="40">
        <f t="shared" si="4"/>
        <v>626</v>
      </c>
    </row>
    <row r="204" spans="1:15" x14ac:dyDescent="0.25">
      <c r="A204" s="38">
        <v>5102</v>
      </c>
      <c r="B204" s="38" t="s">
        <v>93</v>
      </c>
      <c r="C204" s="38" t="s">
        <v>317</v>
      </c>
      <c r="D204" s="38" t="s">
        <v>320</v>
      </c>
      <c r="E204" s="38">
        <v>420</v>
      </c>
      <c r="F204" s="38">
        <v>1080</v>
      </c>
      <c r="G204" s="40">
        <v>235</v>
      </c>
      <c r="H204" s="40">
        <v>373</v>
      </c>
      <c r="I204" s="40">
        <v>339</v>
      </c>
      <c r="J204" s="40">
        <v>643</v>
      </c>
      <c r="L204" s="40">
        <f t="shared" si="5"/>
        <v>270</v>
      </c>
      <c r="M204" s="40">
        <f t="shared" si="5"/>
        <v>429</v>
      </c>
      <c r="N204" s="40">
        <f t="shared" si="5"/>
        <v>390</v>
      </c>
      <c r="O204" s="40">
        <f t="shared" si="4"/>
        <v>739</v>
      </c>
    </row>
    <row r="205" spans="1:15" x14ac:dyDescent="0.25">
      <c r="A205" s="38">
        <v>5103</v>
      </c>
      <c r="B205" s="38" t="s">
        <v>93</v>
      </c>
      <c r="C205" s="38" t="s">
        <v>317</v>
      </c>
      <c r="D205" s="38" t="s">
        <v>321</v>
      </c>
      <c r="E205" s="38">
        <v>420</v>
      </c>
      <c r="F205" s="38">
        <v>1440</v>
      </c>
      <c r="G205" s="40">
        <v>257</v>
      </c>
      <c r="H205" s="40">
        <v>472</v>
      </c>
      <c r="I205" s="40">
        <v>402</v>
      </c>
      <c r="J205" s="40">
        <v>712</v>
      </c>
      <c r="L205" s="40">
        <f t="shared" si="5"/>
        <v>296</v>
      </c>
      <c r="M205" s="40">
        <f t="shared" si="5"/>
        <v>543</v>
      </c>
      <c r="N205" s="40">
        <f t="shared" si="5"/>
        <v>462</v>
      </c>
      <c r="O205" s="40">
        <f t="shared" si="4"/>
        <v>819</v>
      </c>
    </row>
    <row r="206" spans="1:15" x14ac:dyDescent="0.25">
      <c r="A206" s="38">
        <v>5104</v>
      </c>
      <c r="B206" s="38" t="s">
        <v>93</v>
      </c>
      <c r="C206" s="38" t="s">
        <v>317</v>
      </c>
      <c r="D206" s="38" t="s">
        <v>322</v>
      </c>
      <c r="E206" s="38">
        <v>420</v>
      </c>
      <c r="F206" s="38">
        <v>1800</v>
      </c>
      <c r="G206" s="40">
        <v>340</v>
      </c>
      <c r="H206" s="40">
        <v>669</v>
      </c>
      <c r="I206" s="40">
        <v>494</v>
      </c>
      <c r="J206" s="40">
        <v>834</v>
      </c>
      <c r="L206" s="40">
        <f t="shared" si="5"/>
        <v>391</v>
      </c>
      <c r="M206" s="40">
        <f t="shared" si="5"/>
        <v>769</v>
      </c>
      <c r="N206" s="40">
        <f t="shared" si="5"/>
        <v>568</v>
      </c>
      <c r="O206" s="40">
        <f t="shared" si="4"/>
        <v>959</v>
      </c>
    </row>
    <row r="207" spans="1:15" x14ac:dyDescent="0.25">
      <c r="A207" s="38">
        <v>5105</v>
      </c>
      <c r="B207" s="38" t="s">
        <v>93</v>
      </c>
      <c r="C207" s="38" t="s">
        <v>317</v>
      </c>
      <c r="D207" s="38" t="s">
        <v>323</v>
      </c>
      <c r="E207" s="38">
        <v>580</v>
      </c>
      <c r="F207" s="38">
        <v>360</v>
      </c>
      <c r="G207" s="40">
        <v>153</v>
      </c>
      <c r="H207" s="40">
        <v>228</v>
      </c>
      <c r="I207" s="40">
        <v>208</v>
      </c>
      <c r="J207" s="40">
        <v>509</v>
      </c>
      <c r="L207" s="40">
        <f t="shared" si="5"/>
        <v>176</v>
      </c>
      <c r="M207" s="40">
        <f t="shared" si="5"/>
        <v>262</v>
      </c>
      <c r="N207" s="40">
        <f t="shared" si="5"/>
        <v>239</v>
      </c>
      <c r="O207" s="40">
        <f t="shared" si="4"/>
        <v>585</v>
      </c>
    </row>
    <row r="208" spans="1:15" x14ac:dyDescent="0.25">
      <c r="A208" s="38">
        <v>5106</v>
      </c>
      <c r="B208" s="38" t="s">
        <v>93</v>
      </c>
      <c r="C208" s="38" t="s">
        <v>317</v>
      </c>
      <c r="D208" s="38" t="s">
        <v>324</v>
      </c>
      <c r="E208" s="38">
        <v>580</v>
      </c>
      <c r="F208" s="38">
        <v>720</v>
      </c>
      <c r="G208" s="40">
        <v>210</v>
      </c>
      <c r="H208" s="40">
        <v>332</v>
      </c>
      <c r="I208" s="40">
        <v>306</v>
      </c>
      <c r="J208" s="40">
        <v>585</v>
      </c>
      <c r="L208" s="40">
        <f t="shared" si="5"/>
        <v>242</v>
      </c>
      <c r="M208" s="40">
        <f t="shared" si="5"/>
        <v>382</v>
      </c>
      <c r="N208" s="40">
        <f t="shared" si="5"/>
        <v>352</v>
      </c>
      <c r="O208" s="40">
        <f t="shared" si="4"/>
        <v>673</v>
      </c>
    </row>
    <row r="209" spans="1:15" x14ac:dyDescent="0.25">
      <c r="A209" s="38">
        <v>5107</v>
      </c>
      <c r="B209" s="38" t="s">
        <v>93</v>
      </c>
      <c r="C209" s="38" t="s">
        <v>317</v>
      </c>
      <c r="D209" s="38" t="s">
        <v>325</v>
      </c>
      <c r="E209" s="38">
        <v>580</v>
      </c>
      <c r="F209" s="38">
        <v>1080</v>
      </c>
      <c r="G209" s="40">
        <v>278</v>
      </c>
      <c r="H209" s="40">
        <v>459</v>
      </c>
      <c r="I209" s="40">
        <v>415</v>
      </c>
      <c r="J209" s="40">
        <v>709</v>
      </c>
      <c r="L209" s="40">
        <f t="shared" si="5"/>
        <v>320</v>
      </c>
      <c r="M209" s="40">
        <f t="shared" si="5"/>
        <v>528</v>
      </c>
      <c r="N209" s="40">
        <f t="shared" si="5"/>
        <v>477</v>
      </c>
      <c r="O209" s="40">
        <f t="shared" si="4"/>
        <v>815</v>
      </c>
    </row>
    <row r="210" spans="1:15" x14ac:dyDescent="0.25">
      <c r="A210" s="38">
        <v>5108</v>
      </c>
      <c r="B210" s="38" t="s">
        <v>93</v>
      </c>
      <c r="C210" s="38" t="s">
        <v>317</v>
      </c>
      <c r="D210" s="38" t="s">
        <v>326</v>
      </c>
      <c r="E210" s="38">
        <v>580</v>
      </c>
      <c r="F210" s="38">
        <v>1440</v>
      </c>
      <c r="G210" s="40">
        <v>337</v>
      </c>
      <c r="H210" s="40">
        <v>560</v>
      </c>
      <c r="I210" s="40">
        <v>503</v>
      </c>
      <c r="J210" s="40">
        <v>946</v>
      </c>
      <c r="L210" s="40">
        <f t="shared" si="5"/>
        <v>388</v>
      </c>
      <c r="M210" s="40">
        <f t="shared" si="5"/>
        <v>644</v>
      </c>
      <c r="N210" s="40">
        <f t="shared" si="5"/>
        <v>578</v>
      </c>
      <c r="O210" s="40">
        <f t="shared" si="4"/>
        <v>1088</v>
      </c>
    </row>
    <row r="211" spans="1:15" x14ac:dyDescent="0.25">
      <c r="A211" s="38">
        <v>5109</v>
      </c>
      <c r="B211" s="38" t="s">
        <v>93</v>
      </c>
      <c r="C211" s="38" t="s">
        <v>317</v>
      </c>
      <c r="D211" s="38" t="s">
        <v>327</v>
      </c>
      <c r="E211" s="38">
        <v>580</v>
      </c>
      <c r="F211" s="38">
        <v>1800</v>
      </c>
      <c r="G211" s="40">
        <v>417</v>
      </c>
      <c r="H211" s="40">
        <v>821</v>
      </c>
      <c r="I211" s="40">
        <v>619</v>
      </c>
      <c r="J211" s="40">
        <v>1164</v>
      </c>
      <c r="L211" s="40">
        <f t="shared" si="5"/>
        <v>480</v>
      </c>
      <c r="M211" s="40">
        <f t="shared" si="5"/>
        <v>944</v>
      </c>
      <c r="N211" s="40">
        <f t="shared" si="5"/>
        <v>712</v>
      </c>
      <c r="O211" s="40">
        <f t="shared" si="4"/>
        <v>1339</v>
      </c>
    </row>
    <row r="212" spans="1:15" x14ac:dyDescent="0.25">
      <c r="A212" s="38">
        <v>5110</v>
      </c>
      <c r="B212" s="38" t="s">
        <v>93</v>
      </c>
      <c r="C212" s="38" t="s">
        <v>317</v>
      </c>
      <c r="D212" s="38" t="s">
        <v>328</v>
      </c>
      <c r="E212" s="38">
        <v>360</v>
      </c>
      <c r="F212" s="38">
        <v>360</v>
      </c>
      <c r="G212" s="40">
        <v>136</v>
      </c>
      <c r="H212" s="40">
        <v>268</v>
      </c>
      <c r="I212" s="40">
        <v>237</v>
      </c>
      <c r="J212" s="40">
        <v>446</v>
      </c>
      <c r="L212" s="40">
        <f t="shared" si="5"/>
        <v>156</v>
      </c>
      <c r="M212" s="40">
        <f t="shared" si="5"/>
        <v>308</v>
      </c>
      <c r="N212" s="40">
        <f t="shared" si="5"/>
        <v>273</v>
      </c>
      <c r="O212" s="40">
        <f t="shared" si="4"/>
        <v>513</v>
      </c>
    </row>
    <row r="213" spans="1:15" x14ac:dyDescent="0.25">
      <c r="A213" s="38">
        <v>5111</v>
      </c>
      <c r="B213" s="38" t="s">
        <v>93</v>
      </c>
      <c r="C213" s="38" t="s">
        <v>317</v>
      </c>
      <c r="D213" s="38" t="s">
        <v>329</v>
      </c>
      <c r="E213" s="38">
        <v>780</v>
      </c>
      <c r="F213" s="38">
        <v>360</v>
      </c>
      <c r="G213" s="40"/>
      <c r="H213" s="40"/>
      <c r="I213" s="40">
        <v>259</v>
      </c>
      <c r="J213" s="40">
        <v>487</v>
      </c>
      <c r="L213" s="40" t="str">
        <f t="shared" si="5"/>
        <v/>
      </c>
      <c r="M213" s="40" t="str">
        <f t="shared" si="5"/>
        <v/>
      </c>
      <c r="N213" s="40">
        <f t="shared" si="5"/>
        <v>298</v>
      </c>
      <c r="O213" s="40">
        <f t="shared" si="4"/>
        <v>560</v>
      </c>
    </row>
    <row r="214" spans="1:15" x14ac:dyDescent="0.25">
      <c r="A214" s="38">
        <v>5200</v>
      </c>
      <c r="B214" s="38" t="s">
        <v>93</v>
      </c>
      <c r="C214" s="38" t="s">
        <v>330</v>
      </c>
      <c r="D214" s="38" t="s">
        <v>331</v>
      </c>
      <c r="E214" s="38">
        <v>780</v>
      </c>
      <c r="F214" s="38">
        <v>360</v>
      </c>
      <c r="G214" s="40">
        <v>255</v>
      </c>
      <c r="H214" s="40">
        <v>367</v>
      </c>
      <c r="I214" s="40">
        <v>334</v>
      </c>
      <c r="J214" s="40">
        <v>867</v>
      </c>
      <c r="L214" s="40">
        <f t="shared" si="5"/>
        <v>293</v>
      </c>
      <c r="M214" s="40">
        <f t="shared" si="5"/>
        <v>422</v>
      </c>
      <c r="N214" s="40">
        <f t="shared" si="5"/>
        <v>384</v>
      </c>
      <c r="O214" s="40">
        <f t="shared" si="4"/>
        <v>997</v>
      </c>
    </row>
    <row r="215" spans="1:15" x14ac:dyDescent="0.25">
      <c r="A215" s="38">
        <v>5210</v>
      </c>
      <c r="B215" s="38" t="s">
        <v>93</v>
      </c>
      <c r="C215" s="38" t="s">
        <v>330</v>
      </c>
      <c r="D215" s="38" t="s">
        <v>332</v>
      </c>
      <c r="E215" s="38">
        <v>780</v>
      </c>
      <c r="F215" s="38">
        <v>660</v>
      </c>
      <c r="G215" s="40">
        <v>314</v>
      </c>
      <c r="H215" s="40">
        <v>618</v>
      </c>
      <c r="I215" s="40">
        <v>423</v>
      </c>
      <c r="J215" s="40">
        <v>796</v>
      </c>
      <c r="L215" s="40">
        <f t="shared" si="5"/>
        <v>361</v>
      </c>
      <c r="M215" s="40">
        <f t="shared" si="5"/>
        <v>711</v>
      </c>
      <c r="N215" s="40">
        <f t="shared" si="5"/>
        <v>486</v>
      </c>
      <c r="O215" s="40">
        <f t="shared" si="4"/>
        <v>915</v>
      </c>
    </row>
    <row r="216" spans="1:15" x14ac:dyDescent="0.25">
      <c r="A216" s="38">
        <v>5201</v>
      </c>
      <c r="B216" s="38" t="s">
        <v>93</v>
      </c>
      <c r="C216" s="38" t="s">
        <v>330</v>
      </c>
      <c r="D216" s="38" t="s">
        <v>333</v>
      </c>
      <c r="E216" s="38">
        <v>780</v>
      </c>
      <c r="F216" s="38">
        <v>720</v>
      </c>
      <c r="G216" s="40">
        <v>314</v>
      </c>
      <c r="H216" s="40">
        <v>484</v>
      </c>
      <c r="I216" s="40">
        <v>423</v>
      </c>
      <c r="J216" s="40">
        <v>902</v>
      </c>
      <c r="L216" s="40">
        <f t="shared" si="5"/>
        <v>361</v>
      </c>
      <c r="M216" s="40">
        <f t="shared" si="5"/>
        <v>557</v>
      </c>
      <c r="N216" s="40">
        <f t="shared" si="5"/>
        <v>486</v>
      </c>
      <c r="O216" s="40">
        <f t="shared" si="4"/>
        <v>1037</v>
      </c>
    </row>
    <row r="217" spans="1:15" x14ac:dyDescent="0.25">
      <c r="A217" s="38">
        <v>5202</v>
      </c>
      <c r="B217" s="38" t="s">
        <v>93</v>
      </c>
      <c r="C217" s="38" t="s">
        <v>330</v>
      </c>
      <c r="D217" s="38" t="s">
        <v>334</v>
      </c>
      <c r="E217" s="38">
        <v>780</v>
      </c>
      <c r="F217" s="38">
        <v>1080</v>
      </c>
      <c r="G217" s="40">
        <v>464</v>
      </c>
      <c r="H217" s="40">
        <v>716</v>
      </c>
      <c r="I217" s="40">
        <v>624</v>
      </c>
      <c r="J217" s="40">
        <v>1139</v>
      </c>
      <c r="L217" s="40">
        <f t="shared" si="5"/>
        <v>534</v>
      </c>
      <c r="M217" s="40">
        <f t="shared" si="5"/>
        <v>823</v>
      </c>
      <c r="N217" s="40">
        <f t="shared" si="5"/>
        <v>718</v>
      </c>
      <c r="O217" s="40">
        <f t="shared" si="4"/>
        <v>1310</v>
      </c>
    </row>
    <row r="218" spans="1:15" x14ac:dyDescent="0.25">
      <c r="A218" s="38">
        <v>5203</v>
      </c>
      <c r="B218" s="38" t="s">
        <v>93</v>
      </c>
      <c r="C218" s="38" t="s">
        <v>330</v>
      </c>
      <c r="D218" s="38" t="s">
        <v>335</v>
      </c>
      <c r="E218" s="38">
        <v>780</v>
      </c>
      <c r="F218" s="38">
        <v>1440</v>
      </c>
      <c r="G218" s="40">
        <v>542</v>
      </c>
      <c r="H218" s="40">
        <v>863</v>
      </c>
      <c r="I218" s="40">
        <v>746</v>
      </c>
      <c r="J218" s="40">
        <v>1265</v>
      </c>
      <c r="L218" s="40">
        <f t="shared" si="5"/>
        <v>623</v>
      </c>
      <c r="M218" s="40">
        <f t="shared" si="5"/>
        <v>992</v>
      </c>
      <c r="N218" s="40">
        <f t="shared" si="5"/>
        <v>858</v>
      </c>
      <c r="O218" s="40">
        <f t="shared" si="4"/>
        <v>1455</v>
      </c>
    </row>
    <row r="219" spans="1:15" x14ac:dyDescent="0.25">
      <c r="A219" s="38">
        <v>5204</v>
      </c>
      <c r="B219" s="38" t="s">
        <v>93</v>
      </c>
      <c r="C219" s="38" t="s">
        <v>330</v>
      </c>
      <c r="D219" s="38" t="s">
        <v>336</v>
      </c>
      <c r="E219" s="38">
        <v>780</v>
      </c>
      <c r="F219" s="38">
        <v>1800</v>
      </c>
      <c r="G219" s="40">
        <v>668</v>
      </c>
      <c r="H219" s="40">
        <v>1315</v>
      </c>
      <c r="I219" s="40">
        <v>917</v>
      </c>
      <c r="J219" s="40">
        <v>1496</v>
      </c>
      <c r="L219" s="40">
        <f t="shared" si="5"/>
        <v>768</v>
      </c>
      <c r="M219" s="40">
        <f t="shared" si="5"/>
        <v>1512</v>
      </c>
      <c r="N219" s="40">
        <f t="shared" si="5"/>
        <v>1055</v>
      </c>
      <c r="O219" s="40">
        <f t="shared" si="4"/>
        <v>1720</v>
      </c>
    </row>
    <row r="220" spans="1:15" x14ac:dyDescent="0.25">
      <c r="A220" s="38">
        <v>5205</v>
      </c>
      <c r="B220" s="38" t="s">
        <v>93</v>
      </c>
      <c r="C220" s="38" t="s">
        <v>330</v>
      </c>
      <c r="D220" s="38" t="s">
        <v>337</v>
      </c>
      <c r="E220" s="38">
        <v>980</v>
      </c>
      <c r="F220" s="38">
        <v>360</v>
      </c>
      <c r="G220" s="40">
        <v>269</v>
      </c>
      <c r="H220" s="40">
        <v>406</v>
      </c>
      <c r="I220" s="40">
        <v>363</v>
      </c>
      <c r="J220" s="40">
        <v>888</v>
      </c>
      <c r="L220" s="40">
        <f t="shared" si="5"/>
        <v>309</v>
      </c>
      <c r="M220" s="40">
        <f t="shared" si="5"/>
        <v>467</v>
      </c>
      <c r="N220" s="40">
        <f t="shared" si="5"/>
        <v>417</v>
      </c>
      <c r="O220" s="40">
        <f t="shared" si="4"/>
        <v>1021</v>
      </c>
    </row>
    <row r="221" spans="1:15" x14ac:dyDescent="0.25">
      <c r="A221" s="38">
        <v>5206</v>
      </c>
      <c r="B221" s="38" t="s">
        <v>93</v>
      </c>
      <c r="C221" s="38" t="s">
        <v>330</v>
      </c>
      <c r="D221" s="38" t="s">
        <v>338</v>
      </c>
      <c r="E221" s="38">
        <v>980</v>
      </c>
      <c r="F221" s="38">
        <v>720</v>
      </c>
      <c r="G221" s="40">
        <v>375</v>
      </c>
      <c r="H221" s="40">
        <v>587</v>
      </c>
      <c r="I221" s="40">
        <v>517</v>
      </c>
      <c r="J221" s="40">
        <v>944</v>
      </c>
      <c r="L221" s="40">
        <f t="shared" si="5"/>
        <v>431</v>
      </c>
      <c r="M221" s="40">
        <f t="shared" si="5"/>
        <v>675</v>
      </c>
      <c r="N221" s="40">
        <f t="shared" si="5"/>
        <v>595</v>
      </c>
      <c r="O221" s="40">
        <f t="shared" si="4"/>
        <v>1086</v>
      </c>
    </row>
    <row r="222" spans="1:15" x14ac:dyDescent="0.25">
      <c r="A222" s="38">
        <v>5207</v>
      </c>
      <c r="B222" s="38" t="s">
        <v>93</v>
      </c>
      <c r="C222" s="38" t="s">
        <v>330</v>
      </c>
      <c r="D222" s="38" t="s">
        <v>339</v>
      </c>
      <c r="E222" s="38">
        <v>980</v>
      </c>
      <c r="F222" s="38">
        <v>1080</v>
      </c>
      <c r="G222" s="40">
        <v>523</v>
      </c>
      <c r="H222" s="40">
        <v>817</v>
      </c>
      <c r="I222" s="40">
        <v>717</v>
      </c>
      <c r="J222" s="40">
        <v>1349</v>
      </c>
      <c r="L222" s="40">
        <f t="shared" si="5"/>
        <v>601</v>
      </c>
      <c r="M222" s="40">
        <f t="shared" si="5"/>
        <v>940</v>
      </c>
      <c r="N222" s="40">
        <f t="shared" si="5"/>
        <v>825</v>
      </c>
      <c r="O222" s="40">
        <f t="shared" si="4"/>
        <v>1551</v>
      </c>
    </row>
    <row r="223" spans="1:15" x14ac:dyDescent="0.25">
      <c r="A223" s="38">
        <v>5208</v>
      </c>
      <c r="B223" s="38" t="s">
        <v>93</v>
      </c>
      <c r="C223" s="38" t="s">
        <v>330</v>
      </c>
      <c r="D223" s="38" t="s">
        <v>340</v>
      </c>
      <c r="E223" s="38">
        <v>980</v>
      </c>
      <c r="F223" s="38">
        <v>1440</v>
      </c>
      <c r="G223" s="40">
        <v>625</v>
      </c>
      <c r="H223" s="40">
        <v>998</v>
      </c>
      <c r="I223" s="40">
        <v>869</v>
      </c>
      <c r="J223" s="40">
        <v>1635</v>
      </c>
      <c r="L223" s="40">
        <f t="shared" si="5"/>
        <v>719</v>
      </c>
      <c r="M223" s="40">
        <f t="shared" si="5"/>
        <v>1148</v>
      </c>
      <c r="N223" s="40">
        <f t="shared" si="5"/>
        <v>999</v>
      </c>
      <c r="O223" s="40">
        <f t="shared" si="4"/>
        <v>1880</v>
      </c>
    </row>
    <row r="224" spans="1:15" x14ac:dyDescent="0.25">
      <c r="A224" s="38">
        <v>5209</v>
      </c>
      <c r="B224" s="38" t="s">
        <v>93</v>
      </c>
      <c r="C224" s="38" t="s">
        <v>330</v>
      </c>
      <c r="D224" s="38" t="s">
        <v>341</v>
      </c>
      <c r="E224" s="38">
        <v>980</v>
      </c>
      <c r="F224" s="38">
        <v>1800</v>
      </c>
      <c r="G224" s="40">
        <v>769</v>
      </c>
      <c r="H224" s="40">
        <v>1514</v>
      </c>
      <c r="I224" s="40">
        <v>1072</v>
      </c>
      <c r="J224" s="40">
        <v>2017</v>
      </c>
      <c r="L224" s="40">
        <f t="shared" si="5"/>
        <v>884</v>
      </c>
      <c r="M224" s="40">
        <f t="shared" si="5"/>
        <v>1741</v>
      </c>
      <c r="N224" s="40">
        <f t="shared" si="5"/>
        <v>1233</v>
      </c>
      <c r="O224" s="40">
        <f t="shared" si="4"/>
        <v>2320</v>
      </c>
    </row>
    <row r="225" spans="1:15" x14ac:dyDescent="0.25">
      <c r="A225" s="38">
        <v>5300</v>
      </c>
      <c r="B225" s="38" t="s">
        <v>93</v>
      </c>
      <c r="C225" s="38" t="s">
        <v>14</v>
      </c>
      <c r="D225" s="38" t="s">
        <v>342</v>
      </c>
      <c r="E225" s="38">
        <v>420</v>
      </c>
      <c r="F225" s="38">
        <v>180</v>
      </c>
      <c r="G225" s="40">
        <v>285</v>
      </c>
      <c r="H225" s="40">
        <v>345</v>
      </c>
      <c r="I225" s="40">
        <v>329</v>
      </c>
      <c r="J225" s="40">
        <v>619</v>
      </c>
      <c r="L225" s="40">
        <f t="shared" si="5"/>
        <v>328</v>
      </c>
      <c r="M225" s="40">
        <f t="shared" si="5"/>
        <v>397</v>
      </c>
      <c r="N225" s="40">
        <f t="shared" si="5"/>
        <v>378</v>
      </c>
      <c r="O225" s="40">
        <f t="shared" si="4"/>
        <v>712</v>
      </c>
    </row>
    <row r="226" spans="1:15" x14ac:dyDescent="0.25">
      <c r="A226" s="38">
        <v>5301</v>
      </c>
      <c r="B226" s="38" t="s">
        <v>93</v>
      </c>
      <c r="C226" s="38" t="s">
        <v>14</v>
      </c>
      <c r="D226" s="38" t="s">
        <v>343</v>
      </c>
      <c r="E226" s="38">
        <v>420</v>
      </c>
      <c r="F226" s="38">
        <v>360</v>
      </c>
      <c r="G226" s="40">
        <v>352</v>
      </c>
      <c r="H226" s="40">
        <v>439</v>
      </c>
      <c r="I226" s="40">
        <v>420</v>
      </c>
      <c r="J226" s="40">
        <v>429</v>
      </c>
      <c r="L226" s="40">
        <f t="shared" si="5"/>
        <v>405</v>
      </c>
      <c r="M226" s="40">
        <f t="shared" si="5"/>
        <v>505</v>
      </c>
      <c r="N226" s="40">
        <f t="shared" si="5"/>
        <v>483</v>
      </c>
      <c r="O226" s="40">
        <f t="shared" si="4"/>
        <v>493</v>
      </c>
    </row>
    <row r="227" spans="1:15" x14ac:dyDescent="0.25">
      <c r="A227" s="38">
        <v>5302</v>
      </c>
      <c r="B227" s="38" t="s">
        <v>93</v>
      </c>
      <c r="C227" s="38" t="s">
        <v>14</v>
      </c>
      <c r="D227" s="38" t="s">
        <v>344</v>
      </c>
      <c r="E227" s="38">
        <v>580</v>
      </c>
      <c r="F227" s="38">
        <v>180</v>
      </c>
      <c r="G227" s="40">
        <v>298</v>
      </c>
      <c r="H227" s="40">
        <v>368</v>
      </c>
      <c r="I227" s="40">
        <v>351</v>
      </c>
      <c r="J227" s="40">
        <v>358</v>
      </c>
      <c r="L227" s="40">
        <f t="shared" si="5"/>
        <v>343</v>
      </c>
      <c r="M227" s="40">
        <f t="shared" si="5"/>
        <v>423</v>
      </c>
      <c r="N227" s="40">
        <f t="shared" si="5"/>
        <v>404</v>
      </c>
      <c r="O227" s="40">
        <f t="shared" si="4"/>
        <v>412</v>
      </c>
    </row>
    <row r="228" spans="1:15" x14ac:dyDescent="0.25">
      <c r="A228" s="38">
        <v>5303</v>
      </c>
      <c r="B228" s="38" t="s">
        <v>93</v>
      </c>
      <c r="C228" s="38" t="s">
        <v>14</v>
      </c>
      <c r="D228" s="38" t="s">
        <v>345</v>
      </c>
      <c r="E228" s="38">
        <v>580</v>
      </c>
      <c r="F228" s="38">
        <v>360</v>
      </c>
      <c r="G228" s="40">
        <v>353</v>
      </c>
      <c r="H228" s="40">
        <v>470</v>
      </c>
      <c r="I228" s="40">
        <v>445</v>
      </c>
      <c r="J228" s="40">
        <v>460</v>
      </c>
      <c r="L228" s="40">
        <f t="shared" si="5"/>
        <v>406</v>
      </c>
      <c r="M228" s="40">
        <f t="shared" si="5"/>
        <v>541</v>
      </c>
      <c r="N228" s="40">
        <f t="shared" si="5"/>
        <v>512</v>
      </c>
      <c r="O228" s="40">
        <f t="shared" si="4"/>
        <v>529</v>
      </c>
    </row>
    <row r="229" spans="1:15" x14ac:dyDescent="0.25">
      <c r="A229" s="38">
        <v>5304</v>
      </c>
      <c r="B229" s="38" t="s">
        <v>93</v>
      </c>
      <c r="C229" s="38" t="s">
        <v>14</v>
      </c>
      <c r="D229" s="38" t="s">
        <v>346</v>
      </c>
      <c r="E229" s="38">
        <v>780</v>
      </c>
      <c r="F229" s="38">
        <v>180</v>
      </c>
      <c r="G229" s="40">
        <v>309</v>
      </c>
      <c r="H229" s="40">
        <v>391</v>
      </c>
      <c r="I229" s="40">
        <v>372</v>
      </c>
      <c r="J229" s="40">
        <v>381</v>
      </c>
      <c r="L229" s="40">
        <f t="shared" si="5"/>
        <v>355</v>
      </c>
      <c r="M229" s="40">
        <f t="shared" si="5"/>
        <v>450</v>
      </c>
      <c r="N229" s="40">
        <f t="shared" si="5"/>
        <v>428</v>
      </c>
      <c r="O229" s="40">
        <f t="shared" si="4"/>
        <v>438</v>
      </c>
    </row>
    <row r="230" spans="1:15" x14ac:dyDescent="0.25">
      <c r="A230" s="38">
        <v>5305</v>
      </c>
      <c r="B230" s="38" t="s">
        <v>93</v>
      </c>
      <c r="C230" s="38" t="s">
        <v>14</v>
      </c>
      <c r="D230" s="38" t="s">
        <v>347</v>
      </c>
      <c r="E230" s="38">
        <v>780</v>
      </c>
      <c r="F230" s="38">
        <v>360</v>
      </c>
      <c r="G230" s="40">
        <v>356</v>
      </c>
      <c r="H230" s="40">
        <v>501</v>
      </c>
      <c r="I230" s="40">
        <v>471</v>
      </c>
      <c r="J230" s="40">
        <v>491</v>
      </c>
      <c r="L230" s="40">
        <f t="shared" si="5"/>
        <v>409</v>
      </c>
      <c r="M230" s="40">
        <f t="shared" si="5"/>
        <v>576</v>
      </c>
      <c r="N230" s="40">
        <f t="shared" si="5"/>
        <v>542</v>
      </c>
      <c r="O230" s="40">
        <f t="shared" si="4"/>
        <v>565</v>
      </c>
    </row>
    <row r="231" spans="1:15" x14ac:dyDescent="0.25">
      <c r="A231" s="38">
        <v>5306</v>
      </c>
      <c r="B231" s="38" t="s">
        <v>93</v>
      </c>
      <c r="C231" s="38" t="s">
        <v>14</v>
      </c>
      <c r="D231" s="38" t="s">
        <v>348</v>
      </c>
      <c r="E231" s="38">
        <v>980</v>
      </c>
      <c r="F231" s="38">
        <v>180</v>
      </c>
      <c r="G231" s="40">
        <v>348</v>
      </c>
      <c r="H231" s="40">
        <v>474</v>
      </c>
      <c r="I231" s="40">
        <v>417</v>
      </c>
      <c r="J231" s="40">
        <v>464</v>
      </c>
      <c r="L231" s="40">
        <f t="shared" si="5"/>
        <v>400</v>
      </c>
      <c r="M231" s="40">
        <f t="shared" si="5"/>
        <v>545</v>
      </c>
      <c r="N231" s="40">
        <f t="shared" si="5"/>
        <v>480</v>
      </c>
      <c r="O231" s="40">
        <f t="shared" si="4"/>
        <v>534</v>
      </c>
    </row>
    <row r="232" spans="1:15" x14ac:dyDescent="0.25">
      <c r="A232" s="38">
        <v>5307</v>
      </c>
      <c r="B232" s="38" t="s">
        <v>93</v>
      </c>
      <c r="C232" s="38" t="s">
        <v>14</v>
      </c>
      <c r="D232" s="38" t="s">
        <v>349</v>
      </c>
      <c r="E232" s="38">
        <v>980</v>
      </c>
      <c r="F232" s="38">
        <v>360</v>
      </c>
      <c r="G232" s="40">
        <v>429</v>
      </c>
      <c r="H232" s="40">
        <v>610</v>
      </c>
      <c r="I232" s="40">
        <v>553</v>
      </c>
      <c r="J232" s="40">
        <v>600</v>
      </c>
      <c r="L232" s="40">
        <f t="shared" si="5"/>
        <v>493</v>
      </c>
      <c r="M232" s="40">
        <f t="shared" si="5"/>
        <v>702</v>
      </c>
      <c r="N232" s="40">
        <f t="shared" si="5"/>
        <v>636</v>
      </c>
      <c r="O232" s="40">
        <f t="shared" si="4"/>
        <v>690</v>
      </c>
    </row>
    <row r="233" spans="1:15" x14ac:dyDescent="0.25">
      <c r="A233" s="38" t="s">
        <v>350</v>
      </c>
      <c r="B233" s="38" t="s">
        <v>93</v>
      </c>
      <c r="C233" s="38" t="s">
        <v>351</v>
      </c>
      <c r="D233" s="38" t="s">
        <v>352</v>
      </c>
      <c r="E233" s="38">
        <v>780</v>
      </c>
      <c r="F233" s="38">
        <v>180</v>
      </c>
      <c r="G233" s="40">
        <v>309</v>
      </c>
      <c r="H233" s="40">
        <v>608</v>
      </c>
      <c r="I233" s="40">
        <v>372</v>
      </c>
      <c r="J233" s="40"/>
      <c r="L233" s="40">
        <f t="shared" si="5"/>
        <v>355</v>
      </c>
      <c r="M233" s="40">
        <f t="shared" si="5"/>
        <v>699</v>
      </c>
      <c r="N233" s="40">
        <f t="shared" si="5"/>
        <v>428</v>
      </c>
      <c r="O233" s="40" t="str">
        <f t="shared" si="4"/>
        <v/>
      </c>
    </row>
    <row r="234" spans="1:15" x14ac:dyDescent="0.25">
      <c r="A234" s="38" t="s">
        <v>353</v>
      </c>
      <c r="B234" s="38" t="s">
        <v>93</v>
      </c>
      <c r="C234" s="38" t="s">
        <v>14</v>
      </c>
      <c r="D234" s="38" t="s">
        <v>354</v>
      </c>
      <c r="E234" s="38">
        <v>420</v>
      </c>
      <c r="F234" s="38">
        <v>134</v>
      </c>
      <c r="G234" s="40">
        <v>285</v>
      </c>
      <c r="H234" s="40">
        <v>561</v>
      </c>
      <c r="I234" s="40"/>
      <c r="J234" s="40"/>
      <c r="K234" s="42" t="s">
        <v>355</v>
      </c>
      <c r="L234" s="40">
        <f t="shared" si="5"/>
        <v>328</v>
      </c>
      <c r="M234" s="40">
        <f t="shared" si="5"/>
        <v>645</v>
      </c>
      <c r="N234" s="40" t="str">
        <f t="shared" si="5"/>
        <v/>
      </c>
      <c r="O234" s="40" t="str">
        <f t="shared" si="4"/>
        <v/>
      </c>
    </row>
    <row r="235" spans="1:15" x14ac:dyDescent="0.25">
      <c r="A235" s="38" t="s">
        <v>356</v>
      </c>
      <c r="B235" s="38" t="s">
        <v>93</v>
      </c>
      <c r="C235" s="38" t="s">
        <v>14</v>
      </c>
      <c r="D235" s="38" t="s">
        <v>357</v>
      </c>
      <c r="E235" s="38">
        <v>420</v>
      </c>
      <c r="F235" s="38">
        <v>220</v>
      </c>
      <c r="G235" s="40">
        <v>285</v>
      </c>
      <c r="H235" s="40">
        <v>561</v>
      </c>
      <c r="I235" s="40"/>
      <c r="J235" s="40"/>
      <c r="K235" s="42" t="s">
        <v>355</v>
      </c>
      <c r="L235" s="40">
        <f t="shared" si="5"/>
        <v>328</v>
      </c>
      <c r="M235" s="40">
        <f t="shared" si="5"/>
        <v>645</v>
      </c>
      <c r="N235" s="40" t="str">
        <f t="shared" si="5"/>
        <v/>
      </c>
      <c r="O235" s="40" t="str">
        <f t="shared" si="4"/>
        <v/>
      </c>
    </row>
    <row r="236" spans="1:15" x14ac:dyDescent="0.25">
      <c r="A236" s="38" t="s">
        <v>358</v>
      </c>
      <c r="B236" s="38" t="s">
        <v>93</v>
      </c>
      <c r="C236" s="38" t="s">
        <v>14</v>
      </c>
      <c r="D236" s="38" t="s">
        <v>359</v>
      </c>
      <c r="E236" s="38">
        <v>412</v>
      </c>
      <c r="F236" s="38">
        <v>121</v>
      </c>
      <c r="G236" s="40">
        <v>285</v>
      </c>
      <c r="H236" s="40">
        <v>561</v>
      </c>
      <c r="I236" s="40"/>
      <c r="J236" s="40"/>
      <c r="K236" s="42" t="s">
        <v>355</v>
      </c>
      <c r="L236" s="40">
        <f t="shared" si="5"/>
        <v>328</v>
      </c>
      <c r="M236" s="40">
        <f t="shared" si="5"/>
        <v>645</v>
      </c>
      <c r="N236" s="40" t="str">
        <f t="shared" si="5"/>
        <v/>
      </c>
      <c r="O236" s="40" t="str">
        <f t="shared" si="4"/>
        <v/>
      </c>
    </row>
    <row r="237" spans="1:15" x14ac:dyDescent="0.25">
      <c r="A237" s="38" t="s">
        <v>360</v>
      </c>
      <c r="B237" s="38" t="s">
        <v>93</v>
      </c>
      <c r="C237" s="38" t="s">
        <v>14</v>
      </c>
      <c r="D237" s="38" t="s">
        <v>361</v>
      </c>
      <c r="E237" s="38">
        <v>412</v>
      </c>
      <c r="F237" s="38">
        <v>400</v>
      </c>
      <c r="G237" s="40">
        <v>352</v>
      </c>
      <c r="H237" s="40">
        <v>693</v>
      </c>
      <c r="I237" s="40"/>
      <c r="J237" s="40"/>
      <c r="K237" s="42" t="s">
        <v>355</v>
      </c>
      <c r="L237" s="40">
        <f t="shared" si="5"/>
        <v>405</v>
      </c>
      <c r="M237" s="40">
        <f t="shared" si="5"/>
        <v>797</v>
      </c>
      <c r="N237" s="40" t="str">
        <f t="shared" si="5"/>
        <v/>
      </c>
      <c r="O237" s="40" t="str">
        <f t="shared" si="4"/>
        <v/>
      </c>
    </row>
    <row r="238" spans="1:15" x14ac:dyDescent="0.25">
      <c r="A238" s="38" t="s">
        <v>362</v>
      </c>
      <c r="B238" s="38" t="s">
        <v>93</v>
      </c>
      <c r="C238" s="38" t="s">
        <v>14</v>
      </c>
      <c r="D238" s="38" t="s">
        <v>363</v>
      </c>
      <c r="E238" s="38">
        <v>420</v>
      </c>
      <c r="F238" s="38">
        <v>145</v>
      </c>
      <c r="G238" s="40">
        <v>285</v>
      </c>
      <c r="H238" s="40">
        <v>561</v>
      </c>
      <c r="I238" s="40"/>
      <c r="J238" s="40"/>
      <c r="K238" s="42" t="s">
        <v>355</v>
      </c>
      <c r="L238" s="40">
        <f t="shared" si="5"/>
        <v>328</v>
      </c>
      <c r="M238" s="40">
        <f t="shared" si="5"/>
        <v>645</v>
      </c>
      <c r="N238" s="40" t="str">
        <f t="shared" si="5"/>
        <v/>
      </c>
      <c r="O238" s="40" t="str">
        <f t="shared" si="4"/>
        <v/>
      </c>
    </row>
    <row r="239" spans="1:15" x14ac:dyDescent="0.25">
      <c r="A239" s="38" t="s">
        <v>364</v>
      </c>
      <c r="B239" s="38" t="s">
        <v>93</v>
      </c>
      <c r="C239" s="38" t="s">
        <v>14</v>
      </c>
      <c r="D239" s="38" t="s">
        <v>365</v>
      </c>
      <c r="E239" s="38">
        <v>420</v>
      </c>
      <c r="F239" s="38">
        <v>293</v>
      </c>
      <c r="G239" s="40">
        <v>352</v>
      </c>
      <c r="H239" s="40">
        <v>693</v>
      </c>
      <c r="I239" s="40"/>
      <c r="J239" s="40"/>
      <c r="K239" s="42" t="s">
        <v>355</v>
      </c>
      <c r="L239" s="40">
        <f t="shared" si="5"/>
        <v>405</v>
      </c>
      <c r="M239" s="40">
        <f t="shared" si="5"/>
        <v>797</v>
      </c>
      <c r="N239" s="40" t="str">
        <f t="shared" si="5"/>
        <v/>
      </c>
      <c r="O239" s="40" t="str">
        <f t="shared" si="4"/>
        <v/>
      </c>
    </row>
    <row r="240" spans="1:15" x14ac:dyDescent="0.25">
      <c r="A240" s="38" t="s">
        <v>366</v>
      </c>
      <c r="B240" s="38" t="s">
        <v>93</v>
      </c>
      <c r="C240" s="38" t="s">
        <v>14</v>
      </c>
      <c r="D240" s="38" t="s">
        <v>367</v>
      </c>
      <c r="E240" s="38">
        <v>420</v>
      </c>
      <c r="F240" s="38">
        <v>67</v>
      </c>
      <c r="G240" s="40">
        <v>285</v>
      </c>
      <c r="H240" s="40">
        <v>561</v>
      </c>
      <c r="I240" s="40"/>
      <c r="J240" s="40"/>
      <c r="K240" s="42" t="s">
        <v>355</v>
      </c>
      <c r="L240" s="40">
        <f t="shared" si="5"/>
        <v>328</v>
      </c>
      <c r="M240" s="40">
        <f t="shared" si="5"/>
        <v>645</v>
      </c>
      <c r="N240" s="40" t="str">
        <f t="shared" si="5"/>
        <v/>
      </c>
      <c r="O240" s="40" t="str">
        <f t="shared" si="4"/>
        <v/>
      </c>
    </row>
    <row r="241" spans="1:15" x14ac:dyDescent="0.25">
      <c r="A241" s="38" t="s">
        <v>368</v>
      </c>
      <c r="B241" s="38" t="s">
        <v>93</v>
      </c>
      <c r="C241" s="38" t="s">
        <v>14</v>
      </c>
      <c r="D241" s="38" t="s">
        <v>369</v>
      </c>
      <c r="E241" s="38">
        <v>420</v>
      </c>
      <c r="F241" s="38">
        <v>142</v>
      </c>
      <c r="G241" s="40">
        <v>285</v>
      </c>
      <c r="H241" s="40">
        <v>561</v>
      </c>
      <c r="I241" s="40"/>
      <c r="J241" s="40"/>
      <c r="K241" s="42" t="s">
        <v>355</v>
      </c>
      <c r="L241" s="40">
        <f t="shared" si="5"/>
        <v>328</v>
      </c>
      <c r="M241" s="40">
        <f t="shared" si="5"/>
        <v>645</v>
      </c>
      <c r="N241" s="40" t="str">
        <f t="shared" si="5"/>
        <v/>
      </c>
      <c r="O241" s="40" t="str">
        <f t="shared" si="4"/>
        <v/>
      </c>
    </row>
    <row r="242" spans="1:15" x14ac:dyDescent="0.25">
      <c r="A242" s="38" t="s">
        <v>370</v>
      </c>
      <c r="B242" s="38" t="s">
        <v>93</v>
      </c>
      <c r="C242" s="38" t="s">
        <v>14</v>
      </c>
      <c r="D242" s="38" t="s">
        <v>371</v>
      </c>
      <c r="E242" s="38">
        <v>420</v>
      </c>
      <c r="F242" s="38">
        <v>280</v>
      </c>
      <c r="G242" s="40">
        <v>285</v>
      </c>
      <c r="H242" s="40">
        <v>561</v>
      </c>
      <c r="I242" s="40"/>
      <c r="J242" s="40"/>
      <c r="K242" s="42" t="s">
        <v>355</v>
      </c>
      <c r="L242" s="40">
        <f t="shared" si="5"/>
        <v>328</v>
      </c>
      <c r="M242" s="40">
        <f t="shared" si="5"/>
        <v>645</v>
      </c>
      <c r="N242" s="40" t="str">
        <f t="shared" si="5"/>
        <v/>
      </c>
      <c r="O242" s="40" t="str">
        <f t="shared" si="4"/>
        <v/>
      </c>
    </row>
    <row r="243" spans="1:15" x14ac:dyDescent="0.25">
      <c r="A243" s="38" t="s">
        <v>372</v>
      </c>
      <c r="B243" s="38" t="s">
        <v>93</v>
      </c>
      <c r="C243" s="38" t="s">
        <v>14</v>
      </c>
      <c r="D243" s="38" t="s">
        <v>373</v>
      </c>
      <c r="E243" s="38">
        <v>420</v>
      </c>
      <c r="F243" s="38">
        <v>141</v>
      </c>
      <c r="G243" s="40">
        <v>285</v>
      </c>
      <c r="H243" s="40">
        <v>561</v>
      </c>
      <c r="I243" s="40"/>
      <c r="J243" s="40"/>
      <c r="K243" s="42" t="s">
        <v>355</v>
      </c>
      <c r="L243" s="40">
        <f t="shared" si="5"/>
        <v>328</v>
      </c>
      <c r="M243" s="40">
        <f t="shared" si="5"/>
        <v>645</v>
      </c>
      <c r="N243" s="40" t="str">
        <f t="shared" si="5"/>
        <v/>
      </c>
      <c r="O243" s="40" t="str">
        <f t="shared" si="4"/>
        <v/>
      </c>
    </row>
    <row r="244" spans="1:15" x14ac:dyDescent="0.25">
      <c r="A244" s="38">
        <v>5400</v>
      </c>
      <c r="B244" s="38" t="s">
        <v>93</v>
      </c>
      <c r="C244" s="38" t="s">
        <v>374</v>
      </c>
      <c r="D244" s="38" t="s">
        <v>375</v>
      </c>
      <c r="E244" s="38">
        <v>420</v>
      </c>
      <c r="F244" s="38">
        <v>180</v>
      </c>
      <c r="G244" s="40">
        <v>285</v>
      </c>
      <c r="H244" s="40">
        <v>345</v>
      </c>
      <c r="I244" s="40">
        <v>329</v>
      </c>
      <c r="J244" s="40">
        <v>335</v>
      </c>
      <c r="L244" s="40">
        <f t="shared" si="5"/>
        <v>328</v>
      </c>
      <c r="M244" s="40">
        <f t="shared" si="5"/>
        <v>397</v>
      </c>
      <c r="N244" s="40">
        <f t="shared" si="5"/>
        <v>378</v>
      </c>
      <c r="O244" s="40">
        <f t="shared" si="4"/>
        <v>385</v>
      </c>
    </row>
    <row r="245" spans="1:15" x14ac:dyDescent="0.25">
      <c r="A245" s="38">
        <v>5401</v>
      </c>
      <c r="B245" s="38" t="s">
        <v>93</v>
      </c>
      <c r="C245" s="38" t="s">
        <v>374</v>
      </c>
      <c r="D245" s="38" t="s">
        <v>376</v>
      </c>
      <c r="E245" s="38">
        <v>420</v>
      </c>
      <c r="F245" s="38">
        <v>360</v>
      </c>
      <c r="G245" s="40">
        <v>352</v>
      </c>
      <c r="H245" s="40">
        <v>439</v>
      </c>
      <c r="I245" s="40">
        <v>420</v>
      </c>
      <c r="J245" s="40">
        <v>429</v>
      </c>
      <c r="L245" s="40">
        <f t="shared" si="5"/>
        <v>405</v>
      </c>
      <c r="M245" s="40">
        <f t="shared" si="5"/>
        <v>505</v>
      </c>
      <c r="N245" s="40">
        <f t="shared" si="5"/>
        <v>483</v>
      </c>
      <c r="O245" s="40">
        <f t="shared" si="4"/>
        <v>493</v>
      </c>
    </row>
    <row r="246" spans="1:15" x14ac:dyDescent="0.25">
      <c r="A246" s="38">
        <v>5402</v>
      </c>
      <c r="B246" s="38" t="s">
        <v>93</v>
      </c>
      <c r="C246" s="38" t="s">
        <v>374</v>
      </c>
      <c r="D246" s="38" t="s">
        <v>377</v>
      </c>
      <c r="E246" s="38">
        <v>580</v>
      </c>
      <c r="F246" s="38">
        <v>180</v>
      </c>
      <c r="G246" s="40">
        <v>298</v>
      </c>
      <c r="H246" s="40">
        <v>368</v>
      </c>
      <c r="I246" s="40">
        <v>351</v>
      </c>
      <c r="J246" s="40">
        <v>358</v>
      </c>
      <c r="L246" s="40">
        <f t="shared" si="5"/>
        <v>343</v>
      </c>
      <c r="M246" s="40">
        <f t="shared" si="5"/>
        <v>423</v>
      </c>
      <c r="N246" s="40">
        <f t="shared" si="5"/>
        <v>404</v>
      </c>
      <c r="O246" s="40">
        <f t="shared" si="4"/>
        <v>412</v>
      </c>
    </row>
    <row r="247" spans="1:15" x14ac:dyDescent="0.25">
      <c r="A247" s="38">
        <v>5403</v>
      </c>
      <c r="B247" s="38" t="s">
        <v>93</v>
      </c>
      <c r="C247" s="38" t="s">
        <v>374</v>
      </c>
      <c r="D247" s="38" t="s">
        <v>378</v>
      </c>
      <c r="E247" s="38">
        <v>580</v>
      </c>
      <c r="F247" s="38">
        <v>360</v>
      </c>
      <c r="G247" s="40">
        <v>353</v>
      </c>
      <c r="H247" s="40">
        <v>470</v>
      </c>
      <c r="I247" s="40">
        <v>445</v>
      </c>
      <c r="J247" s="40">
        <v>460</v>
      </c>
      <c r="L247" s="40">
        <f t="shared" si="5"/>
        <v>406</v>
      </c>
      <c r="M247" s="40">
        <f t="shared" si="5"/>
        <v>541</v>
      </c>
      <c r="N247" s="40">
        <f t="shared" si="5"/>
        <v>512</v>
      </c>
      <c r="O247" s="40">
        <f t="shared" si="4"/>
        <v>529</v>
      </c>
    </row>
    <row r="248" spans="1:15" x14ac:dyDescent="0.25">
      <c r="A248" s="38">
        <v>5404</v>
      </c>
      <c r="B248" s="38" t="s">
        <v>93</v>
      </c>
      <c r="C248" s="38" t="s">
        <v>374</v>
      </c>
      <c r="D248" s="38" t="s">
        <v>379</v>
      </c>
      <c r="E248" s="38">
        <v>780</v>
      </c>
      <c r="F248" s="38">
        <v>180</v>
      </c>
      <c r="G248" s="40">
        <v>309</v>
      </c>
      <c r="H248" s="40">
        <v>391</v>
      </c>
      <c r="I248" s="40">
        <v>372</v>
      </c>
      <c r="J248" s="40">
        <v>381</v>
      </c>
      <c r="L248" s="40">
        <f t="shared" si="5"/>
        <v>355</v>
      </c>
      <c r="M248" s="40">
        <f t="shared" si="5"/>
        <v>450</v>
      </c>
      <c r="N248" s="40">
        <f t="shared" si="5"/>
        <v>428</v>
      </c>
      <c r="O248" s="40">
        <f t="shared" si="4"/>
        <v>438</v>
      </c>
    </row>
    <row r="249" spans="1:15" x14ac:dyDescent="0.25">
      <c r="A249" s="38">
        <v>5405</v>
      </c>
      <c r="B249" s="38" t="s">
        <v>93</v>
      </c>
      <c r="C249" s="38" t="s">
        <v>374</v>
      </c>
      <c r="D249" s="38" t="s">
        <v>380</v>
      </c>
      <c r="E249" s="38">
        <v>780</v>
      </c>
      <c r="F249" s="38">
        <v>360</v>
      </c>
      <c r="G249" s="40">
        <v>356</v>
      </c>
      <c r="H249" s="40">
        <v>501</v>
      </c>
      <c r="I249" s="40">
        <v>471</v>
      </c>
      <c r="J249" s="40">
        <v>491</v>
      </c>
      <c r="L249" s="40">
        <f t="shared" si="5"/>
        <v>409</v>
      </c>
      <c r="M249" s="40">
        <f t="shared" si="5"/>
        <v>576</v>
      </c>
      <c r="N249" s="40">
        <f t="shared" si="5"/>
        <v>542</v>
      </c>
      <c r="O249" s="40">
        <f t="shared" si="4"/>
        <v>565</v>
      </c>
    </row>
    <row r="250" spans="1:15" x14ac:dyDescent="0.25">
      <c r="A250" s="38">
        <v>5406</v>
      </c>
      <c r="B250" s="38" t="s">
        <v>93</v>
      </c>
      <c r="C250" s="38" t="s">
        <v>374</v>
      </c>
      <c r="D250" s="38" t="s">
        <v>381</v>
      </c>
      <c r="E250" s="38">
        <v>980</v>
      </c>
      <c r="F250" s="38">
        <v>180</v>
      </c>
      <c r="G250" s="40">
        <v>348</v>
      </c>
      <c r="H250" s="40">
        <v>474</v>
      </c>
      <c r="I250" s="40">
        <v>417</v>
      </c>
      <c r="J250" s="40">
        <v>464</v>
      </c>
      <c r="L250" s="40">
        <f t="shared" si="5"/>
        <v>400</v>
      </c>
      <c r="M250" s="40">
        <f t="shared" si="5"/>
        <v>545</v>
      </c>
      <c r="N250" s="40">
        <f t="shared" si="5"/>
        <v>480</v>
      </c>
      <c r="O250" s="40">
        <f t="shared" si="4"/>
        <v>534</v>
      </c>
    </row>
    <row r="251" spans="1:15" x14ac:dyDescent="0.25">
      <c r="A251" s="38">
        <v>5407</v>
      </c>
      <c r="B251" s="38" t="s">
        <v>93</v>
      </c>
      <c r="C251" s="38" t="s">
        <v>374</v>
      </c>
      <c r="D251" s="38" t="s">
        <v>382</v>
      </c>
      <c r="E251" s="38">
        <v>980</v>
      </c>
      <c r="F251" s="38">
        <v>360</v>
      </c>
      <c r="G251" s="40">
        <v>429</v>
      </c>
      <c r="H251" s="40">
        <v>610</v>
      </c>
      <c r="I251" s="40">
        <v>553</v>
      </c>
      <c r="J251" s="40">
        <v>600</v>
      </c>
      <c r="L251" s="40">
        <f t="shared" si="5"/>
        <v>493</v>
      </c>
      <c r="M251" s="40">
        <f t="shared" si="5"/>
        <v>702</v>
      </c>
      <c r="N251" s="40">
        <f t="shared" si="5"/>
        <v>636</v>
      </c>
      <c r="O251" s="40">
        <f t="shared" si="4"/>
        <v>690</v>
      </c>
    </row>
    <row r="252" spans="1:15" x14ac:dyDescent="0.25">
      <c r="A252" s="38">
        <v>5500</v>
      </c>
      <c r="B252" s="38" t="s">
        <v>93</v>
      </c>
      <c r="C252" s="38" t="s">
        <v>383</v>
      </c>
      <c r="D252" s="38" t="s">
        <v>384</v>
      </c>
      <c r="E252" s="38">
        <v>420</v>
      </c>
      <c r="F252" s="38">
        <v>180</v>
      </c>
      <c r="G252" s="40">
        <v>285</v>
      </c>
      <c r="H252" s="40">
        <v>345</v>
      </c>
      <c r="I252" s="40">
        <v>329</v>
      </c>
      <c r="J252" s="40">
        <v>335</v>
      </c>
      <c r="L252" s="40">
        <f t="shared" si="5"/>
        <v>328</v>
      </c>
      <c r="M252" s="40">
        <f t="shared" si="5"/>
        <v>397</v>
      </c>
      <c r="N252" s="40">
        <f t="shared" si="5"/>
        <v>378</v>
      </c>
      <c r="O252" s="40">
        <f t="shared" si="4"/>
        <v>385</v>
      </c>
    </row>
    <row r="253" spans="1:15" x14ac:dyDescent="0.25">
      <c r="A253" s="38">
        <v>5501</v>
      </c>
      <c r="B253" s="38" t="s">
        <v>93</v>
      </c>
      <c r="C253" s="38" t="s">
        <v>383</v>
      </c>
      <c r="D253" s="38" t="s">
        <v>385</v>
      </c>
      <c r="E253" s="38">
        <v>420</v>
      </c>
      <c r="F253" s="38">
        <v>360</v>
      </c>
      <c r="G253" s="40">
        <v>352</v>
      </c>
      <c r="H253" s="40">
        <v>439</v>
      </c>
      <c r="I253" s="40">
        <v>420</v>
      </c>
      <c r="J253" s="40">
        <v>429</v>
      </c>
      <c r="L253" s="40">
        <f t="shared" si="5"/>
        <v>405</v>
      </c>
      <c r="M253" s="40">
        <f t="shared" si="5"/>
        <v>505</v>
      </c>
      <c r="N253" s="40">
        <f t="shared" si="5"/>
        <v>483</v>
      </c>
      <c r="O253" s="40">
        <f t="shared" si="4"/>
        <v>493</v>
      </c>
    </row>
    <row r="254" spans="1:15" x14ac:dyDescent="0.25">
      <c r="A254" s="38">
        <v>5502</v>
      </c>
      <c r="B254" s="38" t="s">
        <v>93</v>
      </c>
      <c r="C254" s="38" t="s">
        <v>383</v>
      </c>
      <c r="D254" s="38" t="s">
        <v>386</v>
      </c>
      <c r="E254" s="38">
        <v>580</v>
      </c>
      <c r="F254" s="38">
        <v>180</v>
      </c>
      <c r="G254" s="40">
        <v>298</v>
      </c>
      <c r="H254" s="40">
        <v>368</v>
      </c>
      <c r="I254" s="40">
        <v>351</v>
      </c>
      <c r="J254" s="40">
        <v>358</v>
      </c>
      <c r="L254" s="40">
        <f t="shared" si="5"/>
        <v>343</v>
      </c>
      <c r="M254" s="40">
        <f t="shared" si="5"/>
        <v>423</v>
      </c>
      <c r="N254" s="40">
        <f t="shared" si="5"/>
        <v>404</v>
      </c>
      <c r="O254" s="40">
        <f t="shared" si="4"/>
        <v>412</v>
      </c>
    </row>
    <row r="255" spans="1:15" x14ac:dyDescent="0.25">
      <c r="A255" s="38">
        <v>5503</v>
      </c>
      <c r="B255" s="38" t="s">
        <v>93</v>
      </c>
      <c r="C255" s="38" t="s">
        <v>383</v>
      </c>
      <c r="D255" s="38" t="s">
        <v>387</v>
      </c>
      <c r="E255" s="38">
        <v>580</v>
      </c>
      <c r="F255" s="38">
        <v>360</v>
      </c>
      <c r="G255" s="40">
        <v>353</v>
      </c>
      <c r="H255" s="40">
        <v>470</v>
      </c>
      <c r="I255" s="40">
        <v>445</v>
      </c>
      <c r="J255" s="40">
        <v>460</v>
      </c>
      <c r="L255" s="40">
        <f t="shared" si="5"/>
        <v>406</v>
      </c>
      <c r="M255" s="40">
        <f t="shared" si="5"/>
        <v>541</v>
      </c>
      <c r="N255" s="40">
        <f t="shared" si="5"/>
        <v>512</v>
      </c>
      <c r="O255" s="40">
        <f t="shared" si="4"/>
        <v>529</v>
      </c>
    </row>
    <row r="256" spans="1:15" x14ac:dyDescent="0.25">
      <c r="A256" s="38">
        <v>5504</v>
      </c>
      <c r="B256" s="38" t="s">
        <v>93</v>
      </c>
      <c r="C256" s="38" t="s">
        <v>383</v>
      </c>
      <c r="D256" s="38" t="s">
        <v>388</v>
      </c>
      <c r="E256" s="38">
        <v>780</v>
      </c>
      <c r="F256" s="38">
        <v>180</v>
      </c>
      <c r="G256" s="40">
        <v>309</v>
      </c>
      <c r="H256" s="40">
        <v>391</v>
      </c>
      <c r="I256" s="40">
        <v>372</v>
      </c>
      <c r="J256" s="40">
        <v>381</v>
      </c>
      <c r="L256" s="40">
        <f t="shared" si="5"/>
        <v>355</v>
      </c>
      <c r="M256" s="40">
        <f t="shared" si="5"/>
        <v>450</v>
      </c>
      <c r="N256" s="40">
        <f t="shared" si="5"/>
        <v>428</v>
      </c>
      <c r="O256" s="40">
        <f t="shared" si="4"/>
        <v>438</v>
      </c>
    </row>
    <row r="257" spans="1:15" x14ac:dyDescent="0.25">
      <c r="A257" s="38">
        <v>5505</v>
      </c>
      <c r="B257" s="38" t="s">
        <v>93</v>
      </c>
      <c r="C257" s="38" t="s">
        <v>383</v>
      </c>
      <c r="D257" s="38" t="s">
        <v>389</v>
      </c>
      <c r="E257" s="38">
        <v>780</v>
      </c>
      <c r="F257" s="38">
        <v>360</v>
      </c>
      <c r="G257" s="40">
        <v>356</v>
      </c>
      <c r="H257" s="40">
        <v>501</v>
      </c>
      <c r="I257" s="40">
        <v>471</v>
      </c>
      <c r="J257" s="40">
        <v>491</v>
      </c>
      <c r="L257" s="40">
        <f t="shared" si="5"/>
        <v>409</v>
      </c>
      <c r="M257" s="40">
        <f t="shared" si="5"/>
        <v>576</v>
      </c>
      <c r="N257" s="40">
        <f t="shared" si="5"/>
        <v>542</v>
      </c>
      <c r="O257" s="40">
        <f t="shared" si="5"/>
        <v>565</v>
      </c>
    </row>
    <row r="258" spans="1:15" x14ac:dyDescent="0.25">
      <c r="A258" s="38">
        <v>5506</v>
      </c>
      <c r="B258" s="38" t="s">
        <v>93</v>
      </c>
      <c r="C258" s="38" t="s">
        <v>383</v>
      </c>
      <c r="D258" s="38" t="s">
        <v>390</v>
      </c>
      <c r="E258" s="38">
        <v>980</v>
      </c>
      <c r="F258" s="38">
        <v>180</v>
      </c>
      <c r="G258" s="40">
        <v>348</v>
      </c>
      <c r="H258" s="40">
        <v>474</v>
      </c>
      <c r="I258" s="40">
        <v>417</v>
      </c>
      <c r="J258" s="40">
        <v>464</v>
      </c>
      <c r="L258" s="40">
        <f t="shared" si="5"/>
        <v>400</v>
      </c>
      <c r="M258" s="40">
        <f t="shared" si="5"/>
        <v>545</v>
      </c>
      <c r="N258" s="40">
        <f t="shared" si="5"/>
        <v>480</v>
      </c>
      <c r="O258" s="40">
        <f t="shared" si="5"/>
        <v>534</v>
      </c>
    </row>
    <row r="259" spans="1:15" x14ac:dyDescent="0.25">
      <c r="A259" s="38">
        <v>5507</v>
      </c>
      <c r="B259" s="38" t="s">
        <v>93</v>
      </c>
      <c r="C259" s="38" t="s">
        <v>383</v>
      </c>
      <c r="D259" s="38" t="s">
        <v>391</v>
      </c>
      <c r="E259" s="38">
        <v>980</v>
      </c>
      <c r="F259" s="38">
        <v>360</v>
      </c>
      <c r="G259" s="40">
        <v>429</v>
      </c>
      <c r="H259" s="40">
        <v>610</v>
      </c>
      <c r="I259" s="40">
        <v>553</v>
      </c>
      <c r="J259" s="40">
        <v>600</v>
      </c>
      <c r="L259" s="40">
        <f t="shared" si="5"/>
        <v>493</v>
      </c>
      <c r="M259" s="40">
        <f t="shared" si="5"/>
        <v>702</v>
      </c>
      <c r="N259" s="40">
        <f t="shared" si="5"/>
        <v>636</v>
      </c>
      <c r="O259" s="40">
        <f t="shared" si="5"/>
        <v>690</v>
      </c>
    </row>
    <row r="260" spans="1:15" x14ac:dyDescent="0.25">
      <c r="G260" s="40"/>
      <c r="H260" s="40"/>
      <c r="I260" s="40"/>
      <c r="J260" s="40"/>
      <c r="L260" s="40" t="str">
        <f t="shared" si="5"/>
        <v/>
      </c>
      <c r="M260" s="40" t="str">
        <f t="shared" si="5"/>
        <v/>
      </c>
      <c r="N260" s="40" t="str">
        <f t="shared" si="5"/>
        <v/>
      </c>
      <c r="O260" s="40" t="str">
        <f t="shared" si="5"/>
        <v/>
      </c>
    </row>
    <row r="261" spans="1:15" x14ac:dyDescent="0.25">
      <c r="G261" s="40"/>
      <c r="H261" s="40"/>
      <c r="I261" s="40"/>
      <c r="J261" s="40"/>
      <c r="L261" s="40" t="str">
        <f t="shared" si="5"/>
        <v/>
      </c>
      <c r="M261" s="40" t="str">
        <f t="shared" si="5"/>
        <v/>
      </c>
      <c r="N261" s="40" t="str">
        <f t="shared" si="5"/>
        <v/>
      </c>
      <c r="O261" s="40" t="str">
        <f t="shared" si="5"/>
        <v/>
      </c>
    </row>
    <row r="262" spans="1:15" x14ac:dyDescent="0.25">
      <c r="A262" s="43" t="s">
        <v>77</v>
      </c>
      <c r="B262" s="43" t="s">
        <v>78</v>
      </c>
      <c r="C262" s="43" t="s">
        <v>79</v>
      </c>
      <c r="D262" s="43" t="s">
        <v>80</v>
      </c>
      <c r="E262" s="43"/>
      <c r="F262" s="43"/>
      <c r="G262" s="44" t="s">
        <v>392</v>
      </c>
      <c r="H262" s="44"/>
      <c r="I262" s="44"/>
      <c r="J262" s="44"/>
      <c r="K262" s="43"/>
      <c r="L262" s="44" t="s">
        <v>393</v>
      </c>
      <c r="M262" s="44"/>
      <c r="N262" s="44"/>
      <c r="O262" s="44"/>
    </row>
    <row r="263" spans="1:15" x14ac:dyDescent="0.25">
      <c r="A263" s="38">
        <v>1000</v>
      </c>
      <c r="B263" s="38" t="s">
        <v>394</v>
      </c>
      <c r="D263" s="38" t="s">
        <v>395</v>
      </c>
      <c r="G263" s="40">
        <v>6</v>
      </c>
      <c r="H263" s="40"/>
      <c r="I263" s="40"/>
      <c r="J263" s="40"/>
      <c r="L263" s="40">
        <f t="shared" ref="L263:L309" si="6">IF(G263="","",ROUND(G263*1.15,0))</f>
        <v>7</v>
      </c>
      <c r="M263" s="40"/>
      <c r="N263" s="40"/>
      <c r="O263" s="40"/>
    </row>
    <row r="264" spans="1:15" x14ac:dyDescent="0.25">
      <c r="A264" s="38">
        <v>1001</v>
      </c>
      <c r="B264" s="38" t="s">
        <v>394</v>
      </c>
      <c r="D264" s="38" t="s">
        <v>395</v>
      </c>
      <c r="G264" s="40">
        <v>6</v>
      </c>
      <c r="H264" s="40"/>
      <c r="I264" s="40"/>
      <c r="J264" s="40"/>
      <c r="L264" s="40">
        <f t="shared" si="6"/>
        <v>7</v>
      </c>
      <c r="M264" s="40"/>
      <c r="N264" s="40"/>
      <c r="O264" s="40"/>
    </row>
    <row r="265" spans="1:15" x14ac:dyDescent="0.25">
      <c r="A265" s="38">
        <v>1002</v>
      </c>
      <c r="B265" s="38" t="s">
        <v>394</v>
      </c>
      <c r="D265" s="38" t="s">
        <v>395</v>
      </c>
      <c r="G265" s="40">
        <v>6</v>
      </c>
      <c r="H265" s="40"/>
      <c r="I265" s="40"/>
      <c r="J265" s="40"/>
      <c r="L265" s="40">
        <f t="shared" si="6"/>
        <v>7</v>
      </c>
      <c r="M265" s="40"/>
      <c r="N265" s="40"/>
      <c r="O265" s="40"/>
    </row>
    <row r="266" spans="1:15" x14ac:dyDescent="0.25">
      <c r="A266" s="38">
        <v>1100</v>
      </c>
      <c r="B266" s="38" t="s">
        <v>394</v>
      </c>
      <c r="D266" s="38" t="s">
        <v>396</v>
      </c>
      <c r="G266" s="40">
        <v>6</v>
      </c>
      <c r="H266" s="40"/>
      <c r="I266" s="40"/>
      <c r="J266" s="40"/>
      <c r="L266" s="40">
        <f t="shared" si="6"/>
        <v>7</v>
      </c>
      <c r="M266" s="40"/>
      <c r="N266" s="40"/>
      <c r="O266" s="40"/>
    </row>
    <row r="267" spans="1:15" x14ac:dyDescent="0.25">
      <c r="A267" s="38">
        <v>1101</v>
      </c>
      <c r="B267" s="38" t="s">
        <v>394</v>
      </c>
      <c r="D267" s="38" t="s">
        <v>396</v>
      </c>
      <c r="G267" s="40">
        <v>6</v>
      </c>
      <c r="H267" s="40"/>
      <c r="I267" s="40"/>
      <c r="J267" s="40"/>
      <c r="L267" s="40">
        <f t="shared" si="6"/>
        <v>7</v>
      </c>
      <c r="M267" s="40"/>
      <c r="N267" s="40"/>
      <c r="O267" s="40"/>
    </row>
    <row r="268" spans="1:15" x14ac:dyDescent="0.25">
      <c r="A268" s="38">
        <v>1102</v>
      </c>
      <c r="B268" s="38" t="s">
        <v>394</v>
      </c>
      <c r="D268" s="38" t="s">
        <v>396</v>
      </c>
      <c r="G268" s="40">
        <v>6</v>
      </c>
      <c r="H268" s="40"/>
      <c r="I268" s="40"/>
      <c r="J268" s="40"/>
      <c r="L268" s="40">
        <f t="shared" si="6"/>
        <v>7</v>
      </c>
      <c r="M268" s="40"/>
      <c r="N268" s="40"/>
      <c r="O268" s="40"/>
    </row>
    <row r="269" spans="1:15" x14ac:dyDescent="0.25">
      <c r="A269" s="38">
        <v>2000</v>
      </c>
      <c r="B269" s="38" t="s">
        <v>394</v>
      </c>
      <c r="C269" s="38" t="s">
        <v>397</v>
      </c>
      <c r="D269" s="38" t="s">
        <v>398</v>
      </c>
      <c r="G269" s="40">
        <v>80</v>
      </c>
      <c r="H269" s="40"/>
      <c r="I269" s="40"/>
      <c r="J269" s="40"/>
      <c r="L269" s="40">
        <f t="shared" si="6"/>
        <v>92</v>
      </c>
      <c r="M269" s="40"/>
      <c r="N269" s="40"/>
      <c r="O269" s="40"/>
    </row>
    <row r="270" spans="1:15" x14ac:dyDescent="0.25">
      <c r="A270" s="38">
        <v>2001</v>
      </c>
      <c r="B270" s="38" t="s">
        <v>394</v>
      </c>
      <c r="C270" s="38" t="s">
        <v>397</v>
      </c>
      <c r="D270" s="38" t="s">
        <v>398</v>
      </c>
      <c r="G270" s="40">
        <v>40</v>
      </c>
      <c r="H270" s="40"/>
      <c r="I270" s="40"/>
      <c r="J270" s="40"/>
      <c r="L270" s="40">
        <f t="shared" si="6"/>
        <v>46</v>
      </c>
      <c r="M270" s="40"/>
      <c r="N270" s="40"/>
      <c r="O270" s="40"/>
    </row>
    <row r="271" spans="1:15" x14ac:dyDescent="0.25">
      <c r="A271" s="38">
        <v>2005</v>
      </c>
      <c r="B271" s="38" t="s">
        <v>394</v>
      </c>
      <c r="C271" s="38" t="s">
        <v>397</v>
      </c>
      <c r="D271" s="38" t="s">
        <v>399</v>
      </c>
      <c r="G271" s="40">
        <v>20</v>
      </c>
      <c r="H271" s="40"/>
      <c r="I271" s="40"/>
      <c r="J271" s="40"/>
      <c r="L271" s="40">
        <f t="shared" si="6"/>
        <v>23</v>
      </c>
      <c r="M271" s="40"/>
      <c r="N271" s="40"/>
      <c r="O271" s="40"/>
    </row>
    <row r="272" spans="1:15" x14ac:dyDescent="0.25">
      <c r="A272" s="38">
        <v>2010</v>
      </c>
      <c r="B272" s="38" t="s">
        <v>394</v>
      </c>
      <c r="C272" s="38" t="s">
        <v>397</v>
      </c>
      <c r="D272" s="38" t="s">
        <v>400</v>
      </c>
      <c r="G272" s="40">
        <v>20</v>
      </c>
      <c r="H272" s="40"/>
      <c r="I272" s="40"/>
      <c r="J272" s="40"/>
      <c r="L272" s="40">
        <f t="shared" si="6"/>
        <v>23</v>
      </c>
      <c r="M272" s="40"/>
      <c r="N272" s="40"/>
      <c r="O272" s="40"/>
    </row>
    <row r="273" spans="1:15" x14ac:dyDescent="0.25">
      <c r="A273" s="38">
        <v>2015</v>
      </c>
      <c r="B273" s="38" t="s">
        <v>394</v>
      </c>
      <c r="C273" s="38" t="s">
        <v>397</v>
      </c>
      <c r="D273" s="38" t="s">
        <v>401</v>
      </c>
      <c r="G273" s="40">
        <v>20</v>
      </c>
      <c r="H273" s="40"/>
      <c r="I273" s="40"/>
      <c r="J273" s="40"/>
      <c r="L273" s="40">
        <f t="shared" si="6"/>
        <v>23</v>
      </c>
      <c r="M273" s="40"/>
      <c r="N273" s="40"/>
      <c r="O273" s="40"/>
    </row>
    <row r="274" spans="1:15" x14ac:dyDescent="0.25">
      <c r="A274" s="38">
        <v>2020</v>
      </c>
      <c r="B274" s="38" t="s">
        <v>394</v>
      </c>
      <c r="C274" s="38" t="s">
        <v>397</v>
      </c>
      <c r="D274" s="38" t="s">
        <v>402</v>
      </c>
      <c r="G274" s="40">
        <v>22</v>
      </c>
      <c r="H274" s="40"/>
      <c r="I274" s="40"/>
      <c r="J274" s="40"/>
      <c r="L274" s="40">
        <f t="shared" si="6"/>
        <v>25</v>
      </c>
      <c r="M274" s="40"/>
      <c r="N274" s="40"/>
      <c r="O274" s="40"/>
    </row>
    <row r="275" spans="1:15" x14ac:dyDescent="0.25">
      <c r="A275" s="38">
        <v>2021</v>
      </c>
      <c r="B275" s="38" t="s">
        <v>394</v>
      </c>
      <c r="C275" s="38" t="s">
        <v>397</v>
      </c>
      <c r="D275" s="38" t="s">
        <v>403</v>
      </c>
      <c r="G275" s="40">
        <v>22</v>
      </c>
      <c r="H275" s="40"/>
      <c r="I275" s="40"/>
      <c r="J275" s="40"/>
      <c r="L275" s="40">
        <f t="shared" si="6"/>
        <v>25</v>
      </c>
      <c r="M275" s="40"/>
      <c r="N275" s="40"/>
      <c r="O275" s="40"/>
    </row>
    <row r="276" spans="1:15" x14ac:dyDescent="0.25">
      <c r="A276" s="38">
        <v>2025</v>
      </c>
      <c r="B276" s="38" t="s">
        <v>394</v>
      </c>
      <c r="C276" s="38" t="s">
        <v>397</v>
      </c>
      <c r="D276" s="38" t="s">
        <v>404</v>
      </c>
      <c r="G276" s="40">
        <v>25</v>
      </c>
      <c r="H276" s="40"/>
      <c r="I276" s="40"/>
      <c r="J276" s="40"/>
      <c r="L276" s="40">
        <f t="shared" si="6"/>
        <v>29</v>
      </c>
      <c r="M276" s="40"/>
      <c r="N276" s="40"/>
      <c r="O276" s="40"/>
    </row>
    <row r="277" spans="1:15" x14ac:dyDescent="0.25">
      <c r="A277" s="38">
        <v>2030</v>
      </c>
      <c r="B277" s="38" t="s">
        <v>394</v>
      </c>
      <c r="C277" s="38" t="s">
        <v>397</v>
      </c>
      <c r="D277" s="38" t="s">
        <v>405</v>
      </c>
      <c r="G277" s="40">
        <v>25</v>
      </c>
      <c r="H277" s="40"/>
      <c r="I277" s="40"/>
      <c r="J277" s="40"/>
      <c r="L277" s="40">
        <f t="shared" si="6"/>
        <v>29</v>
      </c>
      <c r="M277" s="40"/>
      <c r="N277" s="40"/>
      <c r="O277" s="40"/>
    </row>
    <row r="278" spans="1:15" x14ac:dyDescent="0.25">
      <c r="A278" s="38">
        <v>2035</v>
      </c>
      <c r="B278" s="38" t="s">
        <v>394</v>
      </c>
      <c r="C278" s="38" t="s">
        <v>397</v>
      </c>
      <c r="D278" s="38" t="s">
        <v>406</v>
      </c>
      <c r="G278" s="40">
        <v>27</v>
      </c>
      <c r="H278" s="40"/>
      <c r="I278" s="40"/>
      <c r="J278" s="40"/>
      <c r="L278" s="40">
        <f t="shared" si="6"/>
        <v>31</v>
      </c>
      <c r="M278" s="40"/>
      <c r="N278" s="40"/>
      <c r="O278" s="40"/>
    </row>
    <row r="279" spans="1:15" x14ac:dyDescent="0.25">
      <c r="A279" s="38">
        <v>2040</v>
      </c>
      <c r="B279" s="38" t="s">
        <v>394</v>
      </c>
      <c r="C279" s="38" t="s">
        <v>397</v>
      </c>
      <c r="D279" s="38" t="s">
        <v>407</v>
      </c>
      <c r="G279" s="40">
        <v>29</v>
      </c>
      <c r="H279" s="40"/>
      <c r="I279" s="40"/>
      <c r="J279" s="40"/>
      <c r="L279" s="40">
        <f t="shared" si="6"/>
        <v>33</v>
      </c>
      <c r="M279" s="40"/>
      <c r="N279" s="40"/>
      <c r="O279" s="40"/>
    </row>
    <row r="280" spans="1:15" x14ac:dyDescent="0.25">
      <c r="A280" s="38">
        <v>2045</v>
      </c>
      <c r="B280" s="38" t="s">
        <v>394</v>
      </c>
      <c r="C280" s="38" t="s">
        <v>397</v>
      </c>
      <c r="D280" s="38" t="s">
        <v>408</v>
      </c>
      <c r="G280" s="40">
        <v>35</v>
      </c>
      <c r="H280" s="40"/>
      <c r="I280" s="40"/>
      <c r="J280" s="40"/>
      <c r="L280" s="40">
        <f t="shared" si="6"/>
        <v>40</v>
      </c>
      <c r="M280" s="40"/>
      <c r="N280" s="40"/>
      <c r="O280" s="40"/>
    </row>
    <row r="281" spans="1:15" x14ac:dyDescent="0.25">
      <c r="A281" s="38">
        <v>2050</v>
      </c>
      <c r="B281" s="38" t="s">
        <v>394</v>
      </c>
      <c r="C281" s="38" t="s">
        <v>397</v>
      </c>
      <c r="D281" s="38" t="s">
        <v>409</v>
      </c>
      <c r="G281" s="40">
        <v>39</v>
      </c>
      <c r="H281" s="40"/>
      <c r="I281" s="40"/>
      <c r="J281" s="40"/>
      <c r="L281" s="40">
        <f t="shared" si="6"/>
        <v>45</v>
      </c>
      <c r="M281" s="40"/>
      <c r="N281" s="40"/>
      <c r="O281" s="40"/>
    </row>
    <row r="282" spans="1:15" x14ac:dyDescent="0.25">
      <c r="A282" s="38">
        <v>2300</v>
      </c>
      <c r="B282" s="38" t="s">
        <v>394</v>
      </c>
      <c r="C282" s="38" t="s">
        <v>397</v>
      </c>
      <c r="D282" s="38" t="s">
        <v>410</v>
      </c>
      <c r="G282" s="40">
        <v>100</v>
      </c>
      <c r="H282" s="40"/>
      <c r="I282" s="40"/>
      <c r="J282" s="40"/>
      <c r="L282" s="40">
        <f t="shared" si="6"/>
        <v>115</v>
      </c>
      <c r="M282" s="40"/>
      <c r="N282" s="40"/>
      <c r="O282" s="40"/>
    </row>
    <row r="283" spans="1:15" x14ac:dyDescent="0.25">
      <c r="A283" s="38">
        <v>8140</v>
      </c>
      <c r="B283" s="38" t="s">
        <v>394</v>
      </c>
      <c r="C283" s="38" t="s">
        <v>411</v>
      </c>
      <c r="D283" s="38" t="s">
        <v>412</v>
      </c>
      <c r="G283" s="40">
        <v>180</v>
      </c>
      <c r="H283" s="40"/>
      <c r="I283" s="40"/>
      <c r="J283" s="40"/>
      <c r="L283" s="40">
        <f t="shared" si="6"/>
        <v>207</v>
      </c>
      <c r="M283" s="40"/>
      <c r="N283" s="40"/>
      <c r="O283" s="40"/>
    </row>
    <row r="284" spans="1:15" x14ac:dyDescent="0.25">
      <c r="A284" s="38">
        <v>8300</v>
      </c>
      <c r="B284" s="38" t="s">
        <v>394</v>
      </c>
      <c r="C284" s="38" t="s">
        <v>413</v>
      </c>
      <c r="D284" s="38" t="s">
        <v>414</v>
      </c>
      <c r="G284" s="40">
        <v>25</v>
      </c>
      <c r="H284" s="40"/>
      <c r="I284" s="40"/>
      <c r="J284" s="40"/>
      <c r="L284" s="40">
        <f t="shared" si="6"/>
        <v>29</v>
      </c>
      <c r="M284" s="40"/>
      <c r="N284" s="40"/>
      <c r="O284" s="40"/>
    </row>
    <row r="285" spans="1:15" x14ac:dyDescent="0.25">
      <c r="A285" s="38">
        <v>8301</v>
      </c>
      <c r="B285" s="38" t="s">
        <v>394</v>
      </c>
      <c r="C285" s="38" t="s">
        <v>413</v>
      </c>
      <c r="D285" s="38" t="s">
        <v>415</v>
      </c>
      <c r="G285" s="40">
        <v>29</v>
      </c>
      <c r="H285" s="40"/>
      <c r="I285" s="40"/>
      <c r="J285" s="40"/>
      <c r="L285" s="40">
        <f t="shared" si="6"/>
        <v>33</v>
      </c>
      <c r="M285" s="40"/>
      <c r="N285" s="40"/>
      <c r="O285" s="40"/>
    </row>
    <row r="286" spans="1:15" x14ac:dyDescent="0.25">
      <c r="A286" s="38">
        <v>8302</v>
      </c>
      <c r="B286" s="38" t="s">
        <v>394</v>
      </c>
      <c r="C286" s="38" t="s">
        <v>413</v>
      </c>
      <c r="D286" s="38" t="s">
        <v>416</v>
      </c>
      <c r="G286" s="40">
        <v>17</v>
      </c>
      <c r="H286" s="40"/>
      <c r="I286" s="40"/>
      <c r="J286" s="40"/>
      <c r="L286" s="40">
        <f t="shared" si="6"/>
        <v>20</v>
      </c>
      <c r="M286" s="40"/>
      <c r="N286" s="40"/>
      <c r="O286" s="40"/>
    </row>
    <row r="287" spans="1:15" x14ac:dyDescent="0.25">
      <c r="A287" s="38">
        <v>8303</v>
      </c>
      <c r="B287" s="38" t="s">
        <v>394</v>
      </c>
      <c r="C287" s="38" t="s">
        <v>413</v>
      </c>
      <c r="D287" s="38" t="s">
        <v>417</v>
      </c>
      <c r="G287" s="40">
        <v>10</v>
      </c>
      <c r="H287" s="40"/>
      <c r="I287" s="40"/>
      <c r="J287" s="40"/>
      <c r="L287" s="40">
        <f t="shared" si="6"/>
        <v>12</v>
      </c>
      <c r="M287" s="40"/>
      <c r="N287" s="40"/>
      <c r="O287" s="40"/>
    </row>
    <row r="288" spans="1:15" x14ac:dyDescent="0.25">
      <c r="A288" s="38">
        <v>8304</v>
      </c>
      <c r="B288" s="38" t="s">
        <v>394</v>
      </c>
      <c r="C288" s="38" t="s">
        <v>413</v>
      </c>
      <c r="D288" s="38" t="s">
        <v>418</v>
      </c>
      <c r="G288" s="40">
        <v>29</v>
      </c>
      <c r="H288" s="40"/>
      <c r="I288" s="40"/>
      <c r="J288" s="40"/>
      <c r="L288" s="40">
        <f t="shared" si="6"/>
        <v>33</v>
      </c>
      <c r="M288" s="40"/>
      <c r="N288" s="40"/>
      <c r="O288" s="40"/>
    </row>
    <row r="289" spans="1:15" x14ac:dyDescent="0.25">
      <c r="A289" s="38">
        <v>8305</v>
      </c>
      <c r="B289" s="38" t="s">
        <v>394</v>
      </c>
      <c r="C289" s="38" t="s">
        <v>413</v>
      </c>
      <c r="D289" s="38" t="s">
        <v>419</v>
      </c>
      <c r="G289" s="40">
        <v>41</v>
      </c>
      <c r="H289" s="40"/>
      <c r="I289" s="40"/>
      <c r="J289" s="40"/>
      <c r="L289" s="40">
        <f t="shared" si="6"/>
        <v>47</v>
      </c>
      <c r="M289" s="40"/>
      <c r="N289" s="40"/>
      <c r="O289" s="40"/>
    </row>
    <row r="290" spans="1:15" x14ac:dyDescent="0.25">
      <c r="A290" s="38">
        <v>8306</v>
      </c>
      <c r="B290" s="38" t="s">
        <v>394</v>
      </c>
      <c r="C290" s="38" t="s">
        <v>413</v>
      </c>
      <c r="D290" s="38" t="s">
        <v>420</v>
      </c>
      <c r="G290" s="40">
        <v>19</v>
      </c>
      <c r="H290" s="40"/>
      <c r="I290" s="40"/>
      <c r="J290" s="40"/>
      <c r="L290" s="40">
        <f t="shared" si="6"/>
        <v>22</v>
      </c>
      <c r="M290" s="40"/>
      <c r="N290" s="40"/>
      <c r="O290" s="40"/>
    </row>
    <row r="291" spans="1:15" x14ac:dyDescent="0.25">
      <c r="A291" s="38">
        <v>8307</v>
      </c>
      <c r="B291" s="38" t="s">
        <v>394</v>
      </c>
      <c r="C291" s="38" t="s">
        <v>413</v>
      </c>
      <c r="D291" s="38" t="s">
        <v>421</v>
      </c>
      <c r="G291" s="40">
        <v>12</v>
      </c>
      <c r="H291" s="40"/>
      <c r="I291" s="40"/>
      <c r="J291" s="40"/>
      <c r="L291" s="40">
        <f t="shared" si="6"/>
        <v>14</v>
      </c>
      <c r="M291" s="40"/>
      <c r="N291" s="40"/>
      <c r="O291" s="40"/>
    </row>
    <row r="292" spans="1:15" x14ac:dyDescent="0.25">
      <c r="A292" s="38">
        <v>8308</v>
      </c>
      <c r="B292" s="38" t="s">
        <v>394</v>
      </c>
      <c r="C292" s="38" t="s">
        <v>413</v>
      </c>
      <c r="D292" s="38" t="s">
        <v>422</v>
      </c>
      <c r="G292" s="40">
        <v>15</v>
      </c>
      <c r="H292" s="40"/>
      <c r="I292" s="40"/>
      <c r="J292" s="40"/>
      <c r="L292" s="40">
        <f t="shared" si="6"/>
        <v>17</v>
      </c>
      <c r="M292" s="40"/>
      <c r="N292" s="40"/>
      <c r="O292" s="40"/>
    </row>
    <row r="293" spans="1:15" x14ac:dyDescent="0.25">
      <c r="A293" s="38">
        <v>8309</v>
      </c>
      <c r="B293" s="38" t="s">
        <v>394</v>
      </c>
      <c r="C293" s="38" t="s">
        <v>413</v>
      </c>
      <c r="D293" s="38" t="s">
        <v>423</v>
      </c>
      <c r="G293" s="40">
        <v>18</v>
      </c>
      <c r="H293" s="40"/>
      <c r="I293" s="40"/>
      <c r="J293" s="40"/>
      <c r="L293" s="40">
        <f t="shared" si="6"/>
        <v>21</v>
      </c>
      <c r="M293" s="40"/>
      <c r="N293" s="40"/>
      <c r="O293" s="40"/>
    </row>
    <row r="294" spans="1:15" x14ac:dyDescent="0.25">
      <c r="A294" s="38">
        <v>8310</v>
      </c>
      <c r="B294" s="38" t="s">
        <v>394</v>
      </c>
      <c r="C294" s="38" t="s">
        <v>413</v>
      </c>
      <c r="D294" s="38" t="s">
        <v>424</v>
      </c>
      <c r="G294" s="40">
        <v>39</v>
      </c>
      <c r="H294" s="40"/>
      <c r="I294" s="40"/>
      <c r="J294" s="40"/>
      <c r="L294" s="40">
        <f t="shared" si="6"/>
        <v>45</v>
      </c>
      <c r="M294" s="40"/>
      <c r="N294" s="40"/>
      <c r="O294" s="40"/>
    </row>
    <row r="295" spans="1:15" x14ac:dyDescent="0.25">
      <c r="A295" s="38">
        <v>8311</v>
      </c>
      <c r="B295" s="38" t="s">
        <v>394</v>
      </c>
      <c r="C295" s="38" t="s">
        <v>413</v>
      </c>
      <c r="D295" s="38" t="s">
        <v>425</v>
      </c>
      <c r="G295" s="40">
        <v>44</v>
      </c>
      <c r="H295" s="40"/>
      <c r="I295" s="40"/>
      <c r="J295" s="40"/>
      <c r="L295" s="40">
        <f t="shared" si="6"/>
        <v>51</v>
      </c>
      <c r="M295" s="40"/>
      <c r="N295" s="40"/>
      <c r="O295" s="40"/>
    </row>
    <row r="296" spans="1:15" x14ac:dyDescent="0.25">
      <c r="A296" s="38">
        <v>8312</v>
      </c>
      <c r="B296" s="38" t="s">
        <v>394</v>
      </c>
      <c r="C296" s="38" t="s">
        <v>413</v>
      </c>
      <c r="D296" s="38" t="s">
        <v>426</v>
      </c>
      <c r="G296" s="40">
        <v>38</v>
      </c>
      <c r="H296" s="40"/>
      <c r="I296" s="40"/>
      <c r="J296" s="40"/>
      <c r="L296" s="40">
        <f t="shared" si="6"/>
        <v>44</v>
      </c>
      <c r="M296" s="40"/>
      <c r="N296" s="40"/>
      <c r="O296" s="40"/>
    </row>
    <row r="297" spans="1:15" x14ac:dyDescent="0.25">
      <c r="A297" s="38">
        <v>8313</v>
      </c>
      <c r="B297" s="38" t="s">
        <v>394</v>
      </c>
      <c r="C297" s="38" t="s">
        <v>413</v>
      </c>
      <c r="D297" s="38" t="s">
        <v>427</v>
      </c>
      <c r="G297" s="40">
        <v>19</v>
      </c>
      <c r="H297" s="40"/>
      <c r="I297" s="40"/>
      <c r="J297" s="40"/>
      <c r="L297" s="40">
        <f t="shared" si="6"/>
        <v>22</v>
      </c>
      <c r="M297" s="40"/>
      <c r="N297" s="40"/>
      <c r="O297" s="40"/>
    </row>
    <row r="298" spans="1:15" x14ac:dyDescent="0.25">
      <c r="A298" s="38">
        <v>8314</v>
      </c>
      <c r="B298" s="38" t="s">
        <v>394</v>
      </c>
      <c r="C298" s="38" t="s">
        <v>413</v>
      </c>
      <c r="D298" s="38" t="s">
        <v>428</v>
      </c>
      <c r="G298" s="40">
        <v>22</v>
      </c>
      <c r="H298" s="40"/>
      <c r="I298" s="40"/>
      <c r="J298" s="40"/>
      <c r="L298" s="40">
        <f t="shared" si="6"/>
        <v>25</v>
      </c>
      <c r="M298" s="40"/>
      <c r="N298" s="40"/>
      <c r="O298" s="40"/>
    </row>
    <row r="299" spans="1:15" x14ac:dyDescent="0.25">
      <c r="A299" s="38">
        <v>8315</v>
      </c>
      <c r="B299" s="38" t="s">
        <v>394</v>
      </c>
      <c r="C299" s="38" t="s">
        <v>413</v>
      </c>
      <c r="D299" s="38" t="s">
        <v>429</v>
      </c>
      <c r="G299" s="40">
        <v>29</v>
      </c>
      <c r="H299" s="40"/>
      <c r="I299" s="40"/>
      <c r="J299" s="40"/>
      <c r="L299" s="40">
        <f t="shared" si="6"/>
        <v>33</v>
      </c>
      <c r="M299" s="40"/>
      <c r="N299" s="40"/>
      <c r="O299" s="40"/>
    </row>
    <row r="300" spans="1:15" x14ac:dyDescent="0.25">
      <c r="A300" s="38">
        <v>8503</v>
      </c>
      <c r="B300" s="38" t="s">
        <v>394</v>
      </c>
      <c r="C300" s="38" t="s">
        <v>430</v>
      </c>
      <c r="D300" s="38" t="s">
        <v>430</v>
      </c>
      <c r="G300" s="40">
        <v>262</v>
      </c>
      <c r="H300" s="40"/>
      <c r="I300" s="40"/>
      <c r="J300" s="40"/>
      <c r="L300" s="40">
        <f t="shared" si="6"/>
        <v>301</v>
      </c>
      <c r="M300" s="40"/>
      <c r="N300" s="40"/>
      <c r="O300" s="40"/>
    </row>
    <row r="301" spans="1:15" x14ac:dyDescent="0.25">
      <c r="A301" s="38">
        <v>8504</v>
      </c>
      <c r="B301" s="38" t="s">
        <v>394</v>
      </c>
      <c r="C301" s="38" t="s">
        <v>430</v>
      </c>
      <c r="D301" s="38" t="s">
        <v>430</v>
      </c>
      <c r="G301" s="40">
        <v>263</v>
      </c>
      <c r="H301" s="40"/>
      <c r="I301" s="40"/>
      <c r="J301" s="40"/>
      <c r="L301" s="40">
        <f t="shared" si="6"/>
        <v>302</v>
      </c>
      <c r="M301" s="40"/>
      <c r="N301" s="40"/>
      <c r="O301" s="40"/>
    </row>
    <row r="302" spans="1:15" x14ac:dyDescent="0.25">
      <c r="A302" s="38">
        <v>8505</v>
      </c>
      <c r="B302" s="38" t="s">
        <v>394</v>
      </c>
      <c r="C302" s="38" t="s">
        <v>430</v>
      </c>
      <c r="D302" s="38" t="s">
        <v>430</v>
      </c>
      <c r="G302" s="40">
        <v>265</v>
      </c>
      <c r="H302" s="40"/>
      <c r="I302" s="40"/>
      <c r="J302" s="40"/>
      <c r="L302" s="40">
        <f t="shared" si="6"/>
        <v>305</v>
      </c>
      <c r="M302" s="40"/>
      <c r="N302" s="40"/>
      <c r="O302" s="40"/>
    </row>
    <row r="303" spans="1:15" x14ac:dyDescent="0.25">
      <c r="A303" s="38">
        <v>8506</v>
      </c>
      <c r="B303" s="38" t="s">
        <v>394</v>
      </c>
      <c r="C303" s="38" t="s">
        <v>430</v>
      </c>
      <c r="D303" s="38" t="s">
        <v>430</v>
      </c>
      <c r="G303" s="40">
        <v>319</v>
      </c>
      <c r="H303" s="40"/>
      <c r="I303" s="40"/>
      <c r="J303" s="40"/>
      <c r="L303" s="40">
        <f t="shared" si="6"/>
        <v>367</v>
      </c>
      <c r="M303" s="40"/>
      <c r="N303" s="40"/>
      <c r="O303" s="40"/>
    </row>
    <row r="304" spans="1:15" x14ac:dyDescent="0.25">
      <c r="A304" s="38">
        <v>8050</v>
      </c>
      <c r="B304" s="38" t="s">
        <v>394</v>
      </c>
      <c r="C304" s="38" t="s">
        <v>431</v>
      </c>
      <c r="D304" s="38" t="s">
        <v>432</v>
      </c>
      <c r="G304" s="40">
        <v>5</v>
      </c>
      <c r="H304" s="40"/>
      <c r="I304" s="40"/>
      <c r="J304" s="40"/>
      <c r="L304" s="40">
        <f t="shared" si="6"/>
        <v>6</v>
      </c>
      <c r="M304" s="40"/>
      <c r="N304" s="40"/>
      <c r="O304" s="40"/>
    </row>
    <row r="305" spans="1:15" x14ac:dyDescent="0.25">
      <c r="A305" s="38">
        <v>8051</v>
      </c>
      <c r="B305" s="38" t="s">
        <v>394</v>
      </c>
      <c r="C305" s="38" t="s">
        <v>431</v>
      </c>
      <c r="D305" s="38" t="s">
        <v>433</v>
      </c>
      <c r="G305" s="40">
        <v>5</v>
      </c>
      <c r="H305" s="40"/>
      <c r="I305" s="40"/>
      <c r="J305" s="40"/>
      <c r="L305" s="40">
        <f t="shared" si="6"/>
        <v>6</v>
      </c>
      <c r="M305" s="40"/>
      <c r="N305" s="40"/>
      <c r="O305" s="40"/>
    </row>
    <row r="306" spans="1:15" x14ac:dyDescent="0.25">
      <c r="A306" s="38">
        <v>8080</v>
      </c>
      <c r="B306" s="38" t="s">
        <v>394</v>
      </c>
      <c r="C306" s="38" t="s">
        <v>431</v>
      </c>
      <c r="D306" s="38" t="s">
        <v>434</v>
      </c>
      <c r="G306" s="40">
        <v>8</v>
      </c>
      <c r="H306" s="40"/>
      <c r="I306" s="40"/>
      <c r="J306" s="40"/>
      <c r="L306" s="40">
        <f t="shared" si="6"/>
        <v>9</v>
      </c>
      <c r="M306" s="40"/>
      <c r="N306" s="40"/>
      <c r="O306" s="40"/>
    </row>
    <row r="307" spans="1:15" x14ac:dyDescent="0.25">
      <c r="A307" s="38">
        <v>8081</v>
      </c>
      <c r="B307" s="38" t="s">
        <v>394</v>
      </c>
      <c r="C307" s="38" t="s">
        <v>431</v>
      </c>
      <c r="D307" s="38" t="s">
        <v>435</v>
      </c>
      <c r="G307" s="40">
        <v>6</v>
      </c>
      <c r="H307" s="40"/>
      <c r="I307" s="40"/>
      <c r="J307" s="40"/>
      <c r="L307" s="40">
        <f t="shared" si="6"/>
        <v>7</v>
      </c>
      <c r="M307" s="40"/>
      <c r="N307" s="40"/>
      <c r="O307" s="40"/>
    </row>
    <row r="308" spans="1:15" x14ac:dyDescent="0.25">
      <c r="A308" s="38">
        <v>8152</v>
      </c>
      <c r="B308" s="38" t="s">
        <v>394</v>
      </c>
      <c r="C308" s="38" t="s">
        <v>431</v>
      </c>
      <c r="D308" s="38" t="s">
        <v>436</v>
      </c>
      <c r="G308" s="40">
        <v>70</v>
      </c>
      <c r="H308" s="40"/>
      <c r="I308" s="40"/>
      <c r="J308" s="40"/>
      <c r="L308" s="40">
        <f t="shared" si="6"/>
        <v>81</v>
      </c>
      <c r="M308" s="40"/>
      <c r="N308" s="40"/>
      <c r="O308" s="40"/>
    </row>
    <row r="309" spans="1:15" x14ac:dyDescent="0.25">
      <c r="A309" s="38">
        <v>8411</v>
      </c>
      <c r="B309" s="38" t="s">
        <v>394</v>
      </c>
      <c r="C309" s="38" t="s">
        <v>437</v>
      </c>
      <c r="D309" s="38" t="s">
        <v>438</v>
      </c>
      <c r="G309" s="40">
        <v>500</v>
      </c>
      <c r="H309" s="40"/>
      <c r="I309" s="40"/>
      <c r="J309" s="40"/>
      <c r="L309" s="40">
        <f t="shared" si="6"/>
        <v>575</v>
      </c>
      <c r="M309" s="40"/>
      <c r="N309" s="40"/>
      <c r="O309" s="40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6083-C2FE-4937-B478-D7E179531D1C}">
  <sheetPr codeName="Tabelle10"/>
  <dimension ref="A1:J36"/>
  <sheetViews>
    <sheetView zoomScaleNormal="100" workbookViewId="0">
      <selection activeCell="J11" sqref="J11"/>
    </sheetView>
  </sheetViews>
  <sheetFormatPr baseColWidth="10" defaultRowHeight="15" x14ac:dyDescent="0.25"/>
  <cols>
    <col min="1" max="5" width="11.42578125" style="38"/>
    <col min="6" max="6" width="4.5703125" style="38" customWidth="1"/>
    <col min="7" max="16384" width="11.42578125" style="38"/>
  </cols>
  <sheetData>
    <row r="1" spans="1:10" ht="15.75" thickBot="1" x14ac:dyDescent="0.3">
      <c r="A1" s="45" t="s">
        <v>12</v>
      </c>
      <c r="B1" s="46"/>
      <c r="C1" s="46"/>
      <c r="D1" s="46"/>
      <c r="E1" s="47"/>
    </row>
    <row r="2" spans="1:10" ht="15.75" thickBot="1" x14ac:dyDescent="0.3">
      <c r="A2" s="48" t="s">
        <v>439</v>
      </c>
      <c r="B2" s="49">
        <v>420</v>
      </c>
      <c r="C2" s="49">
        <v>580</v>
      </c>
      <c r="D2" s="49">
        <v>780</v>
      </c>
      <c r="E2" s="50">
        <v>980</v>
      </c>
      <c r="I2" s="38" t="s">
        <v>456</v>
      </c>
    </row>
    <row r="3" spans="1:10" x14ac:dyDescent="0.25">
      <c r="A3" s="51">
        <v>360</v>
      </c>
      <c r="B3" s="38" t="s">
        <v>439</v>
      </c>
      <c r="C3" s="38" t="s">
        <v>439</v>
      </c>
      <c r="D3" s="38" t="s">
        <v>439</v>
      </c>
      <c r="E3" s="52" t="s">
        <v>439</v>
      </c>
      <c r="I3" s="38">
        <v>360</v>
      </c>
    </row>
    <row r="4" spans="1:10" ht="15.75" thickBot="1" x14ac:dyDescent="0.3">
      <c r="A4" s="53">
        <v>180</v>
      </c>
      <c r="B4" s="54" t="s">
        <v>439</v>
      </c>
      <c r="C4" s="54" t="s">
        <v>439</v>
      </c>
      <c r="D4" s="54" t="s">
        <v>439</v>
      </c>
      <c r="E4" s="55" t="s">
        <v>439</v>
      </c>
      <c r="I4" s="38">
        <v>580</v>
      </c>
    </row>
    <row r="5" spans="1:10" ht="15.75" thickBot="1" x14ac:dyDescent="0.3"/>
    <row r="6" spans="1:10" ht="15.75" thickBot="1" x14ac:dyDescent="0.3">
      <c r="A6" s="45" t="s">
        <v>14</v>
      </c>
      <c r="B6" s="46"/>
      <c r="C6" s="46"/>
      <c r="D6" s="46"/>
      <c r="E6" s="47"/>
      <c r="H6" s="38" t="s">
        <v>456</v>
      </c>
      <c r="I6" s="38" t="s">
        <v>457</v>
      </c>
      <c r="J6" s="38" t="s">
        <v>458</v>
      </c>
    </row>
    <row r="7" spans="1:10" ht="15.75" thickBot="1" x14ac:dyDescent="0.3">
      <c r="A7" s="48" t="s">
        <v>440</v>
      </c>
      <c r="B7" s="49">
        <v>420</v>
      </c>
      <c r="C7" s="49">
        <v>580</v>
      </c>
      <c r="D7" s="49">
        <v>780</v>
      </c>
      <c r="E7" s="50">
        <v>980</v>
      </c>
      <c r="H7" s="38">
        <v>360</v>
      </c>
      <c r="I7" s="38">
        <v>180</v>
      </c>
      <c r="J7" s="38">
        <v>420</v>
      </c>
    </row>
    <row r="8" spans="1:10" x14ac:dyDescent="0.25">
      <c r="A8" s="51">
        <v>360</v>
      </c>
      <c r="B8" s="38" t="s">
        <v>440</v>
      </c>
      <c r="C8" s="38" t="s">
        <v>440</v>
      </c>
      <c r="D8" s="38" t="s">
        <v>440</v>
      </c>
      <c r="E8" s="52" t="s">
        <v>440</v>
      </c>
      <c r="H8" s="38">
        <v>580</v>
      </c>
      <c r="I8" s="38">
        <v>360</v>
      </c>
      <c r="J8" s="38">
        <v>580</v>
      </c>
    </row>
    <row r="9" spans="1:10" ht="15.75" thickBot="1" x14ac:dyDescent="0.3">
      <c r="A9" s="53">
        <v>180</v>
      </c>
      <c r="B9" s="54" t="s">
        <v>440</v>
      </c>
      <c r="C9" s="54" t="s">
        <v>440</v>
      </c>
      <c r="D9" s="54" t="s">
        <v>440</v>
      </c>
      <c r="E9" s="55" t="s">
        <v>440</v>
      </c>
      <c r="I9" s="38">
        <v>720</v>
      </c>
      <c r="J9" s="38">
        <v>780</v>
      </c>
    </row>
    <row r="10" spans="1:10" x14ac:dyDescent="0.25">
      <c r="I10" s="38">
        <v>1080</v>
      </c>
      <c r="J10" s="38">
        <v>980</v>
      </c>
    </row>
    <row r="11" spans="1:10" ht="15.75" thickBot="1" x14ac:dyDescent="0.3">
      <c r="I11" s="38">
        <v>1440</v>
      </c>
    </row>
    <row r="12" spans="1:10" ht="15.75" thickBot="1" x14ac:dyDescent="0.3">
      <c r="A12" s="45" t="s">
        <v>441</v>
      </c>
      <c r="B12" s="46"/>
      <c r="C12" s="47"/>
      <c r="D12" s="41"/>
      <c r="E12" s="41"/>
      <c r="I12" s="38">
        <v>1880</v>
      </c>
    </row>
    <row r="13" spans="1:10" x14ac:dyDescent="0.25">
      <c r="A13" s="56" t="s">
        <v>442</v>
      </c>
      <c r="B13" s="57">
        <v>420</v>
      </c>
      <c r="C13" s="58">
        <v>580</v>
      </c>
      <c r="D13" s="41"/>
      <c r="E13" s="41"/>
    </row>
    <row r="14" spans="1:10" x14ac:dyDescent="0.25">
      <c r="A14" s="59">
        <v>360</v>
      </c>
      <c r="B14" s="60" t="s">
        <v>443</v>
      </c>
      <c r="C14" s="52" t="s">
        <v>443</v>
      </c>
    </row>
    <row r="15" spans="1:10" x14ac:dyDescent="0.25">
      <c r="A15" s="51">
        <v>720</v>
      </c>
      <c r="B15" s="60" t="s">
        <v>443</v>
      </c>
      <c r="C15" s="52" t="s">
        <v>443</v>
      </c>
    </row>
    <row r="16" spans="1:10" x14ac:dyDescent="0.25">
      <c r="A16" s="51">
        <v>1080</v>
      </c>
      <c r="B16" s="60" t="s">
        <v>443</v>
      </c>
      <c r="C16" s="52" t="s">
        <v>443</v>
      </c>
    </row>
    <row r="17" spans="1:5" x14ac:dyDescent="0.25">
      <c r="A17" s="51">
        <v>1440</v>
      </c>
      <c r="B17" s="60" t="s">
        <v>443</v>
      </c>
      <c r="C17" s="52" t="s">
        <v>443</v>
      </c>
    </row>
    <row r="18" spans="1:5" ht="15.75" thickBot="1" x14ac:dyDescent="0.3">
      <c r="A18" s="53">
        <v>1800</v>
      </c>
      <c r="B18" s="61" t="s">
        <v>443</v>
      </c>
      <c r="C18" s="55" t="s">
        <v>443</v>
      </c>
    </row>
    <row r="20" spans="1:5" ht="15.75" thickBot="1" x14ac:dyDescent="0.3"/>
    <row r="21" spans="1:5" ht="15.75" thickBot="1" x14ac:dyDescent="0.3">
      <c r="A21" s="45" t="s">
        <v>444</v>
      </c>
      <c r="B21" s="46"/>
      <c r="C21" s="47"/>
      <c r="D21" s="41"/>
      <c r="E21" s="41"/>
    </row>
    <row r="22" spans="1:5" x14ac:dyDescent="0.25">
      <c r="A22" s="56" t="s">
        <v>445</v>
      </c>
      <c r="B22" s="57">
        <v>420</v>
      </c>
      <c r="C22" s="58">
        <v>580</v>
      </c>
      <c r="D22" s="41"/>
      <c r="E22" s="41"/>
    </row>
    <row r="23" spans="1:5" x14ac:dyDescent="0.25">
      <c r="A23" s="59">
        <v>360</v>
      </c>
      <c r="B23" s="60" t="s">
        <v>443</v>
      </c>
      <c r="C23" s="52" t="s">
        <v>443</v>
      </c>
    </row>
    <row r="24" spans="1:5" x14ac:dyDescent="0.25">
      <c r="A24" s="51">
        <v>720</v>
      </c>
      <c r="B24" s="60" t="s">
        <v>443</v>
      </c>
      <c r="C24" s="52" t="s">
        <v>443</v>
      </c>
    </row>
    <row r="25" spans="1:5" x14ac:dyDescent="0.25">
      <c r="A25" s="51">
        <v>1080</v>
      </c>
      <c r="B25" s="60" t="s">
        <v>443</v>
      </c>
      <c r="C25" s="52" t="s">
        <v>443</v>
      </c>
    </row>
    <row r="26" spans="1:5" x14ac:dyDescent="0.25">
      <c r="A26" s="51">
        <v>1440</v>
      </c>
      <c r="B26" s="60" t="s">
        <v>443</v>
      </c>
      <c r="C26" s="52" t="s">
        <v>443</v>
      </c>
    </row>
    <row r="27" spans="1:5" ht="15.75" thickBot="1" x14ac:dyDescent="0.3">
      <c r="A27" s="53">
        <v>1800</v>
      </c>
      <c r="B27" s="61" t="s">
        <v>443</v>
      </c>
      <c r="C27" s="55" t="s">
        <v>443</v>
      </c>
    </row>
    <row r="28" spans="1:5" ht="15.75" thickBot="1" x14ac:dyDescent="0.3">
      <c r="A28" s="45" t="s">
        <v>330</v>
      </c>
      <c r="B28" s="46"/>
      <c r="C28" s="47"/>
    </row>
    <row r="29" spans="1:5" ht="15.75" thickBot="1" x14ac:dyDescent="0.3"/>
    <row r="30" spans="1:5" ht="15.75" thickBot="1" x14ac:dyDescent="0.3">
      <c r="A30" s="48" t="s">
        <v>446</v>
      </c>
      <c r="B30" s="49">
        <v>780</v>
      </c>
      <c r="C30" s="50">
        <v>980</v>
      </c>
    </row>
    <row r="31" spans="1:5" x14ac:dyDescent="0.25">
      <c r="A31" s="62">
        <v>360</v>
      </c>
      <c r="B31" s="38" t="s">
        <v>446</v>
      </c>
      <c r="C31" s="52" t="s">
        <v>446</v>
      </c>
    </row>
    <row r="32" spans="1:5" x14ac:dyDescent="0.25">
      <c r="A32" s="51">
        <v>660</v>
      </c>
      <c r="B32" s="38" t="s">
        <v>446</v>
      </c>
      <c r="C32" s="52" t="s">
        <v>446</v>
      </c>
    </row>
    <row r="33" spans="1:3" x14ac:dyDescent="0.25">
      <c r="A33" s="51">
        <v>720</v>
      </c>
      <c r="B33" s="38" t="s">
        <v>446</v>
      </c>
      <c r="C33" s="52" t="s">
        <v>446</v>
      </c>
    </row>
    <row r="34" spans="1:3" x14ac:dyDescent="0.25">
      <c r="A34" s="51">
        <v>1080</v>
      </c>
      <c r="B34" s="38" t="s">
        <v>446</v>
      </c>
      <c r="C34" s="52" t="s">
        <v>446</v>
      </c>
    </row>
    <row r="35" spans="1:3" x14ac:dyDescent="0.25">
      <c r="A35" s="51">
        <v>1440</v>
      </c>
      <c r="B35" s="38" t="s">
        <v>446</v>
      </c>
      <c r="C35" s="52" t="s">
        <v>446</v>
      </c>
    </row>
    <row r="36" spans="1:3" ht="15.75" thickBot="1" x14ac:dyDescent="0.3">
      <c r="A36" s="53">
        <v>1800</v>
      </c>
      <c r="B36" s="54" t="s">
        <v>446</v>
      </c>
      <c r="C36" s="55"/>
    </row>
  </sheetData>
  <mergeCells count="5">
    <mergeCell ref="A1:E1"/>
    <mergeCell ref="A6:E6"/>
    <mergeCell ref="A12:C12"/>
    <mergeCell ref="A21:C21"/>
    <mergeCell ref="A28:C28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9104-9AAC-44B7-A846-9D0C7AB21040}">
  <dimension ref="A1:I47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F43" sqref="F43"/>
    </sheetView>
  </sheetViews>
  <sheetFormatPr baseColWidth="10" defaultRowHeight="15" x14ac:dyDescent="0.25"/>
  <cols>
    <col min="1" max="1" width="16.140625" customWidth="1"/>
    <col min="2" max="2" width="10.42578125" customWidth="1"/>
    <col min="4" max="9" width="17.140625" customWidth="1"/>
  </cols>
  <sheetData>
    <row r="1" spans="1:9" x14ac:dyDescent="0.25">
      <c r="A1" s="147" t="s">
        <v>479</v>
      </c>
    </row>
    <row r="3" spans="1:9" x14ac:dyDescent="0.25">
      <c r="A3" s="65" t="s">
        <v>448</v>
      </c>
      <c r="B3" s="65"/>
      <c r="C3" s="65"/>
      <c r="D3" s="65"/>
      <c r="E3" s="65"/>
      <c r="F3" s="65"/>
      <c r="G3" s="65"/>
      <c r="H3" s="65"/>
      <c r="I3" s="65"/>
    </row>
    <row r="4" spans="1:9" ht="25.5" x14ac:dyDescent="0.25">
      <c r="A4" s="69" t="s">
        <v>2</v>
      </c>
      <c r="B4" s="70" t="s">
        <v>3</v>
      </c>
      <c r="C4" s="70" t="s">
        <v>4</v>
      </c>
      <c r="D4" s="70" t="s">
        <v>449</v>
      </c>
      <c r="E4" s="70" t="s">
        <v>450</v>
      </c>
      <c r="F4" s="70" t="s">
        <v>451</v>
      </c>
      <c r="G4" s="70" t="s">
        <v>452</v>
      </c>
      <c r="H4" s="70" t="s">
        <v>453</v>
      </c>
      <c r="I4" s="71" t="s">
        <v>454</v>
      </c>
    </row>
    <row r="5" spans="1:9" x14ac:dyDescent="0.25">
      <c r="A5" s="86" t="s">
        <v>11</v>
      </c>
      <c r="B5" s="84">
        <v>360</v>
      </c>
      <c r="C5" s="76">
        <v>420</v>
      </c>
      <c r="D5" s="77">
        <f>(2*Artmodul_Preislogik!P3+2*Artmodul_Preislogik!P18+Artmodul_Preislogik!P67+8*Artmodul_Preislogik!P263+4*Artmodul_Preislogik!P273+4*Artmodul_Preislogik!P271+4*Artmodul_Preislogik!P272)*1.19</f>
        <v>426.02</v>
      </c>
      <c r="E5" s="77">
        <f>(2*Artmodul_Preislogik!P3+2*Artmodul_Preislogik!P19+Artmodul_Preislogik!P72+8*Artmodul_Preislogik!P263+4*Artmodul_Preislogik!P273+4*Artmodul_Preislogik!P272+4*Artmodul_Preislogik!P272)*1.19</f>
        <v>426.02</v>
      </c>
      <c r="F5" s="77">
        <f>(2*Artmodul_Preislogik!P3+2*Artmodul_Preislogik!P20+Artmodul_Preislogik!P77+8*Artmodul_Preislogik!P263+4*Artmodul_Preislogik!P273+4*Artmodul_Preislogik!P276+4*Artmodul_Preislogik!P272)*1.19</f>
        <v>498.60999999999996</v>
      </c>
      <c r="G5" s="77">
        <f>(2*Artmodul_Preislogik!P3+2*Artmodul_Preislogik!P21+Artmodul_Preislogik!P82+8*Artmodul_Preislogik!P263+4*Artmodul_Preislogik!P273+4*Artmodul_Preislogik!P279+4*Artmodul_Preislogik!P272)*1.19</f>
        <v>580.72</v>
      </c>
      <c r="H5" s="77">
        <f>(2*Artmodul_Preislogik!P3+2*Artmodul_Preislogik!P22+Artmodul_Preislogik!P87+8*Artmodul_Preislogik!P263+4*Artmodul_Preislogik!P273+4*Artmodul_Preislogik!P280+4*Artmodul_Preislogik!P272)*1.19</f>
        <v>666.4</v>
      </c>
      <c r="I5" s="78">
        <f>(2*Artmodul_Preislogik!P3+2*Artmodul_Preislogik!P23+Artmodul_Preislogik!P92+8*Artmodul_Preislogik!P263+4*Artmodul_Preislogik!P273+4*Artmodul_Preislogik!P281+4*Artmodul_Preislogik!P272)*1.19</f>
        <v>750.89</v>
      </c>
    </row>
    <row r="6" spans="1:9" x14ac:dyDescent="0.25">
      <c r="A6" s="87"/>
      <c r="B6" s="84"/>
      <c r="C6" s="76">
        <v>580</v>
      </c>
      <c r="D6" s="80">
        <f>(2*Artmodul_Preislogik!P4+2*Artmodul_Preislogik!P18+Artmodul_Preislogik!P68+8*Artmodul_Preislogik!P263+4*Artmodul_Preislogik!P274+4*Artmodul_Preislogik!P271+4*Artmodul_Preislogik!P272)*1.19</f>
        <v>456.96</v>
      </c>
      <c r="E6" s="80">
        <f>(2*Artmodul_Preislogik!P4+2*Artmodul_Preislogik!P19+Artmodul_Preislogik!P73+8*Artmodul_Preislogik!P263+4*Artmodul_Preislogik!P274+4*Artmodul_Preislogik!P272+4*Artmodul_Preislogik!P272)*1.19</f>
        <v>456.96</v>
      </c>
      <c r="F6" s="80">
        <f>(2*Artmodul_Preislogik!P4+2*Artmodul_Preislogik!P20+Artmodul_Preislogik!P78+8*Artmodul_Preislogik!P263+4*Artmodul_Preislogik!P274+4*Artmodul_Preislogik!P276+4*Artmodul_Preislogik!P272)*1.19</f>
        <v>542.64</v>
      </c>
      <c r="G6" s="80">
        <f>(2*Artmodul_Preislogik!P4+2*Artmodul_Preislogik!P21+Artmodul_Preislogik!P83+8*Artmodul_Preislogik!P263+4*Artmodul_Preislogik!P274+4*Artmodul_Preislogik!P279+4*Artmodul_Preislogik!P272)*1.19</f>
        <v>631.89</v>
      </c>
      <c r="H6" s="80">
        <f>(2*Artmodul_Preislogik!P4+2*Artmodul_Preislogik!P22+Artmodul_Preislogik!P88+8*Artmodul_Preislogik!P263+4*Artmodul_Preislogik!P274+4*Artmodul_Preislogik!P280+4*Artmodul_Preislogik!P272)*1.19</f>
        <v>729.46999999999991</v>
      </c>
      <c r="I6" s="81">
        <f>(2*Artmodul_Preislogik!P4+2*Artmodul_Preislogik!P23+Artmodul_Preislogik!P93+8*Artmodul_Preislogik!P263+4*Artmodul_Preislogik!P274+4*Artmodul_Preislogik!P281+4*Artmodul_Preislogik!P272)*1.19</f>
        <v>823.48</v>
      </c>
    </row>
    <row r="7" spans="1:9" x14ac:dyDescent="0.25">
      <c r="A7" s="87"/>
      <c r="B7" s="84"/>
      <c r="C7" s="76">
        <v>780</v>
      </c>
      <c r="D7" s="77">
        <f>(2*Artmodul_Preislogik!P5+2*Artmodul_Preislogik!P18+Artmodul_Preislogik!P69+8*Artmodul_Preislogik!P263+4*Artmodul_Preislogik!P277+4*Artmodul_Preislogik!P271+4*Artmodul_Preislogik!P272)*1.19</f>
        <v>502.17999999999995</v>
      </c>
      <c r="E7" s="77">
        <f>(2*Artmodul_Preislogik!P5+2*Artmodul_Preislogik!P19+Artmodul_Preislogik!P74+8*Artmodul_Preislogik!P263+4*Artmodul_Preislogik!P277+4*Artmodul_Preislogik!P272+4*Artmodul_Preislogik!P272)*1.19</f>
        <v>502.17999999999995</v>
      </c>
      <c r="F7" s="77">
        <f>(2*Artmodul_Preislogik!P5+2*Artmodul_Preislogik!P20+Artmodul_Preislogik!P79+8*Artmodul_Preislogik!P263+4*Artmodul_Preislogik!P277+4*Artmodul_Preislogik!P276+4*Artmodul_Preislogik!P272)*1.19</f>
        <v>597.38</v>
      </c>
      <c r="G7" s="77">
        <f>(2*Artmodul_Preislogik!P5+2*Artmodul_Preislogik!P21+Artmodul_Preislogik!P84+8*Artmodul_Preislogik!P263+4*Artmodul_Preislogik!P277+4*Artmodul_Preislogik!P279+4*Artmodul_Preislogik!P272)*1.19</f>
        <v>703.29</v>
      </c>
      <c r="H7" s="77">
        <f>(2*Artmodul_Preislogik!P5+2*Artmodul_Preislogik!P22+Artmodul_Preislogik!P89+8*Artmodul_Preislogik!P263+4*Artmodul_Preislogik!P277+4*Artmodul_Preislogik!P280+4*Artmodul_Preislogik!P272)*1.19</f>
        <v>809.19999999999993</v>
      </c>
      <c r="I7" s="78">
        <f>(2*Artmodul_Preislogik!P5+2*Artmodul_Preislogik!P23+Artmodul_Preislogik!P94+8*Artmodul_Preislogik!P263+4*Artmodul_Preislogik!P277+4*Artmodul_Preislogik!P281+4*Artmodul_Preislogik!P272)*1.19</f>
        <v>916.3</v>
      </c>
    </row>
    <row r="8" spans="1:9" x14ac:dyDescent="0.25">
      <c r="A8" s="88"/>
      <c r="B8" s="85"/>
      <c r="C8" s="79">
        <v>980</v>
      </c>
      <c r="D8" s="82">
        <f>(2*Artmodul_Preislogik!P6+2*Artmodul_Preislogik!P18+Artmodul_Preislogik!P70+8*Artmodul_Preislogik!P263+4*Artmodul_Preislogik!P278+4*Artmodul_Preislogik!P271+4*Artmodul_Preislogik!P272)*1.19</f>
        <v>546.20999999999992</v>
      </c>
      <c r="E8" s="82">
        <f>(2*Artmodul_Preislogik!P6+2*Artmodul_Preislogik!P19+Artmodul_Preislogik!P75+8*Artmodul_Preislogik!P263+4*Artmodul_Preislogik!P278+4*Artmodul_Preislogik!P272+4*Artmodul_Preislogik!P272)*1.19</f>
        <v>546.20999999999992</v>
      </c>
      <c r="F8" s="82">
        <f>(2*Artmodul_Preislogik!P6+2*Artmodul_Preislogik!P20+Artmodul_Preislogik!P80+8*Artmodul_Preislogik!P263+4*Artmodul_Preislogik!P278+4*Artmodul_Preislogik!P276+4*Artmodul_Preislogik!P272)*1.19</f>
        <v>653.30999999999995</v>
      </c>
      <c r="G8" s="82">
        <f>(2*Artmodul_Preislogik!P6+2*Artmodul_Preislogik!P21+Artmodul_Preislogik!P85+8*Artmodul_Preislogik!P263+4*Artmodul_Preislogik!P278+4*Artmodul_Preislogik!P279+4*Artmodul_Preislogik!P272)*1.19</f>
        <v>768.74</v>
      </c>
      <c r="H8" s="82">
        <f>(2*Artmodul_Preislogik!P6+2*Artmodul_Preislogik!P22+Artmodul_Preislogik!P90+8*Artmodul_Preislogik!P263+4*Artmodul_Preislogik!P278+4*Artmodul_Preislogik!P280+4*Artmodul_Preislogik!P272)*1.19</f>
        <v>887.74</v>
      </c>
      <c r="I8" s="83">
        <f>(2*Artmodul_Preislogik!P6+2*Artmodul_Preislogik!P23+Artmodul_Preislogik!P95+8*Artmodul_Preislogik!P263+4*Artmodul_Preislogik!P278+4*Artmodul_Preislogik!P281+4*Artmodul_Preislogik!P272)*1.19</f>
        <v>1005.55</v>
      </c>
    </row>
    <row r="9" spans="1:9" x14ac:dyDescent="0.25">
      <c r="A9" s="89"/>
      <c r="B9" s="89"/>
      <c r="C9" s="89"/>
      <c r="D9" s="89"/>
      <c r="E9" s="89"/>
      <c r="F9" s="89"/>
      <c r="G9" s="89"/>
      <c r="H9" s="89"/>
      <c r="I9" s="89"/>
    </row>
    <row r="10" spans="1:9" x14ac:dyDescent="0.25">
      <c r="A10" s="95" t="s">
        <v>12</v>
      </c>
      <c r="B10" s="93">
        <v>360</v>
      </c>
      <c r="C10" s="92">
        <v>420</v>
      </c>
      <c r="D10" s="77">
        <f>(2*Artmodul_Preislogik!P3+2*Artmodul_Preislogik!P18+Artmodul_Preislogik!P67+8*Artmodul_Preislogik!P263+4*Artmodul_Preislogik!P273+4*Artmodul_Preislogik!P271+4*Artmodul_Preislogik!P272+Artmodul_Preislogik!P191)*1.19</f>
        <v>603.32999999999993</v>
      </c>
      <c r="E10" s="77">
        <f>(2*Artmodul_Preislogik!P3+2*Artmodul_Preislogik!P19+Artmodul_Preislogik!P72+8*Artmodul_Preislogik!P263+4*Artmodul_Preislogik!P273+4*Artmodul_Preislogik!P272+4*Artmodul_Preislogik!P272+Artmodul_Preislogik!P192)*1.19</f>
        <v>603.32999999999993</v>
      </c>
      <c r="F10" s="77"/>
      <c r="G10" s="77"/>
      <c r="H10" s="77"/>
      <c r="I10" s="78"/>
    </row>
    <row r="11" spans="1:9" x14ac:dyDescent="0.25">
      <c r="A11" s="96"/>
      <c r="B11" s="93"/>
      <c r="C11" s="92">
        <v>580</v>
      </c>
      <c r="D11" s="80">
        <f>(2*Artmodul_Preislogik!P4+2*Artmodul_Preislogik!P18+Artmodul_Preislogik!P68+8*Artmodul_Preislogik!P263+4*Artmodul_Preislogik!P274+4*Artmodul_Preislogik!P271+4*Artmodul_Preislogik!P272+Artmodul_Preislogik!P193)*1.19</f>
        <v>649.74</v>
      </c>
      <c r="E11" s="80">
        <f>(2*Artmodul_Preislogik!P4+2*Artmodul_Preislogik!P19+Artmodul_Preislogik!P73+8*Artmodul_Preislogik!P263+4*Artmodul_Preislogik!P274+4*Artmodul_Preislogik!P272+4*Artmodul_Preislogik!P272+Artmodul_Preislogik!P194)*1.19</f>
        <v>649.74</v>
      </c>
      <c r="F11" s="80"/>
      <c r="G11" s="80"/>
      <c r="H11" s="80"/>
      <c r="I11" s="81"/>
    </row>
    <row r="12" spans="1:9" x14ac:dyDescent="0.25">
      <c r="A12" s="96"/>
      <c r="B12" s="93"/>
      <c r="C12" s="92">
        <v>780</v>
      </c>
      <c r="D12" s="77">
        <f>(2*Artmodul_Preislogik!P5+2*Artmodul_Preislogik!P18+Artmodul_Preislogik!P69+8*Artmodul_Preislogik!P263+4*Artmodul_Preislogik!P277+4*Artmodul_Preislogik!P271+4*Artmodul_Preislogik!P272+Artmodul_Preislogik!P195)*1.19</f>
        <v>709.24</v>
      </c>
      <c r="E12" s="77">
        <f>(2*Artmodul_Preislogik!P5+2*Artmodul_Preislogik!P19+Artmodul_Preislogik!P74+8*Artmodul_Preislogik!P263+4*Artmodul_Preislogik!P277+4*Artmodul_Preislogik!P272+4*Artmodul_Preislogik!P272+Artmodul_Preislogik!P196)*1.19</f>
        <v>709.24</v>
      </c>
      <c r="F12" s="77"/>
      <c r="G12" s="77"/>
      <c r="H12" s="77"/>
      <c r="I12" s="78"/>
    </row>
    <row r="13" spans="1:9" x14ac:dyDescent="0.25">
      <c r="A13" s="97"/>
      <c r="B13" s="94"/>
      <c r="C13" s="91">
        <v>980</v>
      </c>
      <c r="D13" s="82">
        <f>(2*Artmodul_Preislogik!P6+2*Artmodul_Preislogik!P18+Artmodul_Preislogik!P70+8*Artmodul_Preislogik!P263+4*Artmodul_Preislogik!P278+4*Artmodul_Preislogik!P271+4*Artmodul_Preislogik!P272+Artmodul_Preislogik!P197)*1.19</f>
        <v>808.01</v>
      </c>
      <c r="E13" s="82">
        <f>(2*Artmodul_Preislogik!P6+2*Artmodul_Preislogik!P19+Artmodul_Preislogik!P75+8*Artmodul_Preislogik!P263+4*Artmodul_Preislogik!P278+4*Artmodul_Preislogik!P272+4*Artmodul_Preislogik!P272+Artmodul_Preislogik!P198)*1.19</f>
        <v>808.01</v>
      </c>
      <c r="F13" s="82"/>
      <c r="G13" s="82"/>
      <c r="H13" s="82"/>
      <c r="I13" s="83"/>
    </row>
    <row r="14" spans="1:9" x14ac:dyDescent="0.25">
      <c r="A14" s="89"/>
      <c r="B14" s="89"/>
      <c r="C14" s="89"/>
      <c r="D14" s="89"/>
      <c r="E14" s="89"/>
      <c r="F14" s="89"/>
      <c r="G14" s="89"/>
      <c r="H14" s="89"/>
      <c r="I14" s="89"/>
    </row>
    <row r="15" spans="1:9" x14ac:dyDescent="0.25">
      <c r="A15" s="102" t="s">
        <v>317</v>
      </c>
      <c r="B15" s="100">
        <v>360</v>
      </c>
      <c r="C15" s="99">
        <v>420</v>
      </c>
      <c r="D15" s="77"/>
      <c r="E15" s="77">
        <f>(2*Artmodul_Preislogik!P3+2*Artmodul_Preislogik!P19+Artmodul_Preislogik!P72+8*Artmodul_Preislogik!P263+4*Artmodul_Preislogik!P273+4*Artmodul_Preislogik!P272+4*Artmodul_Preislogik!P272+Artmodul_Preislogik!P202)*1.19</f>
        <v>568.81999999999994</v>
      </c>
      <c r="F15" s="77">
        <f>(2*Artmodul_Preislogik!P3+2*Artmodul_Preislogik!P20+Artmodul_Preislogik!P77+8*Artmodul_Preislogik!P263+4*Artmodul_Preislogik!P273+4*Artmodul_Preislogik!P276+4*Artmodul_Preislogik!P272+Artmodul_Preislogik!P203)*1.19</f>
        <v>665.20999999999992</v>
      </c>
      <c r="G15" s="77">
        <f>(2*Artmodul_Preislogik!P3+2*Artmodul_Preislogik!P21+Artmodul_Preislogik!P82+8*Artmodul_Preislogik!P263+4*Artmodul_Preislogik!P273+4*Artmodul_Preislogik!P279+4*Artmodul_Preislogik!P272+Artmodul_Preislogik!P204)*1.19</f>
        <v>827.05</v>
      </c>
      <c r="H15" s="77">
        <f>(2*Artmodul_Preislogik!P3+2*Artmodul_Preislogik!P22+Artmodul_Preislogik!P87+8*Artmodul_Preislogik!P263+4*Artmodul_Preislogik!P273+4*Artmodul_Preislogik!P280+4*Artmodul_Preislogik!P272+Artmodul_Preislogik!P205)*1.19</f>
        <v>935.33999999999992</v>
      </c>
      <c r="I15" s="78">
        <f>(2*Artmodul_Preislogik!P3+2*Artmodul_Preislogik!P23+Artmodul_Preislogik!P92+8*Artmodul_Preislogik!P263+4*Artmodul_Preislogik!P273+4*Artmodul_Preislogik!P281+4*Artmodul_Preislogik!P272+Artmodul_Preislogik!P206)*1.19</f>
        <v>1106.7</v>
      </c>
    </row>
    <row r="16" spans="1:9" x14ac:dyDescent="0.25">
      <c r="A16" s="103"/>
      <c r="B16" s="100"/>
      <c r="C16" s="99">
        <v>580</v>
      </c>
      <c r="D16" s="80"/>
      <c r="E16" s="80">
        <f>(2*Artmodul_Preislogik!P4+2*Artmodul_Preislogik!P19+Artmodul_Preislogik!P73+8*Artmodul_Preislogik!P263+4*Artmodul_Preislogik!P274+4*Artmodul_Preislogik!P272+4*Artmodul_Preislogik!P272+Artmodul_Preislogik!P207)*1.19</f>
        <v>617.61</v>
      </c>
      <c r="F16" s="80">
        <f>(2*Artmodul_Preislogik!P4+2*Artmodul_Preislogik!P20+Artmodul_Preislogik!P78+8*Artmodul_Preislogik!P263+4*Artmodul_Preislogik!P274+4*Artmodul_Preislogik!P276+4*Artmodul_Preislogik!P272+Artmodul_Preislogik!P208)*1.19</f>
        <v>762.79</v>
      </c>
      <c r="G16" s="80">
        <f>(2*Artmodul_Preislogik!P4+2*Artmodul_Preislogik!P21+Artmodul_Preislogik!P83+8*Artmodul_Preislogik!P263+4*Artmodul_Preislogik!P274+4*Artmodul_Preislogik!P279+4*Artmodul_Preislogik!P272+Artmodul_Preislogik!P209)*1.19</f>
        <v>923.43999999999994</v>
      </c>
      <c r="H16" s="80">
        <f>(2*Artmodul_Preislogik!P4+2*Artmodul_Preislogik!P22+Artmodul_Preislogik!P88+8*Artmodul_Preislogik!P263+4*Artmodul_Preislogik!P274+4*Artmodul_Preislogik!P280+4*Artmodul_Preislogik!P272+Artmodul_Preislogik!P210)*1.19</f>
        <v>1082.8999999999999</v>
      </c>
      <c r="I16" s="81">
        <f>(2*Artmodul_Preislogik!P4+2*Artmodul_Preislogik!P23+Artmodul_Preislogik!P93+8*Artmodul_Preislogik!P263+4*Artmodul_Preislogik!P274+4*Artmodul_Preislogik!P281+4*Artmodul_Preislogik!P272+Artmodul_Preislogik!P211)*1.19</f>
        <v>1260.21</v>
      </c>
    </row>
    <row r="17" spans="1:9" x14ac:dyDescent="0.25">
      <c r="A17" s="103"/>
      <c r="B17" s="100"/>
      <c r="C17" s="99">
        <v>780</v>
      </c>
      <c r="D17" s="77"/>
      <c r="E17" s="77">
        <f>(2*Artmodul_Preislogik!P5+2*Artmodul_Preislogik!P19+Artmodul_Preislogik!P74+8*Artmodul_Preislogik!P263+4*Artmodul_Preislogik!P277+4*Artmodul_Preislogik!P272+4*Artmodul_Preislogik!P272+Artmodul_Preislogik!P214)*1.19</f>
        <v>768.74</v>
      </c>
      <c r="F17" s="77">
        <f>(2*Artmodul_Preislogik!P5+2*Artmodul_Preislogik!P20+Artmodul_Preislogik!P79+8*Artmodul_Preislogik!P263+4*Artmodul_Preislogik!P277+4*Artmodul_Preislogik!P276+4*Artmodul_Preislogik!P272+Artmodul_Preislogik!P216)*1.19</f>
        <v>925.81999999999994</v>
      </c>
      <c r="G17" s="77">
        <f>(2*Artmodul_Preislogik!P5+2*Artmodul_Preislogik!P21+Artmodul_Preislogik!P84+8*Artmodul_Preislogik!P263+4*Artmodul_Preislogik!P277+4*Artmodul_Preislogik!P279+4*Artmodul_Preislogik!P272+Artmodul_Preislogik!P217)*1.19</f>
        <v>1188.81</v>
      </c>
      <c r="H17" s="77">
        <f>(2*Artmodul_Preislogik!P5+2*Artmodul_Preislogik!P22+Artmodul_Preislogik!P89+8*Artmodul_Preislogik!P263+4*Artmodul_Preislogik!P277+4*Artmodul_Preislogik!P280+4*Artmodul_Preislogik!P272+Artmodul_Preislogik!P218)*1.19</f>
        <v>1376.83</v>
      </c>
      <c r="I17" s="78">
        <f>(2*Artmodul_Preislogik!P5+2*Artmodul_Preislogik!P23+Artmodul_Preislogik!P94+8*Artmodul_Preislogik!P263+4*Artmodul_Preislogik!P277+4*Artmodul_Preislogik!P281+4*Artmodul_Preislogik!P272+Artmodul_Preislogik!P219)*1.19</f>
        <v>1616.02</v>
      </c>
    </row>
    <row r="18" spans="1:9" x14ac:dyDescent="0.25">
      <c r="A18" s="104"/>
      <c r="B18" s="101"/>
      <c r="C18" s="98">
        <v>980</v>
      </c>
      <c r="D18" s="82"/>
      <c r="E18" s="82">
        <f>(2*Artmodul_Preislogik!P6+2*Artmodul_Preislogik!P19+Artmodul_Preislogik!P75+8*Artmodul_Preislogik!P263+4*Artmodul_Preislogik!P278+4*Artmodul_Preislogik!P272+4*Artmodul_Preislogik!P272+Artmodul_Preislogik!P220)*1.19</f>
        <v>828.24</v>
      </c>
      <c r="F18" s="82">
        <f>(2*Artmodul_Preislogik!P6+2*Artmodul_Preislogik!P20+Artmodul_Preislogik!P80+8*Artmodul_Preislogik!P263+4*Artmodul_Preislogik!P278+4*Artmodul_Preislogik!P276+4*Artmodul_Preislogik!P272+Artmodul_Preislogik!P221)*1.19</f>
        <v>1046.01</v>
      </c>
      <c r="G18" s="82">
        <f>(2*Artmodul_Preislogik!P6+2*Artmodul_Preislogik!P21+Artmodul_Preislogik!P85+8*Artmodul_Preislogik!P263+4*Artmodul_Preislogik!P278+4*Artmodul_Preislogik!P279+4*Artmodul_Preislogik!P272+Artmodul_Preislogik!P222)*1.19</f>
        <v>1316.1399999999999</v>
      </c>
      <c r="H18" s="82">
        <f>(2*Artmodul_Preislogik!P6+2*Artmodul_Preislogik!P22+Artmodul_Preislogik!P90+8*Artmodul_Preislogik!P263+4*Artmodul_Preislogik!P278+4*Artmodul_Preislogik!P280+4*Artmodul_Preislogik!P272+Artmodul_Preislogik!P223)*1.19</f>
        <v>1542.24</v>
      </c>
      <c r="I18" s="83">
        <f>(2*Artmodul_Preislogik!P6+2*Artmodul_Preislogik!P23+Artmodul_Preislogik!P95+8*Artmodul_Preislogik!P263+4*Artmodul_Preislogik!P278+4*Artmodul_Preislogik!P281+4*Artmodul_Preislogik!P272+Artmodul_Preislogik!P224)*1.19</f>
        <v>1811.1799999999998</v>
      </c>
    </row>
    <row r="19" spans="1:9" x14ac:dyDescent="0.25">
      <c r="A19" s="89"/>
      <c r="B19" s="89"/>
      <c r="C19" s="89"/>
      <c r="D19" s="89"/>
      <c r="E19" s="89"/>
      <c r="F19" s="89"/>
      <c r="G19" s="89"/>
      <c r="H19" s="89"/>
      <c r="I19" s="89"/>
    </row>
    <row r="20" spans="1:9" x14ac:dyDescent="0.25">
      <c r="A20" s="110" t="s">
        <v>14</v>
      </c>
      <c r="B20" s="108">
        <v>360</v>
      </c>
      <c r="C20" s="107">
        <v>420</v>
      </c>
      <c r="D20" s="77">
        <f>(2*Artmodul_Preislogik!P3+2*Artmodul_Preislogik!P18+Artmodul_Preislogik!P67+8*Artmodul_Preislogik!P263+4*Artmodul_Preislogik!P273+4*Artmodul_Preislogik!P271+4*Artmodul_Preislogik!P272+Artmodul_Preislogik!P225)*1.19</f>
        <v>731.85</v>
      </c>
      <c r="E20" s="77">
        <f>(2*Artmodul_Preislogik!P3+2*Artmodul_Preislogik!P19+Artmodul_Preislogik!P72+8*Artmodul_Preislogik!P263+4*Artmodul_Preislogik!P273+4*Artmodul_Preislogik!P272+4*Artmodul_Preislogik!P272+Artmodul_Preislogik!P226)*1.19</f>
        <v>803.25</v>
      </c>
      <c r="F20" s="77"/>
      <c r="G20" s="77"/>
      <c r="H20" s="77"/>
      <c r="I20" s="78"/>
    </row>
    <row r="21" spans="1:9" x14ac:dyDescent="0.25">
      <c r="A21" s="111"/>
      <c r="B21" s="108"/>
      <c r="C21" s="107">
        <v>580</v>
      </c>
      <c r="D21" s="80">
        <f>(2*Artmodul_Preislogik!P4+2*Artmodul_Preislogik!P18+Artmodul_Preislogik!P68+8*Artmodul_Preislogik!P263+4*Artmodul_Preislogik!P274+4*Artmodul_Preislogik!P271+4*Artmodul_Preislogik!P272+Artmodul_Preislogik!P227)*1.19</f>
        <v>775.88</v>
      </c>
      <c r="E21" s="80">
        <f>(2*Artmodul_Preislogik!P4+2*Artmodul_Preislogik!P19+Artmodul_Preislogik!P73+8*Artmodul_Preislogik!P263+4*Artmodul_Preislogik!P274+4*Artmodul_Preislogik!P272+4*Artmodul_Preislogik!P272+Artmodul_Preislogik!P228)*1.19</f>
        <v>835.38</v>
      </c>
      <c r="F21" s="80"/>
      <c r="G21" s="80"/>
      <c r="H21" s="80"/>
      <c r="I21" s="81"/>
    </row>
    <row r="22" spans="1:9" x14ac:dyDescent="0.25">
      <c r="A22" s="111"/>
      <c r="B22" s="108"/>
      <c r="C22" s="107">
        <v>780</v>
      </c>
      <c r="D22" s="77">
        <f>(2*Artmodul_Preislogik!P5+2*Artmodul_Preislogik!P18+Artmodul_Preislogik!P69+8*Artmodul_Preislogik!P263+4*Artmodul_Preislogik!P277+4*Artmodul_Preislogik!P271+4*Artmodul_Preislogik!P272+Artmodul_Preislogik!P229)*1.19</f>
        <v>833</v>
      </c>
      <c r="E22" s="77">
        <f>(2*Artmodul_Preislogik!P5+2*Artmodul_Preislogik!P19+Artmodul_Preislogik!P74+8*Artmodul_Preislogik!P263+4*Artmodul_Preislogik!P277+4*Artmodul_Preislogik!P272+4*Artmodul_Preislogik!P272+Artmodul_Preislogik!P230)*1.19</f>
        <v>882.9799999999999</v>
      </c>
      <c r="F22" s="77"/>
      <c r="G22" s="77"/>
      <c r="H22" s="77"/>
      <c r="I22" s="78"/>
    </row>
    <row r="23" spans="1:9" x14ac:dyDescent="0.25">
      <c r="A23" s="112"/>
      <c r="B23" s="109"/>
      <c r="C23" s="106">
        <v>980</v>
      </c>
      <c r="D23" s="82">
        <f>(2*Artmodul_Preislogik!P6+2*Artmodul_Preislogik!P18+Artmodul_Preislogik!P70+8*Artmodul_Preislogik!P263+4*Artmodul_Preislogik!P278+4*Artmodul_Preislogik!P271+4*Artmodul_Preislogik!P272+Artmodul_Preislogik!P231)*1.19</f>
        <v>918.68</v>
      </c>
      <c r="E23" s="82">
        <f>(2*Artmodul_Preislogik!P6+2*Artmodul_Preislogik!P19+Artmodul_Preislogik!P75+8*Artmodul_Preislogik!P263+4*Artmodul_Preislogik!P278+4*Artmodul_Preislogik!P272+4*Artmodul_Preislogik!P272+Artmodul_Preislogik!P232)*1.19</f>
        <v>1005.55</v>
      </c>
      <c r="F23" s="82"/>
      <c r="G23" s="82"/>
      <c r="H23" s="82"/>
      <c r="I23" s="83"/>
    </row>
    <row r="24" spans="1:9" x14ac:dyDescent="0.25">
      <c r="A24" s="89"/>
      <c r="B24" s="89"/>
      <c r="C24" s="89"/>
      <c r="D24" s="89"/>
      <c r="E24" s="89"/>
      <c r="F24" s="89"/>
      <c r="G24" s="89"/>
      <c r="H24" s="89"/>
      <c r="I24" s="89"/>
    </row>
    <row r="26" spans="1:9" x14ac:dyDescent="0.25">
      <c r="A26" s="65" t="s">
        <v>455</v>
      </c>
      <c r="B26" s="65"/>
      <c r="C26" s="65"/>
      <c r="D26" s="65"/>
      <c r="E26" s="65"/>
      <c r="F26" s="65"/>
      <c r="G26" s="65"/>
      <c r="H26" s="65"/>
      <c r="I26" s="65"/>
    </row>
    <row r="27" spans="1:9" ht="25.5" x14ac:dyDescent="0.25">
      <c r="A27" s="69" t="s">
        <v>2</v>
      </c>
      <c r="B27" s="70" t="s">
        <v>3</v>
      </c>
      <c r="C27" s="70" t="s">
        <v>4</v>
      </c>
      <c r="D27" s="70" t="s">
        <v>449</v>
      </c>
      <c r="E27" s="70" t="s">
        <v>450</v>
      </c>
      <c r="F27" s="70" t="s">
        <v>451</v>
      </c>
      <c r="G27" s="70" t="s">
        <v>452</v>
      </c>
      <c r="H27" s="70" t="s">
        <v>453</v>
      </c>
      <c r="I27" s="71" t="s">
        <v>454</v>
      </c>
    </row>
    <row r="28" spans="1:9" x14ac:dyDescent="0.25">
      <c r="A28" s="86" t="s">
        <v>11</v>
      </c>
      <c r="B28" s="84">
        <v>580</v>
      </c>
      <c r="C28" s="76">
        <v>420</v>
      </c>
      <c r="D28" s="77">
        <f>(2*Artmodul_Preislogik!P8+2*Artmodul_Preislogik!P24+Artmodul_Preislogik!P67+8*Artmodul_Preislogik!P263+4*Artmodul_Preislogik!P273+4*Artmodul_Preislogik!P271+4*Artmodul_Preislogik!P274)*1.19</f>
        <v>476</v>
      </c>
      <c r="E28" s="77">
        <f>(2*Artmodul_Preislogik!P8+2*Artmodul_Preislogik!P25+Artmodul_Preislogik!P72+8*Artmodul_Preislogik!P263+4*Artmodul_Preislogik!P273+4*Artmodul_Preislogik!P272+4*Artmodul_Preislogik!P274)*1.19</f>
        <v>476</v>
      </c>
      <c r="F28" s="77">
        <f>(2*Artmodul_Preislogik!P8+2*Artmodul_Preislogik!P26+Artmodul_Preislogik!P77+8*Artmodul_Preislogik!P263+4*Artmodul_Preislogik!P273+4*Artmodul_Preislogik!P276+4*Artmodul_Preislogik!P274)*1.19</f>
        <v>589.04999999999995</v>
      </c>
      <c r="G28" s="77">
        <f>(2*Artmodul_Preislogik!P8+2*Artmodul_Preislogik!P27+Artmodul_Preislogik!P82+8*Artmodul_Preislogik!P263+4*Artmodul_Preislogik!P273+4*Artmodul_Preislogik!P279+4*Artmodul_Preislogik!P274)*1.19</f>
        <v>692.57999999999993</v>
      </c>
      <c r="H28" s="77">
        <f>(2*Artmodul_Preislogik!P8+2*Artmodul_Preislogik!P28+Artmodul_Preislogik!P87+8*Artmodul_Preislogik!P263+4*Artmodul_Preislogik!P273+4*Artmodul_Preislogik!P280+4*Artmodul_Preislogik!P274)*1.19</f>
        <v>806.81999999999994</v>
      </c>
      <c r="I28" s="78">
        <f>(2*Artmodul_Preislogik!P8+2*Artmodul_Preislogik!P29+Artmodul_Preislogik!P92+8*Artmodul_Preislogik!P263+4*Artmodul_Preislogik!P273+4*Artmodul_Preislogik!P281+4*Artmodul_Preislogik!P274)*1.19</f>
        <v>915.11</v>
      </c>
    </row>
    <row r="29" spans="1:9" x14ac:dyDescent="0.25">
      <c r="A29" s="87"/>
      <c r="B29" s="84"/>
      <c r="C29" s="76">
        <v>580</v>
      </c>
      <c r="D29" s="80">
        <f>(2*Artmodul_Preislogik!P9+2*Artmodul_Preislogik!P24+Artmodul_Preislogik!P68+8*Artmodul_Preislogik!P263+4*Artmodul_Preislogik!P274+4*Artmodul_Preislogik!P271+4*Artmodul_Preislogik!P274)*1.19</f>
        <v>523.6</v>
      </c>
      <c r="E29" s="80">
        <f>(2*Artmodul_Preislogik!P9+2*Artmodul_Preislogik!P25+Artmodul_Preislogik!P73+8*Artmodul_Preislogik!P263+4*Artmodul_Preislogik!P274+4*Artmodul_Preislogik!P272+4*Artmodul_Preislogik!P274)*1.19</f>
        <v>523.6</v>
      </c>
      <c r="F29" s="80">
        <f>(2*Artmodul_Preislogik!P9+2*Artmodul_Preislogik!P26+Artmodul_Preislogik!P78+8*Artmodul_Preislogik!P263+4*Artmodul_Preislogik!P274+4*Artmodul_Preislogik!P276+4*Artmodul_Preislogik!P274)*1.19</f>
        <v>649.74</v>
      </c>
      <c r="G29" s="80">
        <f>(2*Artmodul_Preislogik!P9+2*Artmodul_Preislogik!P27+Artmodul_Preislogik!P83+8*Artmodul_Preislogik!P263+4*Artmodul_Preislogik!P274+4*Artmodul_Preislogik!P279+4*Artmodul_Preislogik!P274)*1.19</f>
        <v>760.41</v>
      </c>
      <c r="H29" s="80">
        <f>(2*Artmodul_Preislogik!P9+2*Artmodul_Preislogik!P28+Artmodul_Preislogik!P88+8*Artmodul_Preislogik!P263+4*Artmodul_Preislogik!P274+4*Artmodul_Preislogik!P280+4*Artmodul_Preislogik!P274)*1.19</f>
        <v>886.55</v>
      </c>
      <c r="I29" s="81">
        <f>(2*Artmodul_Preislogik!P9+2*Artmodul_Preislogik!P29+Artmodul_Preislogik!P93+8*Artmodul_Preislogik!P263+4*Artmodul_Preislogik!P274+4*Artmodul_Preislogik!P281+4*Artmodul_Preislogik!P274)*1.19</f>
        <v>1004.3599999999999</v>
      </c>
    </row>
    <row r="30" spans="1:9" x14ac:dyDescent="0.25">
      <c r="A30" s="87"/>
      <c r="B30" s="84"/>
      <c r="C30" s="76">
        <v>780</v>
      </c>
      <c r="D30" s="77">
        <f>(2*Artmodul_Preislogik!P10+2*Artmodul_Preislogik!P24+Artmodul_Preislogik!P69+8*Artmodul_Preislogik!P263+4*Artmodul_Preislogik!P277+4*Artmodul_Preislogik!P271+4*Artmodul_Preislogik!P274)*1.19</f>
        <v>580.72</v>
      </c>
      <c r="E30" s="77">
        <f>(2*Artmodul_Preislogik!P10+2*Artmodul_Preislogik!P25+Artmodul_Preislogik!P74+8*Artmodul_Preislogik!P263+4*Artmodul_Preislogik!P277+4*Artmodul_Preislogik!P272+4*Artmodul_Preislogik!P274)*1.19</f>
        <v>580.72</v>
      </c>
      <c r="F30" s="77">
        <f>(2*Artmodul_Preislogik!P10+2*Artmodul_Preislogik!P26+Artmodul_Preislogik!P79+8*Artmodul_Preislogik!P263+4*Artmodul_Preislogik!P277+4*Artmodul_Preislogik!P276+4*Artmodul_Preislogik!P274)*1.19</f>
        <v>716.38</v>
      </c>
      <c r="G30" s="77">
        <f>(2*Artmodul_Preislogik!P10+2*Artmodul_Preislogik!P27+Artmodul_Preislogik!P84+8*Artmodul_Preislogik!P263+4*Artmodul_Preislogik!P277+4*Artmodul_Preislogik!P279+4*Artmodul_Preislogik!P274)*1.19</f>
        <v>843.70999999999992</v>
      </c>
      <c r="H30" s="77">
        <f>(2*Artmodul_Preislogik!P10+2*Artmodul_Preislogik!P28+Artmodul_Preislogik!P89+8*Artmodul_Preislogik!P263+4*Artmodul_Preislogik!P277+4*Artmodul_Preislogik!P280+4*Artmodul_Preislogik!P274)*1.19</f>
        <v>978.18</v>
      </c>
      <c r="I30" s="78">
        <f>(2*Artmodul_Preislogik!P10+2*Artmodul_Preislogik!P29+Artmodul_Preislogik!P94+8*Artmodul_Preislogik!P263+4*Artmodul_Preislogik!P277+4*Artmodul_Preislogik!P281+4*Artmodul_Preislogik!P274)*1.19</f>
        <v>1109.08</v>
      </c>
    </row>
    <row r="31" spans="1:9" x14ac:dyDescent="0.25">
      <c r="A31" s="88"/>
      <c r="B31" s="85"/>
      <c r="C31" s="79">
        <v>980</v>
      </c>
      <c r="D31" s="82">
        <f>(2*Artmodul_Preislogik!P11+2*Artmodul_Preislogik!P24+Artmodul_Preislogik!P70+8*Artmodul_Preislogik!P263+4*Artmodul_Preislogik!P278+4*Artmodul_Preislogik!P271+4*Artmodul_Preislogik!P274)*1.19</f>
        <v>641.41</v>
      </c>
      <c r="E31" s="82">
        <f>(2*Artmodul_Preislogik!P11+2*Artmodul_Preislogik!P25+Artmodul_Preislogik!P75+8*Artmodul_Preislogik!P263+4*Artmodul_Preislogik!P278+4*Artmodul_Preislogik!P272+4*Artmodul_Preislogik!P274)*1.19</f>
        <v>641.41</v>
      </c>
      <c r="F31" s="82">
        <f>(2*Artmodul_Preislogik!P11+2*Artmodul_Preislogik!P26+Artmodul_Preislogik!P80+8*Artmodul_Preislogik!P263+4*Artmodul_Preislogik!P278+4*Artmodul_Preislogik!P276+4*Artmodul_Preislogik!P274)*1.19</f>
        <v>788.96999999999991</v>
      </c>
      <c r="G31" s="82">
        <f>(2*Artmodul_Preislogik!P11+2*Artmodul_Preislogik!P27+Artmodul_Preislogik!P85+8*Artmodul_Preislogik!P263+4*Artmodul_Preislogik!P278+4*Artmodul_Preislogik!P279+4*Artmodul_Preislogik!P274)*1.19</f>
        <v>925.81999999999994</v>
      </c>
      <c r="H31" s="82">
        <f>(2*Artmodul_Preislogik!P11+2*Artmodul_Preislogik!P28+Artmodul_Preislogik!P90+8*Artmodul_Preislogik!P263+4*Artmodul_Preislogik!P278+4*Artmodul_Preislogik!P280+4*Artmodul_Preislogik!P274)*1.19</f>
        <v>1073.3799999999999</v>
      </c>
      <c r="I31" s="83">
        <f>(2*Artmodul_Preislogik!P11+2*Artmodul_Preislogik!P29+Artmodul_Preislogik!P95+8*Artmodul_Preislogik!P263+4*Artmodul_Preislogik!P278+4*Artmodul_Preislogik!P281+4*Artmodul_Preislogik!P274)*1.19</f>
        <v>1214.99</v>
      </c>
    </row>
    <row r="32" spans="1:9" x14ac:dyDescent="0.25">
      <c r="A32" s="89"/>
      <c r="B32" s="89"/>
      <c r="C32" s="89"/>
      <c r="D32" s="89"/>
      <c r="E32" s="89"/>
      <c r="F32" s="89"/>
      <c r="G32" s="89"/>
      <c r="H32" s="89"/>
      <c r="I32" s="89"/>
    </row>
    <row r="33" spans="1:9" x14ac:dyDescent="0.25">
      <c r="A33" s="95" t="s">
        <v>12</v>
      </c>
      <c r="B33" s="93">
        <v>580</v>
      </c>
      <c r="C33" s="92">
        <v>420</v>
      </c>
      <c r="D33" s="77">
        <f>(2*Artmodul_Preislogik!P8+2*Artmodul_Preislogik!P24+Artmodul_Preislogik!P67+8*Artmodul_Preislogik!P263+4*Artmodul_Preislogik!P273+4*Artmodul_Preislogik!P271+4*Artmodul_Preislogik!P274+Artmodul_Preislogik!P191)*1.19</f>
        <v>653.30999999999995</v>
      </c>
      <c r="E33" s="77">
        <f>(2*Artmodul_Preislogik!P8+2*Artmodul_Preislogik!P25+Artmodul_Preislogik!P72+8*Artmodul_Preislogik!P263+4*Artmodul_Preislogik!P273+4*Artmodul_Preislogik!P272+4*Artmodul_Preislogik!P274+Artmodul_Preislogik!P192)*1.19</f>
        <v>653.30999999999995</v>
      </c>
      <c r="F33" s="77"/>
      <c r="G33" s="77"/>
      <c r="H33" s="77"/>
      <c r="I33" s="78"/>
    </row>
    <row r="34" spans="1:9" x14ac:dyDescent="0.25">
      <c r="A34" s="96"/>
      <c r="B34" s="93"/>
      <c r="C34" s="92">
        <v>580</v>
      </c>
      <c r="D34" s="80">
        <f>(2*Artmodul_Preislogik!P9+2*Artmodul_Preislogik!P24+Artmodul_Preislogik!P68+8*Artmodul_Preislogik!P263+4*Artmodul_Preislogik!P274+4*Artmodul_Preislogik!P271+4*Artmodul_Preislogik!P274+Artmodul_Preislogik!P193)*1.19</f>
        <v>716.38</v>
      </c>
      <c r="E34" s="80">
        <f>(2*Artmodul_Preislogik!P9+2*Artmodul_Preislogik!P25+Artmodul_Preislogik!P73+8*Artmodul_Preislogik!P263+4*Artmodul_Preislogik!P274+4*Artmodul_Preislogik!P272+4*Artmodul_Preislogik!P274+Artmodul_Preislogik!P194)*1.19</f>
        <v>716.38</v>
      </c>
      <c r="F34" s="80"/>
      <c r="G34" s="80"/>
      <c r="H34" s="80"/>
      <c r="I34" s="81"/>
    </row>
    <row r="35" spans="1:9" x14ac:dyDescent="0.25">
      <c r="A35" s="96"/>
      <c r="B35" s="93"/>
      <c r="C35" s="92">
        <v>780</v>
      </c>
      <c r="D35" s="77">
        <f>(2*Artmodul_Preislogik!P10+2*Artmodul_Preislogik!P24+Artmodul_Preislogik!P69+8*Artmodul_Preislogik!P263+4*Artmodul_Preislogik!P277+4*Artmodul_Preislogik!P271+4*Artmodul_Preislogik!P274+Artmodul_Preislogik!P195)*1.19</f>
        <v>787.78</v>
      </c>
      <c r="E35" s="77">
        <f>(2*Artmodul_Preislogik!P10+2*Artmodul_Preislogik!P25+Artmodul_Preislogik!P74+8*Artmodul_Preislogik!P263+4*Artmodul_Preislogik!P277+4*Artmodul_Preislogik!P272+4*Artmodul_Preislogik!P274+Artmodul_Preislogik!P196)*1.19</f>
        <v>787.78</v>
      </c>
      <c r="F35" s="77"/>
      <c r="G35" s="77"/>
      <c r="H35" s="77"/>
      <c r="I35" s="78"/>
    </row>
    <row r="36" spans="1:9" x14ac:dyDescent="0.25">
      <c r="A36" s="97"/>
      <c r="B36" s="94"/>
      <c r="C36" s="91">
        <v>980</v>
      </c>
      <c r="D36" s="82">
        <f>(2*Artmodul_Preislogik!P11+2*Artmodul_Preislogik!P24+Artmodul_Preislogik!P70+8*Artmodul_Preislogik!P263+4*Artmodul_Preislogik!P278+4*Artmodul_Preislogik!P271+4*Artmodul_Preislogik!P274+Artmodul_Preislogik!P197)*1.19</f>
        <v>903.20999999999992</v>
      </c>
      <c r="E36" s="82">
        <f>(2*Artmodul_Preislogik!P11+2*Artmodul_Preislogik!P25+Artmodul_Preislogik!P75+8*Artmodul_Preislogik!P263+4*Artmodul_Preislogik!P278+4*Artmodul_Preislogik!P272+4*Artmodul_Preislogik!P274+Artmodul_Preislogik!P198)*1.19</f>
        <v>903.20999999999992</v>
      </c>
      <c r="F36" s="82"/>
      <c r="G36" s="82"/>
      <c r="H36" s="82"/>
      <c r="I36" s="83"/>
    </row>
    <row r="37" spans="1:9" x14ac:dyDescent="0.25">
      <c r="A37" s="89"/>
      <c r="B37" s="89"/>
      <c r="C37" s="89"/>
      <c r="D37" s="89"/>
      <c r="E37" s="89"/>
      <c r="F37" s="89"/>
      <c r="G37" s="89"/>
      <c r="H37" s="89"/>
      <c r="I37" s="89"/>
    </row>
    <row r="38" spans="1:9" x14ac:dyDescent="0.25">
      <c r="A38" s="102" t="s">
        <v>317</v>
      </c>
      <c r="B38" s="100">
        <v>580</v>
      </c>
      <c r="C38" s="99">
        <v>420</v>
      </c>
      <c r="D38" s="77"/>
      <c r="E38" s="77">
        <f>(2*Artmodul_Preislogik!P8+2*Artmodul_Preislogik!P25+Artmodul_Preislogik!P72+8*Artmodul_Preislogik!P263+4*Artmodul_Preislogik!P273+4*Artmodul_Preislogik!P272+4*Artmodul_Preislogik!P274+Artmodul_Preislogik!P202)*1.19</f>
        <v>618.79999999999995</v>
      </c>
      <c r="F38" s="77">
        <f>(2*Artmodul_Preislogik!P8+2*Artmodul_Preislogik!P26+Artmodul_Preislogik!P77+8*Artmodul_Preislogik!P263+4*Artmodul_Preislogik!P273+4*Artmodul_Preislogik!P276+4*Artmodul_Preislogik!P274+Artmodul_Preislogik!P203)*1.19</f>
        <v>755.65</v>
      </c>
      <c r="G38" s="77">
        <f>(2*Artmodul_Preislogik!P8+2*Artmodul_Preislogik!P27+Artmodul_Preislogik!P82+8*Artmodul_Preislogik!P263+4*Artmodul_Preislogik!P273+4*Artmodul_Preislogik!P279+4*Artmodul_Preislogik!P274+Artmodul_Preislogik!P204)*1.19</f>
        <v>938.91</v>
      </c>
      <c r="H38" s="77">
        <f>(2*Artmodul_Preislogik!P8+2*Artmodul_Preislogik!P28+Artmodul_Preislogik!P87+8*Artmodul_Preislogik!P263+4*Artmodul_Preislogik!P273+4*Artmodul_Preislogik!P280+4*Artmodul_Preislogik!P274+Artmodul_Preislogik!P205)*1.19</f>
        <v>1075.76</v>
      </c>
      <c r="I38" s="78">
        <f>(2*Artmodul_Preislogik!P8+2*Artmodul_Preislogik!P29+Artmodul_Preislogik!P92+8*Artmodul_Preislogik!P263+4*Artmodul_Preislogik!P273+4*Artmodul_Preislogik!P281+4*Artmodul_Preislogik!P274+Artmodul_Preislogik!P206)*1.19</f>
        <v>1270.9199999999998</v>
      </c>
    </row>
    <row r="39" spans="1:9" x14ac:dyDescent="0.25">
      <c r="A39" s="103"/>
      <c r="B39" s="100"/>
      <c r="C39" s="99">
        <v>580</v>
      </c>
      <c r="D39" s="80"/>
      <c r="E39" s="80">
        <f>(2*Artmodul_Preislogik!P9+2*Artmodul_Preislogik!P25+Artmodul_Preislogik!P73+8*Artmodul_Preislogik!P263+4*Artmodul_Preislogik!P274+4*Artmodul_Preislogik!P272+4*Artmodul_Preislogik!P274+Artmodul_Preislogik!P207)*1.19</f>
        <v>684.25</v>
      </c>
      <c r="F39" s="80">
        <f>(2*Artmodul_Preislogik!P9+2*Artmodul_Preislogik!P26+Artmodul_Preislogik!P78+8*Artmodul_Preislogik!P263+4*Artmodul_Preislogik!P274+4*Artmodul_Preislogik!P276+4*Artmodul_Preislogik!P274+Artmodul_Preislogik!P208)*1.19</f>
        <v>869.89</v>
      </c>
      <c r="G39" s="80">
        <f>(2*Artmodul_Preislogik!P9+2*Artmodul_Preislogik!P27+Artmodul_Preislogik!P83+8*Artmodul_Preislogik!P263+4*Artmodul_Preislogik!P274+4*Artmodul_Preislogik!P279+4*Artmodul_Preislogik!P274+Artmodul_Preislogik!P209)*1.19</f>
        <v>1051.96</v>
      </c>
      <c r="H39" s="80">
        <f>(2*Artmodul_Preislogik!P9+2*Artmodul_Preislogik!P28+Artmodul_Preislogik!P88+8*Artmodul_Preislogik!P263+4*Artmodul_Preislogik!P274+4*Artmodul_Preislogik!P280+4*Artmodul_Preislogik!P274+Artmodul_Preislogik!P210)*1.19</f>
        <v>1239.98</v>
      </c>
      <c r="I39" s="81">
        <f>(2*Artmodul_Preislogik!P9+2*Artmodul_Preislogik!P29+Artmodul_Preislogik!P93+8*Artmodul_Preislogik!P263+4*Artmodul_Preislogik!P274+4*Artmodul_Preislogik!P281+4*Artmodul_Preislogik!P274+Artmodul_Preislogik!P211)*1.19</f>
        <v>1441.09</v>
      </c>
    </row>
    <row r="40" spans="1:9" x14ac:dyDescent="0.25">
      <c r="A40" s="103"/>
      <c r="B40" s="100"/>
      <c r="C40" s="99">
        <v>780</v>
      </c>
      <c r="D40" s="77"/>
      <c r="E40" s="77">
        <f>(2*Artmodul_Preislogik!P10+2*Artmodul_Preislogik!P25+Artmodul_Preislogik!P74+8*Artmodul_Preislogik!P263+4*Artmodul_Preislogik!P277+4*Artmodul_Preislogik!P272+4*Artmodul_Preislogik!P274+Artmodul_Preislogik!P214)*1.19</f>
        <v>847.28</v>
      </c>
      <c r="F40" s="77">
        <f>(2*Artmodul_Preislogik!P10+2*Artmodul_Preislogik!P26+Artmodul_Preislogik!P79+8*Artmodul_Preislogik!P263+4*Artmodul_Preislogik!P277+4*Artmodul_Preislogik!P276+4*Artmodul_Preislogik!P274+Artmodul_Preislogik!P216)*1.19</f>
        <v>1044.82</v>
      </c>
      <c r="G40" s="77">
        <f>(2*Artmodul_Preislogik!P10+2*Artmodul_Preislogik!P27+Artmodul_Preislogik!P84+8*Artmodul_Preislogik!P263+4*Artmodul_Preislogik!P277+4*Artmodul_Preislogik!P279+4*Artmodul_Preislogik!P274+Artmodul_Preislogik!P217)*1.19</f>
        <v>1329.23</v>
      </c>
      <c r="H40" s="77">
        <f>(2*Artmodul_Preislogik!P10+2*Artmodul_Preislogik!P28+Artmodul_Preislogik!P89+8*Artmodul_Preislogik!P263+4*Artmodul_Preislogik!P277+4*Artmodul_Preislogik!P280+4*Artmodul_Preislogik!P274+Artmodul_Preislogik!P218)*1.19</f>
        <v>1545.81</v>
      </c>
      <c r="I40" s="78">
        <f>(2*Artmodul_Preislogik!P10+2*Artmodul_Preislogik!P29+Artmodul_Preislogik!P94+8*Artmodul_Preislogik!P263+4*Artmodul_Preislogik!P277+4*Artmodul_Preislogik!P281+4*Artmodul_Preislogik!P274+Artmodul_Preislogik!P219)*1.19</f>
        <v>1808.8</v>
      </c>
    </row>
    <row r="41" spans="1:9" x14ac:dyDescent="0.25">
      <c r="A41" s="104"/>
      <c r="B41" s="101"/>
      <c r="C41" s="98">
        <v>980</v>
      </c>
      <c r="D41" s="82"/>
      <c r="E41" s="82">
        <f>(2*Artmodul_Preislogik!P11+2*Artmodul_Preislogik!P25+Artmodul_Preislogik!P75+8*Artmodul_Preislogik!P263+4*Artmodul_Preislogik!P278+4*Artmodul_Preislogik!P272+4*Artmodul_Preislogik!P274+Artmodul_Preislogik!P220)*1.19</f>
        <v>923.43999999999994</v>
      </c>
      <c r="F41" s="82">
        <f>(2*Artmodul_Preislogik!P11+2*Artmodul_Preislogik!P26+Artmodul_Preislogik!P80+8*Artmodul_Preislogik!P263+4*Artmodul_Preislogik!P278+4*Artmodul_Preislogik!P276+4*Artmodul_Preislogik!P274+Artmodul_Preislogik!P221)*1.19</f>
        <v>1181.6699999999998</v>
      </c>
      <c r="G41" s="82">
        <f>(2*Artmodul_Preislogik!P11+2*Artmodul_Preislogik!P27+Artmodul_Preislogik!P85+8*Artmodul_Preislogik!P263+4*Artmodul_Preislogik!P278+4*Artmodul_Preislogik!P279+4*Artmodul_Preislogik!P274+Artmodul_Preislogik!P222)*1.19</f>
        <v>1473.22</v>
      </c>
      <c r="H41" s="82">
        <f>(2*Artmodul_Preislogik!P11+2*Artmodul_Preislogik!P28+Artmodul_Preislogik!P90+8*Artmodul_Preislogik!P263+4*Artmodul_Preislogik!P278+4*Artmodul_Preislogik!P280+4*Artmodul_Preislogik!P274+Artmodul_Preislogik!P223)*1.19</f>
        <v>1727.8799999999999</v>
      </c>
      <c r="I41" s="83">
        <f>(2*Artmodul_Preislogik!P11+2*Artmodul_Preislogik!P29+Artmodul_Preislogik!P95+8*Artmodul_Preislogik!P263+4*Artmodul_Preislogik!P278+4*Artmodul_Preislogik!P281+4*Artmodul_Preislogik!P274+Artmodul_Preislogik!P224)*1.19</f>
        <v>2020.62</v>
      </c>
    </row>
    <row r="42" spans="1:9" x14ac:dyDescent="0.25">
      <c r="A42" s="89"/>
      <c r="B42" s="89"/>
      <c r="C42" s="89"/>
      <c r="D42" s="89"/>
      <c r="E42" s="89"/>
      <c r="F42" s="89"/>
      <c r="G42" s="89"/>
      <c r="H42" s="89"/>
      <c r="I42" s="89"/>
    </row>
    <row r="43" spans="1:9" x14ac:dyDescent="0.25">
      <c r="A43" s="110" t="s">
        <v>14</v>
      </c>
      <c r="B43" s="108">
        <v>580</v>
      </c>
      <c r="C43" s="107">
        <v>420</v>
      </c>
      <c r="D43" s="77">
        <f>(2*Artmodul_Preislogik!P8+2*Artmodul_Preislogik!P24+Artmodul_Preislogik!P67+8*Artmodul_Preislogik!P263+4*Artmodul_Preislogik!P273+4*Artmodul_Preislogik!P271+4*Artmodul_Preislogik!P274+Artmodul_Preislogik!P225)*1.19</f>
        <v>781.82999999999993</v>
      </c>
      <c r="E43" s="77">
        <f>(2*Artmodul_Preislogik!P8+2*Artmodul_Preislogik!P25+Artmodul_Preislogik!P72+8*Artmodul_Preislogik!P263+4*Artmodul_Preislogik!P273+4*Artmodul_Preislogik!P272+4*Artmodul_Preislogik!P274+Artmodul_Preislogik!P226)*1.19</f>
        <v>853.23</v>
      </c>
      <c r="F43" s="77"/>
      <c r="G43" s="77"/>
      <c r="H43" s="77"/>
      <c r="I43" s="78"/>
    </row>
    <row r="44" spans="1:9" x14ac:dyDescent="0.25">
      <c r="A44" s="111"/>
      <c r="B44" s="108"/>
      <c r="C44" s="107">
        <v>580</v>
      </c>
      <c r="D44" s="80">
        <f>(2*Artmodul_Preislogik!P9+2*Artmodul_Preislogik!P24+Artmodul_Preislogik!P68+8*Artmodul_Preislogik!P263+4*Artmodul_Preislogik!P274+4*Artmodul_Preislogik!P271+4*Artmodul_Preislogik!P274+Artmodul_Preislogik!P227)*1.19</f>
        <v>842.52</v>
      </c>
      <c r="E44" s="80">
        <f>(2*Artmodul_Preislogik!P9+2*Artmodul_Preislogik!P25+Artmodul_Preislogik!P73+8*Artmodul_Preislogik!P263+4*Artmodul_Preislogik!P274+4*Artmodul_Preislogik!P272+4*Artmodul_Preislogik!P274+Artmodul_Preislogik!P228)*1.19</f>
        <v>902.02</v>
      </c>
      <c r="F44" s="80"/>
      <c r="G44" s="80"/>
      <c r="H44" s="80"/>
      <c r="I44" s="81"/>
    </row>
    <row r="45" spans="1:9" x14ac:dyDescent="0.25">
      <c r="A45" s="111"/>
      <c r="B45" s="108"/>
      <c r="C45" s="107">
        <v>780</v>
      </c>
      <c r="D45" s="77">
        <f>(2*Artmodul_Preislogik!P10+2*Artmodul_Preislogik!P24+Artmodul_Preislogik!P69+8*Artmodul_Preislogik!P263+4*Artmodul_Preislogik!P277+4*Artmodul_Preislogik!P271+4*Artmodul_Preislogik!P274+Artmodul_Preislogik!P229)*1.19</f>
        <v>911.54</v>
      </c>
      <c r="E45" s="77">
        <f>(2*Artmodul_Preislogik!P10+2*Artmodul_Preislogik!P25+Artmodul_Preislogik!P74+8*Artmodul_Preislogik!P263+4*Artmodul_Preislogik!P277+4*Artmodul_Preislogik!P272+4*Artmodul_Preislogik!P274+Artmodul_Preislogik!P230)*1.19</f>
        <v>961.52</v>
      </c>
      <c r="F45" s="77"/>
      <c r="G45" s="77"/>
      <c r="H45" s="77"/>
      <c r="I45" s="78"/>
    </row>
    <row r="46" spans="1:9" x14ac:dyDescent="0.25">
      <c r="A46" s="112"/>
      <c r="B46" s="109"/>
      <c r="C46" s="106">
        <v>980</v>
      </c>
      <c r="D46" s="82">
        <f>(2*Artmodul_Preislogik!P11+2*Artmodul_Preislogik!P24+Artmodul_Preislogik!P70+8*Artmodul_Preislogik!P263+4*Artmodul_Preislogik!P278+4*Artmodul_Preislogik!P271+4*Artmodul_Preislogik!P274+Artmodul_Preislogik!P231)*1.19</f>
        <v>1013.88</v>
      </c>
      <c r="E46" s="82">
        <f>(2*Artmodul_Preislogik!P11+2*Artmodul_Preislogik!P25+Artmodul_Preislogik!P75+8*Artmodul_Preislogik!P263+4*Artmodul_Preislogik!P278+4*Artmodul_Preislogik!P272+4*Artmodul_Preislogik!P274+Artmodul_Preislogik!P232)*1.19</f>
        <v>1100.75</v>
      </c>
      <c r="F46" s="82"/>
      <c r="G46" s="82"/>
      <c r="H46" s="82"/>
      <c r="I46" s="83"/>
    </row>
    <row r="47" spans="1:9" x14ac:dyDescent="0.25">
      <c r="A47" s="89"/>
      <c r="B47" s="89"/>
      <c r="C47" s="89"/>
      <c r="D47" s="89"/>
      <c r="E47" s="89"/>
      <c r="F47" s="89"/>
      <c r="G47" s="89"/>
      <c r="H47" s="89"/>
      <c r="I47" s="89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AC70-03C7-4EF8-A5A2-33F74FEB7DF5}">
  <dimension ref="A1:U309"/>
  <sheetViews>
    <sheetView topLeftCell="K1" workbookViewId="0">
      <selection activeCell="T16" sqref="T16"/>
    </sheetView>
  </sheetViews>
  <sheetFormatPr baseColWidth="10" defaultRowHeight="15" x14ac:dyDescent="0.25"/>
  <cols>
    <col min="1" max="1" width="21" style="38" customWidth="1"/>
    <col min="2" max="2" width="13.28515625" style="38" customWidth="1"/>
    <col min="3" max="3" width="24.7109375" style="38" customWidth="1"/>
    <col min="4" max="4" width="47.5703125" style="38" customWidth="1"/>
    <col min="5" max="6" width="13.28515625" style="38" customWidth="1"/>
    <col min="7" max="8" width="17.140625" style="38" customWidth="1"/>
    <col min="9" max="9" width="19" style="38" customWidth="1"/>
    <col min="10" max="13" width="17.140625" style="38" customWidth="1"/>
    <col min="14" max="14" width="19" style="38" customWidth="1"/>
    <col min="15" max="15" width="17.140625" style="38" customWidth="1"/>
    <col min="16" max="16" width="19" style="38" customWidth="1"/>
    <col min="17" max="19" width="28.5703125" style="38" customWidth="1"/>
    <col min="20" max="20" width="11.42578125" style="38"/>
    <col min="21" max="21" width="21" style="38" customWidth="1"/>
    <col min="22" max="16384" width="11.42578125" style="38"/>
  </cols>
  <sheetData>
    <row r="1" spans="1:21" ht="18.75" x14ac:dyDescent="0.3">
      <c r="A1" s="37" t="s">
        <v>77</v>
      </c>
      <c r="B1" s="37" t="s">
        <v>78</v>
      </c>
      <c r="C1" s="37" t="s">
        <v>79</v>
      </c>
      <c r="D1" s="37" t="s">
        <v>80</v>
      </c>
      <c r="E1" s="37" t="s">
        <v>81</v>
      </c>
      <c r="F1" s="37" t="s">
        <v>82</v>
      </c>
      <c r="G1" s="37" t="s">
        <v>83</v>
      </c>
      <c r="H1" s="37" t="s">
        <v>84</v>
      </c>
      <c r="I1" s="37" t="s">
        <v>85</v>
      </c>
      <c r="J1" s="37" t="s">
        <v>86</v>
      </c>
      <c r="K1" s="37" t="s">
        <v>87</v>
      </c>
      <c r="L1" s="37" t="s">
        <v>88</v>
      </c>
      <c r="M1" s="37" t="s">
        <v>89</v>
      </c>
      <c r="N1" s="37" t="s">
        <v>90</v>
      </c>
      <c r="O1" s="37" t="s">
        <v>91</v>
      </c>
      <c r="P1" s="145" t="s">
        <v>477</v>
      </c>
      <c r="Q1" s="39" t="s">
        <v>92</v>
      </c>
      <c r="R1" s="39"/>
      <c r="S1" s="129" t="s">
        <v>469</v>
      </c>
      <c r="T1" s="129"/>
      <c r="U1" s="129"/>
    </row>
    <row r="2" spans="1:21" x14ac:dyDescent="0.25">
      <c r="A2" s="38">
        <v>3000</v>
      </c>
      <c r="B2" s="38" t="s">
        <v>93</v>
      </c>
      <c r="C2" s="38" t="s">
        <v>94</v>
      </c>
      <c r="D2" s="38" t="s">
        <v>95</v>
      </c>
      <c r="E2" s="38">
        <v>360</v>
      </c>
      <c r="F2" s="38">
        <v>360</v>
      </c>
      <c r="G2" s="40">
        <v>34</v>
      </c>
      <c r="H2" s="40">
        <v>114</v>
      </c>
      <c r="I2" s="40">
        <v>89</v>
      </c>
      <c r="J2" s="40">
        <v>177</v>
      </c>
      <c r="L2" s="40">
        <f t="shared" ref="L2:O65" si="0">IF(G2="","",ROUND(G2*1.15,0))</f>
        <v>39</v>
      </c>
      <c r="M2" s="40">
        <f t="shared" si="0"/>
        <v>131</v>
      </c>
      <c r="N2" s="40">
        <f t="shared" si="0"/>
        <v>102</v>
      </c>
      <c r="O2" s="40">
        <f t="shared" si="0"/>
        <v>204</v>
      </c>
      <c r="P2" s="146">
        <f>IF(G2="","",ROUND(G2*$T$3*IFERROR(VLOOKUP(C2,$S$6:$T$27,2,FALSE),1),0))</f>
        <v>26</v>
      </c>
      <c r="Q2" s="41" t="s">
        <v>96</v>
      </c>
      <c r="R2" s="38" t="s">
        <v>97</v>
      </c>
    </row>
    <row r="3" spans="1:21" ht="19.5" thickBot="1" x14ac:dyDescent="0.35">
      <c r="A3" s="38">
        <v>3001</v>
      </c>
      <c r="B3" s="38" t="s">
        <v>93</v>
      </c>
      <c r="C3" s="38" t="s">
        <v>94</v>
      </c>
      <c r="D3" s="38" t="s">
        <v>98</v>
      </c>
      <c r="E3" s="38">
        <v>420</v>
      </c>
      <c r="F3" s="38">
        <v>360</v>
      </c>
      <c r="G3" s="40">
        <v>34</v>
      </c>
      <c r="H3" s="40">
        <v>121</v>
      </c>
      <c r="I3" s="40">
        <v>92</v>
      </c>
      <c r="J3" s="40">
        <v>178</v>
      </c>
      <c r="L3" s="40">
        <f t="shared" si="0"/>
        <v>39</v>
      </c>
      <c r="M3" s="40">
        <f t="shared" si="0"/>
        <v>139</v>
      </c>
      <c r="N3" s="40">
        <f t="shared" si="0"/>
        <v>106</v>
      </c>
      <c r="O3" s="40">
        <f t="shared" si="0"/>
        <v>205</v>
      </c>
      <c r="P3" s="146">
        <f t="shared" ref="P3:P66" si="1">IF(G3="","",ROUND(G3*$T$3*IFERROR(VLOOKUP(C3,$S$6:$T$27,2,FALSE),1),0))</f>
        <v>26</v>
      </c>
      <c r="Q3" s="41" t="s">
        <v>99</v>
      </c>
      <c r="R3" s="38">
        <f>COUNTIF(B:B,"Platte")</f>
        <v>258</v>
      </c>
      <c r="S3" s="130" t="s">
        <v>470</v>
      </c>
      <c r="T3" s="131">
        <v>1</v>
      </c>
      <c r="U3" s="132" t="s">
        <v>471</v>
      </c>
    </row>
    <row r="4" spans="1:21" x14ac:dyDescent="0.25">
      <c r="A4" s="38">
        <v>3002</v>
      </c>
      <c r="B4" s="38" t="s">
        <v>93</v>
      </c>
      <c r="C4" s="38" t="s">
        <v>94</v>
      </c>
      <c r="D4" s="38" t="s">
        <v>100</v>
      </c>
      <c r="E4" s="38">
        <v>580</v>
      </c>
      <c r="F4" s="38">
        <v>360</v>
      </c>
      <c r="G4" s="40">
        <v>43</v>
      </c>
      <c r="H4" s="40">
        <v>161</v>
      </c>
      <c r="I4" s="40">
        <v>130</v>
      </c>
      <c r="J4" s="40">
        <v>185</v>
      </c>
      <c r="L4" s="40">
        <f t="shared" si="0"/>
        <v>49</v>
      </c>
      <c r="M4" s="40">
        <f t="shared" si="0"/>
        <v>185</v>
      </c>
      <c r="N4" s="40">
        <f t="shared" si="0"/>
        <v>150</v>
      </c>
      <c r="O4" s="40">
        <f t="shared" si="0"/>
        <v>213</v>
      </c>
      <c r="P4" s="146">
        <f t="shared" si="1"/>
        <v>32</v>
      </c>
      <c r="Q4" s="41" t="s">
        <v>101</v>
      </c>
      <c r="R4" s="38">
        <f>COUNTIF(B:B,"Zubehör")</f>
        <v>47</v>
      </c>
    </row>
    <row r="5" spans="1:21" x14ac:dyDescent="0.25">
      <c r="A5" s="38">
        <v>3003</v>
      </c>
      <c r="B5" s="38" t="s">
        <v>93</v>
      </c>
      <c r="C5" s="38" t="s">
        <v>94</v>
      </c>
      <c r="D5" s="38" t="s">
        <v>102</v>
      </c>
      <c r="E5" s="38">
        <v>780</v>
      </c>
      <c r="F5" s="38">
        <v>360</v>
      </c>
      <c r="G5" s="40">
        <v>56</v>
      </c>
      <c r="H5" s="40">
        <v>185</v>
      </c>
      <c r="I5" s="40">
        <v>144</v>
      </c>
      <c r="J5" s="40">
        <v>190</v>
      </c>
      <c r="L5" s="40">
        <f t="shared" si="0"/>
        <v>64</v>
      </c>
      <c r="M5" s="40">
        <f t="shared" si="0"/>
        <v>213</v>
      </c>
      <c r="N5" s="40">
        <f t="shared" si="0"/>
        <v>166</v>
      </c>
      <c r="O5" s="40">
        <f t="shared" si="0"/>
        <v>219</v>
      </c>
      <c r="P5" s="146">
        <f t="shared" si="1"/>
        <v>42</v>
      </c>
      <c r="Q5" s="41" t="s">
        <v>103</v>
      </c>
      <c r="R5" s="38" t="s">
        <v>104</v>
      </c>
      <c r="S5" s="133" t="s">
        <v>79</v>
      </c>
      <c r="T5" s="133" t="s">
        <v>472</v>
      </c>
      <c r="U5" s="133" t="s">
        <v>473</v>
      </c>
    </row>
    <row r="6" spans="1:21" x14ac:dyDescent="0.25">
      <c r="A6" s="38">
        <v>3004</v>
      </c>
      <c r="B6" s="38" t="s">
        <v>93</v>
      </c>
      <c r="C6" s="38" t="s">
        <v>94</v>
      </c>
      <c r="D6" s="38" t="s">
        <v>105</v>
      </c>
      <c r="E6" s="38">
        <v>980</v>
      </c>
      <c r="F6" s="38">
        <v>360</v>
      </c>
      <c r="G6" s="40">
        <v>70</v>
      </c>
      <c r="H6" s="40">
        <v>223</v>
      </c>
      <c r="I6" s="40">
        <v>174</v>
      </c>
      <c r="J6" s="40">
        <v>209</v>
      </c>
      <c r="L6" s="40">
        <f t="shared" si="0"/>
        <v>81</v>
      </c>
      <c r="M6" s="40">
        <f t="shared" si="0"/>
        <v>256</v>
      </c>
      <c r="N6" s="40">
        <f t="shared" si="0"/>
        <v>200</v>
      </c>
      <c r="O6" s="40">
        <f t="shared" si="0"/>
        <v>240</v>
      </c>
      <c r="P6" s="146">
        <f t="shared" si="1"/>
        <v>53</v>
      </c>
      <c r="Q6" s="41" t="s">
        <v>106</v>
      </c>
      <c r="R6" s="38">
        <f>COUNTIF(K:K,"*nicht OK*")</f>
        <v>10</v>
      </c>
      <c r="S6" s="134" t="s">
        <v>94</v>
      </c>
      <c r="T6" s="135">
        <v>0.75</v>
      </c>
      <c r="U6" s="136">
        <f>$T$3*T6</f>
        <v>0.75</v>
      </c>
    </row>
    <row r="7" spans="1:21" x14ac:dyDescent="0.25">
      <c r="A7" s="38">
        <v>3005</v>
      </c>
      <c r="B7" s="38" t="s">
        <v>93</v>
      </c>
      <c r="C7" s="38" t="s">
        <v>94</v>
      </c>
      <c r="D7" s="38" t="s">
        <v>107</v>
      </c>
      <c r="E7" s="38">
        <v>360</v>
      </c>
      <c r="F7" s="38">
        <v>580</v>
      </c>
      <c r="G7" s="40">
        <v>43</v>
      </c>
      <c r="H7" s="40">
        <v>161</v>
      </c>
      <c r="I7" s="40">
        <v>130</v>
      </c>
      <c r="J7" s="40">
        <v>185</v>
      </c>
      <c r="L7" s="40">
        <f t="shared" si="0"/>
        <v>49</v>
      </c>
      <c r="M7" s="40">
        <f t="shared" si="0"/>
        <v>185</v>
      </c>
      <c r="N7" s="40">
        <f t="shared" si="0"/>
        <v>150</v>
      </c>
      <c r="O7" s="40">
        <f t="shared" si="0"/>
        <v>213</v>
      </c>
      <c r="P7" s="146">
        <f t="shared" si="1"/>
        <v>32</v>
      </c>
      <c r="Q7" s="41" t="s">
        <v>108</v>
      </c>
      <c r="R7" s="38">
        <v>1.1499999999999999</v>
      </c>
      <c r="S7" s="140" t="s">
        <v>122</v>
      </c>
      <c r="T7" s="141">
        <v>0.75</v>
      </c>
      <c r="U7" s="142">
        <f>$T$3*T7</f>
        <v>0.75</v>
      </c>
    </row>
    <row r="8" spans="1:21" x14ac:dyDescent="0.25">
      <c r="A8" s="38">
        <v>3006</v>
      </c>
      <c r="B8" s="38" t="s">
        <v>93</v>
      </c>
      <c r="C8" s="38" t="s">
        <v>94</v>
      </c>
      <c r="D8" s="38" t="s">
        <v>109</v>
      </c>
      <c r="E8" s="38">
        <v>420</v>
      </c>
      <c r="F8" s="38">
        <v>580</v>
      </c>
      <c r="G8" s="40">
        <v>49</v>
      </c>
      <c r="H8" s="40">
        <v>181</v>
      </c>
      <c r="I8" s="40">
        <v>147</v>
      </c>
      <c r="J8" s="40">
        <v>186</v>
      </c>
      <c r="L8" s="40">
        <f t="shared" si="0"/>
        <v>56</v>
      </c>
      <c r="M8" s="40">
        <f t="shared" si="0"/>
        <v>208</v>
      </c>
      <c r="N8" s="40">
        <f t="shared" si="0"/>
        <v>169</v>
      </c>
      <c r="O8" s="40">
        <f t="shared" si="0"/>
        <v>214</v>
      </c>
      <c r="P8" s="146">
        <f t="shared" si="1"/>
        <v>37</v>
      </c>
      <c r="Q8" s="41" t="s">
        <v>110</v>
      </c>
      <c r="R8" s="38" t="s">
        <v>111</v>
      </c>
      <c r="S8" s="143" t="s">
        <v>150</v>
      </c>
      <c r="T8" s="141">
        <v>0.75</v>
      </c>
      <c r="U8" s="144">
        <f>$T$3*T8</f>
        <v>0.75</v>
      </c>
    </row>
    <row r="9" spans="1:21" x14ac:dyDescent="0.25">
      <c r="A9" s="38">
        <v>3007</v>
      </c>
      <c r="B9" s="38" t="s">
        <v>93</v>
      </c>
      <c r="C9" s="38" t="s">
        <v>94</v>
      </c>
      <c r="D9" s="38" t="s">
        <v>112</v>
      </c>
      <c r="E9" s="38">
        <v>580</v>
      </c>
      <c r="F9" s="38">
        <v>580</v>
      </c>
      <c r="G9" s="40">
        <v>67</v>
      </c>
      <c r="H9" s="40">
        <v>228</v>
      </c>
      <c r="I9" s="40">
        <v>183</v>
      </c>
      <c r="J9" s="40">
        <v>191</v>
      </c>
      <c r="L9" s="40">
        <f t="shared" si="0"/>
        <v>77</v>
      </c>
      <c r="M9" s="40">
        <f t="shared" si="0"/>
        <v>262</v>
      </c>
      <c r="N9" s="40">
        <f t="shared" si="0"/>
        <v>210</v>
      </c>
      <c r="O9" s="40">
        <f t="shared" si="0"/>
        <v>220</v>
      </c>
      <c r="P9" s="146">
        <f t="shared" si="1"/>
        <v>50</v>
      </c>
      <c r="S9" s="140" t="s">
        <v>173</v>
      </c>
      <c r="T9" s="141">
        <v>0.75</v>
      </c>
      <c r="U9" s="142">
        <f>$T$3*T9</f>
        <v>0.75</v>
      </c>
    </row>
    <row r="10" spans="1:21" x14ac:dyDescent="0.25">
      <c r="A10" s="38">
        <v>3008</v>
      </c>
      <c r="B10" s="38" t="s">
        <v>93</v>
      </c>
      <c r="C10" s="38" t="s">
        <v>94</v>
      </c>
      <c r="D10" s="38" t="s">
        <v>113</v>
      </c>
      <c r="E10" s="38">
        <v>780</v>
      </c>
      <c r="F10" s="38">
        <v>580</v>
      </c>
      <c r="G10" s="40">
        <v>87</v>
      </c>
      <c r="H10" s="40">
        <v>275</v>
      </c>
      <c r="I10" s="40">
        <v>225</v>
      </c>
      <c r="J10" s="40">
        <v>237</v>
      </c>
      <c r="L10" s="40">
        <f t="shared" si="0"/>
        <v>100</v>
      </c>
      <c r="M10" s="40">
        <f t="shared" si="0"/>
        <v>316</v>
      </c>
      <c r="N10" s="40">
        <f t="shared" si="0"/>
        <v>259</v>
      </c>
      <c r="O10" s="40">
        <f t="shared" si="0"/>
        <v>273</v>
      </c>
      <c r="P10" s="146">
        <f t="shared" si="1"/>
        <v>65</v>
      </c>
      <c r="S10" s="143" t="s">
        <v>204</v>
      </c>
      <c r="T10" s="141">
        <v>0.75</v>
      </c>
      <c r="U10" s="144">
        <f>$T$3*T10</f>
        <v>0.75</v>
      </c>
    </row>
    <row r="11" spans="1:21" x14ac:dyDescent="0.25">
      <c r="A11" s="38">
        <v>3009</v>
      </c>
      <c r="B11" s="38" t="s">
        <v>93</v>
      </c>
      <c r="C11" s="38" t="s">
        <v>94</v>
      </c>
      <c r="D11" s="38" t="s">
        <v>114</v>
      </c>
      <c r="E11" s="38">
        <v>980</v>
      </c>
      <c r="F11" s="38">
        <v>580</v>
      </c>
      <c r="G11" s="40">
        <v>110</v>
      </c>
      <c r="H11" s="40">
        <v>355</v>
      </c>
      <c r="I11" s="40">
        <v>286</v>
      </c>
      <c r="J11" s="40">
        <v>276</v>
      </c>
      <c r="L11" s="40">
        <f t="shared" si="0"/>
        <v>127</v>
      </c>
      <c r="M11" s="40">
        <f t="shared" si="0"/>
        <v>408</v>
      </c>
      <c r="N11" s="40">
        <f t="shared" si="0"/>
        <v>329</v>
      </c>
      <c r="O11" s="40">
        <f t="shared" si="0"/>
        <v>317</v>
      </c>
      <c r="P11" s="146">
        <f t="shared" si="1"/>
        <v>83</v>
      </c>
      <c r="S11" s="140" t="s">
        <v>230</v>
      </c>
      <c r="T11" s="141">
        <v>0.75</v>
      </c>
      <c r="U11" s="142">
        <f>$T$3*T11</f>
        <v>0.75</v>
      </c>
    </row>
    <row r="12" spans="1:21" x14ac:dyDescent="0.25">
      <c r="A12" s="38">
        <v>3010</v>
      </c>
      <c r="B12" s="38" t="s">
        <v>93</v>
      </c>
      <c r="C12" s="38" t="s">
        <v>94</v>
      </c>
      <c r="D12" s="38" t="s">
        <v>115</v>
      </c>
      <c r="E12" s="38">
        <v>780</v>
      </c>
      <c r="F12" s="38">
        <v>780</v>
      </c>
      <c r="G12" s="40">
        <v>113</v>
      </c>
      <c r="H12" s="40">
        <v>302</v>
      </c>
      <c r="I12" s="40">
        <v>272</v>
      </c>
      <c r="J12" s="40">
        <v>295</v>
      </c>
      <c r="L12" s="40">
        <f t="shared" si="0"/>
        <v>130</v>
      </c>
      <c r="M12" s="40">
        <f t="shared" si="0"/>
        <v>347</v>
      </c>
      <c r="N12" s="40">
        <f t="shared" si="0"/>
        <v>313</v>
      </c>
      <c r="O12" s="40">
        <f t="shared" si="0"/>
        <v>339</v>
      </c>
      <c r="P12" s="146">
        <f t="shared" si="1"/>
        <v>85</v>
      </c>
      <c r="S12" s="143" t="s">
        <v>249</v>
      </c>
      <c r="T12" s="141">
        <v>0.75</v>
      </c>
      <c r="U12" s="144">
        <f>$T$3*T12</f>
        <v>0.75</v>
      </c>
    </row>
    <row r="13" spans="1:21" x14ac:dyDescent="0.25">
      <c r="A13" s="38">
        <v>3011</v>
      </c>
      <c r="B13" s="38" t="s">
        <v>93</v>
      </c>
      <c r="C13" s="38" t="s">
        <v>94</v>
      </c>
      <c r="D13" s="38" t="s">
        <v>116</v>
      </c>
      <c r="E13" s="38">
        <v>980</v>
      </c>
      <c r="F13" s="38">
        <v>780</v>
      </c>
      <c r="G13" s="40">
        <v>139</v>
      </c>
      <c r="H13" s="40">
        <v>416</v>
      </c>
      <c r="I13" s="40">
        <v>216</v>
      </c>
      <c r="J13" s="40">
        <v>406</v>
      </c>
      <c r="L13" s="40">
        <f t="shared" si="0"/>
        <v>160</v>
      </c>
      <c r="M13" s="40">
        <f t="shared" si="0"/>
        <v>478</v>
      </c>
      <c r="N13" s="40">
        <f t="shared" si="0"/>
        <v>248</v>
      </c>
      <c r="O13" s="40">
        <f t="shared" si="0"/>
        <v>467</v>
      </c>
      <c r="P13" s="146">
        <f t="shared" si="1"/>
        <v>104</v>
      </c>
      <c r="S13" s="140" t="s">
        <v>260</v>
      </c>
      <c r="T13" s="141">
        <v>0.75</v>
      </c>
      <c r="U13" s="142">
        <f>$T$3*T13</f>
        <v>0.75</v>
      </c>
    </row>
    <row r="14" spans="1:21" x14ac:dyDescent="0.25">
      <c r="A14" s="38">
        <v>3012</v>
      </c>
      <c r="B14" s="38" t="s">
        <v>93</v>
      </c>
      <c r="C14" s="38" t="s">
        <v>94</v>
      </c>
      <c r="D14" s="38" t="s">
        <v>117</v>
      </c>
      <c r="E14" s="38">
        <v>980</v>
      </c>
      <c r="F14" s="38">
        <v>980</v>
      </c>
      <c r="G14" s="40">
        <v>180</v>
      </c>
      <c r="H14" s="40">
        <v>496</v>
      </c>
      <c r="I14" s="40">
        <v>257</v>
      </c>
      <c r="J14" s="40">
        <v>483</v>
      </c>
      <c r="L14" s="40">
        <f t="shared" si="0"/>
        <v>207</v>
      </c>
      <c r="M14" s="40">
        <f t="shared" si="0"/>
        <v>570</v>
      </c>
      <c r="N14" s="40">
        <f t="shared" si="0"/>
        <v>296</v>
      </c>
      <c r="O14" s="40">
        <f t="shared" si="0"/>
        <v>555</v>
      </c>
      <c r="P14" s="146">
        <f t="shared" si="1"/>
        <v>135</v>
      </c>
      <c r="S14" s="143" t="s">
        <v>274</v>
      </c>
      <c r="T14" s="141">
        <v>0.75</v>
      </c>
      <c r="U14" s="144">
        <f>$T$3*T14</f>
        <v>0.75</v>
      </c>
    </row>
    <row r="15" spans="1:21" x14ac:dyDescent="0.25">
      <c r="A15" s="38">
        <v>3013</v>
      </c>
      <c r="B15" s="38" t="s">
        <v>93</v>
      </c>
      <c r="C15" s="38" t="s">
        <v>94</v>
      </c>
      <c r="D15" s="38" t="s">
        <v>118</v>
      </c>
      <c r="E15" s="38">
        <v>420</v>
      </c>
      <c r="F15" s="38">
        <v>780</v>
      </c>
      <c r="G15" s="40">
        <v>71</v>
      </c>
      <c r="H15" s="40">
        <v>219</v>
      </c>
      <c r="I15" s="40">
        <v>113</v>
      </c>
      <c r="J15" s="40">
        <v>213</v>
      </c>
      <c r="L15" s="40">
        <f t="shared" si="0"/>
        <v>82</v>
      </c>
      <c r="M15" s="40">
        <f t="shared" si="0"/>
        <v>252</v>
      </c>
      <c r="N15" s="40">
        <f t="shared" si="0"/>
        <v>130</v>
      </c>
      <c r="O15" s="40">
        <f t="shared" si="0"/>
        <v>245</v>
      </c>
      <c r="P15" s="146">
        <f t="shared" si="1"/>
        <v>53</v>
      </c>
      <c r="S15" s="140" t="s">
        <v>288</v>
      </c>
      <c r="T15" s="141">
        <v>0.75</v>
      </c>
      <c r="U15" s="142">
        <f>$T$3*T15</f>
        <v>0.75</v>
      </c>
    </row>
    <row r="16" spans="1:21" x14ac:dyDescent="0.25">
      <c r="A16" s="38">
        <v>3014</v>
      </c>
      <c r="B16" s="38" t="s">
        <v>93</v>
      </c>
      <c r="C16" s="38" t="s">
        <v>94</v>
      </c>
      <c r="D16" s="38" t="s">
        <v>119</v>
      </c>
      <c r="E16" s="38">
        <v>420</v>
      </c>
      <c r="F16" s="38">
        <v>980</v>
      </c>
      <c r="G16" s="40">
        <v>88</v>
      </c>
      <c r="H16" s="40">
        <v>247</v>
      </c>
      <c r="I16" s="40">
        <v>128</v>
      </c>
      <c r="J16" s="40">
        <v>241</v>
      </c>
      <c r="L16" s="40">
        <f t="shared" si="0"/>
        <v>101</v>
      </c>
      <c r="M16" s="40">
        <f t="shared" si="0"/>
        <v>284</v>
      </c>
      <c r="N16" s="40">
        <f t="shared" si="0"/>
        <v>147</v>
      </c>
      <c r="O16" s="40">
        <f t="shared" si="0"/>
        <v>277</v>
      </c>
      <c r="P16" s="146">
        <f t="shared" si="1"/>
        <v>66</v>
      </c>
      <c r="S16" s="143" t="s">
        <v>12</v>
      </c>
      <c r="T16" s="141">
        <v>0.88</v>
      </c>
      <c r="U16" s="144">
        <f>$T$3*T16</f>
        <v>0.88</v>
      </c>
    </row>
    <row r="17" spans="1:21" x14ac:dyDescent="0.25">
      <c r="A17" s="166" t="s">
        <v>120</v>
      </c>
      <c r="B17" s="38" t="s">
        <v>93</v>
      </c>
      <c r="C17" s="38" t="s">
        <v>94</v>
      </c>
      <c r="D17" s="38" t="s">
        <v>121</v>
      </c>
      <c r="E17" s="38">
        <v>420</v>
      </c>
      <c r="F17" s="38">
        <v>420</v>
      </c>
      <c r="G17" s="40">
        <v>56</v>
      </c>
      <c r="H17" s="40">
        <v>134</v>
      </c>
      <c r="I17" s="40">
        <v>69</v>
      </c>
      <c r="J17" s="40">
        <v>130</v>
      </c>
      <c r="L17" s="40">
        <f t="shared" si="0"/>
        <v>64</v>
      </c>
      <c r="M17" s="40">
        <f t="shared" si="0"/>
        <v>154</v>
      </c>
      <c r="N17" s="40">
        <f t="shared" si="0"/>
        <v>79</v>
      </c>
      <c r="O17" s="40">
        <f t="shared" si="0"/>
        <v>150</v>
      </c>
      <c r="P17" s="146">
        <f t="shared" si="1"/>
        <v>42</v>
      </c>
      <c r="S17" s="140" t="s">
        <v>317</v>
      </c>
      <c r="T17" s="141">
        <v>0.88</v>
      </c>
      <c r="U17" s="142">
        <f>$T$3*T17</f>
        <v>0.88</v>
      </c>
    </row>
    <row r="18" spans="1:21" x14ac:dyDescent="0.25">
      <c r="A18" s="38">
        <v>3100</v>
      </c>
      <c r="B18" s="38" t="s">
        <v>93</v>
      </c>
      <c r="C18" s="38" t="s">
        <v>122</v>
      </c>
      <c r="D18" s="38" t="s">
        <v>123</v>
      </c>
      <c r="E18" s="38">
        <v>360</v>
      </c>
      <c r="F18" s="38">
        <v>180</v>
      </c>
      <c r="G18" s="40">
        <v>34</v>
      </c>
      <c r="H18" s="40">
        <v>114</v>
      </c>
      <c r="I18" s="40">
        <v>89</v>
      </c>
      <c r="J18" s="40">
        <v>201</v>
      </c>
      <c r="L18" s="40">
        <f t="shared" si="0"/>
        <v>39</v>
      </c>
      <c r="M18" s="40">
        <f t="shared" si="0"/>
        <v>131</v>
      </c>
      <c r="N18" s="40">
        <f t="shared" si="0"/>
        <v>102</v>
      </c>
      <c r="O18" s="40">
        <f t="shared" si="0"/>
        <v>231</v>
      </c>
      <c r="P18" s="146">
        <f t="shared" si="1"/>
        <v>26</v>
      </c>
      <c r="S18" s="143" t="s">
        <v>330</v>
      </c>
      <c r="T18" s="141">
        <v>0.88</v>
      </c>
      <c r="U18" s="144">
        <f>$T$3*T18</f>
        <v>0.88</v>
      </c>
    </row>
    <row r="19" spans="1:21" x14ac:dyDescent="0.25">
      <c r="A19" s="38">
        <v>3101</v>
      </c>
      <c r="B19" s="38" t="s">
        <v>93</v>
      </c>
      <c r="C19" s="38" t="s">
        <v>122</v>
      </c>
      <c r="D19" s="38" t="s">
        <v>124</v>
      </c>
      <c r="E19" s="38">
        <v>360</v>
      </c>
      <c r="F19" s="38">
        <v>360</v>
      </c>
      <c r="G19" s="40">
        <v>34</v>
      </c>
      <c r="H19" s="40">
        <v>114</v>
      </c>
      <c r="I19" s="40">
        <v>89</v>
      </c>
      <c r="J19" s="40">
        <v>177</v>
      </c>
      <c r="L19" s="40">
        <f t="shared" si="0"/>
        <v>39</v>
      </c>
      <c r="M19" s="40">
        <f t="shared" si="0"/>
        <v>131</v>
      </c>
      <c r="N19" s="40">
        <f t="shared" si="0"/>
        <v>102</v>
      </c>
      <c r="O19" s="40">
        <f t="shared" si="0"/>
        <v>204</v>
      </c>
      <c r="P19" s="146">
        <f t="shared" si="1"/>
        <v>26</v>
      </c>
      <c r="S19" s="140" t="s">
        <v>14</v>
      </c>
      <c r="T19" s="141">
        <v>0.9</v>
      </c>
      <c r="U19" s="142">
        <f>$T$3*T19</f>
        <v>0.9</v>
      </c>
    </row>
    <row r="20" spans="1:21" x14ac:dyDescent="0.25">
      <c r="A20" s="38">
        <v>3102</v>
      </c>
      <c r="B20" s="38" t="s">
        <v>93</v>
      </c>
      <c r="C20" s="38" t="s">
        <v>122</v>
      </c>
      <c r="D20" s="38" t="s">
        <v>125</v>
      </c>
      <c r="E20" s="38">
        <v>360</v>
      </c>
      <c r="F20" s="38">
        <v>720</v>
      </c>
      <c r="G20" s="40">
        <v>52</v>
      </c>
      <c r="H20" s="40">
        <v>181</v>
      </c>
      <c r="I20" s="40">
        <v>143</v>
      </c>
      <c r="J20" s="40">
        <v>212</v>
      </c>
      <c r="L20" s="40">
        <f t="shared" si="0"/>
        <v>60</v>
      </c>
      <c r="M20" s="40">
        <f t="shared" si="0"/>
        <v>208</v>
      </c>
      <c r="N20" s="40">
        <f t="shared" si="0"/>
        <v>164</v>
      </c>
      <c r="O20" s="40">
        <f t="shared" si="0"/>
        <v>244</v>
      </c>
      <c r="P20" s="146">
        <f t="shared" si="1"/>
        <v>39</v>
      </c>
      <c r="S20" s="143" t="s">
        <v>374</v>
      </c>
      <c r="T20" s="141">
        <v>0.9</v>
      </c>
      <c r="U20" s="144">
        <f>$T$3*T20</f>
        <v>0.9</v>
      </c>
    </row>
    <row r="21" spans="1:21" x14ac:dyDescent="0.25">
      <c r="A21" s="38">
        <v>3103</v>
      </c>
      <c r="B21" s="38" t="s">
        <v>93</v>
      </c>
      <c r="C21" s="38" t="s">
        <v>122</v>
      </c>
      <c r="D21" s="38" t="s">
        <v>126</v>
      </c>
      <c r="E21" s="38">
        <v>360</v>
      </c>
      <c r="F21" s="38">
        <v>1080</v>
      </c>
      <c r="G21" s="40">
        <v>76</v>
      </c>
      <c r="H21" s="40">
        <v>267</v>
      </c>
      <c r="I21" s="40">
        <v>222</v>
      </c>
      <c r="J21" s="40">
        <v>240</v>
      </c>
      <c r="L21" s="40">
        <f t="shared" si="0"/>
        <v>87</v>
      </c>
      <c r="M21" s="40">
        <f t="shared" si="0"/>
        <v>307</v>
      </c>
      <c r="N21" s="40">
        <f t="shared" si="0"/>
        <v>255</v>
      </c>
      <c r="O21" s="40">
        <f t="shared" si="0"/>
        <v>276</v>
      </c>
      <c r="P21" s="146">
        <f t="shared" si="1"/>
        <v>57</v>
      </c>
      <c r="S21" s="140" t="s">
        <v>383</v>
      </c>
      <c r="T21" s="141">
        <v>0.9</v>
      </c>
      <c r="U21" s="142">
        <f>$T$3*T21</f>
        <v>0.9</v>
      </c>
    </row>
    <row r="22" spans="1:21" x14ac:dyDescent="0.25">
      <c r="A22" s="38">
        <v>3104</v>
      </c>
      <c r="B22" s="38" t="s">
        <v>93</v>
      </c>
      <c r="C22" s="38" t="s">
        <v>122</v>
      </c>
      <c r="D22" s="38" t="s">
        <v>127</v>
      </c>
      <c r="E22" s="38">
        <v>360</v>
      </c>
      <c r="F22" s="38">
        <v>1440</v>
      </c>
      <c r="G22" s="40">
        <v>100</v>
      </c>
      <c r="H22" s="40">
        <v>336</v>
      </c>
      <c r="I22" s="40">
        <v>281</v>
      </c>
      <c r="J22" s="40">
        <v>529</v>
      </c>
      <c r="L22" s="40">
        <f t="shared" si="0"/>
        <v>115</v>
      </c>
      <c r="M22" s="40">
        <f t="shared" si="0"/>
        <v>386</v>
      </c>
      <c r="N22" s="40">
        <f t="shared" si="0"/>
        <v>323</v>
      </c>
      <c r="O22" s="40">
        <f t="shared" si="0"/>
        <v>608</v>
      </c>
      <c r="P22" s="146">
        <f t="shared" si="1"/>
        <v>75</v>
      </c>
      <c r="S22" s="143" t="s">
        <v>397</v>
      </c>
      <c r="T22" s="141">
        <v>0.75</v>
      </c>
      <c r="U22" s="144">
        <f>$T$3*T22</f>
        <v>0.75</v>
      </c>
    </row>
    <row r="23" spans="1:21" x14ac:dyDescent="0.25">
      <c r="A23" s="38">
        <v>3105</v>
      </c>
      <c r="B23" s="38" t="s">
        <v>93</v>
      </c>
      <c r="C23" s="38" t="s">
        <v>122</v>
      </c>
      <c r="D23" s="38" t="s">
        <v>128</v>
      </c>
      <c r="E23" s="38">
        <v>360</v>
      </c>
      <c r="F23" s="38">
        <v>1800</v>
      </c>
      <c r="G23" s="40">
        <v>125</v>
      </c>
      <c r="H23" s="40">
        <v>246</v>
      </c>
      <c r="I23" s="40">
        <v>343</v>
      </c>
      <c r="J23" s="40">
        <v>645</v>
      </c>
      <c r="L23" s="40">
        <f t="shared" si="0"/>
        <v>144</v>
      </c>
      <c r="M23" s="40">
        <f t="shared" si="0"/>
        <v>283</v>
      </c>
      <c r="N23" s="40">
        <f t="shared" si="0"/>
        <v>394</v>
      </c>
      <c r="O23" s="40">
        <f t="shared" si="0"/>
        <v>742</v>
      </c>
      <c r="P23" s="146">
        <f t="shared" si="1"/>
        <v>94</v>
      </c>
      <c r="S23" s="140" t="s">
        <v>411</v>
      </c>
      <c r="T23" s="141">
        <v>0.8</v>
      </c>
      <c r="U23" s="142">
        <f>$T$3*T23</f>
        <v>0.8</v>
      </c>
    </row>
    <row r="24" spans="1:21" x14ac:dyDescent="0.25">
      <c r="A24" s="38">
        <v>3106</v>
      </c>
      <c r="B24" s="38" t="s">
        <v>93</v>
      </c>
      <c r="C24" s="38" t="s">
        <v>122</v>
      </c>
      <c r="D24" s="38" t="s">
        <v>129</v>
      </c>
      <c r="E24" s="38">
        <v>580</v>
      </c>
      <c r="F24" s="38">
        <v>180</v>
      </c>
      <c r="G24" s="40">
        <v>43</v>
      </c>
      <c r="H24" s="40">
        <v>161</v>
      </c>
      <c r="I24" s="40">
        <v>130</v>
      </c>
      <c r="J24" s="40">
        <v>208</v>
      </c>
      <c r="L24" s="40">
        <f t="shared" si="0"/>
        <v>49</v>
      </c>
      <c r="M24" s="40">
        <f t="shared" si="0"/>
        <v>185</v>
      </c>
      <c r="N24" s="40">
        <f t="shared" si="0"/>
        <v>150</v>
      </c>
      <c r="O24" s="40">
        <f t="shared" si="0"/>
        <v>239</v>
      </c>
      <c r="P24" s="146">
        <f t="shared" si="1"/>
        <v>32</v>
      </c>
      <c r="S24" s="143" t="s">
        <v>413</v>
      </c>
      <c r="T24" s="141">
        <v>0.8</v>
      </c>
      <c r="U24" s="144">
        <f>$T$3*T24</f>
        <v>0.8</v>
      </c>
    </row>
    <row r="25" spans="1:21" x14ac:dyDescent="0.25">
      <c r="A25" s="38">
        <v>3107</v>
      </c>
      <c r="B25" s="38" t="s">
        <v>93</v>
      </c>
      <c r="C25" s="38" t="s">
        <v>122</v>
      </c>
      <c r="D25" s="38" t="s">
        <v>130</v>
      </c>
      <c r="E25" s="38">
        <v>580</v>
      </c>
      <c r="F25" s="38">
        <v>360</v>
      </c>
      <c r="G25" s="40">
        <v>43</v>
      </c>
      <c r="H25" s="40">
        <v>161</v>
      </c>
      <c r="I25" s="40">
        <v>130</v>
      </c>
      <c r="J25" s="40">
        <v>185</v>
      </c>
      <c r="L25" s="40">
        <f t="shared" si="0"/>
        <v>49</v>
      </c>
      <c r="M25" s="40">
        <f t="shared" si="0"/>
        <v>185</v>
      </c>
      <c r="N25" s="40">
        <f t="shared" si="0"/>
        <v>150</v>
      </c>
      <c r="O25" s="40">
        <f t="shared" si="0"/>
        <v>213</v>
      </c>
      <c r="P25" s="146">
        <f t="shared" si="1"/>
        <v>32</v>
      </c>
      <c r="S25" s="140" t="s">
        <v>430</v>
      </c>
      <c r="T25" s="141">
        <v>0.8</v>
      </c>
      <c r="U25" s="142">
        <f>$T$3*T25</f>
        <v>0.8</v>
      </c>
    </row>
    <row r="26" spans="1:21" x14ac:dyDescent="0.25">
      <c r="A26" s="38">
        <v>3108</v>
      </c>
      <c r="B26" s="38" t="s">
        <v>93</v>
      </c>
      <c r="C26" s="38" t="s">
        <v>122</v>
      </c>
      <c r="D26" s="38" t="s">
        <v>131</v>
      </c>
      <c r="E26" s="38">
        <v>580</v>
      </c>
      <c r="F26" s="38">
        <v>720</v>
      </c>
      <c r="G26" s="40">
        <v>82</v>
      </c>
      <c r="H26" s="40">
        <v>262</v>
      </c>
      <c r="I26" s="40">
        <v>216</v>
      </c>
      <c r="J26" s="40">
        <v>245</v>
      </c>
      <c r="L26" s="40">
        <f t="shared" si="0"/>
        <v>94</v>
      </c>
      <c r="M26" s="40">
        <f t="shared" si="0"/>
        <v>301</v>
      </c>
      <c r="N26" s="40">
        <f t="shared" si="0"/>
        <v>248</v>
      </c>
      <c r="O26" s="40">
        <f t="shared" si="0"/>
        <v>282</v>
      </c>
      <c r="P26" s="146">
        <f t="shared" si="1"/>
        <v>62</v>
      </c>
      <c r="S26" s="143" t="s">
        <v>431</v>
      </c>
      <c r="T26" s="141">
        <v>0.8</v>
      </c>
      <c r="U26" s="144">
        <f>$T$3*T26</f>
        <v>0.8</v>
      </c>
    </row>
    <row r="27" spans="1:21" x14ac:dyDescent="0.25">
      <c r="A27" s="38">
        <v>3109</v>
      </c>
      <c r="B27" s="38" t="s">
        <v>93</v>
      </c>
      <c r="C27" s="38" t="s">
        <v>122</v>
      </c>
      <c r="D27" s="38" t="s">
        <v>132</v>
      </c>
      <c r="E27" s="38">
        <v>580</v>
      </c>
      <c r="F27" s="38">
        <v>1080</v>
      </c>
      <c r="G27" s="40">
        <v>119</v>
      </c>
      <c r="H27" s="40">
        <v>377</v>
      </c>
      <c r="I27" s="40">
        <v>300</v>
      </c>
      <c r="J27" s="40">
        <v>307</v>
      </c>
      <c r="L27" s="40">
        <f t="shared" si="0"/>
        <v>137</v>
      </c>
      <c r="M27" s="40">
        <f t="shared" si="0"/>
        <v>434</v>
      </c>
      <c r="N27" s="40">
        <f t="shared" si="0"/>
        <v>345</v>
      </c>
      <c r="O27" s="40">
        <f t="shared" si="0"/>
        <v>353</v>
      </c>
      <c r="P27" s="146">
        <f t="shared" si="1"/>
        <v>89</v>
      </c>
      <c r="S27" s="137" t="s">
        <v>437</v>
      </c>
      <c r="T27" s="138">
        <v>0.8</v>
      </c>
      <c r="U27" s="139">
        <f>$T$3*T27</f>
        <v>0.8</v>
      </c>
    </row>
    <row r="28" spans="1:21" x14ac:dyDescent="0.25">
      <c r="A28" s="38">
        <v>3110</v>
      </c>
      <c r="B28" s="38" t="s">
        <v>93</v>
      </c>
      <c r="C28" s="38" t="s">
        <v>122</v>
      </c>
      <c r="D28" s="38" t="s">
        <v>133</v>
      </c>
      <c r="E28" s="38">
        <v>580</v>
      </c>
      <c r="F28" s="38">
        <v>1440</v>
      </c>
      <c r="G28" s="40">
        <v>158</v>
      </c>
      <c r="H28" s="40">
        <v>484</v>
      </c>
      <c r="I28" s="40">
        <v>400</v>
      </c>
      <c r="J28" s="40">
        <v>752</v>
      </c>
      <c r="L28" s="40">
        <f t="shared" si="0"/>
        <v>182</v>
      </c>
      <c r="M28" s="40">
        <f t="shared" si="0"/>
        <v>557</v>
      </c>
      <c r="N28" s="40">
        <f t="shared" si="0"/>
        <v>460</v>
      </c>
      <c r="O28" s="40">
        <f t="shared" si="0"/>
        <v>865</v>
      </c>
      <c r="P28" s="146">
        <f t="shared" si="1"/>
        <v>119</v>
      </c>
    </row>
    <row r="29" spans="1:21" x14ac:dyDescent="0.25">
      <c r="A29" s="38">
        <v>3111</v>
      </c>
      <c r="B29" s="38" t="s">
        <v>93</v>
      </c>
      <c r="C29" s="38" t="s">
        <v>122</v>
      </c>
      <c r="D29" s="38" t="s">
        <v>134</v>
      </c>
      <c r="E29" s="38">
        <v>580</v>
      </c>
      <c r="F29" s="38">
        <v>1800</v>
      </c>
      <c r="G29" s="40">
        <v>197</v>
      </c>
      <c r="H29" s="40">
        <v>388</v>
      </c>
      <c r="I29" s="40">
        <v>467</v>
      </c>
      <c r="J29" s="40">
        <v>879</v>
      </c>
      <c r="L29" s="40">
        <f t="shared" si="0"/>
        <v>227</v>
      </c>
      <c r="M29" s="40">
        <f t="shared" si="0"/>
        <v>446</v>
      </c>
      <c r="N29" s="40">
        <f t="shared" si="0"/>
        <v>537</v>
      </c>
      <c r="O29" s="40">
        <f t="shared" si="0"/>
        <v>1011</v>
      </c>
      <c r="P29" s="146">
        <f t="shared" si="1"/>
        <v>148</v>
      </c>
      <c r="S29" s="132" t="s">
        <v>474</v>
      </c>
    </row>
    <row r="30" spans="1:21" x14ac:dyDescent="0.25">
      <c r="A30" s="38">
        <v>3112</v>
      </c>
      <c r="B30" s="38" t="s">
        <v>93</v>
      </c>
      <c r="C30" s="38" t="s">
        <v>122</v>
      </c>
      <c r="D30" s="38" t="s">
        <v>135</v>
      </c>
      <c r="E30" s="38">
        <v>180</v>
      </c>
      <c r="F30" s="38">
        <v>780</v>
      </c>
      <c r="G30" s="40">
        <v>56</v>
      </c>
      <c r="H30" s="40">
        <v>185</v>
      </c>
      <c r="I30" s="40">
        <v>144</v>
      </c>
      <c r="J30" s="40">
        <v>212</v>
      </c>
      <c r="L30" s="40">
        <f t="shared" si="0"/>
        <v>64</v>
      </c>
      <c r="M30" s="40">
        <f t="shared" si="0"/>
        <v>213</v>
      </c>
      <c r="N30" s="40">
        <f t="shared" si="0"/>
        <v>166</v>
      </c>
      <c r="O30" s="40">
        <f t="shared" si="0"/>
        <v>244</v>
      </c>
      <c r="P30" s="146">
        <f t="shared" si="1"/>
        <v>42</v>
      </c>
      <c r="S30" s="132" t="s">
        <v>475</v>
      </c>
    </row>
    <row r="31" spans="1:21" x14ac:dyDescent="0.25">
      <c r="A31" s="38">
        <v>3113</v>
      </c>
      <c r="B31" s="38" t="s">
        <v>93</v>
      </c>
      <c r="C31" s="38" t="s">
        <v>122</v>
      </c>
      <c r="D31" s="38" t="s">
        <v>136</v>
      </c>
      <c r="E31" s="38">
        <v>180</v>
      </c>
      <c r="F31" s="38">
        <v>980</v>
      </c>
      <c r="G31" s="40">
        <v>70</v>
      </c>
      <c r="H31" s="40">
        <v>223</v>
      </c>
      <c r="I31" s="40">
        <v>174</v>
      </c>
      <c r="J31" s="40">
        <v>229</v>
      </c>
      <c r="L31" s="40">
        <f t="shared" si="0"/>
        <v>81</v>
      </c>
      <c r="M31" s="40">
        <f t="shared" si="0"/>
        <v>256</v>
      </c>
      <c r="N31" s="40">
        <f t="shared" si="0"/>
        <v>200</v>
      </c>
      <c r="O31" s="40">
        <f t="shared" si="0"/>
        <v>263</v>
      </c>
      <c r="P31" s="146">
        <f t="shared" si="1"/>
        <v>53</v>
      </c>
      <c r="S31" s="132" t="s">
        <v>476</v>
      </c>
    </row>
    <row r="32" spans="1:21" x14ac:dyDescent="0.25">
      <c r="A32" s="38">
        <v>3114</v>
      </c>
      <c r="B32" s="38" t="s">
        <v>93</v>
      </c>
      <c r="C32" s="38" t="s">
        <v>122</v>
      </c>
      <c r="D32" s="38" t="s">
        <v>137</v>
      </c>
      <c r="E32" s="38">
        <v>360</v>
      </c>
      <c r="F32" s="38">
        <v>780</v>
      </c>
      <c r="G32" s="40">
        <v>56</v>
      </c>
      <c r="H32" s="40">
        <v>185</v>
      </c>
      <c r="I32" s="40">
        <v>144</v>
      </c>
      <c r="J32" s="40">
        <v>190</v>
      </c>
      <c r="L32" s="40">
        <f t="shared" si="0"/>
        <v>64</v>
      </c>
      <c r="M32" s="40">
        <f t="shared" si="0"/>
        <v>213</v>
      </c>
      <c r="N32" s="40">
        <f t="shared" si="0"/>
        <v>166</v>
      </c>
      <c r="O32" s="40">
        <f t="shared" si="0"/>
        <v>219</v>
      </c>
      <c r="P32" s="146">
        <f t="shared" si="1"/>
        <v>42</v>
      </c>
    </row>
    <row r="33" spans="1:16" x14ac:dyDescent="0.25">
      <c r="A33" s="38">
        <v>3115</v>
      </c>
      <c r="B33" s="38" t="s">
        <v>93</v>
      </c>
      <c r="C33" s="38" t="s">
        <v>122</v>
      </c>
      <c r="D33" s="38" t="s">
        <v>138</v>
      </c>
      <c r="E33" s="38">
        <v>360</v>
      </c>
      <c r="F33" s="38">
        <v>980</v>
      </c>
      <c r="G33" s="40">
        <v>70</v>
      </c>
      <c r="H33" s="40">
        <v>223</v>
      </c>
      <c r="I33" s="40">
        <v>174</v>
      </c>
      <c r="J33" s="40">
        <v>209</v>
      </c>
      <c r="L33" s="40">
        <f t="shared" si="0"/>
        <v>81</v>
      </c>
      <c r="M33" s="40">
        <f t="shared" si="0"/>
        <v>256</v>
      </c>
      <c r="N33" s="40">
        <f t="shared" si="0"/>
        <v>200</v>
      </c>
      <c r="O33" s="40">
        <f t="shared" si="0"/>
        <v>240</v>
      </c>
      <c r="P33" s="146">
        <f t="shared" si="1"/>
        <v>53</v>
      </c>
    </row>
    <row r="34" spans="1:16" x14ac:dyDescent="0.25">
      <c r="A34" s="38">
        <v>3116</v>
      </c>
      <c r="B34" s="38" t="s">
        <v>93</v>
      </c>
      <c r="C34" s="38" t="s">
        <v>122</v>
      </c>
      <c r="D34" s="38" t="s">
        <v>139</v>
      </c>
      <c r="E34" s="38">
        <v>720</v>
      </c>
      <c r="F34" s="38">
        <v>780</v>
      </c>
      <c r="G34" s="40">
        <v>107</v>
      </c>
      <c r="H34" s="40">
        <v>355</v>
      </c>
      <c r="I34" s="40">
        <v>277</v>
      </c>
      <c r="J34" s="40">
        <v>268</v>
      </c>
      <c r="L34" s="40">
        <f t="shared" si="0"/>
        <v>123</v>
      </c>
      <c r="M34" s="40">
        <f t="shared" si="0"/>
        <v>408</v>
      </c>
      <c r="N34" s="40">
        <f t="shared" si="0"/>
        <v>319</v>
      </c>
      <c r="O34" s="40">
        <f t="shared" si="0"/>
        <v>308</v>
      </c>
      <c r="P34" s="146">
        <f t="shared" si="1"/>
        <v>80</v>
      </c>
    </row>
    <row r="35" spans="1:16" x14ac:dyDescent="0.25">
      <c r="A35" s="38">
        <v>3117</v>
      </c>
      <c r="B35" s="38" t="s">
        <v>93</v>
      </c>
      <c r="C35" s="38" t="s">
        <v>122</v>
      </c>
      <c r="D35" s="38" t="s">
        <v>140</v>
      </c>
      <c r="E35" s="38">
        <v>720</v>
      </c>
      <c r="F35" s="38">
        <v>980</v>
      </c>
      <c r="G35" s="40">
        <v>134</v>
      </c>
      <c r="H35" s="40">
        <v>406</v>
      </c>
      <c r="I35" s="40">
        <v>320</v>
      </c>
      <c r="J35" s="40">
        <v>329</v>
      </c>
      <c r="L35" s="40">
        <f t="shared" si="0"/>
        <v>154</v>
      </c>
      <c r="M35" s="40">
        <f t="shared" si="0"/>
        <v>467</v>
      </c>
      <c r="N35" s="40">
        <f t="shared" si="0"/>
        <v>368</v>
      </c>
      <c r="O35" s="40">
        <f t="shared" si="0"/>
        <v>378</v>
      </c>
      <c r="P35" s="146">
        <f t="shared" si="1"/>
        <v>101</v>
      </c>
    </row>
    <row r="36" spans="1:16" x14ac:dyDescent="0.25">
      <c r="A36" s="38">
        <v>3118</v>
      </c>
      <c r="B36" s="38" t="s">
        <v>93</v>
      </c>
      <c r="C36" s="38" t="s">
        <v>122</v>
      </c>
      <c r="D36" s="38" t="s">
        <v>141</v>
      </c>
      <c r="E36" s="38">
        <v>1080</v>
      </c>
      <c r="F36" s="38">
        <v>780</v>
      </c>
      <c r="G36" s="40">
        <v>161</v>
      </c>
      <c r="H36" s="40">
        <v>517</v>
      </c>
      <c r="I36" s="40">
        <v>409</v>
      </c>
      <c r="J36" s="40">
        <v>385</v>
      </c>
      <c r="L36" s="40">
        <f t="shared" si="0"/>
        <v>185</v>
      </c>
      <c r="M36" s="40">
        <f t="shared" si="0"/>
        <v>595</v>
      </c>
      <c r="N36" s="40">
        <f t="shared" si="0"/>
        <v>470</v>
      </c>
      <c r="O36" s="40">
        <f t="shared" si="0"/>
        <v>443</v>
      </c>
      <c r="P36" s="146">
        <f t="shared" si="1"/>
        <v>121</v>
      </c>
    </row>
    <row r="37" spans="1:16" x14ac:dyDescent="0.25">
      <c r="A37" s="38">
        <v>3119</v>
      </c>
      <c r="B37" s="38" t="s">
        <v>93</v>
      </c>
      <c r="C37" s="38" t="s">
        <v>122</v>
      </c>
      <c r="D37" s="38" t="s">
        <v>142</v>
      </c>
      <c r="E37" s="38">
        <v>1080</v>
      </c>
      <c r="F37" s="38">
        <v>980</v>
      </c>
      <c r="G37" s="40">
        <v>200</v>
      </c>
      <c r="H37" s="40">
        <v>626</v>
      </c>
      <c r="I37" s="40">
        <v>474</v>
      </c>
      <c r="J37" s="40">
        <v>431</v>
      </c>
      <c r="L37" s="40">
        <f t="shared" si="0"/>
        <v>230</v>
      </c>
      <c r="M37" s="40">
        <f t="shared" si="0"/>
        <v>720</v>
      </c>
      <c r="N37" s="40">
        <f t="shared" si="0"/>
        <v>545</v>
      </c>
      <c r="O37" s="40">
        <f t="shared" si="0"/>
        <v>496</v>
      </c>
      <c r="P37" s="146">
        <f t="shared" si="1"/>
        <v>150</v>
      </c>
    </row>
    <row r="38" spans="1:16" x14ac:dyDescent="0.25">
      <c r="A38" s="38">
        <v>3120</v>
      </c>
      <c r="B38" s="38" t="s">
        <v>93</v>
      </c>
      <c r="C38" s="38" t="s">
        <v>122</v>
      </c>
      <c r="D38" s="38" t="s">
        <v>143</v>
      </c>
      <c r="E38" s="38">
        <v>1440</v>
      </c>
      <c r="F38" s="38">
        <v>780</v>
      </c>
      <c r="G38" s="40">
        <v>211</v>
      </c>
      <c r="H38" s="40">
        <v>630</v>
      </c>
      <c r="I38" s="40">
        <v>499</v>
      </c>
      <c r="J38" s="40">
        <v>939</v>
      </c>
      <c r="L38" s="40">
        <f t="shared" si="0"/>
        <v>243</v>
      </c>
      <c r="M38" s="40">
        <f t="shared" si="0"/>
        <v>725</v>
      </c>
      <c r="N38" s="40">
        <f t="shared" si="0"/>
        <v>574</v>
      </c>
      <c r="O38" s="40">
        <f t="shared" si="0"/>
        <v>1080</v>
      </c>
      <c r="P38" s="146">
        <f t="shared" si="1"/>
        <v>158</v>
      </c>
    </row>
    <row r="39" spans="1:16" x14ac:dyDescent="0.25">
      <c r="A39" s="38">
        <v>3121</v>
      </c>
      <c r="B39" s="38" t="s">
        <v>93</v>
      </c>
      <c r="C39" s="38" t="s">
        <v>122</v>
      </c>
      <c r="D39" s="38" t="s">
        <v>144</v>
      </c>
      <c r="E39" s="38">
        <v>1440</v>
      </c>
      <c r="F39" s="38">
        <v>980</v>
      </c>
      <c r="G39" s="40">
        <v>264</v>
      </c>
      <c r="H39" s="40">
        <v>778</v>
      </c>
      <c r="I39" s="40">
        <v>616</v>
      </c>
      <c r="J39" s="40">
        <v>1159</v>
      </c>
      <c r="L39" s="40">
        <f t="shared" si="0"/>
        <v>304</v>
      </c>
      <c r="M39" s="40">
        <f t="shared" si="0"/>
        <v>895</v>
      </c>
      <c r="N39" s="40">
        <f t="shared" si="0"/>
        <v>708</v>
      </c>
      <c r="O39" s="40">
        <f t="shared" si="0"/>
        <v>1333</v>
      </c>
      <c r="P39" s="146">
        <f t="shared" si="1"/>
        <v>198</v>
      </c>
    </row>
    <row r="40" spans="1:16" x14ac:dyDescent="0.25">
      <c r="A40" s="38">
        <v>3122</v>
      </c>
      <c r="B40" s="38" t="s">
        <v>93</v>
      </c>
      <c r="C40" s="38" t="s">
        <v>122</v>
      </c>
      <c r="D40" s="38" t="s">
        <v>145</v>
      </c>
      <c r="E40" s="38">
        <v>1800</v>
      </c>
      <c r="F40" s="38">
        <v>780</v>
      </c>
      <c r="G40" s="40">
        <v>264</v>
      </c>
      <c r="H40" s="40">
        <v>520</v>
      </c>
      <c r="I40" s="40">
        <v>612</v>
      </c>
      <c r="J40" s="40">
        <v>1151</v>
      </c>
      <c r="L40" s="40">
        <f t="shared" si="0"/>
        <v>304</v>
      </c>
      <c r="M40" s="40">
        <f t="shared" si="0"/>
        <v>598</v>
      </c>
      <c r="N40" s="40">
        <f t="shared" si="0"/>
        <v>704</v>
      </c>
      <c r="O40" s="40">
        <f t="shared" si="0"/>
        <v>1324</v>
      </c>
      <c r="P40" s="146">
        <f t="shared" si="1"/>
        <v>198</v>
      </c>
    </row>
    <row r="41" spans="1:16" x14ac:dyDescent="0.25">
      <c r="A41" s="38">
        <v>3123</v>
      </c>
      <c r="B41" s="38" t="s">
        <v>93</v>
      </c>
      <c r="C41" s="38" t="s">
        <v>122</v>
      </c>
      <c r="D41" s="38" t="s">
        <v>146</v>
      </c>
      <c r="E41" s="38">
        <v>1800</v>
      </c>
      <c r="F41" s="38">
        <v>980</v>
      </c>
      <c r="G41" s="40">
        <v>329</v>
      </c>
      <c r="H41" s="40">
        <v>648</v>
      </c>
      <c r="I41" s="40">
        <v>753</v>
      </c>
      <c r="J41" s="40">
        <v>1417</v>
      </c>
      <c r="L41" s="40">
        <f t="shared" si="0"/>
        <v>378</v>
      </c>
      <c r="M41" s="40">
        <f t="shared" si="0"/>
        <v>745</v>
      </c>
      <c r="N41" s="40">
        <f t="shared" si="0"/>
        <v>866</v>
      </c>
      <c r="O41" s="40">
        <f t="shared" si="0"/>
        <v>1630</v>
      </c>
      <c r="P41" s="146">
        <f t="shared" si="1"/>
        <v>247</v>
      </c>
    </row>
    <row r="42" spans="1:16" x14ac:dyDescent="0.25">
      <c r="A42" s="38">
        <v>3124</v>
      </c>
      <c r="B42" s="38" t="s">
        <v>93</v>
      </c>
      <c r="C42" s="38" t="s">
        <v>122</v>
      </c>
      <c r="D42" s="38" t="s">
        <v>147</v>
      </c>
      <c r="E42" s="38">
        <v>580</v>
      </c>
      <c r="F42" s="38">
        <v>580</v>
      </c>
      <c r="G42" s="40">
        <v>67</v>
      </c>
      <c r="H42" s="40">
        <v>228</v>
      </c>
      <c r="I42" s="40">
        <v>183</v>
      </c>
      <c r="J42" s="40">
        <v>191</v>
      </c>
      <c r="L42" s="40">
        <f t="shared" si="0"/>
        <v>77</v>
      </c>
      <c r="M42" s="40">
        <f t="shared" si="0"/>
        <v>262</v>
      </c>
      <c r="N42" s="40">
        <f t="shared" si="0"/>
        <v>210</v>
      </c>
      <c r="O42" s="40">
        <f t="shared" si="0"/>
        <v>220</v>
      </c>
      <c r="P42" s="146">
        <f t="shared" si="1"/>
        <v>50</v>
      </c>
    </row>
    <row r="43" spans="1:16" x14ac:dyDescent="0.25">
      <c r="A43" s="38" t="s">
        <v>148</v>
      </c>
      <c r="B43" s="38" t="s">
        <v>93</v>
      </c>
      <c r="C43" s="38" t="s">
        <v>122</v>
      </c>
      <c r="D43" s="38" t="s">
        <v>149</v>
      </c>
      <c r="E43" s="38">
        <v>660</v>
      </c>
      <c r="F43" s="38">
        <v>360</v>
      </c>
      <c r="G43" s="40">
        <v>162</v>
      </c>
      <c r="H43" s="40">
        <v>319</v>
      </c>
      <c r="I43" s="40">
        <v>165</v>
      </c>
      <c r="J43" s="40">
        <v>310</v>
      </c>
      <c r="L43" s="40">
        <f t="shared" si="0"/>
        <v>186</v>
      </c>
      <c r="M43" s="40">
        <f t="shared" si="0"/>
        <v>367</v>
      </c>
      <c r="N43" s="40">
        <f t="shared" si="0"/>
        <v>190</v>
      </c>
      <c r="O43" s="40">
        <f t="shared" si="0"/>
        <v>357</v>
      </c>
      <c r="P43" s="146">
        <f t="shared" si="1"/>
        <v>122</v>
      </c>
    </row>
    <row r="44" spans="1:16" x14ac:dyDescent="0.25">
      <c r="A44" s="38">
        <v>3200</v>
      </c>
      <c r="B44" s="38" t="s">
        <v>93</v>
      </c>
      <c r="C44" s="38" t="s">
        <v>150</v>
      </c>
      <c r="D44" s="38" t="s">
        <v>151</v>
      </c>
      <c r="E44" s="38">
        <v>360</v>
      </c>
      <c r="F44" s="38">
        <v>360</v>
      </c>
      <c r="G44" s="40">
        <v>34</v>
      </c>
      <c r="H44" s="40">
        <v>114</v>
      </c>
      <c r="I44" s="40">
        <v>89</v>
      </c>
      <c r="J44" s="40">
        <v>177</v>
      </c>
      <c r="L44" s="40">
        <f t="shared" si="0"/>
        <v>39</v>
      </c>
      <c r="M44" s="40">
        <f t="shared" si="0"/>
        <v>131</v>
      </c>
      <c r="N44" s="40">
        <f t="shared" si="0"/>
        <v>102</v>
      </c>
      <c r="O44" s="40">
        <f t="shared" si="0"/>
        <v>204</v>
      </c>
      <c r="P44" s="146">
        <f t="shared" si="1"/>
        <v>26</v>
      </c>
    </row>
    <row r="45" spans="1:16" x14ac:dyDescent="0.25">
      <c r="A45" s="38">
        <v>3201</v>
      </c>
      <c r="B45" s="38" t="s">
        <v>93</v>
      </c>
      <c r="C45" s="38" t="s">
        <v>150</v>
      </c>
      <c r="D45" s="38" t="s">
        <v>152</v>
      </c>
      <c r="E45" s="38">
        <v>360</v>
      </c>
      <c r="F45" s="38">
        <v>720</v>
      </c>
      <c r="G45" s="40">
        <v>52</v>
      </c>
      <c r="H45" s="40">
        <v>181</v>
      </c>
      <c r="I45" s="40">
        <v>143</v>
      </c>
      <c r="J45" s="40">
        <v>212</v>
      </c>
      <c r="L45" s="40">
        <f t="shared" si="0"/>
        <v>60</v>
      </c>
      <c r="M45" s="40">
        <f t="shared" si="0"/>
        <v>208</v>
      </c>
      <c r="N45" s="40">
        <f t="shared" si="0"/>
        <v>164</v>
      </c>
      <c r="O45" s="40">
        <f t="shared" si="0"/>
        <v>244</v>
      </c>
      <c r="P45" s="146">
        <f t="shared" si="1"/>
        <v>39</v>
      </c>
    </row>
    <row r="46" spans="1:16" x14ac:dyDescent="0.25">
      <c r="A46" s="38">
        <v>3202</v>
      </c>
      <c r="B46" s="38" t="s">
        <v>93</v>
      </c>
      <c r="C46" s="38" t="s">
        <v>150</v>
      </c>
      <c r="D46" s="38" t="s">
        <v>153</v>
      </c>
      <c r="E46" s="38">
        <v>360</v>
      </c>
      <c r="F46" s="38">
        <v>1080</v>
      </c>
      <c r="G46" s="40">
        <v>76</v>
      </c>
      <c r="H46" s="40">
        <v>267</v>
      </c>
      <c r="I46" s="40">
        <v>222</v>
      </c>
      <c r="J46" s="40">
        <v>240</v>
      </c>
      <c r="L46" s="40">
        <f t="shared" si="0"/>
        <v>87</v>
      </c>
      <c r="M46" s="40">
        <f t="shared" si="0"/>
        <v>307</v>
      </c>
      <c r="N46" s="40">
        <f t="shared" si="0"/>
        <v>255</v>
      </c>
      <c r="O46" s="40">
        <f t="shared" si="0"/>
        <v>276</v>
      </c>
      <c r="P46" s="146">
        <f t="shared" si="1"/>
        <v>57</v>
      </c>
    </row>
    <row r="47" spans="1:16" x14ac:dyDescent="0.25">
      <c r="A47" s="38">
        <v>3203</v>
      </c>
      <c r="B47" s="38" t="s">
        <v>93</v>
      </c>
      <c r="C47" s="38" t="s">
        <v>150</v>
      </c>
      <c r="D47" s="38" t="s">
        <v>154</v>
      </c>
      <c r="E47" s="38">
        <v>360</v>
      </c>
      <c r="F47" s="38">
        <v>1440</v>
      </c>
      <c r="G47" s="40">
        <v>100</v>
      </c>
      <c r="H47" s="40">
        <v>336</v>
      </c>
      <c r="I47" s="40">
        <v>281</v>
      </c>
      <c r="J47" s="40">
        <v>529</v>
      </c>
      <c r="L47" s="40">
        <f t="shared" si="0"/>
        <v>115</v>
      </c>
      <c r="M47" s="40">
        <f t="shared" si="0"/>
        <v>386</v>
      </c>
      <c r="N47" s="40">
        <f t="shared" si="0"/>
        <v>323</v>
      </c>
      <c r="O47" s="40">
        <f t="shared" si="0"/>
        <v>608</v>
      </c>
      <c r="P47" s="146">
        <f t="shared" si="1"/>
        <v>75</v>
      </c>
    </row>
    <row r="48" spans="1:16" x14ac:dyDescent="0.25">
      <c r="A48" s="38">
        <v>3204</v>
      </c>
      <c r="B48" s="38" t="s">
        <v>93</v>
      </c>
      <c r="C48" s="38" t="s">
        <v>150</v>
      </c>
      <c r="D48" s="38" t="s">
        <v>155</v>
      </c>
      <c r="E48" s="38">
        <v>360</v>
      </c>
      <c r="F48" s="38">
        <v>1800</v>
      </c>
      <c r="G48" s="40">
        <v>125</v>
      </c>
      <c r="H48" s="40">
        <v>246</v>
      </c>
      <c r="I48" s="40">
        <v>343</v>
      </c>
      <c r="J48" s="40">
        <v>645</v>
      </c>
      <c r="L48" s="40">
        <f t="shared" si="0"/>
        <v>144</v>
      </c>
      <c r="M48" s="40">
        <f t="shared" si="0"/>
        <v>283</v>
      </c>
      <c r="N48" s="40">
        <f t="shared" si="0"/>
        <v>394</v>
      </c>
      <c r="O48" s="40">
        <f t="shared" si="0"/>
        <v>742</v>
      </c>
      <c r="P48" s="146">
        <f t="shared" si="1"/>
        <v>94</v>
      </c>
    </row>
    <row r="49" spans="1:16" x14ac:dyDescent="0.25">
      <c r="A49" s="38">
        <v>3205</v>
      </c>
      <c r="B49" s="38" t="s">
        <v>93</v>
      </c>
      <c r="C49" s="38" t="s">
        <v>150</v>
      </c>
      <c r="D49" s="38" t="s">
        <v>156</v>
      </c>
      <c r="E49" s="38">
        <v>580</v>
      </c>
      <c r="F49" s="38">
        <v>360</v>
      </c>
      <c r="G49" s="40">
        <v>43</v>
      </c>
      <c r="H49" s="40">
        <v>161</v>
      </c>
      <c r="I49" s="40">
        <v>130</v>
      </c>
      <c r="J49" s="40">
        <v>185</v>
      </c>
      <c r="L49" s="40">
        <f t="shared" si="0"/>
        <v>49</v>
      </c>
      <c r="M49" s="40">
        <f t="shared" si="0"/>
        <v>185</v>
      </c>
      <c r="N49" s="40">
        <f t="shared" si="0"/>
        <v>150</v>
      </c>
      <c r="O49" s="40">
        <f t="shared" si="0"/>
        <v>213</v>
      </c>
      <c r="P49" s="146">
        <f t="shared" si="1"/>
        <v>32</v>
      </c>
    </row>
    <row r="50" spans="1:16" x14ac:dyDescent="0.25">
      <c r="A50" s="38">
        <v>3206</v>
      </c>
      <c r="B50" s="38" t="s">
        <v>93</v>
      </c>
      <c r="C50" s="38" t="s">
        <v>150</v>
      </c>
      <c r="D50" s="38" t="s">
        <v>157</v>
      </c>
      <c r="E50" s="38">
        <v>580</v>
      </c>
      <c r="F50" s="38">
        <v>720</v>
      </c>
      <c r="G50" s="40">
        <v>82</v>
      </c>
      <c r="H50" s="40">
        <v>262</v>
      </c>
      <c r="I50" s="40">
        <v>216</v>
      </c>
      <c r="J50" s="40">
        <v>245</v>
      </c>
      <c r="L50" s="40">
        <f t="shared" si="0"/>
        <v>94</v>
      </c>
      <c r="M50" s="40">
        <f t="shared" si="0"/>
        <v>301</v>
      </c>
      <c r="N50" s="40">
        <f t="shared" si="0"/>
        <v>248</v>
      </c>
      <c r="O50" s="40">
        <f t="shared" si="0"/>
        <v>282</v>
      </c>
      <c r="P50" s="146">
        <f t="shared" si="1"/>
        <v>62</v>
      </c>
    </row>
    <row r="51" spans="1:16" x14ac:dyDescent="0.25">
      <c r="A51" s="38">
        <v>3207</v>
      </c>
      <c r="B51" s="38" t="s">
        <v>93</v>
      </c>
      <c r="C51" s="38" t="s">
        <v>150</v>
      </c>
      <c r="D51" s="38" t="s">
        <v>158</v>
      </c>
      <c r="E51" s="38">
        <v>580</v>
      </c>
      <c r="F51" s="38">
        <v>1080</v>
      </c>
      <c r="G51" s="40">
        <v>119</v>
      </c>
      <c r="H51" s="40">
        <v>377</v>
      </c>
      <c r="I51" s="40">
        <v>300</v>
      </c>
      <c r="J51" s="40">
        <v>307</v>
      </c>
      <c r="L51" s="40">
        <f t="shared" si="0"/>
        <v>137</v>
      </c>
      <c r="M51" s="40">
        <f t="shared" si="0"/>
        <v>434</v>
      </c>
      <c r="N51" s="40">
        <f t="shared" si="0"/>
        <v>345</v>
      </c>
      <c r="O51" s="40">
        <f t="shared" si="0"/>
        <v>353</v>
      </c>
      <c r="P51" s="146">
        <f t="shared" si="1"/>
        <v>89</v>
      </c>
    </row>
    <row r="52" spans="1:16" x14ac:dyDescent="0.25">
      <c r="A52" s="38">
        <v>3208</v>
      </c>
      <c r="B52" s="38" t="s">
        <v>93</v>
      </c>
      <c r="C52" s="38" t="s">
        <v>150</v>
      </c>
      <c r="D52" s="38" t="s">
        <v>159</v>
      </c>
      <c r="E52" s="38">
        <v>580</v>
      </c>
      <c r="F52" s="38">
        <v>1440</v>
      </c>
      <c r="G52" s="40">
        <v>158</v>
      </c>
      <c r="H52" s="40">
        <v>484</v>
      </c>
      <c r="I52" s="40">
        <v>400</v>
      </c>
      <c r="J52" s="40">
        <v>752</v>
      </c>
      <c r="L52" s="40">
        <f t="shared" si="0"/>
        <v>182</v>
      </c>
      <c r="M52" s="40">
        <f t="shared" si="0"/>
        <v>557</v>
      </c>
      <c r="N52" s="40">
        <f t="shared" si="0"/>
        <v>460</v>
      </c>
      <c r="O52" s="40">
        <f t="shared" si="0"/>
        <v>865</v>
      </c>
      <c r="P52" s="146">
        <f t="shared" si="1"/>
        <v>119</v>
      </c>
    </row>
    <row r="53" spans="1:16" x14ac:dyDescent="0.25">
      <c r="A53" s="38">
        <v>3209</v>
      </c>
      <c r="B53" s="38" t="s">
        <v>93</v>
      </c>
      <c r="C53" s="38" t="s">
        <v>150</v>
      </c>
      <c r="D53" s="38" t="s">
        <v>160</v>
      </c>
      <c r="E53" s="38">
        <v>580</v>
      </c>
      <c r="F53" s="38">
        <v>1800</v>
      </c>
      <c r="G53" s="40">
        <v>197</v>
      </c>
      <c r="H53" s="40">
        <v>388</v>
      </c>
      <c r="I53" s="40">
        <v>467</v>
      </c>
      <c r="J53" s="40">
        <v>879</v>
      </c>
      <c r="L53" s="40">
        <f t="shared" si="0"/>
        <v>227</v>
      </c>
      <c r="M53" s="40">
        <f t="shared" si="0"/>
        <v>446</v>
      </c>
      <c r="N53" s="40">
        <f t="shared" si="0"/>
        <v>537</v>
      </c>
      <c r="O53" s="40">
        <f t="shared" si="0"/>
        <v>1011</v>
      </c>
      <c r="P53" s="146">
        <f t="shared" si="1"/>
        <v>148</v>
      </c>
    </row>
    <row r="54" spans="1:16" x14ac:dyDescent="0.25">
      <c r="A54" s="38">
        <v>3210</v>
      </c>
      <c r="B54" s="38" t="s">
        <v>93</v>
      </c>
      <c r="C54" s="38" t="s">
        <v>150</v>
      </c>
      <c r="D54" s="38" t="s">
        <v>161</v>
      </c>
      <c r="E54" s="38">
        <v>180</v>
      </c>
      <c r="F54" s="38">
        <v>780</v>
      </c>
      <c r="G54" s="40">
        <v>56</v>
      </c>
      <c r="H54" s="40">
        <v>185</v>
      </c>
      <c r="I54" s="40">
        <v>144</v>
      </c>
      <c r="J54" s="40">
        <v>212</v>
      </c>
      <c r="L54" s="40">
        <f t="shared" si="0"/>
        <v>64</v>
      </c>
      <c r="M54" s="40">
        <f t="shared" si="0"/>
        <v>213</v>
      </c>
      <c r="N54" s="40">
        <f t="shared" si="0"/>
        <v>166</v>
      </c>
      <c r="O54" s="40">
        <f t="shared" si="0"/>
        <v>244</v>
      </c>
      <c r="P54" s="146">
        <f t="shared" si="1"/>
        <v>42</v>
      </c>
    </row>
    <row r="55" spans="1:16" x14ac:dyDescent="0.25">
      <c r="A55" s="38">
        <v>3211</v>
      </c>
      <c r="B55" s="38" t="s">
        <v>93</v>
      </c>
      <c r="C55" s="38" t="s">
        <v>150</v>
      </c>
      <c r="D55" s="38" t="s">
        <v>162</v>
      </c>
      <c r="E55" s="38">
        <v>180</v>
      </c>
      <c r="F55" s="38">
        <v>980</v>
      </c>
      <c r="G55" s="40">
        <v>70</v>
      </c>
      <c r="H55" s="40">
        <v>223</v>
      </c>
      <c r="I55" s="40">
        <v>174</v>
      </c>
      <c r="J55" s="40">
        <v>229</v>
      </c>
      <c r="L55" s="40">
        <f t="shared" si="0"/>
        <v>81</v>
      </c>
      <c r="M55" s="40">
        <f t="shared" si="0"/>
        <v>256</v>
      </c>
      <c r="N55" s="40">
        <f t="shared" si="0"/>
        <v>200</v>
      </c>
      <c r="O55" s="40">
        <f t="shared" si="0"/>
        <v>263</v>
      </c>
      <c r="P55" s="146">
        <f t="shared" si="1"/>
        <v>53</v>
      </c>
    </row>
    <row r="56" spans="1:16" x14ac:dyDescent="0.25">
      <c r="A56" s="38">
        <v>3212</v>
      </c>
      <c r="B56" s="38" t="s">
        <v>93</v>
      </c>
      <c r="C56" s="38" t="s">
        <v>150</v>
      </c>
      <c r="D56" s="38" t="s">
        <v>163</v>
      </c>
      <c r="E56" s="38">
        <v>360</v>
      </c>
      <c r="F56" s="38">
        <v>780</v>
      </c>
      <c r="G56" s="40">
        <v>56</v>
      </c>
      <c r="H56" s="40">
        <v>185</v>
      </c>
      <c r="I56" s="40">
        <v>144</v>
      </c>
      <c r="J56" s="40">
        <v>190</v>
      </c>
      <c r="L56" s="40">
        <f t="shared" si="0"/>
        <v>64</v>
      </c>
      <c r="M56" s="40">
        <f t="shared" si="0"/>
        <v>213</v>
      </c>
      <c r="N56" s="40">
        <f t="shared" si="0"/>
        <v>166</v>
      </c>
      <c r="O56" s="40">
        <f t="shared" si="0"/>
        <v>219</v>
      </c>
      <c r="P56" s="146">
        <f t="shared" si="1"/>
        <v>42</v>
      </c>
    </row>
    <row r="57" spans="1:16" x14ac:dyDescent="0.25">
      <c r="A57" s="38">
        <v>3213</v>
      </c>
      <c r="B57" s="38" t="s">
        <v>93</v>
      </c>
      <c r="C57" s="38" t="s">
        <v>150</v>
      </c>
      <c r="D57" s="38" t="s">
        <v>164</v>
      </c>
      <c r="E57" s="38">
        <v>360</v>
      </c>
      <c r="F57" s="38">
        <v>980</v>
      </c>
      <c r="G57" s="40">
        <v>70</v>
      </c>
      <c r="H57" s="40">
        <v>223</v>
      </c>
      <c r="I57" s="40">
        <v>174</v>
      </c>
      <c r="J57" s="40">
        <v>209</v>
      </c>
      <c r="L57" s="40">
        <f t="shared" si="0"/>
        <v>81</v>
      </c>
      <c r="M57" s="40">
        <f t="shared" si="0"/>
        <v>256</v>
      </c>
      <c r="N57" s="40">
        <f t="shared" si="0"/>
        <v>200</v>
      </c>
      <c r="O57" s="40">
        <f t="shared" si="0"/>
        <v>240</v>
      </c>
      <c r="P57" s="146">
        <f t="shared" si="1"/>
        <v>53</v>
      </c>
    </row>
    <row r="58" spans="1:16" x14ac:dyDescent="0.25">
      <c r="A58" s="38">
        <v>3214</v>
      </c>
      <c r="B58" s="38" t="s">
        <v>93</v>
      </c>
      <c r="C58" s="38" t="s">
        <v>150</v>
      </c>
      <c r="D58" s="38" t="s">
        <v>165</v>
      </c>
      <c r="E58" s="38">
        <v>720</v>
      </c>
      <c r="F58" s="38">
        <v>780</v>
      </c>
      <c r="G58" s="40">
        <v>107</v>
      </c>
      <c r="H58" s="40">
        <v>355</v>
      </c>
      <c r="I58" s="40">
        <v>277</v>
      </c>
      <c r="J58" s="40">
        <v>268</v>
      </c>
      <c r="L58" s="40">
        <f t="shared" si="0"/>
        <v>123</v>
      </c>
      <c r="M58" s="40">
        <f t="shared" si="0"/>
        <v>408</v>
      </c>
      <c r="N58" s="40">
        <f t="shared" si="0"/>
        <v>319</v>
      </c>
      <c r="O58" s="40">
        <f t="shared" si="0"/>
        <v>308</v>
      </c>
      <c r="P58" s="146">
        <f t="shared" si="1"/>
        <v>80</v>
      </c>
    </row>
    <row r="59" spans="1:16" x14ac:dyDescent="0.25">
      <c r="A59" s="38">
        <v>3215</v>
      </c>
      <c r="B59" s="38" t="s">
        <v>93</v>
      </c>
      <c r="C59" s="38" t="s">
        <v>150</v>
      </c>
      <c r="D59" s="38" t="s">
        <v>166</v>
      </c>
      <c r="E59" s="38">
        <v>720</v>
      </c>
      <c r="F59" s="38">
        <v>980</v>
      </c>
      <c r="G59" s="40">
        <v>134</v>
      </c>
      <c r="H59" s="40">
        <v>406</v>
      </c>
      <c r="I59" s="40">
        <v>320</v>
      </c>
      <c r="J59" s="40">
        <v>329</v>
      </c>
      <c r="L59" s="40">
        <f t="shared" si="0"/>
        <v>154</v>
      </c>
      <c r="M59" s="40">
        <f t="shared" si="0"/>
        <v>467</v>
      </c>
      <c r="N59" s="40">
        <f t="shared" si="0"/>
        <v>368</v>
      </c>
      <c r="O59" s="40">
        <f t="shared" si="0"/>
        <v>378</v>
      </c>
      <c r="P59" s="146">
        <f t="shared" si="1"/>
        <v>101</v>
      </c>
    </row>
    <row r="60" spans="1:16" x14ac:dyDescent="0.25">
      <c r="A60" s="38">
        <v>3216</v>
      </c>
      <c r="B60" s="38" t="s">
        <v>93</v>
      </c>
      <c r="C60" s="38" t="s">
        <v>150</v>
      </c>
      <c r="D60" s="38" t="s">
        <v>167</v>
      </c>
      <c r="E60" s="38">
        <v>1080</v>
      </c>
      <c r="F60" s="38">
        <v>780</v>
      </c>
      <c r="G60" s="40">
        <v>161</v>
      </c>
      <c r="H60" s="40">
        <v>517</v>
      </c>
      <c r="I60" s="40">
        <v>409</v>
      </c>
      <c r="J60" s="40">
        <v>385</v>
      </c>
      <c r="L60" s="40">
        <f t="shared" si="0"/>
        <v>185</v>
      </c>
      <c r="M60" s="40">
        <f t="shared" si="0"/>
        <v>595</v>
      </c>
      <c r="N60" s="40">
        <f t="shared" si="0"/>
        <v>470</v>
      </c>
      <c r="O60" s="40">
        <f t="shared" si="0"/>
        <v>443</v>
      </c>
      <c r="P60" s="146">
        <f t="shared" si="1"/>
        <v>121</v>
      </c>
    </row>
    <row r="61" spans="1:16" x14ac:dyDescent="0.25">
      <c r="A61" s="38">
        <v>3217</v>
      </c>
      <c r="B61" s="38" t="s">
        <v>93</v>
      </c>
      <c r="C61" s="38" t="s">
        <v>150</v>
      </c>
      <c r="D61" s="38" t="s">
        <v>168</v>
      </c>
      <c r="E61" s="38">
        <v>1080</v>
      </c>
      <c r="F61" s="38">
        <v>980</v>
      </c>
      <c r="G61" s="40">
        <v>200</v>
      </c>
      <c r="H61" s="40">
        <v>626</v>
      </c>
      <c r="I61" s="40">
        <v>474</v>
      </c>
      <c r="J61" s="40">
        <v>431</v>
      </c>
      <c r="L61" s="40">
        <f t="shared" si="0"/>
        <v>230</v>
      </c>
      <c r="M61" s="40">
        <f t="shared" si="0"/>
        <v>720</v>
      </c>
      <c r="N61" s="40">
        <f t="shared" si="0"/>
        <v>545</v>
      </c>
      <c r="O61" s="40">
        <f t="shared" si="0"/>
        <v>496</v>
      </c>
      <c r="P61" s="146">
        <f t="shared" si="1"/>
        <v>150</v>
      </c>
    </row>
    <row r="62" spans="1:16" x14ac:dyDescent="0.25">
      <c r="A62" s="38">
        <v>3218</v>
      </c>
      <c r="B62" s="38" t="s">
        <v>93</v>
      </c>
      <c r="C62" s="38" t="s">
        <v>150</v>
      </c>
      <c r="D62" s="38" t="s">
        <v>169</v>
      </c>
      <c r="E62" s="38">
        <v>1440</v>
      </c>
      <c r="F62" s="38">
        <v>780</v>
      </c>
      <c r="G62" s="40">
        <v>211</v>
      </c>
      <c r="H62" s="40">
        <v>630</v>
      </c>
      <c r="I62" s="40">
        <v>499</v>
      </c>
      <c r="J62" s="40">
        <v>939</v>
      </c>
      <c r="L62" s="40">
        <f t="shared" si="0"/>
        <v>243</v>
      </c>
      <c r="M62" s="40">
        <f t="shared" si="0"/>
        <v>725</v>
      </c>
      <c r="N62" s="40">
        <f t="shared" si="0"/>
        <v>574</v>
      </c>
      <c r="O62" s="40">
        <f t="shared" si="0"/>
        <v>1080</v>
      </c>
      <c r="P62" s="146">
        <f t="shared" si="1"/>
        <v>158</v>
      </c>
    </row>
    <row r="63" spans="1:16" x14ac:dyDescent="0.25">
      <c r="A63" s="38">
        <v>3219</v>
      </c>
      <c r="B63" s="38" t="s">
        <v>93</v>
      </c>
      <c r="C63" s="38" t="s">
        <v>150</v>
      </c>
      <c r="D63" s="38" t="s">
        <v>170</v>
      </c>
      <c r="E63" s="38">
        <v>1440</v>
      </c>
      <c r="F63" s="38">
        <v>980</v>
      </c>
      <c r="G63" s="40">
        <v>264</v>
      </c>
      <c r="H63" s="40">
        <v>778</v>
      </c>
      <c r="I63" s="40">
        <v>616</v>
      </c>
      <c r="J63" s="40">
        <v>1159</v>
      </c>
      <c r="L63" s="40">
        <f t="shared" si="0"/>
        <v>304</v>
      </c>
      <c r="M63" s="40">
        <f t="shared" si="0"/>
        <v>895</v>
      </c>
      <c r="N63" s="40">
        <f t="shared" si="0"/>
        <v>708</v>
      </c>
      <c r="O63" s="40">
        <f t="shared" si="0"/>
        <v>1333</v>
      </c>
      <c r="P63" s="146">
        <f t="shared" si="1"/>
        <v>198</v>
      </c>
    </row>
    <row r="64" spans="1:16" x14ac:dyDescent="0.25">
      <c r="A64" s="38">
        <v>3220</v>
      </c>
      <c r="B64" s="38" t="s">
        <v>93</v>
      </c>
      <c r="C64" s="38" t="s">
        <v>150</v>
      </c>
      <c r="D64" s="38" t="s">
        <v>171</v>
      </c>
      <c r="E64" s="38">
        <v>1800</v>
      </c>
      <c r="F64" s="38">
        <v>780</v>
      </c>
      <c r="G64" s="40">
        <v>264</v>
      </c>
      <c r="H64" s="40">
        <v>520</v>
      </c>
      <c r="I64" s="40">
        <v>612</v>
      </c>
      <c r="J64" s="40">
        <v>1151</v>
      </c>
      <c r="L64" s="40">
        <f t="shared" si="0"/>
        <v>304</v>
      </c>
      <c r="M64" s="40">
        <f t="shared" si="0"/>
        <v>598</v>
      </c>
      <c r="N64" s="40">
        <f t="shared" si="0"/>
        <v>704</v>
      </c>
      <c r="O64" s="40">
        <f t="shared" si="0"/>
        <v>1324</v>
      </c>
      <c r="P64" s="146">
        <f t="shared" si="1"/>
        <v>198</v>
      </c>
    </row>
    <row r="65" spans="1:16" x14ac:dyDescent="0.25">
      <c r="A65" s="38">
        <v>3221</v>
      </c>
      <c r="B65" s="38" t="s">
        <v>93</v>
      </c>
      <c r="C65" s="38" t="s">
        <v>150</v>
      </c>
      <c r="D65" s="38" t="s">
        <v>172</v>
      </c>
      <c r="E65" s="38">
        <v>1800</v>
      </c>
      <c r="F65" s="38">
        <v>980</v>
      </c>
      <c r="G65" s="40">
        <v>329</v>
      </c>
      <c r="H65" s="40">
        <v>648</v>
      </c>
      <c r="I65" s="40">
        <v>753</v>
      </c>
      <c r="J65" s="40">
        <v>1417</v>
      </c>
      <c r="L65" s="40">
        <f t="shared" si="0"/>
        <v>378</v>
      </c>
      <c r="M65" s="40">
        <f t="shared" si="0"/>
        <v>745</v>
      </c>
      <c r="N65" s="40">
        <f t="shared" si="0"/>
        <v>866</v>
      </c>
      <c r="O65" s="40">
        <f t="shared" ref="O65:O128" si="2">IF(J65="","",ROUND(J65*1.15,0))</f>
        <v>1630</v>
      </c>
      <c r="P65" s="146">
        <f t="shared" si="1"/>
        <v>247</v>
      </c>
    </row>
    <row r="66" spans="1:16" x14ac:dyDescent="0.25">
      <c r="A66" s="38">
        <v>3300</v>
      </c>
      <c r="B66" s="38" t="s">
        <v>93</v>
      </c>
      <c r="C66" s="38" t="s">
        <v>173</v>
      </c>
      <c r="D66" s="38" t="s">
        <v>174</v>
      </c>
      <c r="E66" s="38">
        <v>360</v>
      </c>
      <c r="F66" s="38">
        <v>180</v>
      </c>
      <c r="G66" s="40">
        <v>34</v>
      </c>
      <c r="H66" s="40">
        <v>114</v>
      </c>
      <c r="I66" s="40">
        <v>89</v>
      </c>
      <c r="J66" s="40">
        <v>201</v>
      </c>
      <c r="L66" s="40">
        <f t="shared" ref="L66:O129" si="3">IF(G66="","",ROUND(G66*1.15,0))</f>
        <v>39</v>
      </c>
      <c r="M66" s="40">
        <f t="shared" si="3"/>
        <v>131</v>
      </c>
      <c r="N66" s="40">
        <f t="shared" si="3"/>
        <v>102</v>
      </c>
      <c r="O66" s="40">
        <f t="shared" si="2"/>
        <v>231</v>
      </c>
      <c r="P66" s="146">
        <f t="shared" si="1"/>
        <v>26</v>
      </c>
    </row>
    <row r="67" spans="1:16" x14ac:dyDescent="0.25">
      <c r="A67" s="38">
        <v>3301</v>
      </c>
      <c r="B67" s="38" t="s">
        <v>93</v>
      </c>
      <c r="C67" s="38" t="s">
        <v>173</v>
      </c>
      <c r="D67" s="38" t="s">
        <v>175</v>
      </c>
      <c r="E67" s="38">
        <v>420</v>
      </c>
      <c r="F67" s="38">
        <v>180</v>
      </c>
      <c r="G67" s="40">
        <v>34</v>
      </c>
      <c r="H67" s="40">
        <v>121</v>
      </c>
      <c r="I67" s="40">
        <v>92</v>
      </c>
      <c r="J67" s="40">
        <v>202</v>
      </c>
      <c r="L67" s="40">
        <f t="shared" si="3"/>
        <v>39</v>
      </c>
      <c r="M67" s="40">
        <f t="shared" si="3"/>
        <v>139</v>
      </c>
      <c r="N67" s="40">
        <f t="shared" si="3"/>
        <v>106</v>
      </c>
      <c r="O67" s="40">
        <f t="shared" si="2"/>
        <v>232</v>
      </c>
      <c r="P67" s="146">
        <f t="shared" ref="P67:P130" si="4">IF(G67="","",ROUND(G67*$T$3*IFERROR(VLOOKUP(C67,$S$6:$T$27,2,FALSE),1),0))</f>
        <v>26</v>
      </c>
    </row>
    <row r="68" spans="1:16" x14ac:dyDescent="0.25">
      <c r="A68" s="38">
        <v>3302</v>
      </c>
      <c r="B68" s="38" t="s">
        <v>93</v>
      </c>
      <c r="C68" s="38" t="s">
        <v>173</v>
      </c>
      <c r="D68" s="38" t="s">
        <v>176</v>
      </c>
      <c r="E68" s="38">
        <v>580</v>
      </c>
      <c r="F68" s="38">
        <v>180</v>
      </c>
      <c r="G68" s="40">
        <v>43</v>
      </c>
      <c r="H68" s="40">
        <v>161</v>
      </c>
      <c r="I68" s="40">
        <v>130</v>
      </c>
      <c r="J68" s="40">
        <v>208</v>
      </c>
      <c r="L68" s="40">
        <f t="shared" si="3"/>
        <v>49</v>
      </c>
      <c r="M68" s="40">
        <f t="shared" si="3"/>
        <v>185</v>
      </c>
      <c r="N68" s="40">
        <f t="shared" si="3"/>
        <v>150</v>
      </c>
      <c r="O68" s="40">
        <f t="shared" si="2"/>
        <v>239</v>
      </c>
      <c r="P68" s="146">
        <f t="shared" si="4"/>
        <v>32</v>
      </c>
    </row>
    <row r="69" spans="1:16" x14ac:dyDescent="0.25">
      <c r="A69" s="38">
        <v>3303</v>
      </c>
      <c r="B69" s="38" t="s">
        <v>93</v>
      </c>
      <c r="C69" s="38" t="s">
        <v>173</v>
      </c>
      <c r="D69" s="38" t="s">
        <v>177</v>
      </c>
      <c r="E69" s="38">
        <v>780</v>
      </c>
      <c r="F69" s="38">
        <v>180</v>
      </c>
      <c r="G69" s="40">
        <v>56</v>
      </c>
      <c r="H69" s="40">
        <v>185</v>
      </c>
      <c r="I69" s="40">
        <v>144</v>
      </c>
      <c r="J69" s="40">
        <v>212</v>
      </c>
      <c r="L69" s="40">
        <f t="shared" si="3"/>
        <v>64</v>
      </c>
      <c r="M69" s="40">
        <f t="shared" si="3"/>
        <v>213</v>
      </c>
      <c r="N69" s="40">
        <f t="shared" si="3"/>
        <v>166</v>
      </c>
      <c r="O69" s="40">
        <f t="shared" si="2"/>
        <v>244</v>
      </c>
      <c r="P69" s="146">
        <f t="shared" si="4"/>
        <v>42</v>
      </c>
    </row>
    <row r="70" spans="1:16" x14ac:dyDescent="0.25">
      <c r="A70" s="38">
        <v>3304</v>
      </c>
      <c r="B70" s="38" t="s">
        <v>93</v>
      </c>
      <c r="C70" s="38" t="s">
        <v>173</v>
      </c>
      <c r="D70" s="38" t="s">
        <v>178</v>
      </c>
      <c r="E70" s="38">
        <v>980</v>
      </c>
      <c r="F70" s="38">
        <v>180</v>
      </c>
      <c r="G70" s="40">
        <v>70</v>
      </c>
      <c r="H70" s="40">
        <v>223</v>
      </c>
      <c r="I70" s="40">
        <v>174</v>
      </c>
      <c r="J70" s="40">
        <v>229</v>
      </c>
      <c r="L70" s="40">
        <f t="shared" si="3"/>
        <v>81</v>
      </c>
      <c r="M70" s="40">
        <f t="shared" si="3"/>
        <v>256</v>
      </c>
      <c r="N70" s="40">
        <f t="shared" si="3"/>
        <v>200</v>
      </c>
      <c r="O70" s="40">
        <f t="shared" si="2"/>
        <v>263</v>
      </c>
      <c r="P70" s="146">
        <f t="shared" si="4"/>
        <v>53</v>
      </c>
    </row>
    <row r="71" spans="1:16" x14ac:dyDescent="0.25">
      <c r="A71" s="38">
        <v>3305</v>
      </c>
      <c r="B71" s="38" t="s">
        <v>93</v>
      </c>
      <c r="C71" s="38" t="s">
        <v>173</v>
      </c>
      <c r="D71" s="38" t="s">
        <v>179</v>
      </c>
      <c r="E71" s="38">
        <v>360</v>
      </c>
      <c r="F71" s="38">
        <v>360</v>
      </c>
      <c r="G71" s="40">
        <v>34</v>
      </c>
      <c r="H71" s="40">
        <v>114</v>
      </c>
      <c r="I71" s="40">
        <v>89</v>
      </c>
      <c r="J71" s="40">
        <v>177</v>
      </c>
      <c r="L71" s="40">
        <f t="shared" si="3"/>
        <v>39</v>
      </c>
      <c r="M71" s="40">
        <f t="shared" si="3"/>
        <v>131</v>
      </c>
      <c r="N71" s="40">
        <f t="shared" si="3"/>
        <v>102</v>
      </c>
      <c r="O71" s="40">
        <f t="shared" si="2"/>
        <v>204</v>
      </c>
      <c r="P71" s="146">
        <f t="shared" si="4"/>
        <v>26</v>
      </c>
    </row>
    <row r="72" spans="1:16" x14ac:dyDescent="0.25">
      <c r="A72" s="38">
        <v>3306</v>
      </c>
      <c r="B72" s="38" t="s">
        <v>93</v>
      </c>
      <c r="C72" s="38" t="s">
        <v>173</v>
      </c>
      <c r="D72" s="38" t="s">
        <v>180</v>
      </c>
      <c r="E72" s="38">
        <v>420</v>
      </c>
      <c r="F72" s="38">
        <v>360</v>
      </c>
      <c r="G72" s="40">
        <v>34</v>
      </c>
      <c r="H72" s="40">
        <v>121</v>
      </c>
      <c r="I72" s="40">
        <v>92</v>
      </c>
      <c r="J72" s="40">
        <v>178</v>
      </c>
      <c r="L72" s="40">
        <f t="shared" si="3"/>
        <v>39</v>
      </c>
      <c r="M72" s="40">
        <f t="shared" si="3"/>
        <v>139</v>
      </c>
      <c r="N72" s="40">
        <f t="shared" si="3"/>
        <v>106</v>
      </c>
      <c r="O72" s="40">
        <f t="shared" si="2"/>
        <v>205</v>
      </c>
      <c r="P72" s="146">
        <f t="shared" si="4"/>
        <v>26</v>
      </c>
    </row>
    <row r="73" spans="1:16" x14ac:dyDescent="0.25">
      <c r="A73" s="38">
        <v>3307</v>
      </c>
      <c r="B73" s="38" t="s">
        <v>93</v>
      </c>
      <c r="C73" s="38" t="s">
        <v>173</v>
      </c>
      <c r="D73" s="38" t="s">
        <v>181</v>
      </c>
      <c r="E73" s="38">
        <v>580</v>
      </c>
      <c r="F73" s="38">
        <v>360</v>
      </c>
      <c r="G73" s="40">
        <v>43</v>
      </c>
      <c r="H73" s="40">
        <v>161</v>
      </c>
      <c r="I73" s="40">
        <v>130</v>
      </c>
      <c r="J73" s="40">
        <v>185</v>
      </c>
      <c r="L73" s="40">
        <f t="shared" si="3"/>
        <v>49</v>
      </c>
      <c r="M73" s="40">
        <f t="shared" si="3"/>
        <v>185</v>
      </c>
      <c r="N73" s="40">
        <f t="shared" si="3"/>
        <v>150</v>
      </c>
      <c r="O73" s="40">
        <f t="shared" si="2"/>
        <v>213</v>
      </c>
      <c r="P73" s="146">
        <f t="shared" si="4"/>
        <v>32</v>
      </c>
    </row>
    <row r="74" spans="1:16" x14ac:dyDescent="0.25">
      <c r="A74" s="38">
        <v>3308</v>
      </c>
      <c r="B74" s="38" t="s">
        <v>93</v>
      </c>
      <c r="C74" s="38" t="s">
        <v>173</v>
      </c>
      <c r="D74" s="38" t="s">
        <v>182</v>
      </c>
      <c r="E74" s="38">
        <v>780</v>
      </c>
      <c r="F74" s="38">
        <v>360</v>
      </c>
      <c r="G74" s="40">
        <v>56</v>
      </c>
      <c r="H74" s="40">
        <v>185</v>
      </c>
      <c r="I74" s="40">
        <v>144</v>
      </c>
      <c r="J74" s="40">
        <v>190</v>
      </c>
      <c r="L74" s="40">
        <f t="shared" si="3"/>
        <v>64</v>
      </c>
      <c r="M74" s="40">
        <f t="shared" si="3"/>
        <v>213</v>
      </c>
      <c r="N74" s="40">
        <f t="shared" si="3"/>
        <v>166</v>
      </c>
      <c r="O74" s="40">
        <f t="shared" si="2"/>
        <v>219</v>
      </c>
      <c r="P74" s="146">
        <f t="shared" si="4"/>
        <v>42</v>
      </c>
    </row>
    <row r="75" spans="1:16" x14ac:dyDescent="0.25">
      <c r="A75" s="38">
        <v>3309</v>
      </c>
      <c r="B75" s="38" t="s">
        <v>93</v>
      </c>
      <c r="C75" s="38" t="s">
        <v>173</v>
      </c>
      <c r="D75" s="38" t="s">
        <v>183</v>
      </c>
      <c r="E75" s="38">
        <v>980</v>
      </c>
      <c r="F75" s="38">
        <v>360</v>
      </c>
      <c r="G75" s="40">
        <v>70</v>
      </c>
      <c r="H75" s="40">
        <v>223</v>
      </c>
      <c r="I75" s="40">
        <v>174</v>
      </c>
      <c r="J75" s="40">
        <v>209</v>
      </c>
      <c r="L75" s="40">
        <f t="shared" si="3"/>
        <v>81</v>
      </c>
      <c r="M75" s="40">
        <f t="shared" si="3"/>
        <v>256</v>
      </c>
      <c r="N75" s="40">
        <f t="shared" si="3"/>
        <v>200</v>
      </c>
      <c r="O75" s="40">
        <f t="shared" si="2"/>
        <v>240</v>
      </c>
      <c r="P75" s="146">
        <f t="shared" si="4"/>
        <v>53</v>
      </c>
    </row>
    <row r="76" spans="1:16" x14ac:dyDescent="0.25">
      <c r="A76" s="38">
        <v>3310</v>
      </c>
      <c r="B76" s="38" t="s">
        <v>93</v>
      </c>
      <c r="C76" s="38" t="s">
        <v>173</v>
      </c>
      <c r="D76" s="38" t="s">
        <v>184</v>
      </c>
      <c r="E76" s="38">
        <v>360</v>
      </c>
      <c r="F76" s="38">
        <v>720</v>
      </c>
      <c r="G76" s="40">
        <v>52</v>
      </c>
      <c r="H76" s="40">
        <v>181</v>
      </c>
      <c r="I76" s="40">
        <v>143</v>
      </c>
      <c r="J76" s="40">
        <v>212</v>
      </c>
      <c r="L76" s="40">
        <f t="shared" si="3"/>
        <v>60</v>
      </c>
      <c r="M76" s="40">
        <f t="shared" si="3"/>
        <v>208</v>
      </c>
      <c r="N76" s="40">
        <f t="shared" si="3"/>
        <v>164</v>
      </c>
      <c r="O76" s="40">
        <f t="shared" si="2"/>
        <v>244</v>
      </c>
      <c r="P76" s="146">
        <f t="shared" si="4"/>
        <v>39</v>
      </c>
    </row>
    <row r="77" spans="1:16" x14ac:dyDescent="0.25">
      <c r="A77" s="38">
        <v>3311</v>
      </c>
      <c r="B77" s="38" t="s">
        <v>93</v>
      </c>
      <c r="C77" s="38" t="s">
        <v>173</v>
      </c>
      <c r="D77" s="38" t="s">
        <v>185</v>
      </c>
      <c r="E77" s="38">
        <v>420</v>
      </c>
      <c r="F77" s="38">
        <v>720</v>
      </c>
      <c r="G77" s="40">
        <v>60</v>
      </c>
      <c r="H77" s="40">
        <v>212</v>
      </c>
      <c r="I77" s="40">
        <v>166</v>
      </c>
      <c r="J77" s="40">
        <v>212</v>
      </c>
      <c r="L77" s="40">
        <f t="shared" si="3"/>
        <v>69</v>
      </c>
      <c r="M77" s="40">
        <f t="shared" si="3"/>
        <v>244</v>
      </c>
      <c r="N77" s="40">
        <f t="shared" si="3"/>
        <v>191</v>
      </c>
      <c r="O77" s="40">
        <f t="shared" si="2"/>
        <v>244</v>
      </c>
      <c r="P77" s="146">
        <f t="shared" si="4"/>
        <v>45</v>
      </c>
    </row>
    <row r="78" spans="1:16" x14ac:dyDescent="0.25">
      <c r="A78" s="38">
        <v>3312</v>
      </c>
      <c r="B78" s="38" t="s">
        <v>93</v>
      </c>
      <c r="C78" s="38" t="s">
        <v>173</v>
      </c>
      <c r="D78" s="38" t="s">
        <v>186</v>
      </c>
      <c r="E78" s="38">
        <v>580</v>
      </c>
      <c r="F78" s="38">
        <v>720</v>
      </c>
      <c r="G78" s="40">
        <v>82</v>
      </c>
      <c r="H78" s="40">
        <v>262</v>
      </c>
      <c r="I78" s="40">
        <v>216</v>
      </c>
      <c r="J78" s="40">
        <v>245</v>
      </c>
      <c r="L78" s="40">
        <f t="shared" si="3"/>
        <v>94</v>
      </c>
      <c r="M78" s="40">
        <f t="shared" si="3"/>
        <v>301</v>
      </c>
      <c r="N78" s="40">
        <f t="shared" si="3"/>
        <v>248</v>
      </c>
      <c r="O78" s="40">
        <f t="shared" si="2"/>
        <v>282</v>
      </c>
      <c r="P78" s="146">
        <f t="shared" si="4"/>
        <v>62</v>
      </c>
    </row>
    <row r="79" spans="1:16" x14ac:dyDescent="0.25">
      <c r="A79" s="38">
        <v>3313</v>
      </c>
      <c r="B79" s="38" t="s">
        <v>93</v>
      </c>
      <c r="C79" s="38" t="s">
        <v>173</v>
      </c>
      <c r="D79" s="38" t="s">
        <v>187</v>
      </c>
      <c r="E79" s="38">
        <v>780</v>
      </c>
      <c r="F79" s="38">
        <v>720</v>
      </c>
      <c r="G79" s="40">
        <v>107</v>
      </c>
      <c r="H79" s="40">
        <v>355</v>
      </c>
      <c r="I79" s="40">
        <v>277</v>
      </c>
      <c r="J79" s="40">
        <v>268</v>
      </c>
      <c r="L79" s="40">
        <f t="shared" si="3"/>
        <v>123</v>
      </c>
      <c r="M79" s="40">
        <f t="shared" si="3"/>
        <v>408</v>
      </c>
      <c r="N79" s="40">
        <f t="shared" si="3"/>
        <v>319</v>
      </c>
      <c r="O79" s="40">
        <f t="shared" si="2"/>
        <v>308</v>
      </c>
      <c r="P79" s="146">
        <f t="shared" si="4"/>
        <v>80</v>
      </c>
    </row>
    <row r="80" spans="1:16" x14ac:dyDescent="0.25">
      <c r="A80" s="38">
        <v>3314</v>
      </c>
      <c r="B80" s="38" t="s">
        <v>93</v>
      </c>
      <c r="C80" s="38" t="s">
        <v>173</v>
      </c>
      <c r="D80" s="38" t="s">
        <v>188</v>
      </c>
      <c r="E80" s="38">
        <v>980</v>
      </c>
      <c r="F80" s="38">
        <v>720</v>
      </c>
      <c r="G80" s="40">
        <v>134</v>
      </c>
      <c r="H80" s="40">
        <v>406</v>
      </c>
      <c r="I80" s="40">
        <v>320</v>
      </c>
      <c r="J80" s="40">
        <v>329</v>
      </c>
      <c r="L80" s="40">
        <f t="shared" si="3"/>
        <v>154</v>
      </c>
      <c r="M80" s="40">
        <f t="shared" si="3"/>
        <v>467</v>
      </c>
      <c r="N80" s="40">
        <f t="shared" si="3"/>
        <v>368</v>
      </c>
      <c r="O80" s="40">
        <f t="shared" si="2"/>
        <v>378</v>
      </c>
      <c r="P80" s="146">
        <f t="shared" si="4"/>
        <v>101</v>
      </c>
    </row>
    <row r="81" spans="1:16" x14ac:dyDescent="0.25">
      <c r="A81" s="38">
        <v>3315</v>
      </c>
      <c r="B81" s="38" t="s">
        <v>93</v>
      </c>
      <c r="C81" s="38" t="s">
        <v>173</v>
      </c>
      <c r="D81" s="38" t="s">
        <v>189</v>
      </c>
      <c r="E81" s="38">
        <v>360</v>
      </c>
      <c r="F81" s="38">
        <v>1080</v>
      </c>
      <c r="G81" s="40">
        <v>88</v>
      </c>
      <c r="H81" s="40">
        <v>267</v>
      </c>
      <c r="I81" s="40">
        <v>222</v>
      </c>
      <c r="J81" s="40">
        <v>240</v>
      </c>
      <c r="L81" s="40">
        <f t="shared" si="3"/>
        <v>101</v>
      </c>
      <c r="M81" s="40">
        <f t="shared" si="3"/>
        <v>307</v>
      </c>
      <c r="N81" s="40">
        <f t="shared" si="3"/>
        <v>255</v>
      </c>
      <c r="O81" s="40">
        <f t="shared" si="2"/>
        <v>276</v>
      </c>
      <c r="P81" s="146">
        <f t="shared" si="4"/>
        <v>66</v>
      </c>
    </row>
    <row r="82" spans="1:16" x14ac:dyDescent="0.25">
      <c r="A82" s="38">
        <v>3316</v>
      </c>
      <c r="B82" s="38" t="s">
        <v>93</v>
      </c>
      <c r="C82" s="38" t="s">
        <v>173</v>
      </c>
      <c r="D82" s="38" t="s">
        <v>190</v>
      </c>
      <c r="E82" s="38">
        <v>420</v>
      </c>
      <c r="F82" s="38">
        <v>1080</v>
      </c>
      <c r="G82" s="40">
        <v>88</v>
      </c>
      <c r="H82" s="40">
        <v>304</v>
      </c>
      <c r="I82" s="40">
        <v>241</v>
      </c>
      <c r="J82" s="40">
        <v>259</v>
      </c>
      <c r="L82" s="40">
        <f t="shared" si="3"/>
        <v>101</v>
      </c>
      <c r="M82" s="40">
        <f t="shared" si="3"/>
        <v>350</v>
      </c>
      <c r="N82" s="40">
        <f t="shared" si="3"/>
        <v>277</v>
      </c>
      <c r="O82" s="40">
        <f t="shared" si="2"/>
        <v>298</v>
      </c>
      <c r="P82" s="146">
        <f t="shared" si="4"/>
        <v>66</v>
      </c>
    </row>
    <row r="83" spans="1:16" x14ac:dyDescent="0.25">
      <c r="A83" s="38">
        <v>3317</v>
      </c>
      <c r="B83" s="38" t="s">
        <v>93</v>
      </c>
      <c r="C83" s="38" t="s">
        <v>173</v>
      </c>
      <c r="D83" s="38" t="s">
        <v>191</v>
      </c>
      <c r="E83" s="38">
        <v>580</v>
      </c>
      <c r="F83" s="38">
        <v>1080</v>
      </c>
      <c r="G83" s="40">
        <v>119</v>
      </c>
      <c r="H83" s="40">
        <v>377</v>
      </c>
      <c r="I83" s="40">
        <v>300</v>
      </c>
      <c r="J83" s="40">
        <v>307</v>
      </c>
      <c r="L83" s="40">
        <f t="shared" si="3"/>
        <v>137</v>
      </c>
      <c r="M83" s="40">
        <f t="shared" si="3"/>
        <v>434</v>
      </c>
      <c r="N83" s="40">
        <f t="shared" si="3"/>
        <v>345</v>
      </c>
      <c r="O83" s="40">
        <f t="shared" si="2"/>
        <v>353</v>
      </c>
      <c r="P83" s="146">
        <f t="shared" si="4"/>
        <v>89</v>
      </c>
    </row>
    <row r="84" spans="1:16" x14ac:dyDescent="0.25">
      <c r="A84" s="38">
        <v>3318</v>
      </c>
      <c r="B84" s="38" t="s">
        <v>93</v>
      </c>
      <c r="C84" s="38" t="s">
        <v>173</v>
      </c>
      <c r="D84" s="38" t="s">
        <v>192</v>
      </c>
      <c r="E84" s="38">
        <v>780</v>
      </c>
      <c r="F84" s="38">
        <v>1080</v>
      </c>
      <c r="G84" s="40">
        <v>161</v>
      </c>
      <c r="H84" s="40">
        <v>517</v>
      </c>
      <c r="I84" s="40">
        <v>409</v>
      </c>
      <c r="J84" s="40">
        <v>385</v>
      </c>
      <c r="L84" s="40">
        <f t="shared" si="3"/>
        <v>185</v>
      </c>
      <c r="M84" s="40">
        <f t="shared" si="3"/>
        <v>595</v>
      </c>
      <c r="N84" s="40">
        <f t="shared" si="3"/>
        <v>470</v>
      </c>
      <c r="O84" s="40">
        <f t="shared" si="2"/>
        <v>443</v>
      </c>
      <c r="P84" s="146">
        <f t="shared" si="4"/>
        <v>121</v>
      </c>
    </row>
    <row r="85" spans="1:16" x14ac:dyDescent="0.25">
      <c r="A85" s="38">
        <v>3319</v>
      </c>
      <c r="B85" s="38" t="s">
        <v>93</v>
      </c>
      <c r="C85" s="38" t="s">
        <v>173</v>
      </c>
      <c r="D85" s="38" t="s">
        <v>193</v>
      </c>
      <c r="E85" s="38">
        <v>980</v>
      </c>
      <c r="F85" s="38">
        <v>1080</v>
      </c>
      <c r="G85" s="40">
        <v>200</v>
      </c>
      <c r="H85" s="40">
        <v>626</v>
      </c>
      <c r="I85" s="40">
        <v>474</v>
      </c>
      <c r="J85" s="40">
        <v>431</v>
      </c>
      <c r="L85" s="40">
        <f t="shared" si="3"/>
        <v>230</v>
      </c>
      <c r="M85" s="40">
        <f t="shared" si="3"/>
        <v>720</v>
      </c>
      <c r="N85" s="40">
        <f t="shared" si="3"/>
        <v>545</v>
      </c>
      <c r="O85" s="40">
        <f t="shared" si="2"/>
        <v>496</v>
      </c>
      <c r="P85" s="146">
        <f t="shared" si="4"/>
        <v>150</v>
      </c>
    </row>
    <row r="86" spans="1:16" x14ac:dyDescent="0.25">
      <c r="A86" s="38">
        <v>3320</v>
      </c>
      <c r="B86" s="38" t="s">
        <v>93</v>
      </c>
      <c r="C86" s="38" t="s">
        <v>173</v>
      </c>
      <c r="D86" s="38" t="s">
        <v>194</v>
      </c>
      <c r="E86" s="38">
        <v>360</v>
      </c>
      <c r="F86" s="38">
        <v>1440</v>
      </c>
      <c r="G86" s="40">
        <v>100</v>
      </c>
      <c r="H86" s="40">
        <v>336</v>
      </c>
      <c r="I86" s="40">
        <v>281</v>
      </c>
      <c r="J86" s="40">
        <v>529</v>
      </c>
      <c r="L86" s="40">
        <f t="shared" si="3"/>
        <v>115</v>
      </c>
      <c r="M86" s="40">
        <f t="shared" si="3"/>
        <v>386</v>
      </c>
      <c r="N86" s="40">
        <f t="shared" si="3"/>
        <v>323</v>
      </c>
      <c r="O86" s="40">
        <f t="shared" si="2"/>
        <v>608</v>
      </c>
      <c r="P86" s="146">
        <f t="shared" si="4"/>
        <v>75</v>
      </c>
    </row>
    <row r="87" spans="1:16" x14ac:dyDescent="0.25">
      <c r="A87" s="38">
        <v>3321</v>
      </c>
      <c r="B87" s="38" t="s">
        <v>93</v>
      </c>
      <c r="C87" s="38" t="s">
        <v>173</v>
      </c>
      <c r="D87" s="38" t="s">
        <v>195</v>
      </c>
      <c r="E87" s="38">
        <v>420</v>
      </c>
      <c r="F87" s="38">
        <v>1440</v>
      </c>
      <c r="G87" s="40">
        <v>115</v>
      </c>
      <c r="H87" s="40">
        <v>365</v>
      </c>
      <c r="I87" s="40">
        <v>291</v>
      </c>
      <c r="J87" s="40">
        <v>547</v>
      </c>
      <c r="L87" s="40">
        <f t="shared" si="3"/>
        <v>132</v>
      </c>
      <c r="M87" s="40">
        <f t="shared" si="3"/>
        <v>420</v>
      </c>
      <c r="N87" s="40">
        <f t="shared" si="3"/>
        <v>335</v>
      </c>
      <c r="O87" s="40">
        <f t="shared" si="2"/>
        <v>629</v>
      </c>
      <c r="P87" s="146">
        <f t="shared" si="4"/>
        <v>86</v>
      </c>
    </row>
    <row r="88" spans="1:16" x14ac:dyDescent="0.25">
      <c r="A88" s="38">
        <v>3322</v>
      </c>
      <c r="B88" s="38" t="s">
        <v>93</v>
      </c>
      <c r="C88" s="38" t="s">
        <v>173</v>
      </c>
      <c r="D88" s="38" t="s">
        <v>196</v>
      </c>
      <c r="E88" s="38">
        <v>580</v>
      </c>
      <c r="F88" s="38">
        <v>1440</v>
      </c>
      <c r="G88" s="40">
        <v>158</v>
      </c>
      <c r="H88" s="40">
        <v>484</v>
      </c>
      <c r="I88" s="40">
        <v>400</v>
      </c>
      <c r="J88" s="40">
        <v>752</v>
      </c>
      <c r="L88" s="40">
        <f t="shared" si="3"/>
        <v>182</v>
      </c>
      <c r="M88" s="40">
        <f t="shared" si="3"/>
        <v>557</v>
      </c>
      <c r="N88" s="40">
        <f t="shared" si="3"/>
        <v>460</v>
      </c>
      <c r="O88" s="40">
        <f t="shared" si="2"/>
        <v>865</v>
      </c>
      <c r="P88" s="146">
        <f t="shared" si="4"/>
        <v>119</v>
      </c>
    </row>
    <row r="89" spans="1:16" x14ac:dyDescent="0.25">
      <c r="A89" s="38">
        <v>3323</v>
      </c>
      <c r="B89" s="38" t="s">
        <v>93</v>
      </c>
      <c r="C89" s="38" t="s">
        <v>173</v>
      </c>
      <c r="D89" s="38" t="s">
        <v>197</v>
      </c>
      <c r="E89" s="38">
        <v>780</v>
      </c>
      <c r="F89" s="38">
        <v>1440</v>
      </c>
      <c r="G89" s="40">
        <v>211</v>
      </c>
      <c r="H89" s="40">
        <v>630</v>
      </c>
      <c r="I89" s="40">
        <v>499</v>
      </c>
      <c r="J89" s="40">
        <v>939</v>
      </c>
      <c r="L89" s="40">
        <f t="shared" si="3"/>
        <v>243</v>
      </c>
      <c r="M89" s="40">
        <f t="shared" si="3"/>
        <v>725</v>
      </c>
      <c r="N89" s="40">
        <f t="shared" si="3"/>
        <v>574</v>
      </c>
      <c r="O89" s="40">
        <f t="shared" si="2"/>
        <v>1080</v>
      </c>
      <c r="P89" s="146">
        <f t="shared" si="4"/>
        <v>158</v>
      </c>
    </row>
    <row r="90" spans="1:16" x14ac:dyDescent="0.25">
      <c r="A90" s="38">
        <v>3324</v>
      </c>
      <c r="B90" s="38" t="s">
        <v>93</v>
      </c>
      <c r="C90" s="38" t="s">
        <v>173</v>
      </c>
      <c r="D90" s="38" t="s">
        <v>198</v>
      </c>
      <c r="E90" s="38">
        <v>980</v>
      </c>
      <c r="F90" s="38">
        <v>1440</v>
      </c>
      <c r="G90" s="40">
        <v>264</v>
      </c>
      <c r="H90" s="40">
        <v>778</v>
      </c>
      <c r="I90" s="40">
        <v>616</v>
      </c>
      <c r="J90" s="40">
        <v>1159</v>
      </c>
      <c r="L90" s="40">
        <f t="shared" si="3"/>
        <v>304</v>
      </c>
      <c r="M90" s="40">
        <f t="shared" si="3"/>
        <v>895</v>
      </c>
      <c r="N90" s="40">
        <f t="shared" si="3"/>
        <v>708</v>
      </c>
      <c r="O90" s="40">
        <f t="shared" si="2"/>
        <v>1333</v>
      </c>
      <c r="P90" s="146">
        <f t="shared" si="4"/>
        <v>198</v>
      </c>
    </row>
    <row r="91" spans="1:16" x14ac:dyDescent="0.25">
      <c r="A91" s="38">
        <v>3325</v>
      </c>
      <c r="B91" s="38" t="s">
        <v>93</v>
      </c>
      <c r="C91" s="38" t="s">
        <v>173</v>
      </c>
      <c r="D91" s="38" t="s">
        <v>199</v>
      </c>
      <c r="E91" s="38">
        <v>360</v>
      </c>
      <c r="F91" s="38">
        <v>1800</v>
      </c>
      <c r="G91" s="40">
        <v>125</v>
      </c>
      <c r="H91" s="40">
        <v>246</v>
      </c>
      <c r="I91" s="40">
        <v>343</v>
      </c>
      <c r="J91" s="40">
        <v>645</v>
      </c>
      <c r="L91" s="40">
        <f t="shared" si="3"/>
        <v>144</v>
      </c>
      <c r="M91" s="40">
        <f t="shared" si="3"/>
        <v>283</v>
      </c>
      <c r="N91" s="40">
        <f t="shared" si="3"/>
        <v>394</v>
      </c>
      <c r="O91" s="40">
        <f t="shared" si="2"/>
        <v>742</v>
      </c>
      <c r="P91" s="146">
        <f t="shared" si="4"/>
        <v>94</v>
      </c>
    </row>
    <row r="92" spans="1:16" x14ac:dyDescent="0.25">
      <c r="A92" s="38">
        <v>3326</v>
      </c>
      <c r="B92" s="38" t="s">
        <v>93</v>
      </c>
      <c r="C92" s="38" t="s">
        <v>173</v>
      </c>
      <c r="D92" s="38" t="s">
        <v>200</v>
      </c>
      <c r="E92" s="38">
        <v>420</v>
      </c>
      <c r="F92" s="38">
        <v>1800</v>
      </c>
      <c r="G92" s="40">
        <v>143</v>
      </c>
      <c r="H92" s="40">
        <v>281</v>
      </c>
      <c r="I92" s="40">
        <v>350</v>
      </c>
      <c r="J92" s="40">
        <v>658</v>
      </c>
      <c r="L92" s="40">
        <f t="shared" si="3"/>
        <v>164</v>
      </c>
      <c r="M92" s="40">
        <f t="shared" si="3"/>
        <v>323</v>
      </c>
      <c r="N92" s="40">
        <f t="shared" si="3"/>
        <v>403</v>
      </c>
      <c r="O92" s="40">
        <f t="shared" si="2"/>
        <v>757</v>
      </c>
      <c r="P92" s="146">
        <f t="shared" si="4"/>
        <v>107</v>
      </c>
    </row>
    <row r="93" spans="1:16" x14ac:dyDescent="0.25">
      <c r="A93" s="38">
        <v>3327</v>
      </c>
      <c r="B93" s="38" t="s">
        <v>93</v>
      </c>
      <c r="C93" s="38" t="s">
        <v>173</v>
      </c>
      <c r="D93" s="38" t="s">
        <v>201</v>
      </c>
      <c r="E93" s="38">
        <v>580</v>
      </c>
      <c r="F93" s="38">
        <v>1800</v>
      </c>
      <c r="G93" s="40">
        <v>197</v>
      </c>
      <c r="H93" s="40">
        <v>388</v>
      </c>
      <c r="I93" s="40">
        <v>467</v>
      </c>
      <c r="J93" s="40">
        <v>879</v>
      </c>
      <c r="L93" s="40">
        <f t="shared" si="3"/>
        <v>227</v>
      </c>
      <c r="M93" s="40">
        <f t="shared" si="3"/>
        <v>446</v>
      </c>
      <c r="N93" s="40">
        <f t="shared" si="3"/>
        <v>537</v>
      </c>
      <c r="O93" s="40">
        <f t="shared" si="2"/>
        <v>1011</v>
      </c>
      <c r="P93" s="146">
        <f t="shared" si="4"/>
        <v>148</v>
      </c>
    </row>
    <row r="94" spans="1:16" x14ac:dyDescent="0.25">
      <c r="A94" s="38">
        <v>3328</v>
      </c>
      <c r="B94" s="38" t="s">
        <v>93</v>
      </c>
      <c r="C94" s="38" t="s">
        <v>173</v>
      </c>
      <c r="D94" s="38" t="s">
        <v>202</v>
      </c>
      <c r="E94" s="38">
        <v>780</v>
      </c>
      <c r="F94" s="38">
        <v>1800</v>
      </c>
      <c r="G94" s="40">
        <v>264</v>
      </c>
      <c r="H94" s="40">
        <v>520</v>
      </c>
      <c r="I94" s="40">
        <v>612</v>
      </c>
      <c r="J94" s="40">
        <v>1151</v>
      </c>
      <c r="L94" s="40">
        <f t="shared" si="3"/>
        <v>304</v>
      </c>
      <c r="M94" s="40">
        <f t="shared" si="3"/>
        <v>598</v>
      </c>
      <c r="N94" s="40">
        <f t="shared" si="3"/>
        <v>704</v>
      </c>
      <c r="O94" s="40">
        <f t="shared" si="2"/>
        <v>1324</v>
      </c>
      <c r="P94" s="146">
        <f t="shared" si="4"/>
        <v>198</v>
      </c>
    </row>
    <row r="95" spans="1:16" x14ac:dyDescent="0.25">
      <c r="A95" s="38">
        <v>3329</v>
      </c>
      <c r="B95" s="38" t="s">
        <v>93</v>
      </c>
      <c r="C95" s="38" t="s">
        <v>173</v>
      </c>
      <c r="D95" s="38" t="s">
        <v>203</v>
      </c>
      <c r="E95" s="38">
        <v>980</v>
      </c>
      <c r="F95" s="38">
        <v>1800</v>
      </c>
      <c r="G95" s="40">
        <v>329</v>
      </c>
      <c r="H95" s="40">
        <v>648</v>
      </c>
      <c r="I95" s="40">
        <v>753</v>
      </c>
      <c r="J95" s="40">
        <v>1417</v>
      </c>
      <c r="L95" s="40">
        <f t="shared" si="3"/>
        <v>378</v>
      </c>
      <c r="M95" s="40">
        <f t="shared" si="3"/>
        <v>745</v>
      </c>
      <c r="N95" s="40">
        <f t="shared" si="3"/>
        <v>866</v>
      </c>
      <c r="O95" s="40">
        <f t="shared" si="2"/>
        <v>1630</v>
      </c>
      <c r="P95" s="146">
        <f t="shared" si="4"/>
        <v>247</v>
      </c>
    </row>
    <row r="96" spans="1:16" x14ac:dyDescent="0.25">
      <c r="A96" s="38">
        <v>3500</v>
      </c>
      <c r="B96" s="38" t="s">
        <v>93</v>
      </c>
      <c r="C96" s="38" t="s">
        <v>204</v>
      </c>
      <c r="D96" s="38" t="s">
        <v>205</v>
      </c>
      <c r="E96" s="38">
        <v>360</v>
      </c>
      <c r="F96" s="38">
        <v>180</v>
      </c>
      <c r="G96" s="40">
        <v>34</v>
      </c>
      <c r="H96" s="40">
        <v>114</v>
      </c>
      <c r="I96" s="40">
        <v>89</v>
      </c>
      <c r="J96" s="40">
        <v>201</v>
      </c>
      <c r="L96" s="40">
        <f t="shared" si="3"/>
        <v>39</v>
      </c>
      <c r="M96" s="40">
        <f t="shared" si="3"/>
        <v>131</v>
      </c>
      <c r="N96" s="40">
        <f t="shared" si="3"/>
        <v>102</v>
      </c>
      <c r="O96" s="40">
        <f t="shared" si="2"/>
        <v>231</v>
      </c>
      <c r="P96" s="146">
        <f t="shared" si="4"/>
        <v>26</v>
      </c>
    </row>
    <row r="97" spans="1:16" x14ac:dyDescent="0.25">
      <c r="A97" s="38">
        <v>3501</v>
      </c>
      <c r="B97" s="38" t="s">
        <v>93</v>
      </c>
      <c r="C97" s="38" t="s">
        <v>204</v>
      </c>
      <c r="D97" s="38" t="s">
        <v>206</v>
      </c>
      <c r="E97" s="38">
        <v>360</v>
      </c>
      <c r="F97" s="38">
        <v>360</v>
      </c>
      <c r="G97" s="40">
        <v>34</v>
      </c>
      <c r="H97" s="40">
        <v>114</v>
      </c>
      <c r="I97" s="40">
        <v>89</v>
      </c>
      <c r="J97" s="40">
        <v>177</v>
      </c>
      <c r="L97" s="40">
        <f t="shared" si="3"/>
        <v>39</v>
      </c>
      <c r="M97" s="40">
        <f t="shared" si="3"/>
        <v>131</v>
      </c>
      <c r="N97" s="40">
        <f t="shared" si="3"/>
        <v>102</v>
      </c>
      <c r="O97" s="40">
        <f t="shared" si="2"/>
        <v>204</v>
      </c>
      <c r="P97" s="146">
        <f t="shared" si="4"/>
        <v>26</v>
      </c>
    </row>
    <row r="98" spans="1:16" x14ac:dyDescent="0.25">
      <c r="A98" s="38">
        <v>3502</v>
      </c>
      <c r="B98" s="38" t="s">
        <v>93</v>
      </c>
      <c r="C98" s="38" t="s">
        <v>204</v>
      </c>
      <c r="D98" s="38" t="s">
        <v>207</v>
      </c>
      <c r="E98" s="38">
        <v>360</v>
      </c>
      <c r="F98" s="38">
        <v>720</v>
      </c>
      <c r="G98" s="40">
        <v>52</v>
      </c>
      <c r="H98" s="40">
        <v>181</v>
      </c>
      <c r="I98" s="40">
        <v>143</v>
      </c>
      <c r="J98" s="40">
        <v>212</v>
      </c>
      <c r="L98" s="40">
        <f t="shared" si="3"/>
        <v>60</v>
      </c>
      <c r="M98" s="40">
        <f t="shared" si="3"/>
        <v>208</v>
      </c>
      <c r="N98" s="40">
        <f t="shared" si="3"/>
        <v>164</v>
      </c>
      <c r="O98" s="40">
        <f t="shared" si="2"/>
        <v>244</v>
      </c>
      <c r="P98" s="146">
        <f t="shared" si="4"/>
        <v>39</v>
      </c>
    </row>
    <row r="99" spans="1:16" x14ac:dyDescent="0.25">
      <c r="A99" s="38">
        <v>3503</v>
      </c>
      <c r="B99" s="38" t="s">
        <v>93</v>
      </c>
      <c r="C99" s="38" t="s">
        <v>204</v>
      </c>
      <c r="D99" s="38" t="s">
        <v>208</v>
      </c>
      <c r="E99" s="38">
        <v>360</v>
      </c>
      <c r="F99" s="38">
        <v>1080</v>
      </c>
      <c r="G99" s="40">
        <v>76</v>
      </c>
      <c r="H99" s="40">
        <v>267</v>
      </c>
      <c r="I99" s="40">
        <v>222</v>
      </c>
      <c r="J99" s="40">
        <v>240</v>
      </c>
      <c r="L99" s="40">
        <f t="shared" si="3"/>
        <v>87</v>
      </c>
      <c r="M99" s="40">
        <f t="shared" si="3"/>
        <v>307</v>
      </c>
      <c r="N99" s="40">
        <f t="shared" si="3"/>
        <v>255</v>
      </c>
      <c r="O99" s="40">
        <f t="shared" si="2"/>
        <v>276</v>
      </c>
      <c r="P99" s="146">
        <f t="shared" si="4"/>
        <v>57</v>
      </c>
    </row>
    <row r="100" spans="1:16" x14ac:dyDescent="0.25">
      <c r="A100" s="38">
        <v>3504</v>
      </c>
      <c r="B100" s="38" t="s">
        <v>93</v>
      </c>
      <c r="C100" s="38" t="s">
        <v>204</v>
      </c>
      <c r="D100" s="38" t="s">
        <v>209</v>
      </c>
      <c r="E100" s="38">
        <v>360</v>
      </c>
      <c r="F100" s="38">
        <v>1440</v>
      </c>
      <c r="G100" s="40">
        <v>100</v>
      </c>
      <c r="H100" s="40">
        <v>336</v>
      </c>
      <c r="I100" s="40">
        <v>281</v>
      </c>
      <c r="J100" s="40">
        <v>529</v>
      </c>
      <c r="L100" s="40">
        <f t="shared" si="3"/>
        <v>115</v>
      </c>
      <c r="M100" s="40">
        <f t="shared" si="3"/>
        <v>386</v>
      </c>
      <c r="N100" s="40">
        <f t="shared" si="3"/>
        <v>323</v>
      </c>
      <c r="O100" s="40">
        <f t="shared" si="2"/>
        <v>608</v>
      </c>
      <c r="P100" s="146">
        <f t="shared" si="4"/>
        <v>75</v>
      </c>
    </row>
    <row r="101" spans="1:16" x14ac:dyDescent="0.25">
      <c r="A101" s="38">
        <v>3505</v>
      </c>
      <c r="B101" s="38" t="s">
        <v>93</v>
      </c>
      <c r="C101" s="38" t="s">
        <v>204</v>
      </c>
      <c r="D101" s="38" t="s">
        <v>210</v>
      </c>
      <c r="E101" s="38">
        <v>360</v>
      </c>
      <c r="F101" s="38">
        <v>1800</v>
      </c>
      <c r="G101" s="40">
        <v>125</v>
      </c>
      <c r="H101" s="40">
        <v>246</v>
      </c>
      <c r="I101" s="40">
        <v>343</v>
      </c>
      <c r="J101" s="40">
        <v>645</v>
      </c>
      <c r="L101" s="40">
        <f t="shared" si="3"/>
        <v>144</v>
      </c>
      <c r="M101" s="40">
        <f t="shared" si="3"/>
        <v>283</v>
      </c>
      <c r="N101" s="40">
        <f t="shared" si="3"/>
        <v>394</v>
      </c>
      <c r="O101" s="40">
        <f t="shared" si="2"/>
        <v>742</v>
      </c>
      <c r="P101" s="146">
        <f t="shared" si="4"/>
        <v>94</v>
      </c>
    </row>
    <row r="102" spans="1:16" x14ac:dyDescent="0.25">
      <c r="A102" s="38">
        <v>3506</v>
      </c>
      <c r="B102" s="38" t="s">
        <v>93</v>
      </c>
      <c r="C102" s="38" t="s">
        <v>204</v>
      </c>
      <c r="D102" s="38" t="s">
        <v>211</v>
      </c>
      <c r="E102" s="38">
        <v>580</v>
      </c>
      <c r="F102" s="38">
        <v>180</v>
      </c>
      <c r="G102" s="40">
        <v>43</v>
      </c>
      <c r="H102" s="40">
        <v>161</v>
      </c>
      <c r="I102" s="40">
        <v>130</v>
      </c>
      <c r="J102" s="40">
        <v>208</v>
      </c>
      <c r="L102" s="40">
        <f t="shared" si="3"/>
        <v>49</v>
      </c>
      <c r="M102" s="40">
        <f t="shared" si="3"/>
        <v>185</v>
      </c>
      <c r="N102" s="40">
        <f t="shared" si="3"/>
        <v>150</v>
      </c>
      <c r="O102" s="40">
        <f t="shared" si="2"/>
        <v>239</v>
      </c>
      <c r="P102" s="146">
        <f t="shared" si="4"/>
        <v>32</v>
      </c>
    </row>
    <row r="103" spans="1:16" x14ac:dyDescent="0.25">
      <c r="A103" s="38">
        <v>3507</v>
      </c>
      <c r="B103" s="38" t="s">
        <v>93</v>
      </c>
      <c r="C103" s="38" t="s">
        <v>204</v>
      </c>
      <c r="D103" s="38" t="s">
        <v>212</v>
      </c>
      <c r="E103" s="38">
        <v>580</v>
      </c>
      <c r="F103" s="38">
        <v>360</v>
      </c>
      <c r="G103" s="40">
        <v>43</v>
      </c>
      <c r="H103" s="40">
        <v>161</v>
      </c>
      <c r="I103" s="40">
        <v>130</v>
      </c>
      <c r="J103" s="40">
        <v>185</v>
      </c>
      <c r="L103" s="40">
        <f t="shared" si="3"/>
        <v>49</v>
      </c>
      <c r="M103" s="40">
        <f t="shared" si="3"/>
        <v>185</v>
      </c>
      <c r="N103" s="40">
        <f t="shared" si="3"/>
        <v>150</v>
      </c>
      <c r="O103" s="40">
        <f t="shared" si="2"/>
        <v>213</v>
      </c>
      <c r="P103" s="146">
        <f t="shared" si="4"/>
        <v>32</v>
      </c>
    </row>
    <row r="104" spans="1:16" x14ac:dyDescent="0.25">
      <c r="A104" s="38">
        <v>3508</v>
      </c>
      <c r="B104" s="38" t="s">
        <v>93</v>
      </c>
      <c r="C104" s="38" t="s">
        <v>204</v>
      </c>
      <c r="D104" s="38" t="s">
        <v>213</v>
      </c>
      <c r="E104" s="38">
        <v>580</v>
      </c>
      <c r="F104" s="38">
        <v>720</v>
      </c>
      <c r="G104" s="40">
        <v>82</v>
      </c>
      <c r="H104" s="40">
        <v>262</v>
      </c>
      <c r="I104" s="40">
        <v>216</v>
      </c>
      <c r="J104" s="40">
        <v>245</v>
      </c>
      <c r="L104" s="40">
        <f t="shared" si="3"/>
        <v>94</v>
      </c>
      <c r="M104" s="40">
        <f t="shared" si="3"/>
        <v>301</v>
      </c>
      <c r="N104" s="40">
        <f t="shared" si="3"/>
        <v>248</v>
      </c>
      <c r="O104" s="40">
        <f t="shared" si="2"/>
        <v>282</v>
      </c>
      <c r="P104" s="146">
        <f t="shared" si="4"/>
        <v>62</v>
      </c>
    </row>
    <row r="105" spans="1:16" x14ac:dyDescent="0.25">
      <c r="A105" s="38">
        <v>3509</v>
      </c>
      <c r="B105" s="38" t="s">
        <v>93</v>
      </c>
      <c r="C105" s="38" t="s">
        <v>204</v>
      </c>
      <c r="D105" s="38" t="s">
        <v>214</v>
      </c>
      <c r="E105" s="38">
        <v>580</v>
      </c>
      <c r="F105" s="38">
        <v>1080</v>
      </c>
      <c r="G105" s="40">
        <v>119</v>
      </c>
      <c r="H105" s="40">
        <v>377</v>
      </c>
      <c r="I105" s="40">
        <v>300</v>
      </c>
      <c r="J105" s="40">
        <v>307</v>
      </c>
      <c r="L105" s="40">
        <f t="shared" si="3"/>
        <v>137</v>
      </c>
      <c r="M105" s="40">
        <f t="shared" si="3"/>
        <v>434</v>
      </c>
      <c r="N105" s="40">
        <f t="shared" si="3"/>
        <v>345</v>
      </c>
      <c r="O105" s="40">
        <f t="shared" si="2"/>
        <v>353</v>
      </c>
      <c r="P105" s="146">
        <f t="shared" si="4"/>
        <v>89</v>
      </c>
    </row>
    <row r="106" spans="1:16" x14ac:dyDescent="0.25">
      <c r="A106" s="38">
        <v>3510</v>
      </c>
      <c r="B106" s="38" t="s">
        <v>93</v>
      </c>
      <c r="C106" s="38" t="s">
        <v>204</v>
      </c>
      <c r="D106" s="38" t="s">
        <v>215</v>
      </c>
      <c r="E106" s="38">
        <v>580</v>
      </c>
      <c r="F106" s="38">
        <v>1440</v>
      </c>
      <c r="G106" s="40">
        <v>158</v>
      </c>
      <c r="H106" s="40">
        <v>484</v>
      </c>
      <c r="I106" s="40">
        <v>400</v>
      </c>
      <c r="J106" s="40">
        <v>752</v>
      </c>
      <c r="L106" s="40">
        <f t="shared" si="3"/>
        <v>182</v>
      </c>
      <c r="M106" s="40">
        <f t="shared" si="3"/>
        <v>557</v>
      </c>
      <c r="N106" s="40">
        <f t="shared" si="3"/>
        <v>460</v>
      </c>
      <c r="O106" s="40">
        <f t="shared" si="2"/>
        <v>865</v>
      </c>
      <c r="P106" s="146">
        <f t="shared" si="4"/>
        <v>119</v>
      </c>
    </row>
    <row r="107" spans="1:16" x14ac:dyDescent="0.25">
      <c r="A107" s="38">
        <v>3511</v>
      </c>
      <c r="B107" s="38" t="s">
        <v>93</v>
      </c>
      <c r="C107" s="38" t="s">
        <v>204</v>
      </c>
      <c r="D107" s="38" t="s">
        <v>216</v>
      </c>
      <c r="E107" s="38">
        <v>580</v>
      </c>
      <c r="F107" s="38">
        <v>1800</v>
      </c>
      <c r="G107" s="40">
        <v>197</v>
      </c>
      <c r="H107" s="40">
        <v>388</v>
      </c>
      <c r="I107" s="40">
        <v>467</v>
      </c>
      <c r="J107" s="40">
        <v>879</v>
      </c>
      <c r="L107" s="40">
        <f t="shared" si="3"/>
        <v>227</v>
      </c>
      <c r="M107" s="40">
        <f t="shared" si="3"/>
        <v>446</v>
      </c>
      <c r="N107" s="40">
        <f t="shared" si="3"/>
        <v>537</v>
      </c>
      <c r="O107" s="40">
        <f t="shared" si="2"/>
        <v>1011</v>
      </c>
      <c r="P107" s="146">
        <f t="shared" si="4"/>
        <v>148</v>
      </c>
    </row>
    <row r="108" spans="1:16" x14ac:dyDescent="0.25">
      <c r="A108" s="38">
        <v>3512</v>
      </c>
      <c r="B108" s="38" t="s">
        <v>93</v>
      </c>
      <c r="C108" s="38" t="s">
        <v>204</v>
      </c>
      <c r="D108" s="38" t="s">
        <v>217</v>
      </c>
      <c r="E108" s="38">
        <v>180</v>
      </c>
      <c r="F108" s="38">
        <v>780</v>
      </c>
      <c r="G108" s="40">
        <v>56</v>
      </c>
      <c r="H108" s="40">
        <v>185</v>
      </c>
      <c r="I108" s="40">
        <v>144</v>
      </c>
      <c r="J108" s="40">
        <v>212</v>
      </c>
      <c r="L108" s="40">
        <f t="shared" si="3"/>
        <v>64</v>
      </c>
      <c r="M108" s="40">
        <f t="shared" si="3"/>
        <v>213</v>
      </c>
      <c r="N108" s="40">
        <f t="shared" si="3"/>
        <v>166</v>
      </c>
      <c r="O108" s="40">
        <f t="shared" si="2"/>
        <v>244</v>
      </c>
      <c r="P108" s="146">
        <f t="shared" si="4"/>
        <v>42</v>
      </c>
    </row>
    <row r="109" spans="1:16" x14ac:dyDescent="0.25">
      <c r="A109" s="38">
        <v>3513</v>
      </c>
      <c r="B109" s="38" t="s">
        <v>93</v>
      </c>
      <c r="C109" s="38" t="s">
        <v>204</v>
      </c>
      <c r="D109" s="38" t="s">
        <v>218</v>
      </c>
      <c r="E109" s="38">
        <v>180</v>
      </c>
      <c r="F109" s="38">
        <v>980</v>
      </c>
      <c r="G109" s="40">
        <v>70</v>
      </c>
      <c r="H109" s="40">
        <v>223</v>
      </c>
      <c r="I109" s="40">
        <v>174</v>
      </c>
      <c r="J109" s="40">
        <v>229</v>
      </c>
      <c r="L109" s="40">
        <f t="shared" si="3"/>
        <v>81</v>
      </c>
      <c r="M109" s="40">
        <f t="shared" si="3"/>
        <v>256</v>
      </c>
      <c r="N109" s="40">
        <f t="shared" si="3"/>
        <v>200</v>
      </c>
      <c r="O109" s="40">
        <f t="shared" si="2"/>
        <v>263</v>
      </c>
      <c r="P109" s="146">
        <f t="shared" si="4"/>
        <v>53</v>
      </c>
    </row>
    <row r="110" spans="1:16" x14ac:dyDescent="0.25">
      <c r="A110" s="38">
        <v>3514</v>
      </c>
      <c r="B110" s="38" t="s">
        <v>93</v>
      </c>
      <c r="C110" s="38" t="s">
        <v>204</v>
      </c>
      <c r="D110" s="38" t="s">
        <v>219</v>
      </c>
      <c r="E110" s="38">
        <v>360</v>
      </c>
      <c r="F110" s="38">
        <v>780</v>
      </c>
      <c r="G110" s="40">
        <v>56</v>
      </c>
      <c r="H110" s="40">
        <v>185</v>
      </c>
      <c r="I110" s="40">
        <v>144</v>
      </c>
      <c r="J110" s="40">
        <v>190</v>
      </c>
      <c r="L110" s="40">
        <f t="shared" si="3"/>
        <v>64</v>
      </c>
      <c r="M110" s="40">
        <f t="shared" si="3"/>
        <v>213</v>
      </c>
      <c r="N110" s="40">
        <f t="shared" si="3"/>
        <v>166</v>
      </c>
      <c r="O110" s="40">
        <f t="shared" si="2"/>
        <v>219</v>
      </c>
      <c r="P110" s="146">
        <f t="shared" si="4"/>
        <v>42</v>
      </c>
    </row>
    <row r="111" spans="1:16" x14ac:dyDescent="0.25">
      <c r="A111" s="38">
        <v>3515</v>
      </c>
      <c r="B111" s="38" t="s">
        <v>93</v>
      </c>
      <c r="C111" s="38" t="s">
        <v>204</v>
      </c>
      <c r="D111" s="38" t="s">
        <v>220</v>
      </c>
      <c r="E111" s="38">
        <v>360</v>
      </c>
      <c r="F111" s="38">
        <v>980</v>
      </c>
      <c r="G111" s="40">
        <v>70</v>
      </c>
      <c r="H111" s="40">
        <v>223</v>
      </c>
      <c r="I111" s="40">
        <v>174</v>
      </c>
      <c r="J111" s="40">
        <v>209</v>
      </c>
      <c r="L111" s="40">
        <f t="shared" si="3"/>
        <v>81</v>
      </c>
      <c r="M111" s="40">
        <f t="shared" si="3"/>
        <v>256</v>
      </c>
      <c r="N111" s="40">
        <f t="shared" si="3"/>
        <v>200</v>
      </c>
      <c r="O111" s="40">
        <f t="shared" si="2"/>
        <v>240</v>
      </c>
      <c r="P111" s="146">
        <f t="shared" si="4"/>
        <v>53</v>
      </c>
    </row>
    <row r="112" spans="1:16" x14ac:dyDescent="0.25">
      <c r="A112" s="38">
        <v>3516</v>
      </c>
      <c r="B112" s="38" t="s">
        <v>93</v>
      </c>
      <c r="C112" s="38" t="s">
        <v>204</v>
      </c>
      <c r="D112" s="38" t="s">
        <v>221</v>
      </c>
      <c r="E112" s="38">
        <v>720</v>
      </c>
      <c r="F112" s="38">
        <v>780</v>
      </c>
      <c r="G112" s="40">
        <v>107</v>
      </c>
      <c r="H112" s="40">
        <v>355</v>
      </c>
      <c r="I112" s="40">
        <v>277</v>
      </c>
      <c r="J112" s="40">
        <v>268</v>
      </c>
      <c r="L112" s="40">
        <f t="shared" si="3"/>
        <v>123</v>
      </c>
      <c r="M112" s="40">
        <f t="shared" si="3"/>
        <v>408</v>
      </c>
      <c r="N112" s="40">
        <f t="shared" si="3"/>
        <v>319</v>
      </c>
      <c r="O112" s="40">
        <f t="shared" si="2"/>
        <v>308</v>
      </c>
      <c r="P112" s="146">
        <f t="shared" si="4"/>
        <v>80</v>
      </c>
    </row>
    <row r="113" spans="1:16" x14ac:dyDescent="0.25">
      <c r="A113" s="38">
        <v>3517</v>
      </c>
      <c r="B113" s="38" t="s">
        <v>93</v>
      </c>
      <c r="C113" s="38" t="s">
        <v>204</v>
      </c>
      <c r="D113" s="38" t="s">
        <v>222</v>
      </c>
      <c r="E113" s="38">
        <v>720</v>
      </c>
      <c r="F113" s="38">
        <v>980</v>
      </c>
      <c r="G113" s="40">
        <v>134</v>
      </c>
      <c r="H113" s="40">
        <v>406</v>
      </c>
      <c r="I113" s="40">
        <v>320</v>
      </c>
      <c r="J113" s="40">
        <v>329</v>
      </c>
      <c r="L113" s="40">
        <f t="shared" si="3"/>
        <v>154</v>
      </c>
      <c r="M113" s="40">
        <f t="shared" si="3"/>
        <v>467</v>
      </c>
      <c r="N113" s="40">
        <f t="shared" si="3"/>
        <v>368</v>
      </c>
      <c r="O113" s="40">
        <f t="shared" si="2"/>
        <v>378</v>
      </c>
      <c r="P113" s="146">
        <f t="shared" si="4"/>
        <v>101</v>
      </c>
    </row>
    <row r="114" spans="1:16" x14ac:dyDescent="0.25">
      <c r="A114" s="38">
        <v>3518</v>
      </c>
      <c r="B114" s="38" t="s">
        <v>93</v>
      </c>
      <c r="C114" s="38" t="s">
        <v>204</v>
      </c>
      <c r="D114" s="38" t="s">
        <v>223</v>
      </c>
      <c r="E114" s="38">
        <v>1080</v>
      </c>
      <c r="F114" s="38">
        <v>780</v>
      </c>
      <c r="G114" s="40">
        <v>161</v>
      </c>
      <c r="H114" s="40">
        <v>517</v>
      </c>
      <c r="I114" s="40">
        <v>409</v>
      </c>
      <c r="J114" s="40">
        <v>385</v>
      </c>
      <c r="L114" s="40">
        <f t="shared" si="3"/>
        <v>185</v>
      </c>
      <c r="M114" s="40">
        <f t="shared" si="3"/>
        <v>595</v>
      </c>
      <c r="N114" s="40">
        <f t="shared" si="3"/>
        <v>470</v>
      </c>
      <c r="O114" s="40">
        <f t="shared" si="2"/>
        <v>443</v>
      </c>
      <c r="P114" s="146">
        <f t="shared" si="4"/>
        <v>121</v>
      </c>
    </row>
    <row r="115" spans="1:16" x14ac:dyDescent="0.25">
      <c r="A115" s="38">
        <v>3519</v>
      </c>
      <c r="B115" s="38" t="s">
        <v>93</v>
      </c>
      <c r="C115" s="38" t="s">
        <v>204</v>
      </c>
      <c r="D115" s="38" t="s">
        <v>224</v>
      </c>
      <c r="E115" s="38">
        <v>1080</v>
      </c>
      <c r="F115" s="38">
        <v>980</v>
      </c>
      <c r="G115" s="40">
        <v>200</v>
      </c>
      <c r="H115" s="40">
        <v>626</v>
      </c>
      <c r="I115" s="40">
        <v>474</v>
      </c>
      <c r="J115" s="40">
        <v>431</v>
      </c>
      <c r="L115" s="40">
        <f t="shared" si="3"/>
        <v>230</v>
      </c>
      <c r="M115" s="40">
        <f t="shared" si="3"/>
        <v>720</v>
      </c>
      <c r="N115" s="40">
        <f t="shared" si="3"/>
        <v>545</v>
      </c>
      <c r="O115" s="40">
        <f t="shared" si="2"/>
        <v>496</v>
      </c>
      <c r="P115" s="146">
        <f t="shared" si="4"/>
        <v>150</v>
      </c>
    </row>
    <row r="116" spans="1:16" x14ac:dyDescent="0.25">
      <c r="A116" s="38">
        <v>3520</v>
      </c>
      <c r="B116" s="38" t="s">
        <v>93</v>
      </c>
      <c r="C116" s="38" t="s">
        <v>204</v>
      </c>
      <c r="D116" s="38" t="s">
        <v>225</v>
      </c>
      <c r="E116" s="38">
        <v>1440</v>
      </c>
      <c r="F116" s="38">
        <v>780</v>
      </c>
      <c r="G116" s="40">
        <v>211</v>
      </c>
      <c r="H116" s="40">
        <v>630</v>
      </c>
      <c r="I116" s="40">
        <v>499</v>
      </c>
      <c r="J116" s="40">
        <v>939</v>
      </c>
      <c r="L116" s="40">
        <f t="shared" si="3"/>
        <v>243</v>
      </c>
      <c r="M116" s="40">
        <f t="shared" si="3"/>
        <v>725</v>
      </c>
      <c r="N116" s="40">
        <f t="shared" si="3"/>
        <v>574</v>
      </c>
      <c r="O116" s="40">
        <f t="shared" si="2"/>
        <v>1080</v>
      </c>
      <c r="P116" s="146">
        <f t="shared" si="4"/>
        <v>158</v>
      </c>
    </row>
    <row r="117" spans="1:16" x14ac:dyDescent="0.25">
      <c r="A117" s="38">
        <v>3521</v>
      </c>
      <c r="B117" s="38" t="s">
        <v>93</v>
      </c>
      <c r="C117" s="38" t="s">
        <v>204</v>
      </c>
      <c r="D117" s="38" t="s">
        <v>226</v>
      </c>
      <c r="E117" s="38">
        <v>1440</v>
      </c>
      <c r="F117" s="38">
        <v>980</v>
      </c>
      <c r="G117" s="40">
        <v>264</v>
      </c>
      <c r="H117" s="40">
        <v>778</v>
      </c>
      <c r="I117" s="40">
        <v>616</v>
      </c>
      <c r="J117" s="40">
        <v>1159</v>
      </c>
      <c r="L117" s="40">
        <f t="shared" si="3"/>
        <v>304</v>
      </c>
      <c r="M117" s="40">
        <f t="shared" si="3"/>
        <v>895</v>
      </c>
      <c r="N117" s="40">
        <f t="shared" si="3"/>
        <v>708</v>
      </c>
      <c r="O117" s="40">
        <f t="shared" si="2"/>
        <v>1333</v>
      </c>
      <c r="P117" s="146">
        <f t="shared" si="4"/>
        <v>198</v>
      </c>
    </row>
    <row r="118" spans="1:16" x14ac:dyDescent="0.25">
      <c r="A118" s="38">
        <v>3522</v>
      </c>
      <c r="B118" s="38" t="s">
        <v>93</v>
      </c>
      <c r="C118" s="38" t="s">
        <v>204</v>
      </c>
      <c r="D118" s="38" t="s">
        <v>227</v>
      </c>
      <c r="E118" s="38">
        <v>1800</v>
      </c>
      <c r="F118" s="38">
        <v>780</v>
      </c>
      <c r="G118" s="40">
        <v>264</v>
      </c>
      <c r="H118" s="40">
        <v>520</v>
      </c>
      <c r="I118" s="40">
        <v>612</v>
      </c>
      <c r="J118" s="40">
        <v>1151</v>
      </c>
      <c r="L118" s="40">
        <f t="shared" si="3"/>
        <v>304</v>
      </c>
      <c r="M118" s="40">
        <f t="shared" si="3"/>
        <v>598</v>
      </c>
      <c r="N118" s="40">
        <f t="shared" si="3"/>
        <v>704</v>
      </c>
      <c r="O118" s="40">
        <f t="shared" si="2"/>
        <v>1324</v>
      </c>
      <c r="P118" s="146">
        <f t="shared" si="4"/>
        <v>198</v>
      </c>
    </row>
    <row r="119" spans="1:16" x14ac:dyDescent="0.25">
      <c r="A119" s="38">
        <v>3523</v>
      </c>
      <c r="B119" s="38" t="s">
        <v>93</v>
      </c>
      <c r="C119" s="38" t="s">
        <v>204</v>
      </c>
      <c r="D119" s="38" t="s">
        <v>228</v>
      </c>
      <c r="E119" s="38">
        <v>1800</v>
      </c>
      <c r="F119" s="38">
        <v>980</v>
      </c>
      <c r="G119" s="40">
        <v>329</v>
      </c>
      <c r="H119" s="40">
        <v>648</v>
      </c>
      <c r="I119" s="40">
        <v>753</v>
      </c>
      <c r="J119" s="40">
        <v>1417</v>
      </c>
      <c r="L119" s="40">
        <f t="shared" si="3"/>
        <v>378</v>
      </c>
      <c r="M119" s="40">
        <f t="shared" si="3"/>
        <v>745</v>
      </c>
      <c r="N119" s="40">
        <f t="shared" si="3"/>
        <v>866</v>
      </c>
      <c r="O119" s="40">
        <f t="shared" si="2"/>
        <v>1630</v>
      </c>
      <c r="P119" s="146">
        <f t="shared" si="4"/>
        <v>247</v>
      </c>
    </row>
    <row r="120" spans="1:16" x14ac:dyDescent="0.25">
      <c r="A120" s="38">
        <v>3524</v>
      </c>
      <c r="B120" s="38" t="s">
        <v>93</v>
      </c>
      <c r="C120" s="38" t="s">
        <v>204</v>
      </c>
      <c r="D120" s="38" t="s">
        <v>229</v>
      </c>
      <c r="E120" s="38">
        <v>580</v>
      </c>
      <c r="F120" s="38">
        <v>580</v>
      </c>
      <c r="G120" s="40">
        <v>67</v>
      </c>
      <c r="H120" s="40">
        <v>228</v>
      </c>
      <c r="I120" s="40">
        <v>183</v>
      </c>
      <c r="J120" s="40">
        <v>191</v>
      </c>
      <c r="L120" s="40">
        <f t="shared" si="3"/>
        <v>77</v>
      </c>
      <c r="M120" s="40">
        <f t="shared" si="3"/>
        <v>262</v>
      </c>
      <c r="N120" s="40">
        <f t="shared" si="3"/>
        <v>210</v>
      </c>
      <c r="O120" s="40">
        <f t="shared" si="2"/>
        <v>220</v>
      </c>
      <c r="P120" s="146">
        <f t="shared" si="4"/>
        <v>50</v>
      </c>
    </row>
    <row r="121" spans="1:16" x14ac:dyDescent="0.25">
      <c r="A121" s="38">
        <v>3600</v>
      </c>
      <c r="B121" s="38" t="s">
        <v>93</v>
      </c>
      <c r="C121" s="38" t="s">
        <v>230</v>
      </c>
      <c r="D121" s="38" t="s">
        <v>231</v>
      </c>
      <c r="E121" s="38">
        <v>360</v>
      </c>
      <c r="F121" s="38">
        <v>360</v>
      </c>
      <c r="G121" s="40">
        <v>34</v>
      </c>
      <c r="H121" s="40">
        <v>114</v>
      </c>
      <c r="I121" s="40">
        <v>89</v>
      </c>
      <c r="J121" s="40">
        <v>177</v>
      </c>
      <c r="L121" s="40">
        <f t="shared" si="3"/>
        <v>39</v>
      </c>
      <c r="M121" s="40">
        <f t="shared" si="3"/>
        <v>131</v>
      </c>
      <c r="N121" s="40">
        <f t="shared" si="3"/>
        <v>102</v>
      </c>
      <c r="O121" s="40">
        <f t="shared" si="2"/>
        <v>204</v>
      </c>
      <c r="P121" s="146">
        <f t="shared" si="4"/>
        <v>26</v>
      </c>
    </row>
    <row r="122" spans="1:16" x14ac:dyDescent="0.25">
      <c r="A122" s="38">
        <v>3601</v>
      </c>
      <c r="B122" s="38" t="s">
        <v>93</v>
      </c>
      <c r="C122" s="38" t="s">
        <v>230</v>
      </c>
      <c r="D122" s="38" t="s">
        <v>232</v>
      </c>
      <c r="E122" s="38">
        <v>360</v>
      </c>
      <c r="F122" s="38">
        <v>720</v>
      </c>
      <c r="G122" s="40">
        <v>52</v>
      </c>
      <c r="H122" s="40">
        <v>181</v>
      </c>
      <c r="I122" s="40">
        <v>143</v>
      </c>
      <c r="J122" s="40">
        <v>212</v>
      </c>
      <c r="L122" s="40">
        <f t="shared" si="3"/>
        <v>60</v>
      </c>
      <c r="M122" s="40">
        <f t="shared" si="3"/>
        <v>208</v>
      </c>
      <c r="N122" s="40">
        <f t="shared" si="3"/>
        <v>164</v>
      </c>
      <c r="O122" s="40">
        <f t="shared" si="2"/>
        <v>244</v>
      </c>
      <c r="P122" s="146">
        <f t="shared" si="4"/>
        <v>39</v>
      </c>
    </row>
    <row r="123" spans="1:16" x14ac:dyDescent="0.25">
      <c r="A123" s="38">
        <v>3602</v>
      </c>
      <c r="B123" s="38" t="s">
        <v>93</v>
      </c>
      <c r="C123" s="38" t="s">
        <v>230</v>
      </c>
      <c r="D123" s="38" t="s">
        <v>233</v>
      </c>
      <c r="E123" s="38">
        <v>360</v>
      </c>
      <c r="F123" s="38">
        <v>1080</v>
      </c>
      <c r="G123" s="40">
        <v>76</v>
      </c>
      <c r="H123" s="40">
        <v>267</v>
      </c>
      <c r="I123" s="40">
        <v>222</v>
      </c>
      <c r="J123" s="40">
        <v>240</v>
      </c>
      <c r="L123" s="40">
        <f t="shared" si="3"/>
        <v>87</v>
      </c>
      <c r="M123" s="40">
        <f t="shared" si="3"/>
        <v>307</v>
      </c>
      <c r="N123" s="40">
        <f t="shared" si="3"/>
        <v>255</v>
      </c>
      <c r="O123" s="40">
        <f t="shared" si="2"/>
        <v>276</v>
      </c>
      <c r="P123" s="146">
        <f t="shared" si="4"/>
        <v>57</v>
      </c>
    </row>
    <row r="124" spans="1:16" x14ac:dyDescent="0.25">
      <c r="A124" s="38">
        <v>3603</v>
      </c>
      <c r="B124" s="38" t="s">
        <v>93</v>
      </c>
      <c r="C124" s="38" t="s">
        <v>230</v>
      </c>
      <c r="D124" s="38" t="s">
        <v>234</v>
      </c>
      <c r="E124" s="38">
        <v>360</v>
      </c>
      <c r="F124" s="38">
        <v>1440</v>
      </c>
      <c r="G124" s="40">
        <v>100</v>
      </c>
      <c r="H124" s="40">
        <v>336</v>
      </c>
      <c r="I124" s="40">
        <v>281</v>
      </c>
      <c r="J124" s="40">
        <v>529</v>
      </c>
      <c r="L124" s="40">
        <f t="shared" si="3"/>
        <v>115</v>
      </c>
      <c r="M124" s="40">
        <f t="shared" si="3"/>
        <v>386</v>
      </c>
      <c r="N124" s="40">
        <f t="shared" si="3"/>
        <v>323</v>
      </c>
      <c r="O124" s="40">
        <f t="shared" si="2"/>
        <v>608</v>
      </c>
      <c r="P124" s="146">
        <f t="shared" si="4"/>
        <v>75</v>
      </c>
    </row>
    <row r="125" spans="1:16" x14ac:dyDescent="0.25">
      <c r="A125" s="38">
        <v>3604</v>
      </c>
      <c r="B125" s="38" t="s">
        <v>93</v>
      </c>
      <c r="C125" s="38" t="s">
        <v>230</v>
      </c>
      <c r="D125" s="38" t="s">
        <v>235</v>
      </c>
      <c r="E125" s="38">
        <v>360</v>
      </c>
      <c r="F125" s="38">
        <v>1800</v>
      </c>
      <c r="G125" s="40">
        <v>125</v>
      </c>
      <c r="H125" s="40">
        <v>246</v>
      </c>
      <c r="I125" s="40">
        <v>343</v>
      </c>
      <c r="J125" s="40">
        <v>645</v>
      </c>
      <c r="L125" s="40">
        <f t="shared" si="3"/>
        <v>144</v>
      </c>
      <c r="M125" s="40">
        <f t="shared" si="3"/>
        <v>283</v>
      </c>
      <c r="N125" s="40">
        <f t="shared" si="3"/>
        <v>394</v>
      </c>
      <c r="O125" s="40">
        <f t="shared" si="2"/>
        <v>742</v>
      </c>
      <c r="P125" s="146">
        <f t="shared" si="4"/>
        <v>94</v>
      </c>
    </row>
    <row r="126" spans="1:16" x14ac:dyDescent="0.25">
      <c r="A126" s="38">
        <v>3605</v>
      </c>
      <c r="B126" s="38" t="s">
        <v>93</v>
      </c>
      <c r="C126" s="38" t="s">
        <v>230</v>
      </c>
      <c r="D126" s="38" t="s">
        <v>236</v>
      </c>
      <c r="E126" s="38">
        <v>580</v>
      </c>
      <c r="F126" s="38">
        <v>360</v>
      </c>
      <c r="G126" s="40">
        <v>43</v>
      </c>
      <c r="H126" s="40">
        <v>161</v>
      </c>
      <c r="I126" s="40">
        <v>130</v>
      </c>
      <c r="J126" s="40">
        <v>185</v>
      </c>
      <c r="L126" s="40">
        <f t="shared" si="3"/>
        <v>49</v>
      </c>
      <c r="M126" s="40">
        <f t="shared" si="3"/>
        <v>185</v>
      </c>
      <c r="N126" s="40">
        <f t="shared" si="3"/>
        <v>150</v>
      </c>
      <c r="O126" s="40">
        <f t="shared" si="2"/>
        <v>213</v>
      </c>
      <c r="P126" s="146">
        <f t="shared" si="4"/>
        <v>32</v>
      </c>
    </row>
    <row r="127" spans="1:16" x14ac:dyDescent="0.25">
      <c r="A127" s="38">
        <v>3606</v>
      </c>
      <c r="B127" s="38" t="s">
        <v>93</v>
      </c>
      <c r="C127" s="38" t="s">
        <v>230</v>
      </c>
      <c r="D127" s="38" t="s">
        <v>237</v>
      </c>
      <c r="E127" s="38">
        <v>580</v>
      </c>
      <c r="F127" s="38">
        <v>720</v>
      </c>
      <c r="G127" s="40">
        <v>82</v>
      </c>
      <c r="H127" s="40">
        <v>262</v>
      </c>
      <c r="I127" s="40">
        <v>216</v>
      </c>
      <c r="J127" s="40">
        <v>245</v>
      </c>
      <c r="L127" s="40">
        <f t="shared" si="3"/>
        <v>94</v>
      </c>
      <c r="M127" s="40">
        <f t="shared" si="3"/>
        <v>301</v>
      </c>
      <c r="N127" s="40">
        <f t="shared" si="3"/>
        <v>248</v>
      </c>
      <c r="O127" s="40">
        <f t="shared" si="2"/>
        <v>282</v>
      </c>
      <c r="P127" s="146">
        <f t="shared" si="4"/>
        <v>62</v>
      </c>
    </row>
    <row r="128" spans="1:16" x14ac:dyDescent="0.25">
      <c r="A128" s="38">
        <v>3607</v>
      </c>
      <c r="B128" s="38" t="s">
        <v>93</v>
      </c>
      <c r="C128" s="38" t="s">
        <v>230</v>
      </c>
      <c r="D128" s="38" t="s">
        <v>238</v>
      </c>
      <c r="E128" s="38">
        <v>580</v>
      </c>
      <c r="F128" s="38">
        <v>1080</v>
      </c>
      <c r="G128" s="40">
        <v>119</v>
      </c>
      <c r="H128" s="40">
        <v>377</v>
      </c>
      <c r="I128" s="40">
        <v>300</v>
      </c>
      <c r="J128" s="40">
        <v>307</v>
      </c>
      <c r="L128" s="40">
        <f t="shared" si="3"/>
        <v>137</v>
      </c>
      <c r="M128" s="40">
        <f t="shared" si="3"/>
        <v>434</v>
      </c>
      <c r="N128" s="40">
        <f t="shared" si="3"/>
        <v>345</v>
      </c>
      <c r="O128" s="40">
        <f t="shared" si="2"/>
        <v>353</v>
      </c>
      <c r="P128" s="146">
        <f t="shared" si="4"/>
        <v>89</v>
      </c>
    </row>
    <row r="129" spans="1:16" x14ac:dyDescent="0.25">
      <c r="A129" s="38">
        <v>3608</v>
      </c>
      <c r="B129" s="38" t="s">
        <v>93</v>
      </c>
      <c r="C129" s="38" t="s">
        <v>230</v>
      </c>
      <c r="D129" s="38" t="s">
        <v>239</v>
      </c>
      <c r="E129" s="38">
        <v>580</v>
      </c>
      <c r="F129" s="38">
        <v>1440</v>
      </c>
      <c r="G129" s="40">
        <v>158</v>
      </c>
      <c r="H129" s="40">
        <v>484</v>
      </c>
      <c r="I129" s="40">
        <v>400</v>
      </c>
      <c r="J129" s="40">
        <v>752</v>
      </c>
      <c r="L129" s="40">
        <f t="shared" si="3"/>
        <v>182</v>
      </c>
      <c r="M129" s="40">
        <f t="shared" si="3"/>
        <v>557</v>
      </c>
      <c r="N129" s="40">
        <f t="shared" si="3"/>
        <v>460</v>
      </c>
      <c r="O129" s="40">
        <f t="shared" si="3"/>
        <v>865</v>
      </c>
      <c r="P129" s="146">
        <f t="shared" si="4"/>
        <v>119</v>
      </c>
    </row>
    <row r="130" spans="1:16" x14ac:dyDescent="0.25">
      <c r="A130" s="38">
        <v>3609</v>
      </c>
      <c r="B130" s="38" t="s">
        <v>93</v>
      </c>
      <c r="C130" s="38" t="s">
        <v>230</v>
      </c>
      <c r="D130" s="38" t="s">
        <v>240</v>
      </c>
      <c r="E130" s="38">
        <v>580</v>
      </c>
      <c r="F130" s="38">
        <v>1800</v>
      </c>
      <c r="G130" s="40">
        <v>197</v>
      </c>
      <c r="H130" s="40">
        <v>388</v>
      </c>
      <c r="I130" s="40">
        <v>467</v>
      </c>
      <c r="J130" s="40">
        <v>879</v>
      </c>
      <c r="L130" s="40">
        <f t="shared" ref="L130:O193" si="5">IF(G130="","",ROUND(G130*1.15,0))</f>
        <v>227</v>
      </c>
      <c r="M130" s="40">
        <f t="shared" si="5"/>
        <v>446</v>
      </c>
      <c r="N130" s="40">
        <f t="shared" si="5"/>
        <v>537</v>
      </c>
      <c r="O130" s="40">
        <f t="shared" si="5"/>
        <v>1011</v>
      </c>
      <c r="P130" s="146">
        <f t="shared" si="4"/>
        <v>148</v>
      </c>
    </row>
    <row r="131" spans="1:16" x14ac:dyDescent="0.25">
      <c r="A131" s="38">
        <v>3610</v>
      </c>
      <c r="B131" s="38" t="s">
        <v>93</v>
      </c>
      <c r="C131" s="38" t="s">
        <v>230</v>
      </c>
      <c r="D131" s="38" t="s">
        <v>241</v>
      </c>
      <c r="E131" s="38">
        <v>720</v>
      </c>
      <c r="F131" s="38">
        <v>780</v>
      </c>
      <c r="G131" s="40">
        <v>107</v>
      </c>
      <c r="H131" s="40">
        <v>355</v>
      </c>
      <c r="I131" s="40">
        <v>277</v>
      </c>
      <c r="J131" s="40">
        <v>268</v>
      </c>
      <c r="L131" s="40">
        <f t="shared" si="5"/>
        <v>123</v>
      </c>
      <c r="M131" s="40">
        <f t="shared" si="5"/>
        <v>408</v>
      </c>
      <c r="N131" s="40">
        <f t="shared" si="5"/>
        <v>319</v>
      </c>
      <c r="O131" s="40">
        <f t="shared" si="5"/>
        <v>308</v>
      </c>
      <c r="P131" s="146">
        <f t="shared" ref="P131:P194" si="6">IF(G131="","",ROUND(G131*$T$3*IFERROR(VLOOKUP(C131,$S$6:$T$27,2,FALSE),1),0))</f>
        <v>80</v>
      </c>
    </row>
    <row r="132" spans="1:16" x14ac:dyDescent="0.25">
      <c r="A132" s="38">
        <v>3611</v>
      </c>
      <c r="B132" s="38" t="s">
        <v>93</v>
      </c>
      <c r="C132" s="38" t="s">
        <v>230</v>
      </c>
      <c r="D132" s="38" t="s">
        <v>242</v>
      </c>
      <c r="E132" s="38">
        <v>720</v>
      </c>
      <c r="F132" s="38">
        <v>980</v>
      </c>
      <c r="G132" s="40">
        <v>134</v>
      </c>
      <c r="H132" s="40">
        <v>406</v>
      </c>
      <c r="I132" s="40">
        <v>320</v>
      </c>
      <c r="J132" s="40">
        <v>329</v>
      </c>
      <c r="L132" s="40">
        <f t="shared" si="5"/>
        <v>154</v>
      </c>
      <c r="M132" s="40">
        <f t="shared" si="5"/>
        <v>467</v>
      </c>
      <c r="N132" s="40">
        <f t="shared" si="5"/>
        <v>368</v>
      </c>
      <c r="O132" s="40">
        <f t="shared" si="5"/>
        <v>378</v>
      </c>
      <c r="P132" s="146">
        <f t="shared" si="6"/>
        <v>101</v>
      </c>
    </row>
    <row r="133" spans="1:16" x14ac:dyDescent="0.25">
      <c r="A133" s="38">
        <v>3612</v>
      </c>
      <c r="B133" s="38" t="s">
        <v>93</v>
      </c>
      <c r="C133" s="38" t="s">
        <v>230</v>
      </c>
      <c r="D133" s="38" t="s">
        <v>243</v>
      </c>
      <c r="E133" s="38">
        <v>1080</v>
      </c>
      <c r="F133" s="38">
        <v>780</v>
      </c>
      <c r="G133" s="40">
        <v>161</v>
      </c>
      <c r="H133" s="40">
        <v>517</v>
      </c>
      <c r="I133" s="40">
        <v>409</v>
      </c>
      <c r="J133" s="40">
        <v>385</v>
      </c>
      <c r="L133" s="40">
        <f t="shared" si="5"/>
        <v>185</v>
      </c>
      <c r="M133" s="40">
        <f t="shared" si="5"/>
        <v>595</v>
      </c>
      <c r="N133" s="40">
        <f t="shared" si="5"/>
        <v>470</v>
      </c>
      <c r="O133" s="40">
        <f t="shared" si="5"/>
        <v>443</v>
      </c>
      <c r="P133" s="146">
        <f t="shared" si="6"/>
        <v>121</v>
      </c>
    </row>
    <row r="134" spans="1:16" x14ac:dyDescent="0.25">
      <c r="A134" s="38">
        <v>3613</v>
      </c>
      <c r="B134" s="38" t="s">
        <v>93</v>
      </c>
      <c r="C134" s="38" t="s">
        <v>230</v>
      </c>
      <c r="D134" s="38" t="s">
        <v>244</v>
      </c>
      <c r="E134" s="38">
        <v>1080</v>
      </c>
      <c r="F134" s="38">
        <v>980</v>
      </c>
      <c r="G134" s="40">
        <v>200</v>
      </c>
      <c r="H134" s="40">
        <v>626</v>
      </c>
      <c r="I134" s="40">
        <v>474</v>
      </c>
      <c r="J134" s="40">
        <v>431</v>
      </c>
      <c r="L134" s="40">
        <f t="shared" si="5"/>
        <v>230</v>
      </c>
      <c r="M134" s="40">
        <f t="shared" si="5"/>
        <v>720</v>
      </c>
      <c r="N134" s="40">
        <f t="shared" si="5"/>
        <v>545</v>
      </c>
      <c r="O134" s="40">
        <f t="shared" si="5"/>
        <v>496</v>
      </c>
      <c r="P134" s="146">
        <f t="shared" si="6"/>
        <v>150</v>
      </c>
    </row>
    <row r="135" spans="1:16" x14ac:dyDescent="0.25">
      <c r="A135" s="38">
        <v>3614</v>
      </c>
      <c r="B135" s="38" t="s">
        <v>93</v>
      </c>
      <c r="C135" s="38" t="s">
        <v>230</v>
      </c>
      <c r="D135" s="38" t="s">
        <v>245</v>
      </c>
      <c r="E135" s="38">
        <v>1440</v>
      </c>
      <c r="F135" s="38">
        <v>780</v>
      </c>
      <c r="G135" s="40">
        <v>211</v>
      </c>
      <c r="H135" s="40">
        <v>630</v>
      </c>
      <c r="I135" s="40">
        <v>499</v>
      </c>
      <c r="J135" s="40">
        <v>939</v>
      </c>
      <c r="L135" s="40">
        <f t="shared" si="5"/>
        <v>243</v>
      </c>
      <c r="M135" s="40">
        <f t="shared" si="5"/>
        <v>725</v>
      </c>
      <c r="N135" s="40">
        <f t="shared" si="5"/>
        <v>574</v>
      </c>
      <c r="O135" s="40">
        <f t="shared" si="5"/>
        <v>1080</v>
      </c>
      <c r="P135" s="146">
        <f t="shared" si="6"/>
        <v>158</v>
      </c>
    </row>
    <row r="136" spans="1:16" x14ac:dyDescent="0.25">
      <c r="A136" s="38">
        <v>3615</v>
      </c>
      <c r="B136" s="38" t="s">
        <v>93</v>
      </c>
      <c r="C136" s="38" t="s">
        <v>230</v>
      </c>
      <c r="D136" s="38" t="s">
        <v>246</v>
      </c>
      <c r="E136" s="38">
        <v>1440</v>
      </c>
      <c r="F136" s="38">
        <v>980</v>
      </c>
      <c r="G136" s="40">
        <v>264</v>
      </c>
      <c r="H136" s="40">
        <v>778</v>
      </c>
      <c r="I136" s="40">
        <v>616</v>
      </c>
      <c r="J136" s="40">
        <v>1159</v>
      </c>
      <c r="L136" s="40">
        <f t="shared" si="5"/>
        <v>304</v>
      </c>
      <c r="M136" s="40">
        <f t="shared" si="5"/>
        <v>895</v>
      </c>
      <c r="N136" s="40">
        <f t="shared" si="5"/>
        <v>708</v>
      </c>
      <c r="O136" s="40">
        <f t="shared" si="5"/>
        <v>1333</v>
      </c>
      <c r="P136" s="146">
        <f t="shared" si="6"/>
        <v>198</v>
      </c>
    </row>
    <row r="137" spans="1:16" x14ac:dyDescent="0.25">
      <c r="A137" s="38">
        <v>3616</v>
      </c>
      <c r="B137" s="38" t="s">
        <v>93</v>
      </c>
      <c r="C137" s="38" t="s">
        <v>230</v>
      </c>
      <c r="D137" s="38" t="s">
        <v>247</v>
      </c>
      <c r="E137" s="38">
        <v>1800</v>
      </c>
      <c r="F137" s="38">
        <v>780</v>
      </c>
      <c r="G137" s="40">
        <v>264</v>
      </c>
      <c r="H137" s="40">
        <v>520</v>
      </c>
      <c r="I137" s="40">
        <v>612</v>
      </c>
      <c r="J137" s="40">
        <v>1151</v>
      </c>
      <c r="L137" s="40">
        <f t="shared" si="5"/>
        <v>304</v>
      </c>
      <c r="M137" s="40">
        <f t="shared" si="5"/>
        <v>598</v>
      </c>
      <c r="N137" s="40">
        <f t="shared" si="5"/>
        <v>704</v>
      </c>
      <c r="O137" s="40">
        <f t="shared" si="5"/>
        <v>1324</v>
      </c>
      <c r="P137" s="146">
        <f t="shared" si="6"/>
        <v>198</v>
      </c>
    </row>
    <row r="138" spans="1:16" x14ac:dyDescent="0.25">
      <c r="A138" s="38">
        <v>3617</v>
      </c>
      <c r="B138" s="38" t="s">
        <v>93</v>
      </c>
      <c r="C138" s="38" t="s">
        <v>230</v>
      </c>
      <c r="D138" s="38" t="s">
        <v>248</v>
      </c>
      <c r="E138" s="38">
        <v>1800</v>
      </c>
      <c r="F138" s="38">
        <v>980</v>
      </c>
      <c r="G138" s="40">
        <v>329</v>
      </c>
      <c r="H138" s="40">
        <v>648</v>
      </c>
      <c r="I138" s="40">
        <v>753</v>
      </c>
      <c r="J138" s="40">
        <v>1417</v>
      </c>
      <c r="L138" s="40">
        <f t="shared" si="5"/>
        <v>378</v>
      </c>
      <c r="M138" s="40">
        <f t="shared" si="5"/>
        <v>745</v>
      </c>
      <c r="N138" s="40">
        <f t="shared" si="5"/>
        <v>866</v>
      </c>
      <c r="O138" s="40">
        <f t="shared" si="5"/>
        <v>1630</v>
      </c>
      <c r="P138" s="146">
        <f t="shared" si="6"/>
        <v>247</v>
      </c>
    </row>
    <row r="139" spans="1:16" x14ac:dyDescent="0.25">
      <c r="A139" s="38">
        <v>3620</v>
      </c>
      <c r="B139" s="38" t="s">
        <v>93</v>
      </c>
      <c r="C139" s="38" t="s">
        <v>249</v>
      </c>
      <c r="D139" s="38" t="s">
        <v>250</v>
      </c>
      <c r="E139" s="38">
        <v>360</v>
      </c>
      <c r="F139" s="38">
        <v>360</v>
      </c>
      <c r="G139" s="40">
        <v>34</v>
      </c>
      <c r="H139" s="40">
        <v>67</v>
      </c>
      <c r="I139" s="40">
        <v>89</v>
      </c>
      <c r="J139" s="40">
        <v>177</v>
      </c>
      <c r="L139" s="40">
        <f t="shared" si="5"/>
        <v>39</v>
      </c>
      <c r="M139" s="40">
        <f t="shared" si="5"/>
        <v>77</v>
      </c>
      <c r="N139" s="40">
        <f t="shared" si="5"/>
        <v>102</v>
      </c>
      <c r="O139" s="40">
        <f t="shared" si="5"/>
        <v>204</v>
      </c>
      <c r="P139" s="146">
        <f t="shared" si="6"/>
        <v>26</v>
      </c>
    </row>
    <row r="140" spans="1:16" x14ac:dyDescent="0.25">
      <c r="A140" s="38">
        <v>3621</v>
      </c>
      <c r="B140" s="38" t="s">
        <v>93</v>
      </c>
      <c r="C140" s="38" t="s">
        <v>249</v>
      </c>
      <c r="D140" s="38" t="s">
        <v>251</v>
      </c>
      <c r="E140" s="38">
        <v>360</v>
      </c>
      <c r="F140" s="38">
        <v>720</v>
      </c>
      <c r="G140" s="40">
        <v>52</v>
      </c>
      <c r="H140" s="40">
        <v>102</v>
      </c>
      <c r="I140" s="40">
        <v>143</v>
      </c>
      <c r="J140" s="40">
        <v>212</v>
      </c>
      <c r="L140" s="40">
        <f t="shared" si="5"/>
        <v>60</v>
      </c>
      <c r="M140" s="40">
        <f t="shared" si="5"/>
        <v>117</v>
      </c>
      <c r="N140" s="40">
        <f t="shared" si="5"/>
        <v>164</v>
      </c>
      <c r="O140" s="40">
        <f t="shared" si="5"/>
        <v>244</v>
      </c>
      <c r="P140" s="146">
        <f t="shared" si="6"/>
        <v>39</v>
      </c>
    </row>
    <row r="141" spans="1:16" x14ac:dyDescent="0.25">
      <c r="A141" s="38">
        <v>3622</v>
      </c>
      <c r="B141" s="38" t="s">
        <v>93</v>
      </c>
      <c r="C141" s="38" t="s">
        <v>249</v>
      </c>
      <c r="D141" s="38" t="s">
        <v>252</v>
      </c>
      <c r="E141" s="38">
        <v>360</v>
      </c>
      <c r="F141" s="38">
        <v>1080</v>
      </c>
      <c r="G141" s="40">
        <v>76</v>
      </c>
      <c r="H141" s="40">
        <v>150</v>
      </c>
      <c r="I141" s="40">
        <v>222</v>
      </c>
      <c r="J141" s="40">
        <v>240</v>
      </c>
      <c r="L141" s="40">
        <f t="shared" si="5"/>
        <v>87</v>
      </c>
      <c r="M141" s="40">
        <f t="shared" si="5"/>
        <v>173</v>
      </c>
      <c r="N141" s="40">
        <f t="shared" si="5"/>
        <v>255</v>
      </c>
      <c r="O141" s="40">
        <f t="shared" si="5"/>
        <v>276</v>
      </c>
      <c r="P141" s="146">
        <f t="shared" si="6"/>
        <v>57</v>
      </c>
    </row>
    <row r="142" spans="1:16" x14ac:dyDescent="0.25">
      <c r="A142" s="38">
        <v>3623</v>
      </c>
      <c r="B142" s="38" t="s">
        <v>93</v>
      </c>
      <c r="C142" s="38" t="s">
        <v>249</v>
      </c>
      <c r="D142" s="38" t="s">
        <v>253</v>
      </c>
      <c r="E142" s="38">
        <v>360</v>
      </c>
      <c r="F142" s="38">
        <v>1440</v>
      </c>
      <c r="G142" s="40">
        <v>100</v>
      </c>
      <c r="H142" s="40">
        <v>197</v>
      </c>
      <c r="I142" s="40">
        <v>281</v>
      </c>
      <c r="J142" s="40">
        <v>529</v>
      </c>
      <c r="L142" s="40">
        <f t="shared" si="5"/>
        <v>115</v>
      </c>
      <c r="M142" s="40">
        <f t="shared" si="5"/>
        <v>227</v>
      </c>
      <c r="N142" s="40">
        <f t="shared" si="5"/>
        <v>323</v>
      </c>
      <c r="O142" s="40">
        <f t="shared" si="5"/>
        <v>608</v>
      </c>
      <c r="P142" s="146">
        <f t="shared" si="6"/>
        <v>75</v>
      </c>
    </row>
    <row r="143" spans="1:16" x14ac:dyDescent="0.25">
      <c r="A143" s="38">
        <v>3624</v>
      </c>
      <c r="B143" s="38" t="s">
        <v>93</v>
      </c>
      <c r="C143" s="38" t="s">
        <v>249</v>
      </c>
      <c r="D143" s="38" t="s">
        <v>254</v>
      </c>
      <c r="E143" s="38">
        <v>360</v>
      </c>
      <c r="F143" s="38">
        <v>1800</v>
      </c>
      <c r="G143" s="40">
        <v>125</v>
      </c>
      <c r="H143" s="40">
        <v>246</v>
      </c>
      <c r="I143" s="40">
        <v>343</v>
      </c>
      <c r="J143" s="40">
        <v>645</v>
      </c>
      <c r="L143" s="40">
        <f t="shared" si="5"/>
        <v>144</v>
      </c>
      <c r="M143" s="40">
        <f t="shared" si="5"/>
        <v>283</v>
      </c>
      <c r="N143" s="40">
        <f t="shared" si="5"/>
        <v>394</v>
      </c>
      <c r="O143" s="40">
        <f t="shared" si="5"/>
        <v>742</v>
      </c>
      <c r="P143" s="146">
        <f t="shared" si="6"/>
        <v>94</v>
      </c>
    </row>
    <row r="144" spans="1:16" x14ac:dyDescent="0.25">
      <c r="A144" s="38">
        <v>3625</v>
      </c>
      <c r="B144" s="38" t="s">
        <v>93</v>
      </c>
      <c r="C144" s="38" t="s">
        <v>249</v>
      </c>
      <c r="D144" s="38" t="s">
        <v>255</v>
      </c>
      <c r="E144" s="38">
        <v>580</v>
      </c>
      <c r="F144" s="38">
        <v>360</v>
      </c>
      <c r="G144" s="40">
        <v>43</v>
      </c>
      <c r="H144" s="40">
        <v>85</v>
      </c>
      <c r="I144" s="40">
        <v>130</v>
      </c>
      <c r="J144" s="40">
        <v>185</v>
      </c>
      <c r="L144" s="40">
        <f t="shared" si="5"/>
        <v>49</v>
      </c>
      <c r="M144" s="40">
        <f t="shared" si="5"/>
        <v>98</v>
      </c>
      <c r="N144" s="40">
        <f t="shared" si="5"/>
        <v>150</v>
      </c>
      <c r="O144" s="40">
        <f t="shared" si="5"/>
        <v>213</v>
      </c>
      <c r="P144" s="146">
        <f t="shared" si="6"/>
        <v>32</v>
      </c>
    </row>
    <row r="145" spans="1:16" x14ac:dyDescent="0.25">
      <c r="A145" s="38">
        <v>3626</v>
      </c>
      <c r="B145" s="38" t="s">
        <v>93</v>
      </c>
      <c r="C145" s="38" t="s">
        <v>249</v>
      </c>
      <c r="D145" s="38" t="s">
        <v>256</v>
      </c>
      <c r="E145" s="38">
        <v>580</v>
      </c>
      <c r="F145" s="38">
        <v>720</v>
      </c>
      <c r="G145" s="40">
        <v>82</v>
      </c>
      <c r="H145" s="40">
        <v>161</v>
      </c>
      <c r="I145" s="40">
        <v>216</v>
      </c>
      <c r="J145" s="40">
        <v>245</v>
      </c>
      <c r="L145" s="40">
        <f t="shared" si="5"/>
        <v>94</v>
      </c>
      <c r="M145" s="40">
        <f t="shared" si="5"/>
        <v>185</v>
      </c>
      <c r="N145" s="40">
        <f t="shared" si="5"/>
        <v>248</v>
      </c>
      <c r="O145" s="40">
        <f t="shared" si="5"/>
        <v>282</v>
      </c>
      <c r="P145" s="146">
        <f t="shared" si="6"/>
        <v>62</v>
      </c>
    </row>
    <row r="146" spans="1:16" x14ac:dyDescent="0.25">
      <c r="A146" s="38">
        <v>3627</v>
      </c>
      <c r="B146" s="38" t="s">
        <v>93</v>
      </c>
      <c r="C146" s="38" t="s">
        <v>249</v>
      </c>
      <c r="D146" s="38" t="s">
        <v>257</v>
      </c>
      <c r="E146" s="38">
        <v>580</v>
      </c>
      <c r="F146" s="38">
        <v>1080</v>
      </c>
      <c r="G146" s="40">
        <v>119</v>
      </c>
      <c r="H146" s="40">
        <v>234</v>
      </c>
      <c r="I146" s="40">
        <v>300</v>
      </c>
      <c r="J146" s="40">
        <v>307</v>
      </c>
      <c r="L146" s="40">
        <f t="shared" si="5"/>
        <v>137</v>
      </c>
      <c r="M146" s="40">
        <f t="shared" si="5"/>
        <v>269</v>
      </c>
      <c r="N146" s="40">
        <f t="shared" si="5"/>
        <v>345</v>
      </c>
      <c r="O146" s="40">
        <f t="shared" si="5"/>
        <v>353</v>
      </c>
      <c r="P146" s="146">
        <f t="shared" si="6"/>
        <v>89</v>
      </c>
    </row>
    <row r="147" spans="1:16" x14ac:dyDescent="0.25">
      <c r="A147" s="38">
        <v>3628</v>
      </c>
      <c r="B147" s="38" t="s">
        <v>93</v>
      </c>
      <c r="C147" s="38" t="s">
        <v>249</v>
      </c>
      <c r="D147" s="38" t="s">
        <v>258</v>
      </c>
      <c r="E147" s="38">
        <v>580</v>
      </c>
      <c r="F147" s="38">
        <v>1440</v>
      </c>
      <c r="G147" s="40">
        <v>158</v>
      </c>
      <c r="H147" s="40">
        <v>311</v>
      </c>
      <c r="I147" s="40">
        <v>400</v>
      </c>
      <c r="J147" s="40">
        <v>752</v>
      </c>
      <c r="L147" s="40">
        <f t="shared" si="5"/>
        <v>182</v>
      </c>
      <c r="M147" s="40">
        <f t="shared" si="5"/>
        <v>358</v>
      </c>
      <c r="N147" s="40">
        <f t="shared" si="5"/>
        <v>460</v>
      </c>
      <c r="O147" s="40">
        <f t="shared" si="5"/>
        <v>865</v>
      </c>
      <c r="P147" s="146">
        <f t="shared" si="6"/>
        <v>119</v>
      </c>
    </row>
    <row r="148" spans="1:16" x14ac:dyDescent="0.25">
      <c r="A148" s="38">
        <v>3629</v>
      </c>
      <c r="B148" s="38" t="s">
        <v>93</v>
      </c>
      <c r="C148" s="38" t="s">
        <v>249</v>
      </c>
      <c r="D148" s="38" t="s">
        <v>259</v>
      </c>
      <c r="E148" s="38">
        <v>580</v>
      </c>
      <c r="F148" s="38">
        <v>1800</v>
      </c>
      <c r="G148" s="40">
        <v>197</v>
      </c>
      <c r="H148" s="40">
        <v>388</v>
      </c>
      <c r="I148" s="40">
        <v>467</v>
      </c>
      <c r="J148" s="40">
        <v>879</v>
      </c>
      <c r="L148" s="40">
        <f t="shared" si="5"/>
        <v>227</v>
      </c>
      <c r="M148" s="40">
        <f t="shared" si="5"/>
        <v>446</v>
      </c>
      <c r="N148" s="40">
        <f t="shared" si="5"/>
        <v>537</v>
      </c>
      <c r="O148" s="40">
        <f t="shared" si="5"/>
        <v>1011</v>
      </c>
      <c r="P148" s="146">
        <f t="shared" si="6"/>
        <v>148</v>
      </c>
    </row>
    <row r="149" spans="1:16" x14ac:dyDescent="0.25">
      <c r="A149" s="38">
        <v>3700</v>
      </c>
      <c r="B149" s="38" t="s">
        <v>93</v>
      </c>
      <c r="C149" s="38" t="s">
        <v>260</v>
      </c>
      <c r="D149" s="38" t="s">
        <v>261</v>
      </c>
      <c r="E149" s="38">
        <v>360</v>
      </c>
      <c r="F149" s="38">
        <v>360</v>
      </c>
      <c r="G149" s="40">
        <v>34</v>
      </c>
      <c r="H149" s="40">
        <v>114</v>
      </c>
      <c r="I149" s="40">
        <v>89</v>
      </c>
      <c r="J149" s="40">
        <v>177</v>
      </c>
      <c r="L149" s="40">
        <f t="shared" si="5"/>
        <v>39</v>
      </c>
      <c r="M149" s="40">
        <f t="shared" si="5"/>
        <v>131</v>
      </c>
      <c r="N149" s="40">
        <f t="shared" si="5"/>
        <v>102</v>
      </c>
      <c r="O149" s="40">
        <f t="shared" si="5"/>
        <v>204</v>
      </c>
      <c r="P149" s="146">
        <f t="shared" si="6"/>
        <v>26</v>
      </c>
    </row>
    <row r="150" spans="1:16" x14ac:dyDescent="0.25">
      <c r="A150" s="38">
        <v>3701</v>
      </c>
      <c r="B150" s="38" t="s">
        <v>93</v>
      </c>
      <c r="C150" s="38" t="s">
        <v>260</v>
      </c>
      <c r="D150" s="38" t="s">
        <v>262</v>
      </c>
      <c r="E150" s="38">
        <v>420</v>
      </c>
      <c r="F150" s="38">
        <v>360</v>
      </c>
      <c r="G150" s="40">
        <v>34</v>
      </c>
      <c r="H150" s="40">
        <v>121</v>
      </c>
      <c r="I150" s="40">
        <v>92</v>
      </c>
      <c r="J150" s="40">
        <v>178</v>
      </c>
      <c r="L150" s="40">
        <f t="shared" si="5"/>
        <v>39</v>
      </c>
      <c r="M150" s="40">
        <f t="shared" si="5"/>
        <v>139</v>
      </c>
      <c r="N150" s="40">
        <f t="shared" si="5"/>
        <v>106</v>
      </c>
      <c r="O150" s="40">
        <f t="shared" si="5"/>
        <v>205</v>
      </c>
      <c r="P150" s="146">
        <f t="shared" si="6"/>
        <v>26</v>
      </c>
    </row>
    <row r="151" spans="1:16" x14ac:dyDescent="0.25">
      <c r="A151" s="38">
        <v>3702</v>
      </c>
      <c r="B151" s="38" t="s">
        <v>93</v>
      </c>
      <c r="C151" s="38" t="s">
        <v>260</v>
      </c>
      <c r="D151" s="38" t="s">
        <v>263</v>
      </c>
      <c r="E151" s="38">
        <v>580</v>
      </c>
      <c r="F151" s="38">
        <v>360</v>
      </c>
      <c r="G151" s="40">
        <v>43</v>
      </c>
      <c r="H151" s="40">
        <v>161</v>
      </c>
      <c r="I151" s="40">
        <v>130</v>
      </c>
      <c r="J151" s="40">
        <v>185</v>
      </c>
      <c r="L151" s="40">
        <f t="shared" si="5"/>
        <v>49</v>
      </c>
      <c r="M151" s="40">
        <f t="shared" si="5"/>
        <v>185</v>
      </c>
      <c r="N151" s="40">
        <f t="shared" si="5"/>
        <v>150</v>
      </c>
      <c r="O151" s="40">
        <f t="shared" si="5"/>
        <v>213</v>
      </c>
      <c r="P151" s="146">
        <f t="shared" si="6"/>
        <v>32</v>
      </c>
    </row>
    <row r="152" spans="1:16" x14ac:dyDescent="0.25">
      <c r="A152" s="38">
        <v>3703</v>
      </c>
      <c r="B152" s="38" t="s">
        <v>93</v>
      </c>
      <c r="C152" s="38" t="s">
        <v>260</v>
      </c>
      <c r="D152" s="38" t="s">
        <v>264</v>
      </c>
      <c r="E152" s="38">
        <v>780</v>
      </c>
      <c r="F152" s="38">
        <v>360</v>
      </c>
      <c r="G152" s="40">
        <v>56</v>
      </c>
      <c r="H152" s="40">
        <v>185</v>
      </c>
      <c r="I152" s="40">
        <v>144</v>
      </c>
      <c r="J152" s="40">
        <v>190</v>
      </c>
      <c r="L152" s="40">
        <f t="shared" si="5"/>
        <v>64</v>
      </c>
      <c r="M152" s="40">
        <f t="shared" si="5"/>
        <v>213</v>
      </c>
      <c r="N152" s="40">
        <f t="shared" si="5"/>
        <v>166</v>
      </c>
      <c r="O152" s="40">
        <f t="shared" si="5"/>
        <v>219</v>
      </c>
      <c r="P152" s="146">
        <f t="shared" si="6"/>
        <v>42</v>
      </c>
    </row>
    <row r="153" spans="1:16" x14ac:dyDescent="0.25">
      <c r="A153" s="38">
        <v>3704</v>
      </c>
      <c r="B153" s="38" t="s">
        <v>93</v>
      </c>
      <c r="C153" s="38" t="s">
        <v>260</v>
      </c>
      <c r="D153" s="38" t="s">
        <v>265</v>
      </c>
      <c r="E153" s="38">
        <v>980</v>
      </c>
      <c r="F153" s="38">
        <v>360</v>
      </c>
      <c r="G153" s="40">
        <v>70</v>
      </c>
      <c r="H153" s="40">
        <v>223</v>
      </c>
      <c r="I153" s="40">
        <v>174</v>
      </c>
      <c r="J153" s="40">
        <v>209</v>
      </c>
      <c r="L153" s="40">
        <f t="shared" si="5"/>
        <v>81</v>
      </c>
      <c r="M153" s="40">
        <f t="shared" si="5"/>
        <v>256</v>
      </c>
      <c r="N153" s="40">
        <f t="shared" si="5"/>
        <v>200</v>
      </c>
      <c r="O153" s="40">
        <f t="shared" si="5"/>
        <v>240</v>
      </c>
      <c r="P153" s="146">
        <f t="shared" si="6"/>
        <v>53</v>
      </c>
    </row>
    <row r="154" spans="1:16" x14ac:dyDescent="0.25">
      <c r="A154" s="38">
        <v>3705</v>
      </c>
      <c r="B154" s="38" t="s">
        <v>93</v>
      </c>
      <c r="C154" s="38" t="s">
        <v>260</v>
      </c>
      <c r="D154" s="38" t="s">
        <v>266</v>
      </c>
      <c r="E154" s="38">
        <v>360</v>
      </c>
      <c r="F154" s="38">
        <v>580</v>
      </c>
      <c r="G154" s="40">
        <v>43</v>
      </c>
      <c r="H154" s="40">
        <v>161</v>
      </c>
      <c r="I154" s="40">
        <v>130</v>
      </c>
      <c r="J154" s="40">
        <v>185</v>
      </c>
      <c r="L154" s="40">
        <f t="shared" si="5"/>
        <v>49</v>
      </c>
      <c r="M154" s="40">
        <f t="shared" si="5"/>
        <v>185</v>
      </c>
      <c r="N154" s="40">
        <f t="shared" si="5"/>
        <v>150</v>
      </c>
      <c r="O154" s="40">
        <f t="shared" si="5"/>
        <v>213</v>
      </c>
      <c r="P154" s="146">
        <f t="shared" si="6"/>
        <v>32</v>
      </c>
    </row>
    <row r="155" spans="1:16" x14ac:dyDescent="0.25">
      <c r="A155" s="38">
        <v>3706</v>
      </c>
      <c r="B155" s="38" t="s">
        <v>93</v>
      </c>
      <c r="C155" s="38" t="s">
        <v>260</v>
      </c>
      <c r="D155" s="38" t="s">
        <v>267</v>
      </c>
      <c r="E155" s="38">
        <v>420</v>
      </c>
      <c r="F155" s="38">
        <v>580</v>
      </c>
      <c r="G155" s="40">
        <v>49</v>
      </c>
      <c r="H155" s="40">
        <v>181</v>
      </c>
      <c r="I155" s="40">
        <v>147</v>
      </c>
      <c r="J155" s="40">
        <v>186</v>
      </c>
      <c r="L155" s="40">
        <f t="shared" si="5"/>
        <v>56</v>
      </c>
      <c r="M155" s="40">
        <f t="shared" si="5"/>
        <v>208</v>
      </c>
      <c r="N155" s="40">
        <f t="shared" si="5"/>
        <v>169</v>
      </c>
      <c r="O155" s="40">
        <f t="shared" si="5"/>
        <v>214</v>
      </c>
      <c r="P155" s="146">
        <f t="shared" si="6"/>
        <v>37</v>
      </c>
    </row>
    <row r="156" spans="1:16" x14ac:dyDescent="0.25">
      <c r="A156" s="38">
        <v>3707</v>
      </c>
      <c r="B156" s="38" t="s">
        <v>93</v>
      </c>
      <c r="C156" s="38" t="s">
        <v>260</v>
      </c>
      <c r="D156" s="38" t="s">
        <v>268</v>
      </c>
      <c r="E156" s="38">
        <v>580</v>
      </c>
      <c r="F156" s="38">
        <v>580</v>
      </c>
      <c r="G156" s="40">
        <v>67</v>
      </c>
      <c r="H156" s="40">
        <v>228</v>
      </c>
      <c r="I156" s="40">
        <v>183</v>
      </c>
      <c r="J156" s="40">
        <v>191</v>
      </c>
      <c r="L156" s="40">
        <f t="shared" si="5"/>
        <v>77</v>
      </c>
      <c r="M156" s="40">
        <f t="shared" si="5"/>
        <v>262</v>
      </c>
      <c r="N156" s="40">
        <f t="shared" si="5"/>
        <v>210</v>
      </c>
      <c r="O156" s="40">
        <f t="shared" si="5"/>
        <v>220</v>
      </c>
      <c r="P156" s="146">
        <f t="shared" si="6"/>
        <v>50</v>
      </c>
    </row>
    <row r="157" spans="1:16" x14ac:dyDescent="0.25">
      <c r="A157" s="38">
        <v>3708</v>
      </c>
      <c r="B157" s="38" t="s">
        <v>93</v>
      </c>
      <c r="C157" s="38" t="s">
        <v>260</v>
      </c>
      <c r="D157" s="38" t="s">
        <v>269</v>
      </c>
      <c r="E157" s="38">
        <v>780</v>
      </c>
      <c r="F157" s="38">
        <v>580</v>
      </c>
      <c r="G157" s="40">
        <v>87</v>
      </c>
      <c r="H157" s="40">
        <v>275</v>
      </c>
      <c r="I157" s="40">
        <v>225</v>
      </c>
      <c r="J157" s="40">
        <v>237</v>
      </c>
      <c r="L157" s="40">
        <f t="shared" si="5"/>
        <v>100</v>
      </c>
      <c r="M157" s="40">
        <f t="shared" si="5"/>
        <v>316</v>
      </c>
      <c r="N157" s="40">
        <f t="shared" si="5"/>
        <v>259</v>
      </c>
      <c r="O157" s="40">
        <f t="shared" si="5"/>
        <v>273</v>
      </c>
      <c r="P157" s="146">
        <f t="shared" si="6"/>
        <v>65</v>
      </c>
    </row>
    <row r="158" spans="1:16" x14ac:dyDescent="0.25">
      <c r="A158" s="38">
        <v>3709</v>
      </c>
      <c r="B158" s="38" t="s">
        <v>93</v>
      </c>
      <c r="C158" s="38" t="s">
        <v>260</v>
      </c>
      <c r="D158" s="38" t="s">
        <v>270</v>
      </c>
      <c r="E158" s="38">
        <v>980</v>
      </c>
      <c r="F158" s="38">
        <v>580</v>
      </c>
      <c r="G158" s="40">
        <v>110</v>
      </c>
      <c r="H158" s="40">
        <v>355</v>
      </c>
      <c r="I158" s="40">
        <v>286</v>
      </c>
      <c r="J158" s="40">
        <v>276</v>
      </c>
      <c r="L158" s="40">
        <f t="shared" si="5"/>
        <v>127</v>
      </c>
      <c r="M158" s="40">
        <f t="shared" si="5"/>
        <v>408</v>
      </c>
      <c r="N158" s="40">
        <f t="shared" si="5"/>
        <v>329</v>
      </c>
      <c r="O158" s="40">
        <f t="shared" si="5"/>
        <v>317</v>
      </c>
      <c r="P158" s="146">
        <f t="shared" si="6"/>
        <v>83</v>
      </c>
    </row>
    <row r="159" spans="1:16" x14ac:dyDescent="0.25">
      <c r="A159" s="38">
        <v>3710</v>
      </c>
      <c r="B159" s="38" t="s">
        <v>93</v>
      </c>
      <c r="C159" s="38" t="s">
        <v>260</v>
      </c>
      <c r="D159" s="38" t="s">
        <v>271</v>
      </c>
      <c r="E159" s="38">
        <v>780</v>
      </c>
      <c r="F159" s="38">
        <v>780</v>
      </c>
      <c r="G159" s="40">
        <v>110</v>
      </c>
      <c r="H159" s="40">
        <v>302</v>
      </c>
      <c r="I159" s="40">
        <v>272</v>
      </c>
      <c r="J159" s="40">
        <v>295</v>
      </c>
      <c r="L159" s="40">
        <f t="shared" si="5"/>
        <v>127</v>
      </c>
      <c r="M159" s="40">
        <f t="shared" si="5"/>
        <v>347</v>
      </c>
      <c r="N159" s="40">
        <f t="shared" si="5"/>
        <v>313</v>
      </c>
      <c r="O159" s="40">
        <f t="shared" si="5"/>
        <v>339</v>
      </c>
      <c r="P159" s="146">
        <f t="shared" si="6"/>
        <v>83</v>
      </c>
    </row>
    <row r="160" spans="1:16" x14ac:dyDescent="0.25">
      <c r="A160" s="38">
        <v>3711</v>
      </c>
      <c r="B160" s="38" t="s">
        <v>93</v>
      </c>
      <c r="C160" s="38" t="s">
        <v>260</v>
      </c>
      <c r="D160" s="38" t="s">
        <v>272</v>
      </c>
      <c r="E160" s="38">
        <v>980</v>
      </c>
      <c r="F160" s="38">
        <v>780</v>
      </c>
      <c r="G160" s="40">
        <v>138</v>
      </c>
      <c r="H160" s="40">
        <v>272</v>
      </c>
      <c r="I160" s="40"/>
      <c r="J160" s="40"/>
      <c r="L160" s="40">
        <f t="shared" si="5"/>
        <v>159</v>
      </c>
      <c r="M160" s="40">
        <f t="shared" si="5"/>
        <v>313</v>
      </c>
      <c r="N160" s="40" t="str">
        <f t="shared" si="5"/>
        <v/>
      </c>
      <c r="O160" s="40" t="str">
        <f t="shared" si="5"/>
        <v/>
      </c>
      <c r="P160" s="146">
        <f t="shared" si="6"/>
        <v>104</v>
      </c>
    </row>
    <row r="161" spans="1:16" x14ac:dyDescent="0.25">
      <c r="A161" s="38">
        <v>3712</v>
      </c>
      <c r="B161" s="38" t="s">
        <v>93</v>
      </c>
      <c r="C161" s="38" t="s">
        <v>260</v>
      </c>
      <c r="D161" s="38" t="s">
        <v>273</v>
      </c>
      <c r="E161" s="38">
        <v>980</v>
      </c>
      <c r="F161" s="38">
        <v>980</v>
      </c>
      <c r="G161" s="40">
        <v>166</v>
      </c>
      <c r="H161" s="40">
        <v>327</v>
      </c>
      <c r="I161" s="40"/>
      <c r="J161" s="40"/>
      <c r="L161" s="40">
        <f t="shared" si="5"/>
        <v>191</v>
      </c>
      <c r="M161" s="40">
        <f t="shared" si="5"/>
        <v>376</v>
      </c>
      <c r="N161" s="40" t="str">
        <f t="shared" si="5"/>
        <v/>
      </c>
      <c r="O161" s="40" t="str">
        <f t="shared" si="5"/>
        <v/>
      </c>
      <c r="P161" s="146">
        <f t="shared" si="6"/>
        <v>125</v>
      </c>
    </row>
    <row r="162" spans="1:16" x14ac:dyDescent="0.25">
      <c r="A162" s="38">
        <v>3750</v>
      </c>
      <c r="B162" s="38" t="s">
        <v>93</v>
      </c>
      <c r="C162" s="38" t="s">
        <v>274</v>
      </c>
      <c r="D162" s="38" t="s">
        <v>275</v>
      </c>
      <c r="E162" s="38">
        <v>360</v>
      </c>
      <c r="F162" s="38">
        <v>360</v>
      </c>
      <c r="G162" s="40">
        <v>34</v>
      </c>
      <c r="H162" s="40">
        <v>114</v>
      </c>
      <c r="I162" s="40">
        <v>89</v>
      </c>
      <c r="J162" s="40">
        <v>177</v>
      </c>
      <c r="L162" s="40">
        <f t="shared" si="5"/>
        <v>39</v>
      </c>
      <c r="M162" s="40">
        <f t="shared" si="5"/>
        <v>131</v>
      </c>
      <c r="N162" s="40">
        <f t="shared" si="5"/>
        <v>102</v>
      </c>
      <c r="O162" s="40">
        <f t="shared" si="5"/>
        <v>204</v>
      </c>
      <c r="P162" s="146">
        <f t="shared" si="6"/>
        <v>26</v>
      </c>
    </row>
    <row r="163" spans="1:16" x14ac:dyDescent="0.25">
      <c r="A163" s="38">
        <v>3751</v>
      </c>
      <c r="B163" s="38" t="s">
        <v>93</v>
      </c>
      <c r="C163" s="38" t="s">
        <v>274</v>
      </c>
      <c r="D163" s="38" t="s">
        <v>276</v>
      </c>
      <c r="E163" s="38">
        <v>420</v>
      </c>
      <c r="F163" s="38">
        <v>360</v>
      </c>
      <c r="G163" s="40">
        <v>34</v>
      </c>
      <c r="H163" s="40">
        <v>121</v>
      </c>
      <c r="I163" s="40">
        <v>92</v>
      </c>
      <c r="J163" s="40">
        <v>178</v>
      </c>
      <c r="L163" s="40">
        <f t="shared" si="5"/>
        <v>39</v>
      </c>
      <c r="M163" s="40">
        <f t="shared" si="5"/>
        <v>139</v>
      </c>
      <c r="N163" s="40">
        <f t="shared" si="5"/>
        <v>106</v>
      </c>
      <c r="O163" s="40">
        <f t="shared" si="5"/>
        <v>205</v>
      </c>
      <c r="P163" s="146">
        <f t="shared" si="6"/>
        <v>26</v>
      </c>
    </row>
    <row r="164" spans="1:16" x14ac:dyDescent="0.25">
      <c r="A164" s="38">
        <v>3752</v>
      </c>
      <c r="B164" s="38" t="s">
        <v>93</v>
      </c>
      <c r="C164" s="38" t="s">
        <v>274</v>
      </c>
      <c r="D164" s="38" t="s">
        <v>277</v>
      </c>
      <c r="E164" s="38">
        <v>580</v>
      </c>
      <c r="F164" s="38">
        <v>360</v>
      </c>
      <c r="G164" s="40">
        <v>43</v>
      </c>
      <c r="H164" s="40">
        <v>161</v>
      </c>
      <c r="I164" s="40">
        <v>130</v>
      </c>
      <c r="J164" s="40">
        <v>185</v>
      </c>
      <c r="L164" s="40">
        <f t="shared" si="5"/>
        <v>49</v>
      </c>
      <c r="M164" s="40">
        <f t="shared" si="5"/>
        <v>185</v>
      </c>
      <c r="N164" s="40">
        <f t="shared" si="5"/>
        <v>150</v>
      </c>
      <c r="O164" s="40">
        <f t="shared" si="5"/>
        <v>213</v>
      </c>
      <c r="P164" s="146">
        <f t="shared" si="6"/>
        <v>32</v>
      </c>
    </row>
    <row r="165" spans="1:16" x14ac:dyDescent="0.25">
      <c r="A165" s="38">
        <v>3753</v>
      </c>
      <c r="B165" s="38" t="s">
        <v>93</v>
      </c>
      <c r="C165" s="38" t="s">
        <v>274</v>
      </c>
      <c r="D165" s="38" t="s">
        <v>278</v>
      </c>
      <c r="E165" s="38">
        <v>780</v>
      </c>
      <c r="F165" s="38">
        <v>360</v>
      </c>
      <c r="G165" s="40">
        <v>56</v>
      </c>
      <c r="H165" s="40">
        <v>185</v>
      </c>
      <c r="I165" s="40">
        <v>144</v>
      </c>
      <c r="J165" s="40">
        <v>190</v>
      </c>
      <c r="L165" s="40">
        <f t="shared" si="5"/>
        <v>64</v>
      </c>
      <c r="M165" s="40">
        <f t="shared" si="5"/>
        <v>213</v>
      </c>
      <c r="N165" s="40">
        <f t="shared" si="5"/>
        <v>166</v>
      </c>
      <c r="O165" s="40">
        <f t="shared" si="5"/>
        <v>219</v>
      </c>
      <c r="P165" s="146">
        <f t="shared" si="6"/>
        <v>42</v>
      </c>
    </row>
    <row r="166" spans="1:16" x14ac:dyDescent="0.25">
      <c r="A166" s="38">
        <v>3754</v>
      </c>
      <c r="B166" s="38" t="s">
        <v>93</v>
      </c>
      <c r="C166" s="38" t="s">
        <v>274</v>
      </c>
      <c r="D166" s="38" t="s">
        <v>279</v>
      </c>
      <c r="E166" s="38">
        <v>980</v>
      </c>
      <c r="F166" s="38">
        <v>360</v>
      </c>
      <c r="G166" s="40">
        <v>70</v>
      </c>
      <c r="H166" s="40">
        <v>223</v>
      </c>
      <c r="I166" s="40">
        <v>174</v>
      </c>
      <c r="J166" s="40">
        <v>209</v>
      </c>
      <c r="L166" s="40">
        <f t="shared" si="5"/>
        <v>81</v>
      </c>
      <c r="M166" s="40">
        <f t="shared" si="5"/>
        <v>256</v>
      </c>
      <c r="N166" s="40">
        <f t="shared" si="5"/>
        <v>200</v>
      </c>
      <c r="O166" s="40">
        <f t="shared" si="5"/>
        <v>240</v>
      </c>
      <c r="P166" s="146">
        <f t="shared" si="6"/>
        <v>53</v>
      </c>
    </row>
    <row r="167" spans="1:16" x14ac:dyDescent="0.25">
      <c r="A167" s="38">
        <v>3755</v>
      </c>
      <c r="B167" s="38" t="s">
        <v>93</v>
      </c>
      <c r="C167" s="38" t="s">
        <v>274</v>
      </c>
      <c r="D167" s="38" t="s">
        <v>280</v>
      </c>
      <c r="E167" s="38">
        <v>360</v>
      </c>
      <c r="F167" s="38">
        <v>580</v>
      </c>
      <c r="G167" s="40">
        <v>43</v>
      </c>
      <c r="H167" s="40">
        <v>161</v>
      </c>
      <c r="I167" s="40">
        <v>130</v>
      </c>
      <c r="J167" s="40">
        <v>185</v>
      </c>
      <c r="L167" s="40">
        <f t="shared" si="5"/>
        <v>49</v>
      </c>
      <c r="M167" s="40">
        <f t="shared" si="5"/>
        <v>185</v>
      </c>
      <c r="N167" s="40">
        <f t="shared" si="5"/>
        <v>150</v>
      </c>
      <c r="O167" s="40">
        <f t="shared" si="5"/>
        <v>213</v>
      </c>
      <c r="P167" s="146">
        <f t="shared" si="6"/>
        <v>32</v>
      </c>
    </row>
    <row r="168" spans="1:16" x14ac:dyDescent="0.25">
      <c r="A168" s="38">
        <v>3756</v>
      </c>
      <c r="B168" s="38" t="s">
        <v>93</v>
      </c>
      <c r="C168" s="38" t="s">
        <v>274</v>
      </c>
      <c r="D168" s="38" t="s">
        <v>281</v>
      </c>
      <c r="E168" s="38">
        <v>420</v>
      </c>
      <c r="F168" s="38">
        <v>580</v>
      </c>
      <c r="G168" s="40">
        <v>49</v>
      </c>
      <c r="H168" s="40">
        <v>181</v>
      </c>
      <c r="I168" s="40">
        <v>147</v>
      </c>
      <c r="J168" s="40">
        <v>186</v>
      </c>
      <c r="L168" s="40">
        <f t="shared" si="5"/>
        <v>56</v>
      </c>
      <c r="M168" s="40">
        <f t="shared" si="5"/>
        <v>208</v>
      </c>
      <c r="N168" s="40">
        <f t="shared" si="5"/>
        <v>169</v>
      </c>
      <c r="O168" s="40">
        <f t="shared" si="5"/>
        <v>214</v>
      </c>
      <c r="P168" s="146">
        <f t="shared" si="6"/>
        <v>37</v>
      </c>
    </row>
    <row r="169" spans="1:16" x14ac:dyDescent="0.25">
      <c r="A169" s="38">
        <v>3757</v>
      </c>
      <c r="B169" s="38" t="s">
        <v>93</v>
      </c>
      <c r="C169" s="38" t="s">
        <v>274</v>
      </c>
      <c r="D169" s="38" t="s">
        <v>282</v>
      </c>
      <c r="E169" s="38">
        <v>580</v>
      </c>
      <c r="F169" s="38">
        <v>580</v>
      </c>
      <c r="G169" s="40">
        <v>67</v>
      </c>
      <c r="H169" s="40">
        <v>228</v>
      </c>
      <c r="I169" s="40">
        <v>183</v>
      </c>
      <c r="J169" s="40">
        <v>191</v>
      </c>
      <c r="L169" s="40">
        <f t="shared" si="5"/>
        <v>77</v>
      </c>
      <c r="M169" s="40">
        <f t="shared" si="5"/>
        <v>262</v>
      </c>
      <c r="N169" s="40">
        <f t="shared" si="5"/>
        <v>210</v>
      </c>
      <c r="O169" s="40">
        <f t="shared" si="5"/>
        <v>220</v>
      </c>
      <c r="P169" s="146">
        <f t="shared" si="6"/>
        <v>50</v>
      </c>
    </row>
    <row r="170" spans="1:16" x14ac:dyDescent="0.25">
      <c r="A170" s="38">
        <v>3758</v>
      </c>
      <c r="B170" s="38" t="s">
        <v>93</v>
      </c>
      <c r="C170" s="38" t="s">
        <v>274</v>
      </c>
      <c r="D170" s="38" t="s">
        <v>283</v>
      </c>
      <c r="E170" s="38">
        <v>780</v>
      </c>
      <c r="F170" s="38">
        <v>580</v>
      </c>
      <c r="G170" s="40">
        <v>87</v>
      </c>
      <c r="H170" s="40">
        <v>275</v>
      </c>
      <c r="I170" s="40">
        <v>225</v>
      </c>
      <c r="J170" s="40">
        <v>237</v>
      </c>
      <c r="L170" s="40">
        <f t="shared" si="5"/>
        <v>100</v>
      </c>
      <c r="M170" s="40">
        <f t="shared" si="5"/>
        <v>316</v>
      </c>
      <c r="N170" s="40">
        <f t="shared" si="5"/>
        <v>259</v>
      </c>
      <c r="O170" s="40">
        <f t="shared" si="5"/>
        <v>273</v>
      </c>
      <c r="P170" s="146">
        <f t="shared" si="6"/>
        <v>65</v>
      </c>
    </row>
    <row r="171" spans="1:16" x14ac:dyDescent="0.25">
      <c r="A171" s="38">
        <v>3759</v>
      </c>
      <c r="B171" s="38" t="s">
        <v>93</v>
      </c>
      <c r="C171" s="38" t="s">
        <v>274</v>
      </c>
      <c r="D171" s="38" t="s">
        <v>284</v>
      </c>
      <c r="E171" s="38">
        <v>980</v>
      </c>
      <c r="F171" s="38">
        <v>580</v>
      </c>
      <c r="G171" s="40">
        <v>110</v>
      </c>
      <c r="H171" s="40">
        <v>355</v>
      </c>
      <c r="I171" s="40">
        <v>286</v>
      </c>
      <c r="J171" s="40">
        <v>276</v>
      </c>
      <c r="L171" s="40">
        <f t="shared" si="5"/>
        <v>127</v>
      </c>
      <c r="M171" s="40">
        <f t="shared" si="5"/>
        <v>408</v>
      </c>
      <c r="N171" s="40">
        <f t="shared" si="5"/>
        <v>329</v>
      </c>
      <c r="O171" s="40">
        <f t="shared" si="5"/>
        <v>317</v>
      </c>
      <c r="P171" s="146">
        <f t="shared" si="6"/>
        <v>83</v>
      </c>
    </row>
    <row r="172" spans="1:16" x14ac:dyDescent="0.25">
      <c r="A172" s="38">
        <v>3760</v>
      </c>
      <c r="B172" s="38" t="s">
        <v>93</v>
      </c>
      <c r="C172" s="38" t="s">
        <v>274</v>
      </c>
      <c r="D172" s="38" t="s">
        <v>285</v>
      </c>
      <c r="E172" s="38">
        <v>780</v>
      </c>
      <c r="F172" s="38">
        <v>780</v>
      </c>
      <c r="G172" s="40">
        <v>126</v>
      </c>
      <c r="H172" s="40">
        <v>302</v>
      </c>
      <c r="I172" s="40">
        <v>272</v>
      </c>
      <c r="J172" s="40">
        <v>295</v>
      </c>
      <c r="L172" s="40">
        <f t="shared" si="5"/>
        <v>145</v>
      </c>
      <c r="M172" s="40">
        <f t="shared" si="5"/>
        <v>347</v>
      </c>
      <c r="N172" s="40">
        <f t="shared" si="5"/>
        <v>313</v>
      </c>
      <c r="O172" s="40">
        <f t="shared" si="5"/>
        <v>339</v>
      </c>
      <c r="P172" s="146">
        <f t="shared" si="6"/>
        <v>95</v>
      </c>
    </row>
    <row r="173" spans="1:16" x14ac:dyDescent="0.25">
      <c r="A173" s="38">
        <v>3761</v>
      </c>
      <c r="B173" s="38" t="s">
        <v>93</v>
      </c>
      <c r="C173" s="38" t="s">
        <v>274</v>
      </c>
      <c r="D173" s="38" t="s">
        <v>286</v>
      </c>
      <c r="E173" s="38">
        <v>980</v>
      </c>
      <c r="F173" s="38">
        <v>780</v>
      </c>
      <c r="G173" s="40">
        <v>139</v>
      </c>
      <c r="H173" s="40">
        <v>416</v>
      </c>
      <c r="I173" s="40"/>
      <c r="J173" s="40"/>
      <c r="L173" s="40">
        <f t="shared" si="5"/>
        <v>160</v>
      </c>
      <c r="M173" s="40">
        <f t="shared" si="5"/>
        <v>478</v>
      </c>
      <c r="N173" s="40" t="str">
        <f t="shared" si="5"/>
        <v/>
      </c>
      <c r="O173" s="40" t="str">
        <f t="shared" si="5"/>
        <v/>
      </c>
      <c r="P173" s="146">
        <f t="shared" si="6"/>
        <v>104</v>
      </c>
    </row>
    <row r="174" spans="1:16" x14ac:dyDescent="0.25">
      <c r="A174" s="38">
        <v>3762</v>
      </c>
      <c r="B174" s="38" t="s">
        <v>93</v>
      </c>
      <c r="C174" s="38" t="s">
        <v>274</v>
      </c>
      <c r="D174" s="38" t="s">
        <v>287</v>
      </c>
      <c r="E174" s="38">
        <v>980</v>
      </c>
      <c r="F174" s="38">
        <v>980</v>
      </c>
      <c r="G174" s="40">
        <v>180</v>
      </c>
      <c r="H174" s="40">
        <v>354</v>
      </c>
      <c r="I174" s="40"/>
      <c r="J174" s="40"/>
      <c r="L174" s="40">
        <f t="shared" si="5"/>
        <v>207</v>
      </c>
      <c r="M174" s="40">
        <f t="shared" si="5"/>
        <v>407</v>
      </c>
      <c r="N174" s="40" t="str">
        <f t="shared" si="5"/>
        <v/>
      </c>
      <c r="O174" s="40" t="str">
        <f t="shared" si="5"/>
        <v/>
      </c>
      <c r="P174" s="146">
        <f t="shared" si="6"/>
        <v>135</v>
      </c>
    </row>
    <row r="175" spans="1:16" x14ac:dyDescent="0.25">
      <c r="A175" s="38">
        <v>3800</v>
      </c>
      <c r="B175" s="38" t="s">
        <v>93</v>
      </c>
      <c r="C175" s="38" t="s">
        <v>288</v>
      </c>
      <c r="D175" s="38" t="s">
        <v>289</v>
      </c>
      <c r="E175" s="38">
        <v>360</v>
      </c>
      <c r="F175" s="38">
        <v>360</v>
      </c>
      <c r="G175" s="40">
        <v>34</v>
      </c>
      <c r="H175" s="40">
        <v>114</v>
      </c>
      <c r="I175" s="40">
        <v>89</v>
      </c>
      <c r="J175" s="40">
        <v>177</v>
      </c>
      <c r="L175" s="40">
        <f t="shared" si="5"/>
        <v>39</v>
      </c>
      <c r="M175" s="40">
        <f t="shared" si="5"/>
        <v>131</v>
      </c>
      <c r="N175" s="40">
        <f t="shared" si="5"/>
        <v>102</v>
      </c>
      <c r="O175" s="40">
        <f t="shared" si="5"/>
        <v>204</v>
      </c>
      <c r="P175" s="146">
        <f t="shared" si="6"/>
        <v>26</v>
      </c>
    </row>
    <row r="176" spans="1:16" x14ac:dyDescent="0.25">
      <c r="A176" s="38">
        <v>3801</v>
      </c>
      <c r="B176" s="38" t="s">
        <v>93</v>
      </c>
      <c r="C176" s="38" t="s">
        <v>288</v>
      </c>
      <c r="D176" s="38" t="s">
        <v>290</v>
      </c>
      <c r="E176" s="38">
        <v>420</v>
      </c>
      <c r="F176" s="38">
        <v>360</v>
      </c>
      <c r="G176" s="40">
        <v>34</v>
      </c>
      <c r="H176" s="40">
        <v>121</v>
      </c>
      <c r="I176" s="40">
        <v>92</v>
      </c>
      <c r="J176" s="40">
        <v>178</v>
      </c>
      <c r="L176" s="40">
        <f t="shared" si="5"/>
        <v>39</v>
      </c>
      <c r="M176" s="40">
        <f t="shared" si="5"/>
        <v>139</v>
      </c>
      <c r="N176" s="40">
        <f t="shared" si="5"/>
        <v>106</v>
      </c>
      <c r="O176" s="40">
        <f t="shared" si="5"/>
        <v>205</v>
      </c>
      <c r="P176" s="146">
        <f t="shared" si="6"/>
        <v>26</v>
      </c>
    </row>
    <row r="177" spans="1:16" x14ac:dyDescent="0.25">
      <c r="A177" s="38">
        <v>3802</v>
      </c>
      <c r="B177" s="38" t="s">
        <v>93</v>
      </c>
      <c r="C177" s="38" t="s">
        <v>288</v>
      </c>
      <c r="D177" s="38" t="s">
        <v>291</v>
      </c>
      <c r="E177" s="38">
        <v>580</v>
      </c>
      <c r="F177" s="38">
        <v>360</v>
      </c>
      <c r="G177" s="40">
        <v>43</v>
      </c>
      <c r="H177" s="40">
        <v>161</v>
      </c>
      <c r="I177" s="40">
        <v>130</v>
      </c>
      <c r="J177" s="40">
        <v>185</v>
      </c>
      <c r="L177" s="40">
        <f t="shared" si="5"/>
        <v>49</v>
      </c>
      <c r="M177" s="40">
        <f t="shared" si="5"/>
        <v>185</v>
      </c>
      <c r="N177" s="40">
        <f t="shared" si="5"/>
        <v>150</v>
      </c>
      <c r="O177" s="40">
        <f t="shared" si="5"/>
        <v>213</v>
      </c>
      <c r="P177" s="146">
        <f t="shared" si="6"/>
        <v>32</v>
      </c>
    </row>
    <row r="178" spans="1:16" x14ac:dyDescent="0.25">
      <c r="A178" s="38">
        <v>3803</v>
      </c>
      <c r="B178" s="38" t="s">
        <v>93</v>
      </c>
      <c r="C178" s="38" t="s">
        <v>288</v>
      </c>
      <c r="D178" s="38" t="s">
        <v>292</v>
      </c>
      <c r="E178" s="38">
        <v>780</v>
      </c>
      <c r="F178" s="38">
        <v>360</v>
      </c>
      <c r="G178" s="40">
        <v>56</v>
      </c>
      <c r="H178" s="40">
        <v>185</v>
      </c>
      <c r="I178" s="40">
        <v>144</v>
      </c>
      <c r="J178" s="40">
        <v>190</v>
      </c>
      <c r="L178" s="40">
        <f t="shared" si="5"/>
        <v>64</v>
      </c>
      <c r="M178" s="40">
        <f t="shared" si="5"/>
        <v>213</v>
      </c>
      <c r="N178" s="40">
        <f t="shared" si="5"/>
        <v>166</v>
      </c>
      <c r="O178" s="40">
        <f t="shared" si="5"/>
        <v>219</v>
      </c>
      <c r="P178" s="146">
        <f t="shared" si="6"/>
        <v>42</v>
      </c>
    </row>
    <row r="179" spans="1:16" x14ac:dyDescent="0.25">
      <c r="A179" s="38">
        <v>3804</v>
      </c>
      <c r="B179" s="38" t="s">
        <v>93</v>
      </c>
      <c r="C179" s="38" t="s">
        <v>288</v>
      </c>
      <c r="D179" s="38" t="s">
        <v>293</v>
      </c>
      <c r="E179" s="38">
        <v>980</v>
      </c>
      <c r="F179" s="38">
        <v>360</v>
      </c>
      <c r="G179" s="40">
        <v>70</v>
      </c>
      <c r="H179" s="40">
        <v>223</v>
      </c>
      <c r="I179" s="40">
        <v>174</v>
      </c>
      <c r="J179" s="40">
        <v>209</v>
      </c>
      <c r="L179" s="40">
        <f t="shared" si="5"/>
        <v>81</v>
      </c>
      <c r="M179" s="40">
        <f t="shared" si="5"/>
        <v>256</v>
      </c>
      <c r="N179" s="40">
        <f t="shared" si="5"/>
        <v>200</v>
      </c>
      <c r="O179" s="40">
        <f t="shared" si="5"/>
        <v>240</v>
      </c>
      <c r="P179" s="146">
        <f t="shared" si="6"/>
        <v>53</v>
      </c>
    </row>
    <row r="180" spans="1:16" x14ac:dyDescent="0.25">
      <c r="A180" s="38">
        <v>3805</v>
      </c>
      <c r="B180" s="38" t="s">
        <v>93</v>
      </c>
      <c r="C180" s="38" t="s">
        <v>288</v>
      </c>
      <c r="D180" s="38" t="s">
        <v>294</v>
      </c>
      <c r="E180" s="38">
        <v>360</v>
      </c>
      <c r="F180" s="38">
        <v>580</v>
      </c>
      <c r="G180" s="40">
        <v>43</v>
      </c>
      <c r="H180" s="40">
        <v>161</v>
      </c>
      <c r="I180" s="40">
        <v>130</v>
      </c>
      <c r="J180" s="40">
        <v>185</v>
      </c>
      <c r="L180" s="40">
        <f t="shared" si="5"/>
        <v>49</v>
      </c>
      <c r="M180" s="40">
        <f t="shared" si="5"/>
        <v>185</v>
      </c>
      <c r="N180" s="40">
        <f t="shared" si="5"/>
        <v>150</v>
      </c>
      <c r="O180" s="40">
        <f t="shared" si="5"/>
        <v>213</v>
      </c>
      <c r="P180" s="146">
        <f t="shared" si="6"/>
        <v>32</v>
      </c>
    </row>
    <row r="181" spans="1:16" x14ac:dyDescent="0.25">
      <c r="A181" s="38">
        <v>3806</v>
      </c>
      <c r="B181" s="38" t="s">
        <v>93</v>
      </c>
      <c r="C181" s="38" t="s">
        <v>288</v>
      </c>
      <c r="D181" s="38" t="s">
        <v>295</v>
      </c>
      <c r="E181" s="38">
        <v>420</v>
      </c>
      <c r="F181" s="38">
        <v>580</v>
      </c>
      <c r="G181" s="40">
        <v>49</v>
      </c>
      <c r="H181" s="40">
        <v>181</v>
      </c>
      <c r="I181" s="40">
        <v>147</v>
      </c>
      <c r="J181" s="40">
        <v>186</v>
      </c>
      <c r="L181" s="40">
        <f t="shared" si="5"/>
        <v>56</v>
      </c>
      <c r="M181" s="40">
        <f t="shared" si="5"/>
        <v>208</v>
      </c>
      <c r="N181" s="40">
        <f t="shared" si="5"/>
        <v>169</v>
      </c>
      <c r="O181" s="40">
        <f t="shared" si="5"/>
        <v>214</v>
      </c>
      <c r="P181" s="146">
        <f t="shared" si="6"/>
        <v>37</v>
      </c>
    </row>
    <row r="182" spans="1:16" x14ac:dyDescent="0.25">
      <c r="A182" s="38">
        <v>3807</v>
      </c>
      <c r="B182" s="38" t="s">
        <v>93</v>
      </c>
      <c r="C182" s="38" t="s">
        <v>288</v>
      </c>
      <c r="D182" s="38" t="s">
        <v>296</v>
      </c>
      <c r="E182" s="38">
        <v>580</v>
      </c>
      <c r="F182" s="38">
        <v>580</v>
      </c>
      <c r="G182" s="40">
        <v>67</v>
      </c>
      <c r="H182" s="40">
        <v>228</v>
      </c>
      <c r="I182" s="40">
        <v>183</v>
      </c>
      <c r="J182" s="40">
        <v>191</v>
      </c>
      <c r="L182" s="40">
        <f t="shared" si="5"/>
        <v>77</v>
      </c>
      <c r="M182" s="40">
        <f t="shared" si="5"/>
        <v>262</v>
      </c>
      <c r="N182" s="40">
        <f t="shared" si="5"/>
        <v>210</v>
      </c>
      <c r="O182" s="40">
        <f t="shared" si="5"/>
        <v>220</v>
      </c>
      <c r="P182" s="146">
        <f t="shared" si="6"/>
        <v>50</v>
      </c>
    </row>
    <row r="183" spans="1:16" x14ac:dyDescent="0.25">
      <c r="A183" s="38">
        <v>3808</v>
      </c>
      <c r="B183" s="38" t="s">
        <v>93</v>
      </c>
      <c r="C183" s="38" t="s">
        <v>288</v>
      </c>
      <c r="D183" s="38" t="s">
        <v>297</v>
      </c>
      <c r="E183" s="38">
        <v>780</v>
      </c>
      <c r="F183" s="38">
        <v>580</v>
      </c>
      <c r="G183" s="40">
        <v>87</v>
      </c>
      <c r="H183" s="40">
        <v>275</v>
      </c>
      <c r="I183" s="40">
        <v>225</v>
      </c>
      <c r="J183" s="40">
        <v>237</v>
      </c>
      <c r="L183" s="40">
        <f t="shared" si="5"/>
        <v>100</v>
      </c>
      <c r="M183" s="40">
        <f t="shared" si="5"/>
        <v>316</v>
      </c>
      <c r="N183" s="40">
        <f t="shared" si="5"/>
        <v>259</v>
      </c>
      <c r="O183" s="40">
        <f t="shared" si="5"/>
        <v>273</v>
      </c>
      <c r="P183" s="146">
        <f t="shared" si="6"/>
        <v>65</v>
      </c>
    </row>
    <row r="184" spans="1:16" x14ac:dyDescent="0.25">
      <c r="A184" s="38">
        <v>3809</v>
      </c>
      <c r="B184" s="38" t="s">
        <v>93</v>
      </c>
      <c r="C184" s="38" t="s">
        <v>288</v>
      </c>
      <c r="D184" s="38" t="s">
        <v>298</v>
      </c>
      <c r="E184" s="38">
        <v>980</v>
      </c>
      <c r="F184" s="38">
        <v>580</v>
      </c>
      <c r="G184" s="40">
        <v>110</v>
      </c>
      <c r="H184" s="40">
        <v>355</v>
      </c>
      <c r="I184" s="40">
        <v>286</v>
      </c>
      <c r="J184" s="40">
        <v>276</v>
      </c>
      <c r="L184" s="40">
        <f t="shared" si="5"/>
        <v>127</v>
      </c>
      <c r="M184" s="40">
        <f t="shared" si="5"/>
        <v>408</v>
      </c>
      <c r="N184" s="40">
        <f t="shared" si="5"/>
        <v>329</v>
      </c>
      <c r="O184" s="40">
        <f t="shared" si="5"/>
        <v>317</v>
      </c>
      <c r="P184" s="146">
        <f t="shared" si="6"/>
        <v>83</v>
      </c>
    </row>
    <row r="185" spans="1:16" x14ac:dyDescent="0.25">
      <c r="A185" s="38">
        <v>3810</v>
      </c>
      <c r="B185" s="38" t="s">
        <v>93</v>
      </c>
      <c r="C185" s="38" t="s">
        <v>288</v>
      </c>
      <c r="D185" s="38" t="s">
        <v>299</v>
      </c>
      <c r="E185" s="38">
        <v>420</v>
      </c>
      <c r="F185" s="38">
        <v>780</v>
      </c>
      <c r="G185" s="40">
        <v>65</v>
      </c>
      <c r="H185" s="40">
        <v>128</v>
      </c>
      <c r="I185" s="40"/>
      <c r="J185" s="40"/>
      <c r="L185" s="40">
        <f t="shared" si="5"/>
        <v>75</v>
      </c>
      <c r="M185" s="40">
        <f t="shared" si="5"/>
        <v>147</v>
      </c>
      <c r="N185" s="40" t="str">
        <f t="shared" si="5"/>
        <v/>
      </c>
      <c r="O185" s="40" t="str">
        <f t="shared" si="5"/>
        <v/>
      </c>
      <c r="P185" s="146">
        <f t="shared" si="6"/>
        <v>49</v>
      </c>
    </row>
    <row r="186" spans="1:16" x14ac:dyDescent="0.25">
      <c r="A186" s="38">
        <v>3811</v>
      </c>
      <c r="B186" s="38" t="s">
        <v>93</v>
      </c>
      <c r="C186" s="38" t="s">
        <v>288</v>
      </c>
      <c r="D186" s="38" t="s">
        <v>300</v>
      </c>
      <c r="E186" s="38">
        <v>420</v>
      </c>
      <c r="F186" s="38">
        <v>980</v>
      </c>
      <c r="G186" s="40">
        <v>79</v>
      </c>
      <c r="H186" s="40">
        <v>155</v>
      </c>
      <c r="I186" s="40"/>
      <c r="J186" s="40"/>
      <c r="L186" s="40">
        <f t="shared" si="5"/>
        <v>91</v>
      </c>
      <c r="M186" s="40">
        <f t="shared" si="5"/>
        <v>178</v>
      </c>
      <c r="N186" s="40" t="str">
        <f t="shared" si="5"/>
        <v/>
      </c>
      <c r="O186" s="40" t="str">
        <f t="shared" si="5"/>
        <v/>
      </c>
      <c r="P186" s="146">
        <f t="shared" si="6"/>
        <v>59</v>
      </c>
    </row>
    <row r="187" spans="1:16" x14ac:dyDescent="0.25">
      <c r="A187" s="38">
        <v>3812</v>
      </c>
      <c r="B187" s="38" t="s">
        <v>93</v>
      </c>
      <c r="C187" s="38" t="s">
        <v>288</v>
      </c>
      <c r="D187" s="38" t="s">
        <v>301</v>
      </c>
      <c r="E187" s="38">
        <v>780</v>
      </c>
      <c r="F187" s="38">
        <v>780</v>
      </c>
      <c r="G187" s="40">
        <v>126</v>
      </c>
      <c r="H187" s="40">
        <v>302</v>
      </c>
      <c r="I187" s="40">
        <v>272</v>
      </c>
      <c r="J187" s="40">
        <v>295</v>
      </c>
      <c r="L187" s="40">
        <f t="shared" si="5"/>
        <v>145</v>
      </c>
      <c r="M187" s="40">
        <f t="shared" si="5"/>
        <v>347</v>
      </c>
      <c r="N187" s="40">
        <f t="shared" si="5"/>
        <v>313</v>
      </c>
      <c r="O187" s="40">
        <f t="shared" si="5"/>
        <v>339</v>
      </c>
      <c r="P187" s="146">
        <f t="shared" si="6"/>
        <v>95</v>
      </c>
    </row>
    <row r="188" spans="1:16" x14ac:dyDescent="0.25">
      <c r="A188" s="38">
        <v>3813</v>
      </c>
      <c r="B188" s="38" t="s">
        <v>93</v>
      </c>
      <c r="C188" s="38" t="s">
        <v>288</v>
      </c>
      <c r="D188" s="38" t="s">
        <v>302</v>
      </c>
      <c r="E188" s="38">
        <v>780</v>
      </c>
      <c r="F188" s="38">
        <v>980</v>
      </c>
      <c r="G188" s="40">
        <v>139</v>
      </c>
      <c r="H188" s="40">
        <v>416</v>
      </c>
      <c r="I188" s="40"/>
      <c r="J188" s="40"/>
      <c r="L188" s="40">
        <f t="shared" si="5"/>
        <v>160</v>
      </c>
      <c r="M188" s="40">
        <f t="shared" si="5"/>
        <v>478</v>
      </c>
      <c r="N188" s="40" t="str">
        <f t="shared" si="5"/>
        <v/>
      </c>
      <c r="O188" s="40" t="str">
        <f t="shared" si="5"/>
        <v/>
      </c>
      <c r="P188" s="146">
        <f t="shared" si="6"/>
        <v>104</v>
      </c>
    </row>
    <row r="189" spans="1:16" x14ac:dyDescent="0.25">
      <c r="A189" s="38">
        <v>3814</v>
      </c>
      <c r="B189" s="38" t="s">
        <v>93</v>
      </c>
      <c r="C189" s="38" t="s">
        <v>288</v>
      </c>
      <c r="D189" s="38" t="s">
        <v>303</v>
      </c>
      <c r="E189" s="38">
        <v>980</v>
      </c>
      <c r="F189" s="38">
        <v>780</v>
      </c>
      <c r="G189" s="40">
        <v>139</v>
      </c>
      <c r="H189" s="40">
        <v>416</v>
      </c>
      <c r="I189" s="40"/>
      <c r="J189" s="40"/>
      <c r="L189" s="40">
        <f t="shared" si="5"/>
        <v>160</v>
      </c>
      <c r="M189" s="40">
        <f t="shared" si="5"/>
        <v>478</v>
      </c>
      <c r="N189" s="40" t="str">
        <f t="shared" si="5"/>
        <v/>
      </c>
      <c r="O189" s="40" t="str">
        <f t="shared" si="5"/>
        <v/>
      </c>
      <c r="P189" s="146">
        <f t="shared" si="6"/>
        <v>104</v>
      </c>
    </row>
    <row r="190" spans="1:16" x14ac:dyDescent="0.25">
      <c r="A190" s="38">
        <v>3815</v>
      </c>
      <c r="B190" s="38" t="s">
        <v>93</v>
      </c>
      <c r="C190" s="38" t="s">
        <v>288</v>
      </c>
      <c r="D190" s="38" t="s">
        <v>304</v>
      </c>
      <c r="E190" s="38">
        <v>980</v>
      </c>
      <c r="F190" s="38">
        <v>980</v>
      </c>
      <c r="G190" s="40">
        <v>180</v>
      </c>
      <c r="H190" s="40">
        <v>354</v>
      </c>
      <c r="I190" s="40"/>
      <c r="J190" s="40"/>
      <c r="L190" s="40">
        <f t="shared" si="5"/>
        <v>207</v>
      </c>
      <c r="M190" s="40">
        <f t="shared" si="5"/>
        <v>407</v>
      </c>
      <c r="N190" s="40" t="str">
        <f t="shared" si="5"/>
        <v/>
      </c>
      <c r="O190" s="40" t="str">
        <f t="shared" si="5"/>
        <v/>
      </c>
      <c r="P190" s="146">
        <f t="shared" si="6"/>
        <v>135</v>
      </c>
    </row>
    <row r="191" spans="1:16" x14ac:dyDescent="0.25">
      <c r="A191" s="38">
        <v>5000</v>
      </c>
      <c r="B191" s="38" t="s">
        <v>93</v>
      </c>
      <c r="C191" s="38" t="s">
        <v>12</v>
      </c>
      <c r="D191" s="38" t="s">
        <v>305</v>
      </c>
      <c r="E191" s="38">
        <v>420</v>
      </c>
      <c r="F191" s="38">
        <v>180</v>
      </c>
      <c r="G191" s="40">
        <v>169</v>
      </c>
      <c r="H191" s="40">
        <v>255</v>
      </c>
      <c r="I191" s="40">
        <v>237</v>
      </c>
      <c r="J191" s="40">
        <v>446</v>
      </c>
      <c r="L191" s="40">
        <f t="shared" si="5"/>
        <v>194</v>
      </c>
      <c r="M191" s="40">
        <f t="shared" si="5"/>
        <v>293</v>
      </c>
      <c r="N191" s="40">
        <f t="shared" si="5"/>
        <v>273</v>
      </c>
      <c r="O191" s="40">
        <f t="shared" si="5"/>
        <v>513</v>
      </c>
      <c r="P191" s="146">
        <f t="shared" si="6"/>
        <v>149</v>
      </c>
    </row>
    <row r="192" spans="1:16" x14ac:dyDescent="0.25">
      <c r="A192" s="38">
        <v>5001</v>
      </c>
      <c r="B192" s="38" t="s">
        <v>93</v>
      </c>
      <c r="C192" s="38" t="s">
        <v>12</v>
      </c>
      <c r="D192" s="38" t="s">
        <v>306</v>
      </c>
      <c r="E192" s="38">
        <v>420</v>
      </c>
      <c r="F192" s="38">
        <v>360</v>
      </c>
      <c r="G192" s="40">
        <v>169</v>
      </c>
      <c r="H192" s="40">
        <v>255</v>
      </c>
      <c r="I192" s="40">
        <v>237</v>
      </c>
      <c r="J192" s="40">
        <v>446</v>
      </c>
      <c r="L192" s="40">
        <f t="shared" si="5"/>
        <v>194</v>
      </c>
      <c r="M192" s="40">
        <f t="shared" si="5"/>
        <v>293</v>
      </c>
      <c r="N192" s="40">
        <f t="shared" si="5"/>
        <v>273</v>
      </c>
      <c r="O192" s="40">
        <f t="shared" si="5"/>
        <v>513</v>
      </c>
      <c r="P192" s="146">
        <f t="shared" si="6"/>
        <v>149</v>
      </c>
    </row>
    <row r="193" spans="1:16" x14ac:dyDescent="0.25">
      <c r="A193" s="38">
        <v>5002</v>
      </c>
      <c r="B193" s="38" t="s">
        <v>93</v>
      </c>
      <c r="C193" s="38" t="s">
        <v>12</v>
      </c>
      <c r="D193" s="38" t="s">
        <v>307</v>
      </c>
      <c r="E193" s="38">
        <v>580</v>
      </c>
      <c r="F193" s="38">
        <v>180</v>
      </c>
      <c r="G193" s="40">
        <v>184</v>
      </c>
      <c r="H193" s="40">
        <v>283</v>
      </c>
      <c r="I193" s="40">
        <v>259</v>
      </c>
      <c r="J193" s="40">
        <v>487</v>
      </c>
      <c r="L193" s="40">
        <f t="shared" si="5"/>
        <v>212</v>
      </c>
      <c r="M193" s="40">
        <f t="shared" si="5"/>
        <v>325</v>
      </c>
      <c r="N193" s="40">
        <f t="shared" si="5"/>
        <v>298</v>
      </c>
      <c r="O193" s="40">
        <f t="shared" ref="O193:O256" si="7">IF(J193="","",ROUND(J193*1.15,0))</f>
        <v>560</v>
      </c>
      <c r="P193" s="146">
        <f t="shared" si="6"/>
        <v>162</v>
      </c>
    </row>
    <row r="194" spans="1:16" x14ac:dyDescent="0.25">
      <c r="A194" s="38">
        <v>5003</v>
      </c>
      <c r="B194" s="38" t="s">
        <v>93</v>
      </c>
      <c r="C194" s="38" t="s">
        <v>12</v>
      </c>
      <c r="D194" s="38" t="s">
        <v>308</v>
      </c>
      <c r="E194" s="38">
        <v>580</v>
      </c>
      <c r="F194" s="38">
        <v>360</v>
      </c>
      <c r="G194" s="40">
        <v>184</v>
      </c>
      <c r="H194" s="40">
        <v>283</v>
      </c>
      <c r="I194" s="40">
        <v>259</v>
      </c>
      <c r="J194" s="40">
        <v>487</v>
      </c>
      <c r="L194" s="40">
        <f t="shared" ref="L194:O261" si="8">IF(G194="","",ROUND(G194*1.15,0))</f>
        <v>212</v>
      </c>
      <c r="M194" s="40">
        <f t="shared" si="8"/>
        <v>325</v>
      </c>
      <c r="N194" s="40">
        <f t="shared" si="8"/>
        <v>298</v>
      </c>
      <c r="O194" s="40">
        <f t="shared" si="7"/>
        <v>560</v>
      </c>
      <c r="P194" s="146">
        <f t="shared" si="6"/>
        <v>162</v>
      </c>
    </row>
    <row r="195" spans="1:16" x14ac:dyDescent="0.25">
      <c r="A195" s="38">
        <v>5004</v>
      </c>
      <c r="B195" s="38" t="s">
        <v>93</v>
      </c>
      <c r="C195" s="38" t="s">
        <v>12</v>
      </c>
      <c r="D195" s="38" t="s">
        <v>309</v>
      </c>
      <c r="E195" s="38">
        <v>780</v>
      </c>
      <c r="F195" s="38">
        <v>180</v>
      </c>
      <c r="G195" s="40">
        <v>198</v>
      </c>
      <c r="H195" s="40">
        <v>310</v>
      </c>
      <c r="I195" s="40">
        <v>280</v>
      </c>
      <c r="J195" s="40">
        <v>527</v>
      </c>
      <c r="L195" s="40">
        <f t="shared" si="8"/>
        <v>228</v>
      </c>
      <c r="M195" s="40">
        <f t="shared" si="8"/>
        <v>357</v>
      </c>
      <c r="N195" s="40">
        <f t="shared" si="8"/>
        <v>322</v>
      </c>
      <c r="O195" s="40">
        <f t="shared" si="7"/>
        <v>606</v>
      </c>
      <c r="P195" s="146">
        <f t="shared" ref="P195:P258" si="9">IF(G195="","",ROUND(G195*$T$3*IFERROR(VLOOKUP(C195,$S$6:$T$27,2,FALSE),1),0))</f>
        <v>174</v>
      </c>
    </row>
    <row r="196" spans="1:16" x14ac:dyDescent="0.25">
      <c r="A196" s="38">
        <v>5005</v>
      </c>
      <c r="B196" s="38" t="s">
        <v>93</v>
      </c>
      <c r="C196" s="38" t="s">
        <v>12</v>
      </c>
      <c r="D196" s="38" t="s">
        <v>310</v>
      </c>
      <c r="E196" s="38">
        <v>780</v>
      </c>
      <c r="F196" s="38">
        <v>360</v>
      </c>
      <c r="G196" s="40">
        <v>198</v>
      </c>
      <c r="H196" s="40">
        <v>310</v>
      </c>
      <c r="I196" s="40">
        <v>280</v>
      </c>
      <c r="J196" s="40">
        <v>527</v>
      </c>
      <c r="L196" s="40">
        <f t="shared" si="8"/>
        <v>228</v>
      </c>
      <c r="M196" s="40">
        <f t="shared" si="8"/>
        <v>357</v>
      </c>
      <c r="N196" s="40">
        <f t="shared" si="8"/>
        <v>322</v>
      </c>
      <c r="O196" s="40">
        <f t="shared" si="7"/>
        <v>606</v>
      </c>
      <c r="P196" s="146">
        <f t="shared" si="9"/>
        <v>174</v>
      </c>
    </row>
    <row r="197" spans="1:16" x14ac:dyDescent="0.25">
      <c r="A197" s="38">
        <v>5006</v>
      </c>
      <c r="B197" s="38" t="s">
        <v>93</v>
      </c>
      <c r="C197" s="38" t="s">
        <v>12</v>
      </c>
      <c r="D197" s="38" t="s">
        <v>311</v>
      </c>
      <c r="E197" s="38">
        <v>980</v>
      </c>
      <c r="F197" s="38">
        <v>180</v>
      </c>
      <c r="G197" s="40">
        <v>250</v>
      </c>
      <c r="H197" s="40">
        <v>369</v>
      </c>
      <c r="I197" s="40">
        <v>345</v>
      </c>
      <c r="J197" s="40">
        <v>649</v>
      </c>
      <c r="L197" s="40">
        <f t="shared" si="8"/>
        <v>288</v>
      </c>
      <c r="M197" s="40">
        <f t="shared" si="8"/>
        <v>424</v>
      </c>
      <c r="N197" s="40">
        <f t="shared" si="8"/>
        <v>397</v>
      </c>
      <c r="O197" s="40">
        <f t="shared" si="7"/>
        <v>746</v>
      </c>
      <c r="P197" s="146">
        <f t="shared" si="9"/>
        <v>220</v>
      </c>
    </row>
    <row r="198" spans="1:16" x14ac:dyDescent="0.25">
      <c r="A198" s="38">
        <v>5007</v>
      </c>
      <c r="B198" s="38" t="s">
        <v>93</v>
      </c>
      <c r="C198" s="38" t="s">
        <v>12</v>
      </c>
      <c r="D198" s="38" t="s">
        <v>312</v>
      </c>
      <c r="E198" s="38">
        <v>980</v>
      </c>
      <c r="F198" s="38">
        <v>360</v>
      </c>
      <c r="G198" s="40">
        <v>250</v>
      </c>
      <c r="H198" s="40">
        <v>369</v>
      </c>
      <c r="I198" s="40">
        <v>345</v>
      </c>
      <c r="J198" s="40">
        <v>649</v>
      </c>
      <c r="L198" s="40">
        <f t="shared" si="8"/>
        <v>288</v>
      </c>
      <c r="M198" s="40">
        <f t="shared" si="8"/>
        <v>424</v>
      </c>
      <c r="N198" s="40">
        <f t="shared" si="8"/>
        <v>397</v>
      </c>
      <c r="O198" s="40">
        <f t="shared" si="7"/>
        <v>746</v>
      </c>
      <c r="P198" s="146">
        <f t="shared" si="9"/>
        <v>220</v>
      </c>
    </row>
    <row r="199" spans="1:16" x14ac:dyDescent="0.25">
      <c r="A199" s="38">
        <v>5009</v>
      </c>
      <c r="B199" s="38" t="s">
        <v>93</v>
      </c>
      <c r="C199" s="38" t="s">
        <v>12</v>
      </c>
      <c r="D199" s="38" t="s">
        <v>313</v>
      </c>
      <c r="E199" s="38">
        <v>360</v>
      </c>
      <c r="F199" s="38">
        <v>180</v>
      </c>
      <c r="G199" s="40">
        <v>169</v>
      </c>
      <c r="H199" s="40">
        <v>333</v>
      </c>
      <c r="I199" s="40">
        <v>345</v>
      </c>
      <c r="J199" s="40">
        <v>649</v>
      </c>
      <c r="L199" s="40">
        <f t="shared" si="8"/>
        <v>194</v>
      </c>
      <c r="M199" s="40">
        <f t="shared" si="8"/>
        <v>383</v>
      </c>
      <c r="N199" s="40">
        <f t="shared" si="8"/>
        <v>397</v>
      </c>
      <c r="O199" s="40">
        <f t="shared" si="7"/>
        <v>746</v>
      </c>
      <c r="P199" s="146">
        <f t="shared" si="9"/>
        <v>149</v>
      </c>
    </row>
    <row r="200" spans="1:16" x14ac:dyDescent="0.25">
      <c r="A200" s="38">
        <v>5008</v>
      </c>
      <c r="B200" s="38" t="s">
        <v>93</v>
      </c>
      <c r="C200" s="38" t="s">
        <v>12</v>
      </c>
      <c r="D200" s="38" t="s">
        <v>314</v>
      </c>
      <c r="E200" s="38">
        <v>360</v>
      </c>
      <c r="F200" s="38">
        <v>360</v>
      </c>
      <c r="G200" s="40">
        <v>169</v>
      </c>
      <c r="H200" s="40">
        <v>333</v>
      </c>
      <c r="I200" s="40">
        <v>345</v>
      </c>
      <c r="J200" s="40">
        <v>649</v>
      </c>
      <c r="L200" s="40">
        <f t="shared" si="8"/>
        <v>194</v>
      </c>
      <c r="M200" s="40">
        <f t="shared" si="8"/>
        <v>383</v>
      </c>
      <c r="N200" s="40">
        <f t="shared" si="8"/>
        <v>397</v>
      </c>
      <c r="O200" s="40">
        <f t="shared" si="7"/>
        <v>746</v>
      </c>
      <c r="P200" s="146">
        <f t="shared" si="9"/>
        <v>149</v>
      </c>
    </row>
    <row r="201" spans="1:16" x14ac:dyDescent="0.25">
      <c r="A201" s="38" t="s">
        <v>315</v>
      </c>
      <c r="B201" s="38" t="s">
        <v>93</v>
      </c>
      <c r="C201" s="38" t="s">
        <v>12</v>
      </c>
      <c r="D201" s="38" t="s">
        <v>316</v>
      </c>
      <c r="E201" s="38">
        <v>980</v>
      </c>
      <c r="F201" s="38">
        <v>420</v>
      </c>
      <c r="G201" s="40">
        <v>255</v>
      </c>
      <c r="H201" s="40">
        <v>502</v>
      </c>
      <c r="I201" s="40">
        <v>345</v>
      </c>
      <c r="J201" s="40">
        <v>649</v>
      </c>
      <c r="L201" s="40">
        <f t="shared" si="8"/>
        <v>293</v>
      </c>
      <c r="M201" s="40">
        <f t="shared" si="8"/>
        <v>577</v>
      </c>
      <c r="N201" s="40">
        <f t="shared" si="8"/>
        <v>397</v>
      </c>
      <c r="O201" s="40">
        <f t="shared" si="7"/>
        <v>746</v>
      </c>
      <c r="P201" s="146">
        <f t="shared" si="9"/>
        <v>224</v>
      </c>
    </row>
    <row r="202" spans="1:16" x14ac:dyDescent="0.25">
      <c r="A202" s="38">
        <v>5100</v>
      </c>
      <c r="B202" s="38" t="s">
        <v>93</v>
      </c>
      <c r="C202" s="38" t="s">
        <v>317</v>
      </c>
      <c r="D202" s="38" t="s">
        <v>318</v>
      </c>
      <c r="E202" s="38">
        <v>420</v>
      </c>
      <c r="F202" s="38">
        <v>360</v>
      </c>
      <c r="G202" s="40">
        <v>136</v>
      </c>
      <c r="H202" s="40">
        <v>205</v>
      </c>
      <c r="I202" s="40">
        <v>182</v>
      </c>
      <c r="J202" s="40">
        <v>479</v>
      </c>
      <c r="L202" s="40">
        <f t="shared" si="8"/>
        <v>156</v>
      </c>
      <c r="M202" s="40">
        <f t="shared" si="8"/>
        <v>236</v>
      </c>
      <c r="N202" s="40">
        <f t="shared" si="8"/>
        <v>209</v>
      </c>
      <c r="O202" s="40">
        <f t="shared" si="7"/>
        <v>551</v>
      </c>
      <c r="P202" s="146">
        <f t="shared" si="9"/>
        <v>120</v>
      </c>
    </row>
    <row r="203" spans="1:16" x14ac:dyDescent="0.25">
      <c r="A203" s="38">
        <v>5101</v>
      </c>
      <c r="B203" s="38" t="s">
        <v>93</v>
      </c>
      <c r="C203" s="38" t="s">
        <v>317</v>
      </c>
      <c r="D203" s="38" t="s">
        <v>319</v>
      </c>
      <c r="E203" s="38">
        <v>420</v>
      </c>
      <c r="F203" s="38">
        <v>720</v>
      </c>
      <c r="G203" s="40">
        <v>159</v>
      </c>
      <c r="H203" s="40">
        <v>270</v>
      </c>
      <c r="I203" s="40">
        <v>230</v>
      </c>
      <c r="J203" s="40">
        <v>544</v>
      </c>
      <c r="L203" s="40">
        <f t="shared" si="8"/>
        <v>183</v>
      </c>
      <c r="M203" s="40">
        <f t="shared" si="8"/>
        <v>311</v>
      </c>
      <c r="N203" s="40">
        <f t="shared" si="8"/>
        <v>265</v>
      </c>
      <c r="O203" s="40">
        <f t="shared" si="7"/>
        <v>626</v>
      </c>
      <c r="P203" s="146">
        <f t="shared" si="9"/>
        <v>140</v>
      </c>
    </row>
    <row r="204" spans="1:16" x14ac:dyDescent="0.25">
      <c r="A204" s="38">
        <v>5102</v>
      </c>
      <c r="B204" s="38" t="s">
        <v>93</v>
      </c>
      <c r="C204" s="38" t="s">
        <v>317</v>
      </c>
      <c r="D204" s="38" t="s">
        <v>320</v>
      </c>
      <c r="E204" s="38">
        <v>420</v>
      </c>
      <c r="F204" s="38">
        <v>1080</v>
      </c>
      <c r="G204" s="40">
        <v>235</v>
      </c>
      <c r="H204" s="40">
        <v>373</v>
      </c>
      <c r="I204" s="40">
        <v>339</v>
      </c>
      <c r="J204" s="40">
        <v>643</v>
      </c>
      <c r="L204" s="40">
        <f t="shared" si="8"/>
        <v>270</v>
      </c>
      <c r="M204" s="40">
        <f t="shared" si="8"/>
        <v>429</v>
      </c>
      <c r="N204" s="40">
        <f t="shared" si="8"/>
        <v>390</v>
      </c>
      <c r="O204" s="40">
        <f t="shared" si="7"/>
        <v>739</v>
      </c>
      <c r="P204" s="146">
        <f t="shared" si="9"/>
        <v>207</v>
      </c>
    </row>
    <row r="205" spans="1:16" x14ac:dyDescent="0.25">
      <c r="A205" s="38">
        <v>5103</v>
      </c>
      <c r="B205" s="38" t="s">
        <v>93</v>
      </c>
      <c r="C205" s="38" t="s">
        <v>317</v>
      </c>
      <c r="D205" s="38" t="s">
        <v>321</v>
      </c>
      <c r="E205" s="38">
        <v>420</v>
      </c>
      <c r="F205" s="38">
        <v>1440</v>
      </c>
      <c r="G205" s="40">
        <v>257</v>
      </c>
      <c r="H205" s="40">
        <v>472</v>
      </c>
      <c r="I205" s="40">
        <v>402</v>
      </c>
      <c r="J205" s="40">
        <v>712</v>
      </c>
      <c r="L205" s="40">
        <f t="shared" si="8"/>
        <v>296</v>
      </c>
      <c r="M205" s="40">
        <f t="shared" si="8"/>
        <v>543</v>
      </c>
      <c r="N205" s="40">
        <f t="shared" si="8"/>
        <v>462</v>
      </c>
      <c r="O205" s="40">
        <f t="shared" si="7"/>
        <v>819</v>
      </c>
      <c r="P205" s="146">
        <f t="shared" si="9"/>
        <v>226</v>
      </c>
    </row>
    <row r="206" spans="1:16" x14ac:dyDescent="0.25">
      <c r="A206" s="38">
        <v>5104</v>
      </c>
      <c r="B206" s="38" t="s">
        <v>93</v>
      </c>
      <c r="C206" s="38" t="s">
        <v>317</v>
      </c>
      <c r="D206" s="38" t="s">
        <v>322</v>
      </c>
      <c r="E206" s="38">
        <v>420</v>
      </c>
      <c r="F206" s="38">
        <v>1800</v>
      </c>
      <c r="G206" s="40">
        <v>340</v>
      </c>
      <c r="H206" s="40">
        <v>669</v>
      </c>
      <c r="I206" s="40">
        <v>494</v>
      </c>
      <c r="J206" s="40">
        <v>834</v>
      </c>
      <c r="L206" s="40">
        <f t="shared" si="8"/>
        <v>391</v>
      </c>
      <c r="M206" s="40">
        <f t="shared" si="8"/>
        <v>769</v>
      </c>
      <c r="N206" s="40">
        <f t="shared" si="8"/>
        <v>568</v>
      </c>
      <c r="O206" s="40">
        <f t="shared" si="7"/>
        <v>959</v>
      </c>
      <c r="P206" s="146">
        <f t="shared" si="9"/>
        <v>299</v>
      </c>
    </row>
    <row r="207" spans="1:16" x14ac:dyDescent="0.25">
      <c r="A207" s="38">
        <v>5105</v>
      </c>
      <c r="B207" s="38" t="s">
        <v>93</v>
      </c>
      <c r="C207" s="38" t="s">
        <v>317</v>
      </c>
      <c r="D207" s="38" t="s">
        <v>323</v>
      </c>
      <c r="E207" s="38">
        <v>580</v>
      </c>
      <c r="F207" s="38">
        <v>360</v>
      </c>
      <c r="G207" s="40">
        <v>153</v>
      </c>
      <c r="H207" s="40">
        <v>228</v>
      </c>
      <c r="I207" s="40">
        <v>208</v>
      </c>
      <c r="J207" s="40">
        <v>509</v>
      </c>
      <c r="L207" s="40">
        <f t="shared" si="8"/>
        <v>176</v>
      </c>
      <c r="M207" s="40">
        <f t="shared" si="8"/>
        <v>262</v>
      </c>
      <c r="N207" s="40">
        <f t="shared" si="8"/>
        <v>239</v>
      </c>
      <c r="O207" s="40">
        <f t="shared" si="7"/>
        <v>585</v>
      </c>
      <c r="P207" s="146">
        <f t="shared" si="9"/>
        <v>135</v>
      </c>
    </row>
    <row r="208" spans="1:16" x14ac:dyDescent="0.25">
      <c r="A208" s="38">
        <v>5106</v>
      </c>
      <c r="B208" s="38" t="s">
        <v>93</v>
      </c>
      <c r="C208" s="38" t="s">
        <v>317</v>
      </c>
      <c r="D208" s="38" t="s">
        <v>324</v>
      </c>
      <c r="E208" s="38">
        <v>580</v>
      </c>
      <c r="F208" s="38">
        <v>720</v>
      </c>
      <c r="G208" s="40">
        <v>210</v>
      </c>
      <c r="H208" s="40">
        <v>332</v>
      </c>
      <c r="I208" s="40">
        <v>306</v>
      </c>
      <c r="J208" s="40">
        <v>585</v>
      </c>
      <c r="L208" s="40">
        <f t="shared" si="8"/>
        <v>242</v>
      </c>
      <c r="M208" s="40">
        <f t="shared" si="8"/>
        <v>382</v>
      </c>
      <c r="N208" s="40">
        <f t="shared" si="8"/>
        <v>352</v>
      </c>
      <c r="O208" s="40">
        <f t="shared" si="7"/>
        <v>673</v>
      </c>
      <c r="P208" s="146">
        <f t="shared" si="9"/>
        <v>185</v>
      </c>
    </row>
    <row r="209" spans="1:16" x14ac:dyDescent="0.25">
      <c r="A209" s="38">
        <v>5107</v>
      </c>
      <c r="B209" s="38" t="s">
        <v>93</v>
      </c>
      <c r="C209" s="38" t="s">
        <v>317</v>
      </c>
      <c r="D209" s="38" t="s">
        <v>325</v>
      </c>
      <c r="E209" s="38">
        <v>580</v>
      </c>
      <c r="F209" s="38">
        <v>1080</v>
      </c>
      <c r="G209" s="40">
        <v>278</v>
      </c>
      <c r="H209" s="40">
        <v>459</v>
      </c>
      <c r="I209" s="40">
        <v>415</v>
      </c>
      <c r="J209" s="40">
        <v>709</v>
      </c>
      <c r="L209" s="40">
        <f t="shared" si="8"/>
        <v>320</v>
      </c>
      <c r="M209" s="40">
        <f t="shared" si="8"/>
        <v>528</v>
      </c>
      <c r="N209" s="40">
        <f t="shared" si="8"/>
        <v>477</v>
      </c>
      <c r="O209" s="40">
        <f t="shared" si="7"/>
        <v>815</v>
      </c>
      <c r="P209" s="146">
        <f t="shared" si="9"/>
        <v>245</v>
      </c>
    </row>
    <row r="210" spans="1:16" x14ac:dyDescent="0.25">
      <c r="A210" s="38">
        <v>5108</v>
      </c>
      <c r="B210" s="38" t="s">
        <v>93</v>
      </c>
      <c r="C210" s="38" t="s">
        <v>317</v>
      </c>
      <c r="D210" s="38" t="s">
        <v>326</v>
      </c>
      <c r="E210" s="38">
        <v>580</v>
      </c>
      <c r="F210" s="38">
        <v>1440</v>
      </c>
      <c r="G210" s="40">
        <v>337</v>
      </c>
      <c r="H210" s="40">
        <v>560</v>
      </c>
      <c r="I210" s="40">
        <v>503</v>
      </c>
      <c r="J210" s="40">
        <v>946</v>
      </c>
      <c r="L210" s="40">
        <f t="shared" si="8"/>
        <v>388</v>
      </c>
      <c r="M210" s="40">
        <f t="shared" si="8"/>
        <v>644</v>
      </c>
      <c r="N210" s="40">
        <f t="shared" si="8"/>
        <v>578</v>
      </c>
      <c r="O210" s="40">
        <f t="shared" si="7"/>
        <v>1088</v>
      </c>
      <c r="P210" s="146">
        <f t="shared" si="9"/>
        <v>297</v>
      </c>
    </row>
    <row r="211" spans="1:16" x14ac:dyDescent="0.25">
      <c r="A211" s="38">
        <v>5109</v>
      </c>
      <c r="B211" s="38" t="s">
        <v>93</v>
      </c>
      <c r="C211" s="38" t="s">
        <v>317</v>
      </c>
      <c r="D211" s="38" t="s">
        <v>327</v>
      </c>
      <c r="E211" s="38">
        <v>580</v>
      </c>
      <c r="F211" s="38">
        <v>1800</v>
      </c>
      <c r="G211" s="40">
        <v>417</v>
      </c>
      <c r="H211" s="40">
        <v>821</v>
      </c>
      <c r="I211" s="40">
        <v>619</v>
      </c>
      <c r="J211" s="40">
        <v>1164</v>
      </c>
      <c r="L211" s="40">
        <f t="shared" si="8"/>
        <v>480</v>
      </c>
      <c r="M211" s="40">
        <f t="shared" si="8"/>
        <v>944</v>
      </c>
      <c r="N211" s="40">
        <f t="shared" si="8"/>
        <v>712</v>
      </c>
      <c r="O211" s="40">
        <f t="shared" si="7"/>
        <v>1339</v>
      </c>
      <c r="P211" s="146">
        <f t="shared" si="9"/>
        <v>367</v>
      </c>
    </row>
    <row r="212" spans="1:16" x14ac:dyDescent="0.25">
      <c r="A212" s="38">
        <v>5110</v>
      </c>
      <c r="B212" s="38" t="s">
        <v>93</v>
      </c>
      <c r="C212" s="38" t="s">
        <v>317</v>
      </c>
      <c r="D212" s="38" t="s">
        <v>328</v>
      </c>
      <c r="E212" s="38">
        <v>360</v>
      </c>
      <c r="F212" s="38">
        <v>360</v>
      </c>
      <c r="G212" s="40">
        <v>136</v>
      </c>
      <c r="H212" s="40">
        <v>268</v>
      </c>
      <c r="I212" s="40">
        <v>237</v>
      </c>
      <c r="J212" s="40">
        <v>446</v>
      </c>
      <c r="L212" s="40">
        <f t="shared" si="8"/>
        <v>156</v>
      </c>
      <c r="M212" s="40">
        <f t="shared" si="8"/>
        <v>308</v>
      </c>
      <c r="N212" s="40">
        <f t="shared" si="8"/>
        <v>273</v>
      </c>
      <c r="O212" s="40">
        <f t="shared" si="7"/>
        <v>513</v>
      </c>
      <c r="P212" s="146">
        <f t="shared" si="9"/>
        <v>120</v>
      </c>
    </row>
    <row r="213" spans="1:16" x14ac:dyDescent="0.25">
      <c r="A213" s="38">
        <v>5111</v>
      </c>
      <c r="B213" s="38" t="s">
        <v>93</v>
      </c>
      <c r="C213" s="38" t="s">
        <v>317</v>
      </c>
      <c r="D213" s="38" t="s">
        <v>329</v>
      </c>
      <c r="E213" s="38">
        <v>780</v>
      </c>
      <c r="F213" s="38">
        <v>360</v>
      </c>
      <c r="G213" s="40"/>
      <c r="H213" s="40"/>
      <c r="I213" s="40">
        <v>259</v>
      </c>
      <c r="J213" s="40">
        <v>487</v>
      </c>
      <c r="L213" s="40" t="str">
        <f t="shared" si="8"/>
        <v/>
      </c>
      <c r="M213" s="40" t="str">
        <f t="shared" si="8"/>
        <v/>
      </c>
      <c r="N213" s="40">
        <f t="shared" si="8"/>
        <v>298</v>
      </c>
      <c r="O213" s="40">
        <f t="shared" si="7"/>
        <v>560</v>
      </c>
      <c r="P213" s="146" t="str">
        <f t="shared" si="9"/>
        <v/>
      </c>
    </row>
    <row r="214" spans="1:16" x14ac:dyDescent="0.25">
      <c r="A214" s="38">
        <v>5200</v>
      </c>
      <c r="B214" s="38" t="s">
        <v>93</v>
      </c>
      <c r="C214" s="38" t="s">
        <v>330</v>
      </c>
      <c r="D214" s="38" t="s">
        <v>331</v>
      </c>
      <c r="E214" s="38">
        <v>780</v>
      </c>
      <c r="F214" s="38">
        <v>360</v>
      </c>
      <c r="G214" s="40">
        <v>255</v>
      </c>
      <c r="H214" s="40">
        <v>367</v>
      </c>
      <c r="I214" s="40">
        <v>334</v>
      </c>
      <c r="J214" s="40">
        <v>867</v>
      </c>
      <c r="L214" s="40">
        <f t="shared" si="8"/>
        <v>293</v>
      </c>
      <c r="M214" s="40">
        <f t="shared" si="8"/>
        <v>422</v>
      </c>
      <c r="N214" s="40">
        <f t="shared" si="8"/>
        <v>384</v>
      </c>
      <c r="O214" s="40">
        <f t="shared" si="7"/>
        <v>997</v>
      </c>
      <c r="P214" s="146">
        <f t="shared" si="9"/>
        <v>224</v>
      </c>
    </row>
    <row r="215" spans="1:16" x14ac:dyDescent="0.25">
      <c r="A215" s="38">
        <v>5210</v>
      </c>
      <c r="B215" s="38" t="s">
        <v>93</v>
      </c>
      <c r="C215" s="38" t="s">
        <v>330</v>
      </c>
      <c r="D215" s="38" t="s">
        <v>332</v>
      </c>
      <c r="E215" s="38">
        <v>780</v>
      </c>
      <c r="F215" s="38">
        <v>660</v>
      </c>
      <c r="G215" s="40">
        <v>314</v>
      </c>
      <c r="H215" s="40">
        <v>618</v>
      </c>
      <c r="I215" s="40">
        <v>423</v>
      </c>
      <c r="J215" s="40">
        <v>796</v>
      </c>
      <c r="L215" s="40">
        <f t="shared" si="8"/>
        <v>361</v>
      </c>
      <c r="M215" s="40">
        <f t="shared" si="8"/>
        <v>711</v>
      </c>
      <c r="N215" s="40">
        <f t="shared" si="8"/>
        <v>486</v>
      </c>
      <c r="O215" s="40">
        <f t="shared" si="7"/>
        <v>915</v>
      </c>
      <c r="P215" s="146">
        <f t="shared" si="9"/>
        <v>276</v>
      </c>
    </row>
    <row r="216" spans="1:16" x14ac:dyDescent="0.25">
      <c r="A216" s="38">
        <v>5201</v>
      </c>
      <c r="B216" s="38" t="s">
        <v>93</v>
      </c>
      <c r="C216" s="38" t="s">
        <v>330</v>
      </c>
      <c r="D216" s="38" t="s">
        <v>333</v>
      </c>
      <c r="E216" s="38">
        <v>780</v>
      </c>
      <c r="F216" s="38">
        <v>720</v>
      </c>
      <c r="G216" s="40">
        <v>314</v>
      </c>
      <c r="H216" s="40">
        <v>484</v>
      </c>
      <c r="I216" s="40">
        <v>423</v>
      </c>
      <c r="J216" s="40">
        <v>902</v>
      </c>
      <c r="L216" s="40">
        <f t="shared" si="8"/>
        <v>361</v>
      </c>
      <c r="M216" s="40">
        <f t="shared" si="8"/>
        <v>557</v>
      </c>
      <c r="N216" s="40">
        <f t="shared" si="8"/>
        <v>486</v>
      </c>
      <c r="O216" s="40">
        <f t="shared" si="7"/>
        <v>1037</v>
      </c>
      <c r="P216" s="146">
        <f t="shared" si="9"/>
        <v>276</v>
      </c>
    </row>
    <row r="217" spans="1:16" x14ac:dyDescent="0.25">
      <c r="A217" s="38">
        <v>5202</v>
      </c>
      <c r="B217" s="38" t="s">
        <v>93</v>
      </c>
      <c r="C217" s="38" t="s">
        <v>330</v>
      </c>
      <c r="D217" s="38" t="s">
        <v>334</v>
      </c>
      <c r="E217" s="38">
        <v>780</v>
      </c>
      <c r="F217" s="38">
        <v>1080</v>
      </c>
      <c r="G217" s="40">
        <v>464</v>
      </c>
      <c r="H217" s="40">
        <v>716</v>
      </c>
      <c r="I217" s="40">
        <v>624</v>
      </c>
      <c r="J217" s="40">
        <v>1139</v>
      </c>
      <c r="L217" s="40">
        <f t="shared" si="8"/>
        <v>534</v>
      </c>
      <c r="M217" s="40">
        <f t="shared" si="8"/>
        <v>823</v>
      </c>
      <c r="N217" s="40">
        <f t="shared" si="8"/>
        <v>718</v>
      </c>
      <c r="O217" s="40">
        <f t="shared" si="7"/>
        <v>1310</v>
      </c>
      <c r="P217" s="146">
        <f t="shared" si="9"/>
        <v>408</v>
      </c>
    </row>
    <row r="218" spans="1:16" x14ac:dyDescent="0.25">
      <c r="A218" s="38">
        <v>5203</v>
      </c>
      <c r="B218" s="38" t="s">
        <v>93</v>
      </c>
      <c r="C218" s="38" t="s">
        <v>330</v>
      </c>
      <c r="D218" s="38" t="s">
        <v>335</v>
      </c>
      <c r="E218" s="38">
        <v>780</v>
      </c>
      <c r="F218" s="38">
        <v>1440</v>
      </c>
      <c r="G218" s="40">
        <v>542</v>
      </c>
      <c r="H218" s="40">
        <v>863</v>
      </c>
      <c r="I218" s="40">
        <v>746</v>
      </c>
      <c r="J218" s="40">
        <v>1265</v>
      </c>
      <c r="L218" s="40">
        <f t="shared" si="8"/>
        <v>623</v>
      </c>
      <c r="M218" s="40">
        <f t="shared" si="8"/>
        <v>992</v>
      </c>
      <c r="N218" s="40">
        <f t="shared" si="8"/>
        <v>858</v>
      </c>
      <c r="O218" s="40">
        <f t="shared" si="7"/>
        <v>1455</v>
      </c>
      <c r="P218" s="146">
        <f t="shared" si="9"/>
        <v>477</v>
      </c>
    </row>
    <row r="219" spans="1:16" x14ac:dyDescent="0.25">
      <c r="A219" s="38">
        <v>5204</v>
      </c>
      <c r="B219" s="38" t="s">
        <v>93</v>
      </c>
      <c r="C219" s="38" t="s">
        <v>330</v>
      </c>
      <c r="D219" s="38" t="s">
        <v>336</v>
      </c>
      <c r="E219" s="38">
        <v>780</v>
      </c>
      <c r="F219" s="38">
        <v>1800</v>
      </c>
      <c r="G219" s="40">
        <v>668</v>
      </c>
      <c r="H219" s="40">
        <v>1315</v>
      </c>
      <c r="I219" s="40">
        <v>917</v>
      </c>
      <c r="J219" s="40">
        <v>1496</v>
      </c>
      <c r="L219" s="40">
        <f t="shared" si="8"/>
        <v>768</v>
      </c>
      <c r="M219" s="40">
        <f t="shared" si="8"/>
        <v>1512</v>
      </c>
      <c r="N219" s="40">
        <f t="shared" si="8"/>
        <v>1055</v>
      </c>
      <c r="O219" s="40">
        <f t="shared" si="7"/>
        <v>1720</v>
      </c>
      <c r="P219" s="146">
        <f t="shared" si="9"/>
        <v>588</v>
      </c>
    </row>
    <row r="220" spans="1:16" x14ac:dyDescent="0.25">
      <c r="A220" s="38">
        <v>5205</v>
      </c>
      <c r="B220" s="38" t="s">
        <v>93</v>
      </c>
      <c r="C220" s="38" t="s">
        <v>330</v>
      </c>
      <c r="D220" s="38" t="s">
        <v>337</v>
      </c>
      <c r="E220" s="38">
        <v>980</v>
      </c>
      <c r="F220" s="38">
        <v>360</v>
      </c>
      <c r="G220" s="40">
        <v>269</v>
      </c>
      <c r="H220" s="40">
        <v>406</v>
      </c>
      <c r="I220" s="40">
        <v>363</v>
      </c>
      <c r="J220" s="40">
        <v>888</v>
      </c>
      <c r="L220" s="40">
        <f t="shared" si="8"/>
        <v>309</v>
      </c>
      <c r="M220" s="40">
        <f t="shared" si="8"/>
        <v>467</v>
      </c>
      <c r="N220" s="40">
        <f t="shared" si="8"/>
        <v>417</v>
      </c>
      <c r="O220" s="40">
        <f t="shared" si="7"/>
        <v>1021</v>
      </c>
      <c r="P220" s="146">
        <f t="shared" si="9"/>
        <v>237</v>
      </c>
    </row>
    <row r="221" spans="1:16" x14ac:dyDescent="0.25">
      <c r="A221" s="38">
        <v>5206</v>
      </c>
      <c r="B221" s="38" t="s">
        <v>93</v>
      </c>
      <c r="C221" s="38" t="s">
        <v>330</v>
      </c>
      <c r="D221" s="38" t="s">
        <v>338</v>
      </c>
      <c r="E221" s="38">
        <v>980</v>
      </c>
      <c r="F221" s="38">
        <v>720</v>
      </c>
      <c r="G221" s="40">
        <v>375</v>
      </c>
      <c r="H221" s="40">
        <v>587</v>
      </c>
      <c r="I221" s="40">
        <v>517</v>
      </c>
      <c r="J221" s="40">
        <v>944</v>
      </c>
      <c r="L221" s="40">
        <f t="shared" si="8"/>
        <v>431</v>
      </c>
      <c r="M221" s="40">
        <f t="shared" si="8"/>
        <v>675</v>
      </c>
      <c r="N221" s="40">
        <f t="shared" si="8"/>
        <v>595</v>
      </c>
      <c r="O221" s="40">
        <f t="shared" si="7"/>
        <v>1086</v>
      </c>
      <c r="P221" s="146">
        <f t="shared" si="9"/>
        <v>330</v>
      </c>
    </row>
    <row r="222" spans="1:16" x14ac:dyDescent="0.25">
      <c r="A222" s="38">
        <v>5207</v>
      </c>
      <c r="B222" s="38" t="s">
        <v>93</v>
      </c>
      <c r="C222" s="38" t="s">
        <v>330</v>
      </c>
      <c r="D222" s="38" t="s">
        <v>339</v>
      </c>
      <c r="E222" s="38">
        <v>980</v>
      </c>
      <c r="F222" s="38">
        <v>1080</v>
      </c>
      <c r="G222" s="40">
        <v>523</v>
      </c>
      <c r="H222" s="40">
        <v>817</v>
      </c>
      <c r="I222" s="40">
        <v>717</v>
      </c>
      <c r="J222" s="40">
        <v>1349</v>
      </c>
      <c r="L222" s="40">
        <f t="shared" si="8"/>
        <v>601</v>
      </c>
      <c r="M222" s="40">
        <f t="shared" si="8"/>
        <v>940</v>
      </c>
      <c r="N222" s="40">
        <f t="shared" si="8"/>
        <v>825</v>
      </c>
      <c r="O222" s="40">
        <f t="shared" si="7"/>
        <v>1551</v>
      </c>
      <c r="P222" s="146">
        <f t="shared" si="9"/>
        <v>460</v>
      </c>
    </row>
    <row r="223" spans="1:16" x14ac:dyDescent="0.25">
      <c r="A223" s="38">
        <v>5208</v>
      </c>
      <c r="B223" s="38" t="s">
        <v>93</v>
      </c>
      <c r="C223" s="38" t="s">
        <v>330</v>
      </c>
      <c r="D223" s="38" t="s">
        <v>340</v>
      </c>
      <c r="E223" s="38">
        <v>980</v>
      </c>
      <c r="F223" s="38">
        <v>1440</v>
      </c>
      <c r="G223" s="40">
        <v>625</v>
      </c>
      <c r="H223" s="40">
        <v>998</v>
      </c>
      <c r="I223" s="40">
        <v>869</v>
      </c>
      <c r="J223" s="40">
        <v>1635</v>
      </c>
      <c r="L223" s="40">
        <f t="shared" si="8"/>
        <v>719</v>
      </c>
      <c r="M223" s="40">
        <f t="shared" si="8"/>
        <v>1148</v>
      </c>
      <c r="N223" s="40">
        <f t="shared" si="8"/>
        <v>999</v>
      </c>
      <c r="O223" s="40">
        <f t="shared" si="7"/>
        <v>1880</v>
      </c>
      <c r="P223" s="146">
        <f t="shared" si="9"/>
        <v>550</v>
      </c>
    </row>
    <row r="224" spans="1:16" x14ac:dyDescent="0.25">
      <c r="A224" s="38">
        <v>5209</v>
      </c>
      <c r="B224" s="38" t="s">
        <v>93</v>
      </c>
      <c r="C224" s="38" t="s">
        <v>330</v>
      </c>
      <c r="D224" s="38" t="s">
        <v>341</v>
      </c>
      <c r="E224" s="38">
        <v>980</v>
      </c>
      <c r="F224" s="38">
        <v>1800</v>
      </c>
      <c r="G224" s="40">
        <v>769</v>
      </c>
      <c r="H224" s="40">
        <v>1514</v>
      </c>
      <c r="I224" s="40">
        <v>1072</v>
      </c>
      <c r="J224" s="40">
        <v>2017</v>
      </c>
      <c r="L224" s="40">
        <f t="shared" si="8"/>
        <v>884</v>
      </c>
      <c r="M224" s="40">
        <f t="shared" si="8"/>
        <v>1741</v>
      </c>
      <c r="N224" s="40">
        <f t="shared" si="8"/>
        <v>1233</v>
      </c>
      <c r="O224" s="40">
        <f t="shared" si="7"/>
        <v>2320</v>
      </c>
      <c r="P224" s="146">
        <f t="shared" si="9"/>
        <v>677</v>
      </c>
    </row>
    <row r="225" spans="1:16" x14ac:dyDescent="0.25">
      <c r="A225" s="38">
        <v>5300</v>
      </c>
      <c r="B225" s="38" t="s">
        <v>93</v>
      </c>
      <c r="C225" s="38" t="s">
        <v>14</v>
      </c>
      <c r="D225" s="38" t="s">
        <v>342</v>
      </c>
      <c r="E225" s="38">
        <v>420</v>
      </c>
      <c r="F225" s="38">
        <v>180</v>
      </c>
      <c r="G225" s="40">
        <v>285</v>
      </c>
      <c r="H225" s="40">
        <v>345</v>
      </c>
      <c r="I225" s="40">
        <v>329</v>
      </c>
      <c r="J225" s="40">
        <v>619</v>
      </c>
      <c r="L225" s="40">
        <f t="shared" si="8"/>
        <v>328</v>
      </c>
      <c r="M225" s="40">
        <f t="shared" si="8"/>
        <v>397</v>
      </c>
      <c r="N225" s="40">
        <f t="shared" si="8"/>
        <v>378</v>
      </c>
      <c r="O225" s="40">
        <f t="shared" si="7"/>
        <v>712</v>
      </c>
      <c r="P225" s="146">
        <f t="shared" si="9"/>
        <v>257</v>
      </c>
    </row>
    <row r="226" spans="1:16" x14ac:dyDescent="0.25">
      <c r="A226" s="38">
        <v>5301</v>
      </c>
      <c r="B226" s="38" t="s">
        <v>93</v>
      </c>
      <c r="C226" s="38" t="s">
        <v>14</v>
      </c>
      <c r="D226" s="38" t="s">
        <v>343</v>
      </c>
      <c r="E226" s="38">
        <v>420</v>
      </c>
      <c r="F226" s="38">
        <v>360</v>
      </c>
      <c r="G226" s="40">
        <v>352</v>
      </c>
      <c r="H226" s="40">
        <v>439</v>
      </c>
      <c r="I226" s="40">
        <v>420</v>
      </c>
      <c r="J226" s="40">
        <v>429</v>
      </c>
      <c r="L226" s="40">
        <f t="shared" si="8"/>
        <v>405</v>
      </c>
      <c r="M226" s="40">
        <f t="shared" si="8"/>
        <v>505</v>
      </c>
      <c r="N226" s="40">
        <f t="shared" si="8"/>
        <v>483</v>
      </c>
      <c r="O226" s="40">
        <f t="shared" si="7"/>
        <v>493</v>
      </c>
      <c r="P226" s="146">
        <f t="shared" si="9"/>
        <v>317</v>
      </c>
    </row>
    <row r="227" spans="1:16" x14ac:dyDescent="0.25">
      <c r="A227" s="38">
        <v>5302</v>
      </c>
      <c r="B227" s="38" t="s">
        <v>93</v>
      </c>
      <c r="C227" s="38" t="s">
        <v>14</v>
      </c>
      <c r="D227" s="38" t="s">
        <v>344</v>
      </c>
      <c r="E227" s="38">
        <v>580</v>
      </c>
      <c r="F227" s="38">
        <v>180</v>
      </c>
      <c r="G227" s="40">
        <v>298</v>
      </c>
      <c r="H227" s="40">
        <v>368</v>
      </c>
      <c r="I227" s="40">
        <v>351</v>
      </c>
      <c r="J227" s="40">
        <v>358</v>
      </c>
      <c r="L227" s="40">
        <f t="shared" si="8"/>
        <v>343</v>
      </c>
      <c r="M227" s="40">
        <f t="shared" si="8"/>
        <v>423</v>
      </c>
      <c r="N227" s="40">
        <f t="shared" si="8"/>
        <v>404</v>
      </c>
      <c r="O227" s="40">
        <f t="shared" si="7"/>
        <v>412</v>
      </c>
      <c r="P227" s="146">
        <f t="shared" si="9"/>
        <v>268</v>
      </c>
    </row>
    <row r="228" spans="1:16" x14ac:dyDescent="0.25">
      <c r="A228" s="38">
        <v>5303</v>
      </c>
      <c r="B228" s="38" t="s">
        <v>93</v>
      </c>
      <c r="C228" s="38" t="s">
        <v>14</v>
      </c>
      <c r="D228" s="38" t="s">
        <v>345</v>
      </c>
      <c r="E228" s="38">
        <v>580</v>
      </c>
      <c r="F228" s="38">
        <v>360</v>
      </c>
      <c r="G228" s="40">
        <v>353</v>
      </c>
      <c r="H228" s="40">
        <v>470</v>
      </c>
      <c r="I228" s="40">
        <v>445</v>
      </c>
      <c r="J228" s="40">
        <v>460</v>
      </c>
      <c r="L228" s="40">
        <f t="shared" si="8"/>
        <v>406</v>
      </c>
      <c r="M228" s="40">
        <f t="shared" si="8"/>
        <v>541</v>
      </c>
      <c r="N228" s="40">
        <f t="shared" si="8"/>
        <v>512</v>
      </c>
      <c r="O228" s="40">
        <f t="shared" si="7"/>
        <v>529</v>
      </c>
      <c r="P228" s="146">
        <f t="shared" si="9"/>
        <v>318</v>
      </c>
    </row>
    <row r="229" spans="1:16" x14ac:dyDescent="0.25">
      <c r="A229" s="38">
        <v>5304</v>
      </c>
      <c r="B229" s="38" t="s">
        <v>93</v>
      </c>
      <c r="C229" s="38" t="s">
        <v>14</v>
      </c>
      <c r="D229" s="38" t="s">
        <v>346</v>
      </c>
      <c r="E229" s="38">
        <v>780</v>
      </c>
      <c r="F229" s="38">
        <v>180</v>
      </c>
      <c r="G229" s="40">
        <v>309</v>
      </c>
      <c r="H229" s="40">
        <v>391</v>
      </c>
      <c r="I229" s="40">
        <v>372</v>
      </c>
      <c r="J229" s="40">
        <v>381</v>
      </c>
      <c r="L229" s="40">
        <f t="shared" si="8"/>
        <v>355</v>
      </c>
      <c r="M229" s="40">
        <f t="shared" si="8"/>
        <v>450</v>
      </c>
      <c r="N229" s="40">
        <f t="shared" si="8"/>
        <v>428</v>
      </c>
      <c r="O229" s="40">
        <f t="shared" si="7"/>
        <v>438</v>
      </c>
      <c r="P229" s="146">
        <f t="shared" si="9"/>
        <v>278</v>
      </c>
    </row>
    <row r="230" spans="1:16" x14ac:dyDescent="0.25">
      <c r="A230" s="38">
        <v>5305</v>
      </c>
      <c r="B230" s="38" t="s">
        <v>93</v>
      </c>
      <c r="C230" s="38" t="s">
        <v>14</v>
      </c>
      <c r="D230" s="38" t="s">
        <v>347</v>
      </c>
      <c r="E230" s="38">
        <v>780</v>
      </c>
      <c r="F230" s="38">
        <v>360</v>
      </c>
      <c r="G230" s="40">
        <v>356</v>
      </c>
      <c r="H230" s="40">
        <v>501</v>
      </c>
      <c r="I230" s="40">
        <v>471</v>
      </c>
      <c r="J230" s="40">
        <v>491</v>
      </c>
      <c r="L230" s="40">
        <f t="shared" si="8"/>
        <v>409</v>
      </c>
      <c r="M230" s="40">
        <f t="shared" si="8"/>
        <v>576</v>
      </c>
      <c r="N230" s="40">
        <f t="shared" si="8"/>
        <v>542</v>
      </c>
      <c r="O230" s="40">
        <f t="shared" si="7"/>
        <v>565</v>
      </c>
      <c r="P230" s="146">
        <f t="shared" si="9"/>
        <v>320</v>
      </c>
    </row>
    <row r="231" spans="1:16" x14ac:dyDescent="0.25">
      <c r="A231" s="38">
        <v>5306</v>
      </c>
      <c r="B231" s="38" t="s">
        <v>93</v>
      </c>
      <c r="C231" s="38" t="s">
        <v>14</v>
      </c>
      <c r="D231" s="38" t="s">
        <v>348</v>
      </c>
      <c r="E231" s="38">
        <v>980</v>
      </c>
      <c r="F231" s="38">
        <v>180</v>
      </c>
      <c r="G231" s="40">
        <v>348</v>
      </c>
      <c r="H231" s="40">
        <v>474</v>
      </c>
      <c r="I231" s="40">
        <v>417</v>
      </c>
      <c r="J231" s="40">
        <v>464</v>
      </c>
      <c r="L231" s="40">
        <f t="shared" si="8"/>
        <v>400</v>
      </c>
      <c r="M231" s="40">
        <f t="shared" si="8"/>
        <v>545</v>
      </c>
      <c r="N231" s="40">
        <f t="shared" si="8"/>
        <v>480</v>
      </c>
      <c r="O231" s="40">
        <f t="shared" si="7"/>
        <v>534</v>
      </c>
      <c r="P231" s="146">
        <f t="shared" si="9"/>
        <v>313</v>
      </c>
    </row>
    <row r="232" spans="1:16" x14ac:dyDescent="0.25">
      <c r="A232" s="38">
        <v>5307</v>
      </c>
      <c r="B232" s="38" t="s">
        <v>93</v>
      </c>
      <c r="C232" s="38" t="s">
        <v>14</v>
      </c>
      <c r="D232" s="38" t="s">
        <v>349</v>
      </c>
      <c r="E232" s="38">
        <v>980</v>
      </c>
      <c r="F232" s="38">
        <v>360</v>
      </c>
      <c r="G232" s="40">
        <v>429</v>
      </c>
      <c r="H232" s="40">
        <v>610</v>
      </c>
      <c r="I232" s="40">
        <v>553</v>
      </c>
      <c r="J232" s="40">
        <v>600</v>
      </c>
      <c r="L232" s="40">
        <f t="shared" si="8"/>
        <v>493</v>
      </c>
      <c r="M232" s="40">
        <f t="shared" si="8"/>
        <v>702</v>
      </c>
      <c r="N232" s="40">
        <f t="shared" si="8"/>
        <v>636</v>
      </c>
      <c r="O232" s="40">
        <f t="shared" si="7"/>
        <v>690</v>
      </c>
      <c r="P232" s="146">
        <f t="shared" si="9"/>
        <v>386</v>
      </c>
    </row>
    <row r="233" spans="1:16" x14ac:dyDescent="0.25">
      <c r="A233" s="38" t="s">
        <v>350</v>
      </c>
      <c r="B233" s="38" t="s">
        <v>93</v>
      </c>
      <c r="C233" s="38" t="s">
        <v>351</v>
      </c>
      <c r="D233" s="38" t="s">
        <v>352</v>
      </c>
      <c r="E233" s="38">
        <v>780</v>
      </c>
      <c r="F233" s="38">
        <v>180</v>
      </c>
      <c r="G233" s="40">
        <v>309</v>
      </c>
      <c r="H233" s="40">
        <v>608</v>
      </c>
      <c r="I233" s="40">
        <v>372</v>
      </c>
      <c r="J233" s="40"/>
      <c r="L233" s="40">
        <f t="shared" si="8"/>
        <v>355</v>
      </c>
      <c r="M233" s="40">
        <f t="shared" si="8"/>
        <v>699</v>
      </c>
      <c r="N233" s="40">
        <f t="shared" si="8"/>
        <v>428</v>
      </c>
      <c r="O233" s="40" t="str">
        <f t="shared" si="7"/>
        <v/>
      </c>
      <c r="P233" s="146">
        <f t="shared" si="9"/>
        <v>309</v>
      </c>
    </row>
    <row r="234" spans="1:16" x14ac:dyDescent="0.25">
      <c r="A234" s="38" t="s">
        <v>353</v>
      </c>
      <c r="B234" s="38" t="s">
        <v>93</v>
      </c>
      <c r="C234" s="38" t="s">
        <v>14</v>
      </c>
      <c r="D234" s="38" t="s">
        <v>354</v>
      </c>
      <c r="E234" s="38">
        <v>420</v>
      </c>
      <c r="F234" s="38">
        <v>134</v>
      </c>
      <c r="G234" s="40">
        <v>285</v>
      </c>
      <c r="H234" s="40">
        <v>561</v>
      </c>
      <c r="I234" s="40"/>
      <c r="J234" s="40"/>
      <c r="K234" s="42" t="s">
        <v>355</v>
      </c>
      <c r="L234" s="40">
        <f t="shared" si="8"/>
        <v>328</v>
      </c>
      <c r="M234" s="40">
        <f t="shared" si="8"/>
        <v>645</v>
      </c>
      <c r="N234" s="40" t="str">
        <f t="shared" si="8"/>
        <v/>
      </c>
      <c r="O234" s="40" t="str">
        <f t="shared" si="7"/>
        <v/>
      </c>
      <c r="P234" s="146">
        <f t="shared" si="9"/>
        <v>257</v>
      </c>
    </row>
    <row r="235" spans="1:16" x14ac:dyDescent="0.25">
      <c r="A235" s="38" t="s">
        <v>356</v>
      </c>
      <c r="B235" s="38" t="s">
        <v>93</v>
      </c>
      <c r="C235" s="38" t="s">
        <v>14</v>
      </c>
      <c r="D235" s="38" t="s">
        <v>357</v>
      </c>
      <c r="E235" s="38">
        <v>420</v>
      </c>
      <c r="F235" s="38">
        <v>220</v>
      </c>
      <c r="G235" s="40">
        <v>285</v>
      </c>
      <c r="H235" s="40">
        <v>561</v>
      </c>
      <c r="I235" s="40"/>
      <c r="J235" s="40"/>
      <c r="K235" s="42" t="s">
        <v>355</v>
      </c>
      <c r="L235" s="40">
        <f t="shared" si="8"/>
        <v>328</v>
      </c>
      <c r="M235" s="40">
        <f t="shared" si="8"/>
        <v>645</v>
      </c>
      <c r="N235" s="40" t="str">
        <f t="shared" si="8"/>
        <v/>
      </c>
      <c r="O235" s="40" t="str">
        <f t="shared" si="7"/>
        <v/>
      </c>
      <c r="P235" s="146">
        <f t="shared" si="9"/>
        <v>257</v>
      </c>
    </row>
    <row r="236" spans="1:16" x14ac:dyDescent="0.25">
      <c r="A236" s="38" t="s">
        <v>358</v>
      </c>
      <c r="B236" s="38" t="s">
        <v>93</v>
      </c>
      <c r="C236" s="38" t="s">
        <v>14</v>
      </c>
      <c r="D236" s="38" t="s">
        <v>359</v>
      </c>
      <c r="E236" s="38">
        <v>412</v>
      </c>
      <c r="F236" s="38">
        <v>121</v>
      </c>
      <c r="G236" s="40">
        <v>285</v>
      </c>
      <c r="H236" s="40">
        <v>561</v>
      </c>
      <c r="I236" s="40"/>
      <c r="J236" s="40"/>
      <c r="K236" s="42" t="s">
        <v>355</v>
      </c>
      <c r="L236" s="40">
        <f t="shared" si="8"/>
        <v>328</v>
      </c>
      <c r="M236" s="40">
        <f t="shared" si="8"/>
        <v>645</v>
      </c>
      <c r="N236" s="40" t="str">
        <f t="shared" si="8"/>
        <v/>
      </c>
      <c r="O236" s="40" t="str">
        <f t="shared" si="7"/>
        <v/>
      </c>
      <c r="P236" s="146">
        <f t="shared" si="9"/>
        <v>257</v>
      </c>
    </row>
    <row r="237" spans="1:16" x14ac:dyDescent="0.25">
      <c r="A237" s="38" t="s">
        <v>360</v>
      </c>
      <c r="B237" s="38" t="s">
        <v>93</v>
      </c>
      <c r="C237" s="38" t="s">
        <v>14</v>
      </c>
      <c r="D237" s="38" t="s">
        <v>361</v>
      </c>
      <c r="E237" s="38">
        <v>412</v>
      </c>
      <c r="F237" s="38">
        <v>400</v>
      </c>
      <c r="G237" s="40">
        <v>352</v>
      </c>
      <c r="H237" s="40">
        <v>693</v>
      </c>
      <c r="I237" s="40"/>
      <c r="J237" s="40"/>
      <c r="K237" s="42" t="s">
        <v>355</v>
      </c>
      <c r="L237" s="40">
        <f t="shared" si="8"/>
        <v>405</v>
      </c>
      <c r="M237" s="40">
        <f t="shared" si="8"/>
        <v>797</v>
      </c>
      <c r="N237" s="40" t="str">
        <f t="shared" si="8"/>
        <v/>
      </c>
      <c r="O237" s="40" t="str">
        <f t="shared" si="7"/>
        <v/>
      </c>
      <c r="P237" s="146">
        <f t="shared" si="9"/>
        <v>317</v>
      </c>
    </row>
    <row r="238" spans="1:16" x14ac:dyDescent="0.25">
      <c r="A238" s="38" t="s">
        <v>362</v>
      </c>
      <c r="B238" s="38" t="s">
        <v>93</v>
      </c>
      <c r="C238" s="38" t="s">
        <v>14</v>
      </c>
      <c r="D238" s="38" t="s">
        <v>363</v>
      </c>
      <c r="E238" s="38">
        <v>420</v>
      </c>
      <c r="F238" s="38">
        <v>145</v>
      </c>
      <c r="G238" s="40">
        <v>285</v>
      </c>
      <c r="H238" s="40">
        <v>561</v>
      </c>
      <c r="I238" s="40"/>
      <c r="J238" s="40"/>
      <c r="K238" s="42" t="s">
        <v>355</v>
      </c>
      <c r="L238" s="40">
        <f t="shared" si="8"/>
        <v>328</v>
      </c>
      <c r="M238" s="40">
        <f t="shared" si="8"/>
        <v>645</v>
      </c>
      <c r="N238" s="40" t="str">
        <f t="shared" si="8"/>
        <v/>
      </c>
      <c r="O238" s="40" t="str">
        <f t="shared" si="7"/>
        <v/>
      </c>
      <c r="P238" s="146">
        <f t="shared" si="9"/>
        <v>257</v>
      </c>
    </row>
    <row r="239" spans="1:16" x14ac:dyDescent="0.25">
      <c r="A239" s="38" t="s">
        <v>364</v>
      </c>
      <c r="B239" s="38" t="s">
        <v>93</v>
      </c>
      <c r="C239" s="38" t="s">
        <v>14</v>
      </c>
      <c r="D239" s="38" t="s">
        <v>365</v>
      </c>
      <c r="E239" s="38">
        <v>420</v>
      </c>
      <c r="F239" s="38">
        <v>293</v>
      </c>
      <c r="G239" s="40">
        <v>352</v>
      </c>
      <c r="H239" s="40">
        <v>693</v>
      </c>
      <c r="I239" s="40"/>
      <c r="J239" s="40"/>
      <c r="K239" s="42" t="s">
        <v>355</v>
      </c>
      <c r="L239" s="40">
        <f t="shared" si="8"/>
        <v>405</v>
      </c>
      <c r="M239" s="40">
        <f t="shared" si="8"/>
        <v>797</v>
      </c>
      <c r="N239" s="40" t="str">
        <f t="shared" si="8"/>
        <v/>
      </c>
      <c r="O239" s="40" t="str">
        <f t="shared" si="7"/>
        <v/>
      </c>
      <c r="P239" s="146">
        <f t="shared" si="9"/>
        <v>317</v>
      </c>
    </row>
    <row r="240" spans="1:16" x14ac:dyDescent="0.25">
      <c r="A240" s="38" t="s">
        <v>366</v>
      </c>
      <c r="B240" s="38" t="s">
        <v>93</v>
      </c>
      <c r="C240" s="38" t="s">
        <v>14</v>
      </c>
      <c r="D240" s="38" t="s">
        <v>367</v>
      </c>
      <c r="E240" s="38">
        <v>420</v>
      </c>
      <c r="F240" s="38">
        <v>67</v>
      </c>
      <c r="G240" s="40">
        <v>285</v>
      </c>
      <c r="H240" s="40">
        <v>561</v>
      </c>
      <c r="I240" s="40"/>
      <c r="J240" s="40"/>
      <c r="K240" s="42" t="s">
        <v>355</v>
      </c>
      <c r="L240" s="40">
        <f t="shared" si="8"/>
        <v>328</v>
      </c>
      <c r="M240" s="40">
        <f t="shared" si="8"/>
        <v>645</v>
      </c>
      <c r="N240" s="40" t="str">
        <f t="shared" si="8"/>
        <v/>
      </c>
      <c r="O240" s="40" t="str">
        <f t="shared" si="7"/>
        <v/>
      </c>
      <c r="P240" s="146">
        <f t="shared" si="9"/>
        <v>257</v>
      </c>
    </row>
    <row r="241" spans="1:16" x14ac:dyDescent="0.25">
      <c r="A241" s="38" t="s">
        <v>368</v>
      </c>
      <c r="B241" s="38" t="s">
        <v>93</v>
      </c>
      <c r="C241" s="38" t="s">
        <v>14</v>
      </c>
      <c r="D241" s="38" t="s">
        <v>369</v>
      </c>
      <c r="E241" s="38">
        <v>420</v>
      </c>
      <c r="F241" s="38">
        <v>142</v>
      </c>
      <c r="G241" s="40">
        <v>285</v>
      </c>
      <c r="H241" s="40">
        <v>561</v>
      </c>
      <c r="I241" s="40"/>
      <c r="J241" s="40"/>
      <c r="K241" s="42" t="s">
        <v>355</v>
      </c>
      <c r="L241" s="40">
        <f t="shared" si="8"/>
        <v>328</v>
      </c>
      <c r="M241" s="40">
        <f t="shared" si="8"/>
        <v>645</v>
      </c>
      <c r="N241" s="40" t="str">
        <f t="shared" si="8"/>
        <v/>
      </c>
      <c r="O241" s="40" t="str">
        <f t="shared" si="7"/>
        <v/>
      </c>
      <c r="P241" s="146">
        <f t="shared" si="9"/>
        <v>257</v>
      </c>
    </row>
    <row r="242" spans="1:16" x14ac:dyDescent="0.25">
      <c r="A242" s="38" t="s">
        <v>370</v>
      </c>
      <c r="B242" s="38" t="s">
        <v>93</v>
      </c>
      <c r="C242" s="38" t="s">
        <v>14</v>
      </c>
      <c r="D242" s="38" t="s">
        <v>371</v>
      </c>
      <c r="E242" s="38">
        <v>420</v>
      </c>
      <c r="F242" s="38">
        <v>280</v>
      </c>
      <c r="G242" s="40">
        <v>285</v>
      </c>
      <c r="H242" s="40">
        <v>561</v>
      </c>
      <c r="I242" s="40"/>
      <c r="J242" s="40"/>
      <c r="K242" s="42" t="s">
        <v>355</v>
      </c>
      <c r="L242" s="40">
        <f t="shared" si="8"/>
        <v>328</v>
      </c>
      <c r="M242" s="40">
        <f t="shared" si="8"/>
        <v>645</v>
      </c>
      <c r="N242" s="40" t="str">
        <f t="shared" si="8"/>
        <v/>
      </c>
      <c r="O242" s="40" t="str">
        <f t="shared" si="7"/>
        <v/>
      </c>
      <c r="P242" s="146">
        <f t="shared" si="9"/>
        <v>257</v>
      </c>
    </row>
    <row r="243" spans="1:16" x14ac:dyDescent="0.25">
      <c r="A243" s="38" t="s">
        <v>372</v>
      </c>
      <c r="B243" s="38" t="s">
        <v>93</v>
      </c>
      <c r="C243" s="38" t="s">
        <v>14</v>
      </c>
      <c r="D243" s="38" t="s">
        <v>373</v>
      </c>
      <c r="E243" s="38">
        <v>420</v>
      </c>
      <c r="F243" s="38">
        <v>141</v>
      </c>
      <c r="G243" s="40">
        <v>285</v>
      </c>
      <c r="H243" s="40">
        <v>561</v>
      </c>
      <c r="I243" s="40"/>
      <c r="J243" s="40"/>
      <c r="K243" s="42" t="s">
        <v>355</v>
      </c>
      <c r="L243" s="40">
        <f t="shared" si="8"/>
        <v>328</v>
      </c>
      <c r="M243" s="40">
        <f t="shared" si="8"/>
        <v>645</v>
      </c>
      <c r="N243" s="40" t="str">
        <f t="shared" si="8"/>
        <v/>
      </c>
      <c r="O243" s="40" t="str">
        <f t="shared" si="7"/>
        <v/>
      </c>
      <c r="P243" s="146">
        <f t="shared" si="9"/>
        <v>257</v>
      </c>
    </row>
    <row r="244" spans="1:16" x14ac:dyDescent="0.25">
      <c r="A244" s="38">
        <v>5400</v>
      </c>
      <c r="B244" s="38" t="s">
        <v>93</v>
      </c>
      <c r="C244" s="38" t="s">
        <v>374</v>
      </c>
      <c r="D244" s="38" t="s">
        <v>375</v>
      </c>
      <c r="E244" s="38">
        <v>420</v>
      </c>
      <c r="F244" s="38">
        <v>180</v>
      </c>
      <c r="G244" s="40">
        <v>285</v>
      </c>
      <c r="H244" s="40">
        <v>345</v>
      </c>
      <c r="I244" s="40">
        <v>329</v>
      </c>
      <c r="J244" s="40">
        <v>335</v>
      </c>
      <c r="L244" s="40">
        <f t="shared" si="8"/>
        <v>328</v>
      </c>
      <c r="M244" s="40">
        <f t="shared" si="8"/>
        <v>397</v>
      </c>
      <c r="N244" s="40">
        <f t="shared" si="8"/>
        <v>378</v>
      </c>
      <c r="O244" s="40">
        <f t="shared" si="7"/>
        <v>385</v>
      </c>
      <c r="P244" s="146">
        <f t="shared" si="9"/>
        <v>257</v>
      </c>
    </row>
    <row r="245" spans="1:16" x14ac:dyDescent="0.25">
      <c r="A245" s="38">
        <v>5401</v>
      </c>
      <c r="B245" s="38" t="s">
        <v>93</v>
      </c>
      <c r="C245" s="38" t="s">
        <v>374</v>
      </c>
      <c r="D245" s="38" t="s">
        <v>376</v>
      </c>
      <c r="E245" s="38">
        <v>420</v>
      </c>
      <c r="F245" s="38">
        <v>360</v>
      </c>
      <c r="G245" s="40">
        <v>352</v>
      </c>
      <c r="H245" s="40">
        <v>439</v>
      </c>
      <c r="I245" s="40">
        <v>420</v>
      </c>
      <c r="J245" s="40">
        <v>429</v>
      </c>
      <c r="L245" s="40">
        <f t="shared" si="8"/>
        <v>405</v>
      </c>
      <c r="M245" s="40">
        <f t="shared" si="8"/>
        <v>505</v>
      </c>
      <c r="N245" s="40">
        <f t="shared" si="8"/>
        <v>483</v>
      </c>
      <c r="O245" s="40">
        <f t="shared" si="7"/>
        <v>493</v>
      </c>
      <c r="P245" s="146">
        <f t="shared" si="9"/>
        <v>317</v>
      </c>
    </row>
    <row r="246" spans="1:16" x14ac:dyDescent="0.25">
      <c r="A246" s="38">
        <v>5402</v>
      </c>
      <c r="B246" s="38" t="s">
        <v>93</v>
      </c>
      <c r="C246" s="38" t="s">
        <v>374</v>
      </c>
      <c r="D246" s="38" t="s">
        <v>377</v>
      </c>
      <c r="E246" s="38">
        <v>580</v>
      </c>
      <c r="F246" s="38">
        <v>180</v>
      </c>
      <c r="G246" s="40">
        <v>298</v>
      </c>
      <c r="H246" s="40">
        <v>368</v>
      </c>
      <c r="I246" s="40">
        <v>351</v>
      </c>
      <c r="J246" s="40">
        <v>358</v>
      </c>
      <c r="L246" s="40">
        <f t="shared" si="8"/>
        <v>343</v>
      </c>
      <c r="M246" s="40">
        <f t="shared" si="8"/>
        <v>423</v>
      </c>
      <c r="N246" s="40">
        <f t="shared" si="8"/>
        <v>404</v>
      </c>
      <c r="O246" s="40">
        <f t="shared" si="7"/>
        <v>412</v>
      </c>
      <c r="P246" s="146">
        <f t="shared" si="9"/>
        <v>268</v>
      </c>
    </row>
    <row r="247" spans="1:16" x14ac:dyDescent="0.25">
      <c r="A247" s="38">
        <v>5403</v>
      </c>
      <c r="B247" s="38" t="s">
        <v>93</v>
      </c>
      <c r="C247" s="38" t="s">
        <v>374</v>
      </c>
      <c r="D247" s="38" t="s">
        <v>378</v>
      </c>
      <c r="E247" s="38">
        <v>580</v>
      </c>
      <c r="F247" s="38">
        <v>360</v>
      </c>
      <c r="G247" s="40">
        <v>353</v>
      </c>
      <c r="H247" s="40">
        <v>470</v>
      </c>
      <c r="I247" s="40">
        <v>445</v>
      </c>
      <c r="J247" s="40">
        <v>460</v>
      </c>
      <c r="L247" s="40">
        <f t="shared" si="8"/>
        <v>406</v>
      </c>
      <c r="M247" s="40">
        <f t="shared" si="8"/>
        <v>541</v>
      </c>
      <c r="N247" s="40">
        <f t="shared" si="8"/>
        <v>512</v>
      </c>
      <c r="O247" s="40">
        <f t="shared" si="7"/>
        <v>529</v>
      </c>
      <c r="P247" s="146">
        <f t="shared" si="9"/>
        <v>318</v>
      </c>
    </row>
    <row r="248" spans="1:16" x14ac:dyDescent="0.25">
      <c r="A248" s="38">
        <v>5404</v>
      </c>
      <c r="B248" s="38" t="s">
        <v>93</v>
      </c>
      <c r="C248" s="38" t="s">
        <v>374</v>
      </c>
      <c r="D248" s="38" t="s">
        <v>379</v>
      </c>
      <c r="E248" s="38">
        <v>780</v>
      </c>
      <c r="F248" s="38">
        <v>180</v>
      </c>
      <c r="G248" s="40">
        <v>309</v>
      </c>
      <c r="H248" s="40">
        <v>391</v>
      </c>
      <c r="I248" s="40">
        <v>372</v>
      </c>
      <c r="J248" s="40">
        <v>381</v>
      </c>
      <c r="L248" s="40">
        <f t="shared" si="8"/>
        <v>355</v>
      </c>
      <c r="M248" s="40">
        <f t="shared" si="8"/>
        <v>450</v>
      </c>
      <c r="N248" s="40">
        <f t="shared" si="8"/>
        <v>428</v>
      </c>
      <c r="O248" s="40">
        <f t="shared" si="7"/>
        <v>438</v>
      </c>
      <c r="P248" s="146">
        <f t="shared" si="9"/>
        <v>278</v>
      </c>
    </row>
    <row r="249" spans="1:16" x14ac:dyDescent="0.25">
      <c r="A249" s="38">
        <v>5405</v>
      </c>
      <c r="B249" s="38" t="s">
        <v>93</v>
      </c>
      <c r="C249" s="38" t="s">
        <v>374</v>
      </c>
      <c r="D249" s="38" t="s">
        <v>380</v>
      </c>
      <c r="E249" s="38">
        <v>780</v>
      </c>
      <c r="F249" s="38">
        <v>360</v>
      </c>
      <c r="G249" s="40">
        <v>356</v>
      </c>
      <c r="H249" s="40">
        <v>501</v>
      </c>
      <c r="I249" s="40">
        <v>471</v>
      </c>
      <c r="J249" s="40">
        <v>491</v>
      </c>
      <c r="L249" s="40">
        <f t="shared" si="8"/>
        <v>409</v>
      </c>
      <c r="M249" s="40">
        <f t="shared" si="8"/>
        <v>576</v>
      </c>
      <c r="N249" s="40">
        <f t="shared" si="8"/>
        <v>542</v>
      </c>
      <c r="O249" s="40">
        <f t="shared" si="7"/>
        <v>565</v>
      </c>
      <c r="P249" s="146">
        <f t="shared" si="9"/>
        <v>320</v>
      </c>
    </row>
    <row r="250" spans="1:16" x14ac:dyDescent="0.25">
      <c r="A250" s="38">
        <v>5406</v>
      </c>
      <c r="B250" s="38" t="s">
        <v>93</v>
      </c>
      <c r="C250" s="38" t="s">
        <v>374</v>
      </c>
      <c r="D250" s="38" t="s">
        <v>381</v>
      </c>
      <c r="E250" s="38">
        <v>980</v>
      </c>
      <c r="F250" s="38">
        <v>180</v>
      </c>
      <c r="G250" s="40">
        <v>348</v>
      </c>
      <c r="H250" s="40">
        <v>474</v>
      </c>
      <c r="I250" s="40">
        <v>417</v>
      </c>
      <c r="J250" s="40">
        <v>464</v>
      </c>
      <c r="L250" s="40">
        <f t="shared" si="8"/>
        <v>400</v>
      </c>
      <c r="M250" s="40">
        <f t="shared" si="8"/>
        <v>545</v>
      </c>
      <c r="N250" s="40">
        <f t="shared" si="8"/>
        <v>480</v>
      </c>
      <c r="O250" s="40">
        <f t="shared" si="7"/>
        <v>534</v>
      </c>
      <c r="P250" s="146">
        <f t="shared" si="9"/>
        <v>313</v>
      </c>
    </row>
    <row r="251" spans="1:16" x14ac:dyDescent="0.25">
      <c r="A251" s="38">
        <v>5407</v>
      </c>
      <c r="B251" s="38" t="s">
        <v>93</v>
      </c>
      <c r="C251" s="38" t="s">
        <v>374</v>
      </c>
      <c r="D251" s="38" t="s">
        <v>382</v>
      </c>
      <c r="E251" s="38">
        <v>980</v>
      </c>
      <c r="F251" s="38">
        <v>360</v>
      </c>
      <c r="G251" s="40">
        <v>429</v>
      </c>
      <c r="H251" s="40">
        <v>610</v>
      </c>
      <c r="I251" s="40">
        <v>553</v>
      </c>
      <c r="J251" s="40">
        <v>600</v>
      </c>
      <c r="L251" s="40">
        <f t="shared" si="8"/>
        <v>493</v>
      </c>
      <c r="M251" s="40">
        <f t="shared" si="8"/>
        <v>702</v>
      </c>
      <c r="N251" s="40">
        <f t="shared" si="8"/>
        <v>636</v>
      </c>
      <c r="O251" s="40">
        <f t="shared" si="7"/>
        <v>690</v>
      </c>
      <c r="P251" s="146">
        <f t="shared" si="9"/>
        <v>386</v>
      </c>
    </row>
    <row r="252" spans="1:16" x14ac:dyDescent="0.25">
      <c r="A252" s="38">
        <v>5500</v>
      </c>
      <c r="B252" s="38" t="s">
        <v>93</v>
      </c>
      <c r="C252" s="38" t="s">
        <v>383</v>
      </c>
      <c r="D252" s="38" t="s">
        <v>384</v>
      </c>
      <c r="E252" s="38">
        <v>420</v>
      </c>
      <c r="F252" s="38">
        <v>180</v>
      </c>
      <c r="G252" s="40">
        <v>285</v>
      </c>
      <c r="H252" s="40">
        <v>345</v>
      </c>
      <c r="I252" s="40">
        <v>329</v>
      </c>
      <c r="J252" s="40">
        <v>335</v>
      </c>
      <c r="L252" s="40">
        <f t="shared" si="8"/>
        <v>328</v>
      </c>
      <c r="M252" s="40">
        <f t="shared" si="8"/>
        <v>397</v>
      </c>
      <c r="N252" s="40">
        <f t="shared" si="8"/>
        <v>378</v>
      </c>
      <c r="O252" s="40">
        <f t="shared" si="7"/>
        <v>385</v>
      </c>
      <c r="P252" s="146">
        <f t="shared" si="9"/>
        <v>257</v>
      </c>
    </row>
    <row r="253" spans="1:16" x14ac:dyDescent="0.25">
      <c r="A253" s="38">
        <v>5501</v>
      </c>
      <c r="B253" s="38" t="s">
        <v>93</v>
      </c>
      <c r="C253" s="38" t="s">
        <v>383</v>
      </c>
      <c r="D253" s="38" t="s">
        <v>385</v>
      </c>
      <c r="E253" s="38">
        <v>420</v>
      </c>
      <c r="F253" s="38">
        <v>360</v>
      </c>
      <c r="G253" s="40">
        <v>352</v>
      </c>
      <c r="H253" s="40">
        <v>439</v>
      </c>
      <c r="I253" s="40">
        <v>420</v>
      </c>
      <c r="J253" s="40">
        <v>429</v>
      </c>
      <c r="L253" s="40">
        <f t="shared" si="8"/>
        <v>405</v>
      </c>
      <c r="M253" s="40">
        <f t="shared" si="8"/>
        <v>505</v>
      </c>
      <c r="N253" s="40">
        <f t="shared" si="8"/>
        <v>483</v>
      </c>
      <c r="O253" s="40">
        <f t="shared" si="7"/>
        <v>493</v>
      </c>
      <c r="P253" s="146">
        <f t="shared" si="9"/>
        <v>317</v>
      </c>
    </row>
    <row r="254" spans="1:16" x14ac:dyDescent="0.25">
      <c r="A254" s="38">
        <v>5502</v>
      </c>
      <c r="B254" s="38" t="s">
        <v>93</v>
      </c>
      <c r="C254" s="38" t="s">
        <v>383</v>
      </c>
      <c r="D254" s="38" t="s">
        <v>386</v>
      </c>
      <c r="E254" s="38">
        <v>580</v>
      </c>
      <c r="F254" s="38">
        <v>180</v>
      </c>
      <c r="G254" s="40">
        <v>298</v>
      </c>
      <c r="H254" s="40">
        <v>368</v>
      </c>
      <c r="I254" s="40">
        <v>351</v>
      </c>
      <c r="J254" s="40">
        <v>358</v>
      </c>
      <c r="L254" s="40">
        <f t="shared" si="8"/>
        <v>343</v>
      </c>
      <c r="M254" s="40">
        <f t="shared" si="8"/>
        <v>423</v>
      </c>
      <c r="N254" s="40">
        <f t="shared" si="8"/>
        <v>404</v>
      </c>
      <c r="O254" s="40">
        <f t="shared" si="7"/>
        <v>412</v>
      </c>
      <c r="P254" s="146">
        <f t="shared" si="9"/>
        <v>268</v>
      </c>
    </row>
    <row r="255" spans="1:16" x14ac:dyDescent="0.25">
      <c r="A255" s="38">
        <v>5503</v>
      </c>
      <c r="B255" s="38" t="s">
        <v>93</v>
      </c>
      <c r="C255" s="38" t="s">
        <v>383</v>
      </c>
      <c r="D255" s="38" t="s">
        <v>387</v>
      </c>
      <c r="E255" s="38">
        <v>580</v>
      </c>
      <c r="F255" s="38">
        <v>360</v>
      </c>
      <c r="G255" s="40">
        <v>353</v>
      </c>
      <c r="H255" s="40">
        <v>470</v>
      </c>
      <c r="I255" s="40">
        <v>445</v>
      </c>
      <c r="J255" s="40">
        <v>460</v>
      </c>
      <c r="L255" s="40">
        <f t="shared" si="8"/>
        <v>406</v>
      </c>
      <c r="M255" s="40">
        <f t="shared" si="8"/>
        <v>541</v>
      </c>
      <c r="N255" s="40">
        <f t="shared" si="8"/>
        <v>512</v>
      </c>
      <c r="O255" s="40">
        <f t="shared" si="7"/>
        <v>529</v>
      </c>
      <c r="P255" s="146">
        <f t="shared" si="9"/>
        <v>318</v>
      </c>
    </row>
    <row r="256" spans="1:16" x14ac:dyDescent="0.25">
      <c r="A256" s="38">
        <v>5504</v>
      </c>
      <c r="B256" s="38" t="s">
        <v>93</v>
      </c>
      <c r="C256" s="38" t="s">
        <v>383</v>
      </c>
      <c r="D256" s="38" t="s">
        <v>388</v>
      </c>
      <c r="E256" s="38">
        <v>780</v>
      </c>
      <c r="F256" s="38">
        <v>180</v>
      </c>
      <c r="G256" s="40">
        <v>309</v>
      </c>
      <c r="H256" s="40">
        <v>391</v>
      </c>
      <c r="I256" s="40">
        <v>372</v>
      </c>
      <c r="J256" s="40">
        <v>381</v>
      </c>
      <c r="L256" s="40">
        <f t="shared" si="8"/>
        <v>355</v>
      </c>
      <c r="M256" s="40">
        <f t="shared" si="8"/>
        <v>450</v>
      </c>
      <c r="N256" s="40">
        <f t="shared" si="8"/>
        <v>428</v>
      </c>
      <c r="O256" s="40">
        <f t="shared" si="7"/>
        <v>438</v>
      </c>
      <c r="P256" s="146">
        <f t="shared" si="9"/>
        <v>278</v>
      </c>
    </row>
    <row r="257" spans="1:16" x14ac:dyDescent="0.25">
      <c r="A257" s="38">
        <v>5505</v>
      </c>
      <c r="B257" s="38" t="s">
        <v>93</v>
      </c>
      <c r="C257" s="38" t="s">
        <v>383</v>
      </c>
      <c r="D257" s="38" t="s">
        <v>389</v>
      </c>
      <c r="E257" s="38">
        <v>780</v>
      </c>
      <c r="F257" s="38">
        <v>360</v>
      </c>
      <c r="G257" s="40">
        <v>356</v>
      </c>
      <c r="H257" s="40">
        <v>501</v>
      </c>
      <c r="I257" s="40">
        <v>471</v>
      </c>
      <c r="J257" s="40">
        <v>491</v>
      </c>
      <c r="L257" s="40">
        <f t="shared" si="8"/>
        <v>409</v>
      </c>
      <c r="M257" s="40">
        <f t="shared" si="8"/>
        <v>576</v>
      </c>
      <c r="N257" s="40">
        <f t="shared" si="8"/>
        <v>542</v>
      </c>
      <c r="O257" s="40">
        <f t="shared" si="8"/>
        <v>565</v>
      </c>
      <c r="P257" s="146">
        <f t="shared" si="9"/>
        <v>320</v>
      </c>
    </row>
    <row r="258" spans="1:16" x14ac:dyDescent="0.25">
      <c r="A258" s="38">
        <v>5506</v>
      </c>
      <c r="B258" s="38" t="s">
        <v>93</v>
      </c>
      <c r="C258" s="38" t="s">
        <v>383</v>
      </c>
      <c r="D258" s="38" t="s">
        <v>390</v>
      </c>
      <c r="E258" s="38">
        <v>980</v>
      </c>
      <c r="F258" s="38">
        <v>180</v>
      </c>
      <c r="G258" s="40">
        <v>348</v>
      </c>
      <c r="H258" s="40">
        <v>474</v>
      </c>
      <c r="I258" s="40">
        <v>417</v>
      </c>
      <c r="J258" s="40">
        <v>464</v>
      </c>
      <c r="L258" s="40">
        <f t="shared" si="8"/>
        <v>400</v>
      </c>
      <c r="M258" s="40">
        <f t="shared" si="8"/>
        <v>545</v>
      </c>
      <c r="N258" s="40">
        <f t="shared" si="8"/>
        <v>480</v>
      </c>
      <c r="O258" s="40">
        <f t="shared" si="8"/>
        <v>534</v>
      </c>
      <c r="P258" s="146">
        <f t="shared" si="9"/>
        <v>313</v>
      </c>
    </row>
    <row r="259" spans="1:16" x14ac:dyDescent="0.25">
      <c r="A259" s="38">
        <v>5507</v>
      </c>
      <c r="B259" s="38" t="s">
        <v>93</v>
      </c>
      <c r="C259" s="38" t="s">
        <v>383</v>
      </c>
      <c r="D259" s="38" t="s">
        <v>391</v>
      </c>
      <c r="E259" s="38">
        <v>980</v>
      </c>
      <c r="F259" s="38">
        <v>360</v>
      </c>
      <c r="G259" s="40">
        <v>429</v>
      </c>
      <c r="H259" s="40">
        <v>610</v>
      </c>
      <c r="I259" s="40">
        <v>553</v>
      </c>
      <c r="J259" s="40">
        <v>600</v>
      </c>
      <c r="L259" s="40">
        <f t="shared" si="8"/>
        <v>493</v>
      </c>
      <c r="M259" s="40">
        <f t="shared" si="8"/>
        <v>702</v>
      </c>
      <c r="N259" s="40">
        <f t="shared" si="8"/>
        <v>636</v>
      </c>
      <c r="O259" s="40">
        <f t="shared" si="8"/>
        <v>690</v>
      </c>
      <c r="P259" s="146">
        <f t="shared" ref="P259:P260" si="10">IF(G259="","",ROUND(G259*$T$3*IFERROR(VLOOKUP(C259,$S$6:$T$27,2,FALSE),1),0))</f>
        <v>386</v>
      </c>
    </row>
    <row r="260" spans="1:16" x14ac:dyDescent="0.25">
      <c r="G260" s="40"/>
      <c r="H260" s="40"/>
      <c r="I260" s="40"/>
      <c r="J260" s="40"/>
      <c r="L260" s="40" t="str">
        <f t="shared" si="8"/>
        <v/>
      </c>
      <c r="M260" s="40" t="str">
        <f t="shared" si="8"/>
        <v/>
      </c>
      <c r="N260" s="40" t="str">
        <f t="shared" si="8"/>
        <v/>
      </c>
      <c r="O260" s="40" t="str">
        <f t="shared" si="8"/>
        <v/>
      </c>
      <c r="P260" s="146" t="str">
        <f t="shared" si="10"/>
        <v/>
      </c>
    </row>
    <row r="261" spans="1:16" x14ac:dyDescent="0.25">
      <c r="G261" s="40"/>
      <c r="H261" s="40"/>
      <c r="I261" s="40"/>
      <c r="J261" s="40"/>
      <c r="L261" s="40" t="str">
        <f t="shared" si="8"/>
        <v/>
      </c>
      <c r="M261" s="40" t="str">
        <f t="shared" si="8"/>
        <v/>
      </c>
      <c r="N261" s="40" t="str">
        <f t="shared" si="8"/>
        <v/>
      </c>
      <c r="O261" s="40" t="str">
        <f t="shared" si="8"/>
        <v/>
      </c>
    </row>
    <row r="262" spans="1:16" x14ac:dyDescent="0.25">
      <c r="A262" s="43" t="s">
        <v>77</v>
      </c>
      <c r="B262" s="43" t="s">
        <v>78</v>
      </c>
      <c r="C262" s="43" t="s">
        <v>79</v>
      </c>
      <c r="D262" s="43" t="s">
        <v>80</v>
      </c>
      <c r="E262" s="43"/>
      <c r="F262" s="43"/>
      <c r="G262" s="44" t="s">
        <v>392</v>
      </c>
      <c r="H262" s="44"/>
      <c r="I262" s="44"/>
      <c r="J262" s="44"/>
      <c r="K262" s="43"/>
      <c r="L262" s="44" t="s">
        <v>393</v>
      </c>
      <c r="M262" s="44"/>
      <c r="N262" s="44"/>
      <c r="O262" s="44"/>
      <c r="P262" s="43" t="s">
        <v>478</v>
      </c>
    </row>
    <row r="263" spans="1:16" x14ac:dyDescent="0.25">
      <c r="A263" s="38">
        <v>1000</v>
      </c>
      <c r="B263" s="38" t="s">
        <v>394</v>
      </c>
      <c r="D263" s="38" t="s">
        <v>395</v>
      </c>
      <c r="G263" s="40">
        <v>6</v>
      </c>
      <c r="H263" s="40"/>
      <c r="I263" s="40"/>
      <c r="J263" s="40"/>
      <c r="L263" s="40">
        <f t="shared" ref="L263:L309" si="11">IF(G263="","",ROUND(G263*1.15,0))</f>
        <v>7</v>
      </c>
      <c r="M263" s="40"/>
      <c r="N263" s="40"/>
      <c r="O263" s="40"/>
      <c r="P263" s="146">
        <f>IF(G263="","",ROUND(G263*$T$3*IFERROR(VLOOKUP(C263,$S$6:$T$27,2,FALSE),1),0))</f>
        <v>6</v>
      </c>
    </row>
    <row r="264" spans="1:16" x14ac:dyDescent="0.25">
      <c r="A264" s="38">
        <v>1001</v>
      </c>
      <c r="B264" s="38" t="s">
        <v>394</v>
      </c>
      <c r="D264" s="38" t="s">
        <v>395</v>
      </c>
      <c r="G264" s="40">
        <v>6</v>
      </c>
      <c r="H264" s="40"/>
      <c r="I264" s="40"/>
      <c r="J264" s="40"/>
      <c r="L264" s="40">
        <f t="shared" si="11"/>
        <v>7</v>
      </c>
      <c r="M264" s="40"/>
      <c r="N264" s="40"/>
      <c r="O264" s="40"/>
      <c r="P264" s="146">
        <f t="shared" ref="P264:P309" si="12">IF(G264="","",ROUND(G264*$T$3*IFERROR(VLOOKUP(C264,$S$6:$T$27,2,FALSE),1),0))</f>
        <v>6</v>
      </c>
    </row>
    <row r="265" spans="1:16" x14ac:dyDescent="0.25">
      <c r="A265" s="38">
        <v>1002</v>
      </c>
      <c r="B265" s="38" t="s">
        <v>394</v>
      </c>
      <c r="D265" s="38" t="s">
        <v>395</v>
      </c>
      <c r="G265" s="40">
        <v>6</v>
      </c>
      <c r="H265" s="40"/>
      <c r="I265" s="40"/>
      <c r="J265" s="40"/>
      <c r="L265" s="40">
        <f t="shared" si="11"/>
        <v>7</v>
      </c>
      <c r="M265" s="40"/>
      <c r="N265" s="40"/>
      <c r="O265" s="40"/>
      <c r="P265" s="146">
        <f t="shared" si="12"/>
        <v>6</v>
      </c>
    </row>
    <row r="266" spans="1:16" x14ac:dyDescent="0.25">
      <c r="A266" s="38">
        <v>1100</v>
      </c>
      <c r="B266" s="38" t="s">
        <v>394</v>
      </c>
      <c r="D266" s="38" t="s">
        <v>396</v>
      </c>
      <c r="G266" s="40">
        <v>6</v>
      </c>
      <c r="H266" s="40"/>
      <c r="I266" s="40"/>
      <c r="J266" s="40"/>
      <c r="L266" s="40">
        <f t="shared" si="11"/>
        <v>7</v>
      </c>
      <c r="M266" s="40"/>
      <c r="N266" s="40"/>
      <c r="O266" s="40"/>
      <c r="P266" s="146">
        <f t="shared" si="12"/>
        <v>6</v>
      </c>
    </row>
    <row r="267" spans="1:16" x14ac:dyDescent="0.25">
      <c r="A267" s="38">
        <v>1101</v>
      </c>
      <c r="B267" s="38" t="s">
        <v>394</v>
      </c>
      <c r="D267" s="38" t="s">
        <v>396</v>
      </c>
      <c r="G267" s="40">
        <v>6</v>
      </c>
      <c r="H267" s="40"/>
      <c r="I267" s="40"/>
      <c r="J267" s="40"/>
      <c r="L267" s="40">
        <f t="shared" si="11"/>
        <v>7</v>
      </c>
      <c r="M267" s="40"/>
      <c r="N267" s="40"/>
      <c r="O267" s="40"/>
      <c r="P267" s="146">
        <f t="shared" si="12"/>
        <v>6</v>
      </c>
    </row>
    <row r="268" spans="1:16" x14ac:dyDescent="0.25">
      <c r="A268" s="38">
        <v>1102</v>
      </c>
      <c r="B268" s="38" t="s">
        <v>394</v>
      </c>
      <c r="D268" s="38" t="s">
        <v>396</v>
      </c>
      <c r="G268" s="40">
        <v>6</v>
      </c>
      <c r="H268" s="40"/>
      <c r="I268" s="40"/>
      <c r="J268" s="40"/>
      <c r="L268" s="40">
        <f t="shared" si="11"/>
        <v>7</v>
      </c>
      <c r="M268" s="40"/>
      <c r="N268" s="40"/>
      <c r="O268" s="40"/>
      <c r="P268" s="146">
        <f t="shared" si="12"/>
        <v>6</v>
      </c>
    </row>
    <row r="269" spans="1:16" x14ac:dyDescent="0.25">
      <c r="A269" s="38">
        <v>2000</v>
      </c>
      <c r="B269" s="38" t="s">
        <v>394</v>
      </c>
      <c r="C269" s="38" t="s">
        <v>397</v>
      </c>
      <c r="D269" s="38" t="s">
        <v>398</v>
      </c>
      <c r="G269" s="40">
        <v>80</v>
      </c>
      <c r="H269" s="40"/>
      <c r="I269" s="40"/>
      <c r="J269" s="40"/>
      <c r="L269" s="40">
        <f t="shared" si="11"/>
        <v>92</v>
      </c>
      <c r="M269" s="40"/>
      <c r="N269" s="40"/>
      <c r="O269" s="40"/>
      <c r="P269" s="146">
        <f t="shared" si="12"/>
        <v>60</v>
      </c>
    </row>
    <row r="270" spans="1:16" x14ac:dyDescent="0.25">
      <c r="A270" s="38">
        <v>2001</v>
      </c>
      <c r="B270" s="38" t="s">
        <v>394</v>
      </c>
      <c r="C270" s="38" t="s">
        <v>397</v>
      </c>
      <c r="D270" s="38" t="s">
        <v>398</v>
      </c>
      <c r="G270" s="40">
        <v>40</v>
      </c>
      <c r="H270" s="40"/>
      <c r="I270" s="40"/>
      <c r="J270" s="40"/>
      <c r="L270" s="40">
        <f t="shared" si="11"/>
        <v>46</v>
      </c>
      <c r="M270" s="40"/>
      <c r="N270" s="40"/>
      <c r="O270" s="40"/>
      <c r="P270" s="146">
        <f t="shared" si="12"/>
        <v>30</v>
      </c>
    </row>
    <row r="271" spans="1:16" x14ac:dyDescent="0.25">
      <c r="A271" s="38">
        <v>2005</v>
      </c>
      <c r="B271" s="38" t="s">
        <v>394</v>
      </c>
      <c r="C271" s="38" t="s">
        <v>397</v>
      </c>
      <c r="D271" s="38" t="s">
        <v>399</v>
      </c>
      <c r="G271" s="40">
        <v>20</v>
      </c>
      <c r="H271" s="40"/>
      <c r="I271" s="40"/>
      <c r="J271" s="40"/>
      <c r="L271" s="40">
        <f t="shared" si="11"/>
        <v>23</v>
      </c>
      <c r="M271" s="40"/>
      <c r="N271" s="40"/>
      <c r="O271" s="40"/>
      <c r="P271" s="146">
        <f t="shared" si="12"/>
        <v>15</v>
      </c>
    </row>
    <row r="272" spans="1:16" x14ac:dyDescent="0.25">
      <c r="A272" s="38">
        <v>2010</v>
      </c>
      <c r="B272" s="38" t="s">
        <v>394</v>
      </c>
      <c r="C272" s="38" t="s">
        <v>397</v>
      </c>
      <c r="D272" s="38" t="s">
        <v>400</v>
      </c>
      <c r="G272" s="40">
        <v>20</v>
      </c>
      <c r="H272" s="40"/>
      <c r="I272" s="40"/>
      <c r="J272" s="40"/>
      <c r="L272" s="40">
        <f t="shared" si="11"/>
        <v>23</v>
      </c>
      <c r="M272" s="40"/>
      <c r="N272" s="40"/>
      <c r="O272" s="40"/>
      <c r="P272" s="146">
        <f t="shared" si="12"/>
        <v>15</v>
      </c>
    </row>
    <row r="273" spans="1:16" x14ac:dyDescent="0.25">
      <c r="A273" s="38">
        <v>2015</v>
      </c>
      <c r="B273" s="38" t="s">
        <v>394</v>
      </c>
      <c r="C273" s="38" t="s">
        <v>397</v>
      </c>
      <c r="D273" s="38" t="s">
        <v>401</v>
      </c>
      <c r="G273" s="40">
        <v>20</v>
      </c>
      <c r="H273" s="40"/>
      <c r="I273" s="40"/>
      <c r="J273" s="40"/>
      <c r="L273" s="40">
        <f t="shared" si="11"/>
        <v>23</v>
      </c>
      <c r="M273" s="40"/>
      <c r="N273" s="40"/>
      <c r="O273" s="40"/>
      <c r="P273" s="146">
        <f t="shared" si="12"/>
        <v>15</v>
      </c>
    </row>
    <row r="274" spans="1:16" x14ac:dyDescent="0.25">
      <c r="A274" s="38">
        <v>2020</v>
      </c>
      <c r="B274" s="38" t="s">
        <v>394</v>
      </c>
      <c r="C274" s="38" t="s">
        <v>397</v>
      </c>
      <c r="D274" s="38" t="s">
        <v>402</v>
      </c>
      <c r="G274" s="40">
        <v>22</v>
      </c>
      <c r="H274" s="40"/>
      <c r="I274" s="40"/>
      <c r="J274" s="40"/>
      <c r="L274" s="40">
        <f t="shared" si="11"/>
        <v>25</v>
      </c>
      <c r="M274" s="40"/>
      <c r="N274" s="40"/>
      <c r="O274" s="40"/>
      <c r="P274" s="146">
        <f t="shared" si="12"/>
        <v>17</v>
      </c>
    </row>
    <row r="275" spans="1:16" x14ac:dyDescent="0.25">
      <c r="A275" s="38">
        <v>2021</v>
      </c>
      <c r="B275" s="38" t="s">
        <v>394</v>
      </c>
      <c r="C275" s="38" t="s">
        <v>397</v>
      </c>
      <c r="D275" s="38" t="s">
        <v>403</v>
      </c>
      <c r="G275" s="40">
        <v>22</v>
      </c>
      <c r="H275" s="40"/>
      <c r="I275" s="40"/>
      <c r="J275" s="40"/>
      <c r="L275" s="40">
        <f t="shared" si="11"/>
        <v>25</v>
      </c>
      <c r="M275" s="40"/>
      <c r="N275" s="40"/>
      <c r="O275" s="40"/>
      <c r="P275" s="146">
        <f t="shared" si="12"/>
        <v>17</v>
      </c>
    </row>
    <row r="276" spans="1:16" x14ac:dyDescent="0.25">
      <c r="A276" s="38">
        <v>2025</v>
      </c>
      <c r="B276" s="38" t="s">
        <v>394</v>
      </c>
      <c r="C276" s="38" t="s">
        <v>397</v>
      </c>
      <c r="D276" s="38" t="s">
        <v>404</v>
      </c>
      <c r="G276" s="40">
        <v>25</v>
      </c>
      <c r="H276" s="40"/>
      <c r="I276" s="40"/>
      <c r="J276" s="40"/>
      <c r="L276" s="40">
        <f t="shared" si="11"/>
        <v>29</v>
      </c>
      <c r="M276" s="40"/>
      <c r="N276" s="40"/>
      <c r="O276" s="40"/>
      <c r="P276" s="146">
        <f t="shared" si="12"/>
        <v>19</v>
      </c>
    </row>
    <row r="277" spans="1:16" x14ac:dyDescent="0.25">
      <c r="A277" s="38">
        <v>2030</v>
      </c>
      <c r="B277" s="38" t="s">
        <v>394</v>
      </c>
      <c r="C277" s="38" t="s">
        <v>397</v>
      </c>
      <c r="D277" s="38" t="s">
        <v>405</v>
      </c>
      <c r="G277" s="40">
        <v>25</v>
      </c>
      <c r="H277" s="40"/>
      <c r="I277" s="40"/>
      <c r="J277" s="40"/>
      <c r="L277" s="40">
        <f t="shared" si="11"/>
        <v>29</v>
      </c>
      <c r="M277" s="40"/>
      <c r="N277" s="40"/>
      <c r="O277" s="40"/>
      <c r="P277" s="146">
        <f t="shared" si="12"/>
        <v>19</v>
      </c>
    </row>
    <row r="278" spans="1:16" x14ac:dyDescent="0.25">
      <c r="A278" s="38">
        <v>2035</v>
      </c>
      <c r="B278" s="38" t="s">
        <v>394</v>
      </c>
      <c r="C278" s="38" t="s">
        <v>397</v>
      </c>
      <c r="D278" s="38" t="s">
        <v>406</v>
      </c>
      <c r="G278" s="40">
        <v>27</v>
      </c>
      <c r="H278" s="40"/>
      <c r="I278" s="40"/>
      <c r="J278" s="40"/>
      <c r="L278" s="40">
        <f t="shared" si="11"/>
        <v>31</v>
      </c>
      <c r="M278" s="40"/>
      <c r="N278" s="40"/>
      <c r="O278" s="40"/>
      <c r="P278" s="146">
        <f t="shared" si="12"/>
        <v>20</v>
      </c>
    </row>
    <row r="279" spans="1:16" x14ac:dyDescent="0.25">
      <c r="A279" s="38">
        <v>2040</v>
      </c>
      <c r="B279" s="38" t="s">
        <v>394</v>
      </c>
      <c r="C279" s="38" t="s">
        <v>397</v>
      </c>
      <c r="D279" s="38" t="s">
        <v>407</v>
      </c>
      <c r="G279" s="40">
        <v>29</v>
      </c>
      <c r="H279" s="40"/>
      <c r="I279" s="40"/>
      <c r="J279" s="40"/>
      <c r="L279" s="40">
        <f t="shared" si="11"/>
        <v>33</v>
      </c>
      <c r="M279" s="40"/>
      <c r="N279" s="40"/>
      <c r="O279" s="40"/>
      <c r="P279" s="146">
        <f t="shared" si="12"/>
        <v>22</v>
      </c>
    </row>
    <row r="280" spans="1:16" x14ac:dyDescent="0.25">
      <c r="A280" s="38">
        <v>2045</v>
      </c>
      <c r="B280" s="38" t="s">
        <v>394</v>
      </c>
      <c r="C280" s="38" t="s">
        <v>397</v>
      </c>
      <c r="D280" s="38" t="s">
        <v>408</v>
      </c>
      <c r="G280" s="40">
        <v>35</v>
      </c>
      <c r="H280" s="40"/>
      <c r="I280" s="40"/>
      <c r="J280" s="40"/>
      <c r="L280" s="40">
        <f t="shared" si="11"/>
        <v>40</v>
      </c>
      <c r="M280" s="40"/>
      <c r="N280" s="40"/>
      <c r="O280" s="40"/>
      <c r="P280" s="146">
        <f t="shared" si="12"/>
        <v>26</v>
      </c>
    </row>
    <row r="281" spans="1:16" x14ac:dyDescent="0.25">
      <c r="A281" s="38">
        <v>2050</v>
      </c>
      <c r="B281" s="38" t="s">
        <v>394</v>
      </c>
      <c r="C281" s="38" t="s">
        <v>397</v>
      </c>
      <c r="D281" s="38" t="s">
        <v>409</v>
      </c>
      <c r="G281" s="40">
        <v>39</v>
      </c>
      <c r="H281" s="40"/>
      <c r="I281" s="40"/>
      <c r="J281" s="40"/>
      <c r="L281" s="40">
        <f t="shared" si="11"/>
        <v>45</v>
      </c>
      <c r="M281" s="40"/>
      <c r="N281" s="40"/>
      <c r="O281" s="40"/>
      <c r="P281" s="146">
        <f t="shared" si="12"/>
        <v>29</v>
      </c>
    </row>
    <row r="282" spans="1:16" x14ac:dyDescent="0.25">
      <c r="A282" s="38">
        <v>2300</v>
      </c>
      <c r="B282" s="38" t="s">
        <v>394</v>
      </c>
      <c r="C282" s="38" t="s">
        <v>397</v>
      </c>
      <c r="D282" s="38" t="s">
        <v>410</v>
      </c>
      <c r="G282" s="40">
        <v>100</v>
      </c>
      <c r="H282" s="40"/>
      <c r="I282" s="40"/>
      <c r="J282" s="40"/>
      <c r="L282" s="40">
        <f t="shared" si="11"/>
        <v>115</v>
      </c>
      <c r="M282" s="40"/>
      <c r="N282" s="40"/>
      <c r="O282" s="40"/>
      <c r="P282" s="146">
        <f t="shared" si="12"/>
        <v>75</v>
      </c>
    </row>
    <row r="283" spans="1:16" x14ac:dyDescent="0.25">
      <c r="A283" s="38">
        <v>8140</v>
      </c>
      <c r="B283" s="38" t="s">
        <v>394</v>
      </c>
      <c r="C283" s="38" t="s">
        <v>411</v>
      </c>
      <c r="D283" s="38" t="s">
        <v>412</v>
      </c>
      <c r="G283" s="40">
        <v>180</v>
      </c>
      <c r="H283" s="40"/>
      <c r="I283" s="40"/>
      <c r="J283" s="40"/>
      <c r="L283" s="40">
        <f t="shared" si="11"/>
        <v>207</v>
      </c>
      <c r="M283" s="40"/>
      <c r="N283" s="40"/>
      <c r="O283" s="40"/>
      <c r="P283" s="146">
        <f t="shared" si="12"/>
        <v>144</v>
      </c>
    </row>
    <row r="284" spans="1:16" x14ac:dyDescent="0.25">
      <c r="A284" s="38">
        <v>8300</v>
      </c>
      <c r="B284" s="38" t="s">
        <v>394</v>
      </c>
      <c r="C284" s="38" t="s">
        <v>413</v>
      </c>
      <c r="D284" s="38" t="s">
        <v>414</v>
      </c>
      <c r="G284" s="40">
        <v>25</v>
      </c>
      <c r="H284" s="40"/>
      <c r="I284" s="40"/>
      <c r="J284" s="40"/>
      <c r="L284" s="40">
        <f t="shared" si="11"/>
        <v>29</v>
      </c>
      <c r="M284" s="40"/>
      <c r="N284" s="40"/>
      <c r="O284" s="40"/>
      <c r="P284" s="146">
        <f t="shared" si="12"/>
        <v>20</v>
      </c>
    </row>
    <row r="285" spans="1:16" x14ac:dyDescent="0.25">
      <c r="A285" s="38">
        <v>8301</v>
      </c>
      <c r="B285" s="38" t="s">
        <v>394</v>
      </c>
      <c r="C285" s="38" t="s">
        <v>413</v>
      </c>
      <c r="D285" s="38" t="s">
        <v>415</v>
      </c>
      <c r="G285" s="40">
        <v>29</v>
      </c>
      <c r="H285" s="40"/>
      <c r="I285" s="40"/>
      <c r="J285" s="40"/>
      <c r="L285" s="40">
        <f t="shared" si="11"/>
        <v>33</v>
      </c>
      <c r="M285" s="40"/>
      <c r="N285" s="40"/>
      <c r="O285" s="40"/>
      <c r="P285" s="146">
        <f t="shared" si="12"/>
        <v>23</v>
      </c>
    </row>
    <row r="286" spans="1:16" x14ac:dyDescent="0.25">
      <c r="A286" s="38">
        <v>8302</v>
      </c>
      <c r="B286" s="38" t="s">
        <v>394</v>
      </c>
      <c r="C286" s="38" t="s">
        <v>413</v>
      </c>
      <c r="D286" s="38" t="s">
        <v>416</v>
      </c>
      <c r="G286" s="40">
        <v>17</v>
      </c>
      <c r="H286" s="40"/>
      <c r="I286" s="40"/>
      <c r="J286" s="40"/>
      <c r="L286" s="40">
        <f t="shared" si="11"/>
        <v>20</v>
      </c>
      <c r="M286" s="40"/>
      <c r="N286" s="40"/>
      <c r="O286" s="40"/>
      <c r="P286" s="146">
        <f t="shared" si="12"/>
        <v>14</v>
      </c>
    </row>
    <row r="287" spans="1:16" x14ac:dyDescent="0.25">
      <c r="A287" s="38">
        <v>8303</v>
      </c>
      <c r="B287" s="38" t="s">
        <v>394</v>
      </c>
      <c r="C287" s="38" t="s">
        <v>413</v>
      </c>
      <c r="D287" s="38" t="s">
        <v>417</v>
      </c>
      <c r="G287" s="40">
        <v>10</v>
      </c>
      <c r="H287" s="40"/>
      <c r="I287" s="40"/>
      <c r="J287" s="40"/>
      <c r="L287" s="40">
        <f t="shared" si="11"/>
        <v>12</v>
      </c>
      <c r="M287" s="40"/>
      <c r="N287" s="40"/>
      <c r="O287" s="40"/>
      <c r="P287" s="146">
        <f t="shared" si="12"/>
        <v>8</v>
      </c>
    </row>
    <row r="288" spans="1:16" x14ac:dyDescent="0.25">
      <c r="A288" s="38">
        <v>8304</v>
      </c>
      <c r="B288" s="38" t="s">
        <v>394</v>
      </c>
      <c r="C288" s="38" t="s">
        <v>413</v>
      </c>
      <c r="D288" s="38" t="s">
        <v>418</v>
      </c>
      <c r="G288" s="40">
        <v>29</v>
      </c>
      <c r="H288" s="40"/>
      <c r="I288" s="40"/>
      <c r="J288" s="40"/>
      <c r="L288" s="40">
        <f t="shared" si="11"/>
        <v>33</v>
      </c>
      <c r="M288" s="40"/>
      <c r="N288" s="40"/>
      <c r="O288" s="40"/>
      <c r="P288" s="146">
        <f t="shared" si="12"/>
        <v>23</v>
      </c>
    </row>
    <row r="289" spans="1:16" x14ac:dyDescent="0.25">
      <c r="A289" s="38">
        <v>8305</v>
      </c>
      <c r="B289" s="38" t="s">
        <v>394</v>
      </c>
      <c r="C289" s="38" t="s">
        <v>413</v>
      </c>
      <c r="D289" s="38" t="s">
        <v>419</v>
      </c>
      <c r="G289" s="40">
        <v>41</v>
      </c>
      <c r="H289" s="40"/>
      <c r="I289" s="40"/>
      <c r="J289" s="40"/>
      <c r="L289" s="40">
        <f t="shared" si="11"/>
        <v>47</v>
      </c>
      <c r="M289" s="40"/>
      <c r="N289" s="40"/>
      <c r="O289" s="40"/>
      <c r="P289" s="146">
        <f t="shared" si="12"/>
        <v>33</v>
      </c>
    </row>
    <row r="290" spans="1:16" x14ac:dyDescent="0.25">
      <c r="A290" s="38">
        <v>8306</v>
      </c>
      <c r="B290" s="38" t="s">
        <v>394</v>
      </c>
      <c r="C290" s="38" t="s">
        <v>413</v>
      </c>
      <c r="D290" s="38" t="s">
        <v>420</v>
      </c>
      <c r="G290" s="40">
        <v>19</v>
      </c>
      <c r="H290" s="40"/>
      <c r="I290" s="40"/>
      <c r="J290" s="40"/>
      <c r="L290" s="40">
        <f t="shared" si="11"/>
        <v>22</v>
      </c>
      <c r="M290" s="40"/>
      <c r="N290" s="40"/>
      <c r="O290" s="40"/>
      <c r="P290" s="146">
        <f t="shared" si="12"/>
        <v>15</v>
      </c>
    </row>
    <row r="291" spans="1:16" x14ac:dyDescent="0.25">
      <c r="A291" s="38">
        <v>8307</v>
      </c>
      <c r="B291" s="38" t="s">
        <v>394</v>
      </c>
      <c r="C291" s="38" t="s">
        <v>413</v>
      </c>
      <c r="D291" s="38" t="s">
        <v>421</v>
      </c>
      <c r="G291" s="40">
        <v>12</v>
      </c>
      <c r="H291" s="40"/>
      <c r="I291" s="40"/>
      <c r="J291" s="40"/>
      <c r="L291" s="40">
        <f t="shared" si="11"/>
        <v>14</v>
      </c>
      <c r="M291" s="40"/>
      <c r="N291" s="40"/>
      <c r="O291" s="40"/>
      <c r="P291" s="146">
        <f t="shared" si="12"/>
        <v>10</v>
      </c>
    </row>
    <row r="292" spans="1:16" x14ac:dyDescent="0.25">
      <c r="A292" s="38">
        <v>8308</v>
      </c>
      <c r="B292" s="38" t="s">
        <v>394</v>
      </c>
      <c r="C292" s="38" t="s">
        <v>413</v>
      </c>
      <c r="D292" s="38" t="s">
        <v>422</v>
      </c>
      <c r="G292" s="40">
        <v>15</v>
      </c>
      <c r="H292" s="40"/>
      <c r="I292" s="40"/>
      <c r="J292" s="40"/>
      <c r="L292" s="40">
        <f t="shared" si="11"/>
        <v>17</v>
      </c>
      <c r="M292" s="40"/>
      <c r="N292" s="40"/>
      <c r="O292" s="40"/>
      <c r="P292" s="146">
        <f t="shared" si="12"/>
        <v>12</v>
      </c>
    </row>
    <row r="293" spans="1:16" x14ac:dyDescent="0.25">
      <c r="A293" s="38">
        <v>8309</v>
      </c>
      <c r="B293" s="38" t="s">
        <v>394</v>
      </c>
      <c r="C293" s="38" t="s">
        <v>413</v>
      </c>
      <c r="D293" s="38" t="s">
        <v>423</v>
      </c>
      <c r="G293" s="40">
        <v>18</v>
      </c>
      <c r="H293" s="40"/>
      <c r="I293" s="40"/>
      <c r="J293" s="40"/>
      <c r="L293" s="40">
        <f t="shared" si="11"/>
        <v>21</v>
      </c>
      <c r="M293" s="40"/>
      <c r="N293" s="40"/>
      <c r="O293" s="40"/>
      <c r="P293" s="146">
        <f t="shared" si="12"/>
        <v>14</v>
      </c>
    </row>
    <row r="294" spans="1:16" x14ac:dyDescent="0.25">
      <c r="A294" s="38">
        <v>8310</v>
      </c>
      <c r="B294" s="38" t="s">
        <v>394</v>
      </c>
      <c r="C294" s="38" t="s">
        <v>413</v>
      </c>
      <c r="D294" s="38" t="s">
        <v>424</v>
      </c>
      <c r="G294" s="40">
        <v>39</v>
      </c>
      <c r="H294" s="40"/>
      <c r="I294" s="40"/>
      <c r="J294" s="40"/>
      <c r="L294" s="40">
        <f t="shared" si="11"/>
        <v>45</v>
      </c>
      <c r="M294" s="40"/>
      <c r="N294" s="40"/>
      <c r="O294" s="40"/>
      <c r="P294" s="146">
        <f t="shared" si="12"/>
        <v>31</v>
      </c>
    </row>
    <row r="295" spans="1:16" x14ac:dyDescent="0.25">
      <c r="A295" s="38">
        <v>8311</v>
      </c>
      <c r="B295" s="38" t="s">
        <v>394</v>
      </c>
      <c r="C295" s="38" t="s">
        <v>413</v>
      </c>
      <c r="D295" s="38" t="s">
        <v>425</v>
      </c>
      <c r="G295" s="40">
        <v>44</v>
      </c>
      <c r="H295" s="40"/>
      <c r="I295" s="40"/>
      <c r="J295" s="40"/>
      <c r="L295" s="40">
        <f t="shared" si="11"/>
        <v>51</v>
      </c>
      <c r="M295" s="40"/>
      <c r="N295" s="40"/>
      <c r="O295" s="40"/>
      <c r="P295" s="146">
        <f t="shared" si="12"/>
        <v>35</v>
      </c>
    </row>
    <row r="296" spans="1:16" x14ac:dyDescent="0.25">
      <c r="A296" s="38">
        <v>8312</v>
      </c>
      <c r="B296" s="38" t="s">
        <v>394</v>
      </c>
      <c r="C296" s="38" t="s">
        <v>413</v>
      </c>
      <c r="D296" s="38" t="s">
        <v>426</v>
      </c>
      <c r="G296" s="40">
        <v>38</v>
      </c>
      <c r="H296" s="40"/>
      <c r="I296" s="40"/>
      <c r="J296" s="40"/>
      <c r="L296" s="40">
        <f t="shared" si="11"/>
        <v>44</v>
      </c>
      <c r="M296" s="40"/>
      <c r="N296" s="40"/>
      <c r="O296" s="40"/>
      <c r="P296" s="146">
        <f t="shared" si="12"/>
        <v>30</v>
      </c>
    </row>
    <row r="297" spans="1:16" x14ac:dyDescent="0.25">
      <c r="A297" s="38">
        <v>8313</v>
      </c>
      <c r="B297" s="38" t="s">
        <v>394</v>
      </c>
      <c r="C297" s="38" t="s">
        <v>413</v>
      </c>
      <c r="D297" s="38" t="s">
        <v>427</v>
      </c>
      <c r="G297" s="40">
        <v>19</v>
      </c>
      <c r="H297" s="40"/>
      <c r="I297" s="40"/>
      <c r="J297" s="40"/>
      <c r="L297" s="40">
        <f t="shared" si="11"/>
        <v>22</v>
      </c>
      <c r="M297" s="40"/>
      <c r="N297" s="40"/>
      <c r="O297" s="40"/>
      <c r="P297" s="146">
        <f t="shared" si="12"/>
        <v>15</v>
      </c>
    </row>
    <row r="298" spans="1:16" x14ac:dyDescent="0.25">
      <c r="A298" s="38">
        <v>8314</v>
      </c>
      <c r="B298" s="38" t="s">
        <v>394</v>
      </c>
      <c r="C298" s="38" t="s">
        <v>413</v>
      </c>
      <c r="D298" s="38" t="s">
        <v>428</v>
      </c>
      <c r="G298" s="40">
        <v>22</v>
      </c>
      <c r="H298" s="40"/>
      <c r="I298" s="40"/>
      <c r="J298" s="40"/>
      <c r="L298" s="40">
        <f t="shared" si="11"/>
        <v>25</v>
      </c>
      <c r="M298" s="40"/>
      <c r="N298" s="40"/>
      <c r="O298" s="40"/>
      <c r="P298" s="146">
        <f t="shared" si="12"/>
        <v>18</v>
      </c>
    </row>
    <row r="299" spans="1:16" x14ac:dyDescent="0.25">
      <c r="A299" s="38">
        <v>8315</v>
      </c>
      <c r="B299" s="38" t="s">
        <v>394</v>
      </c>
      <c r="C299" s="38" t="s">
        <v>413</v>
      </c>
      <c r="D299" s="38" t="s">
        <v>429</v>
      </c>
      <c r="G299" s="40">
        <v>29</v>
      </c>
      <c r="H299" s="40"/>
      <c r="I299" s="40"/>
      <c r="J299" s="40"/>
      <c r="L299" s="40">
        <f t="shared" si="11"/>
        <v>33</v>
      </c>
      <c r="M299" s="40"/>
      <c r="N299" s="40"/>
      <c r="O299" s="40"/>
      <c r="P299" s="146">
        <f t="shared" si="12"/>
        <v>23</v>
      </c>
    </row>
    <row r="300" spans="1:16" x14ac:dyDescent="0.25">
      <c r="A300" s="38">
        <v>8503</v>
      </c>
      <c r="B300" s="38" t="s">
        <v>394</v>
      </c>
      <c r="C300" s="38" t="s">
        <v>430</v>
      </c>
      <c r="D300" s="38" t="s">
        <v>430</v>
      </c>
      <c r="G300" s="40">
        <v>262</v>
      </c>
      <c r="H300" s="40"/>
      <c r="I300" s="40"/>
      <c r="J300" s="40"/>
      <c r="L300" s="40">
        <f t="shared" si="11"/>
        <v>301</v>
      </c>
      <c r="M300" s="40"/>
      <c r="N300" s="40"/>
      <c r="O300" s="40"/>
      <c r="P300" s="146">
        <f t="shared" si="12"/>
        <v>210</v>
      </c>
    </row>
    <row r="301" spans="1:16" x14ac:dyDescent="0.25">
      <c r="A301" s="38">
        <v>8504</v>
      </c>
      <c r="B301" s="38" t="s">
        <v>394</v>
      </c>
      <c r="C301" s="38" t="s">
        <v>430</v>
      </c>
      <c r="D301" s="38" t="s">
        <v>430</v>
      </c>
      <c r="G301" s="40">
        <v>263</v>
      </c>
      <c r="H301" s="40"/>
      <c r="I301" s="40"/>
      <c r="J301" s="40"/>
      <c r="L301" s="40">
        <f t="shared" si="11"/>
        <v>302</v>
      </c>
      <c r="M301" s="40"/>
      <c r="N301" s="40"/>
      <c r="O301" s="40"/>
      <c r="P301" s="146">
        <f t="shared" si="12"/>
        <v>210</v>
      </c>
    </row>
    <row r="302" spans="1:16" x14ac:dyDescent="0.25">
      <c r="A302" s="38">
        <v>8505</v>
      </c>
      <c r="B302" s="38" t="s">
        <v>394</v>
      </c>
      <c r="C302" s="38" t="s">
        <v>430</v>
      </c>
      <c r="D302" s="38" t="s">
        <v>430</v>
      </c>
      <c r="G302" s="40">
        <v>265</v>
      </c>
      <c r="H302" s="40"/>
      <c r="I302" s="40"/>
      <c r="J302" s="40"/>
      <c r="L302" s="40">
        <f t="shared" si="11"/>
        <v>305</v>
      </c>
      <c r="M302" s="40"/>
      <c r="N302" s="40"/>
      <c r="O302" s="40"/>
      <c r="P302" s="146">
        <f t="shared" si="12"/>
        <v>212</v>
      </c>
    </row>
    <row r="303" spans="1:16" x14ac:dyDescent="0.25">
      <c r="A303" s="38">
        <v>8506</v>
      </c>
      <c r="B303" s="38" t="s">
        <v>394</v>
      </c>
      <c r="C303" s="38" t="s">
        <v>430</v>
      </c>
      <c r="D303" s="38" t="s">
        <v>430</v>
      </c>
      <c r="G303" s="40">
        <v>319</v>
      </c>
      <c r="H303" s="40"/>
      <c r="I303" s="40"/>
      <c r="J303" s="40"/>
      <c r="L303" s="40">
        <f t="shared" si="11"/>
        <v>367</v>
      </c>
      <c r="M303" s="40"/>
      <c r="N303" s="40"/>
      <c r="O303" s="40"/>
      <c r="P303" s="146">
        <f t="shared" si="12"/>
        <v>255</v>
      </c>
    </row>
    <row r="304" spans="1:16" x14ac:dyDescent="0.25">
      <c r="A304" s="38">
        <v>8050</v>
      </c>
      <c r="B304" s="38" t="s">
        <v>394</v>
      </c>
      <c r="C304" s="38" t="s">
        <v>431</v>
      </c>
      <c r="D304" s="38" t="s">
        <v>432</v>
      </c>
      <c r="G304" s="40">
        <v>5</v>
      </c>
      <c r="H304" s="40"/>
      <c r="I304" s="40"/>
      <c r="J304" s="40"/>
      <c r="L304" s="40">
        <f t="shared" si="11"/>
        <v>6</v>
      </c>
      <c r="M304" s="40"/>
      <c r="N304" s="40"/>
      <c r="O304" s="40"/>
      <c r="P304" s="146">
        <f t="shared" si="12"/>
        <v>4</v>
      </c>
    </row>
    <row r="305" spans="1:16" x14ac:dyDescent="0.25">
      <c r="A305" s="38">
        <v>8051</v>
      </c>
      <c r="B305" s="38" t="s">
        <v>394</v>
      </c>
      <c r="C305" s="38" t="s">
        <v>431</v>
      </c>
      <c r="D305" s="38" t="s">
        <v>433</v>
      </c>
      <c r="G305" s="40">
        <v>5</v>
      </c>
      <c r="H305" s="40"/>
      <c r="I305" s="40"/>
      <c r="J305" s="40"/>
      <c r="L305" s="40">
        <f t="shared" si="11"/>
        <v>6</v>
      </c>
      <c r="M305" s="40"/>
      <c r="N305" s="40"/>
      <c r="O305" s="40"/>
      <c r="P305" s="146">
        <f t="shared" si="12"/>
        <v>4</v>
      </c>
    </row>
    <row r="306" spans="1:16" x14ac:dyDescent="0.25">
      <c r="A306" s="38">
        <v>8080</v>
      </c>
      <c r="B306" s="38" t="s">
        <v>394</v>
      </c>
      <c r="C306" s="38" t="s">
        <v>431</v>
      </c>
      <c r="D306" s="38" t="s">
        <v>434</v>
      </c>
      <c r="G306" s="40">
        <v>8</v>
      </c>
      <c r="H306" s="40"/>
      <c r="I306" s="40"/>
      <c r="J306" s="40"/>
      <c r="L306" s="40">
        <f t="shared" si="11"/>
        <v>9</v>
      </c>
      <c r="M306" s="40"/>
      <c r="N306" s="40"/>
      <c r="O306" s="40"/>
      <c r="P306" s="146">
        <f t="shared" si="12"/>
        <v>6</v>
      </c>
    </row>
    <row r="307" spans="1:16" x14ac:dyDescent="0.25">
      <c r="A307" s="38">
        <v>8081</v>
      </c>
      <c r="B307" s="38" t="s">
        <v>394</v>
      </c>
      <c r="C307" s="38" t="s">
        <v>431</v>
      </c>
      <c r="D307" s="38" t="s">
        <v>435</v>
      </c>
      <c r="G307" s="40">
        <v>6</v>
      </c>
      <c r="H307" s="40"/>
      <c r="I307" s="40"/>
      <c r="J307" s="40"/>
      <c r="L307" s="40">
        <f t="shared" si="11"/>
        <v>7</v>
      </c>
      <c r="M307" s="40"/>
      <c r="N307" s="40"/>
      <c r="O307" s="40"/>
      <c r="P307" s="146">
        <f t="shared" si="12"/>
        <v>5</v>
      </c>
    </row>
    <row r="308" spans="1:16" x14ac:dyDescent="0.25">
      <c r="A308" s="38">
        <v>8152</v>
      </c>
      <c r="B308" s="38" t="s">
        <v>394</v>
      </c>
      <c r="C308" s="38" t="s">
        <v>431</v>
      </c>
      <c r="D308" s="38" t="s">
        <v>436</v>
      </c>
      <c r="G308" s="40">
        <v>70</v>
      </c>
      <c r="H308" s="40"/>
      <c r="I308" s="40"/>
      <c r="J308" s="40"/>
      <c r="L308" s="40">
        <f t="shared" si="11"/>
        <v>81</v>
      </c>
      <c r="M308" s="40"/>
      <c r="N308" s="40"/>
      <c r="O308" s="40"/>
      <c r="P308" s="146">
        <f t="shared" si="12"/>
        <v>56</v>
      </c>
    </row>
    <row r="309" spans="1:16" x14ac:dyDescent="0.25">
      <c r="A309" s="38">
        <v>8411</v>
      </c>
      <c r="B309" s="38" t="s">
        <v>394</v>
      </c>
      <c r="C309" s="38" t="s">
        <v>437</v>
      </c>
      <c r="D309" s="38" t="s">
        <v>438</v>
      </c>
      <c r="G309" s="40">
        <v>500</v>
      </c>
      <c r="H309" s="40"/>
      <c r="I309" s="40"/>
      <c r="J309" s="40"/>
      <c r="L309" s="40">
        <f t="shared" si="11"/>
        <v>575</v>
      </c>
      <c r="M309" s="40"/>
      <c r="N309" s="40"/>
      <c r="O309" s="40"/>
      <c r="P309" s="146">
        <f t="shared" si="12"/>
        <v>400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45E3-CB2E-4159-8F76-EDA3B6744155}">
  <dimension ref="A1:L51"/>
  <sheetViews>
    <sheetView workbookViewId="0">
      <pane ySplit="4" topLeftCell="A5" activePane="bottomLeft" state="frozen"/>
      <selection pane="bottomLeft" activeCell="G13" sqref="G13"/>
    </sheetView>
  </sheetViews>
  <sheetFormatPr baseColWidth="10" defaultRowHeight="15" x14ac:dyDescent="0.25"/>
  <cols>
    <col min="1" max="1" width="64" customWidth="1"/>
    <col min="2" max="5" width="9.5703125" customWidth="1"/>
    <col min="6" max="7" width="16.140625" customWidth="1"/>
    <col min="8" max="8" width="15.28515625" customWidth="1"/>
    <col min="9" max="9" width="12.42578125" customWidth="1"/>
    <col min="10" max="12" width="14.28515625" customWidth="1"/>
  </cols>
  <sheetData>
    <row r="1" spans="1:12" ht="15.75" x14ac:dyDescent="0.25">
      <c r="A1" s="113" t="s">
        <v>484</v>
      </c>
    </row>
    <row r="2" spans="1:12" ht="18.75" x14ac:dyDescent="0.3">
      <c r="A2" s="63" t="s">
        <v>483</v>
      </c>
      <c r="B2" s="148">
        <f>Artmodul_Preislogik!T3</f>
        <v>1</v>
      </c>
    </row>
    <row r="3" spans="1:12" x14ac:dyDescent="0.25">
      <c r="A3" s="164" t="s">
        <v>485</v>
      </c>
    </row>
    <row r="5" spans="1:12" x14ac:dyDescent="0.25">
      <c r="A5" s="65" t="s">
        <v>486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ht="24" x14ac:dyDescent="0.25">
      <c r="A6" s="114" t="s">
        <v>2</v>
      </c>
      <c r="B6" s="114" t="s">
        <v>487</v>
      </c>
      <c r="C6" s="114" t="s">
        <v>459</v>
      </c>
      <c r="D6" s="114" t="s">
        <v>488</v>
      </c>
      <c r="E6" s="114" t="s">
        <v>489</v>
      </c>
      <c r="F6" s="114" t="s">
        <v>480</v>
      </c>
      <c r="G6" s="114" t="s">
        <v>467</v>
      </c>
      <c r="H6" s="114" t="s">
        <v>460</v>
      </c>
      <c r="I6" s="114" t="s">
        <v>461</v>
      </c>
      <c r="J6" s="114" t="s">
        <v>490</v>
      </c>
      <c r="K6" s="114" t="s">
        <v>491</v>
      </c>
      <c r="L6" s="114" t="s">
        <v>481</v>
      </c>
    </row>
    <row r="7" spans="1:12" x14ac:dyDescent="0.25">
      <c r="A7" s="149" t="s">
        <v>11</v>
      </c>
      <c r="B7" s="119">
        <v>420</v>
      </c>
      <c r="C7" s="119">
        <v>395</v>
      </c>
      <c r="D7" s="119">
        <v>180</v>
      </c>
      <c r="E7" s="119">
        <v>175</v>
      </c>
      <c r="F7" s="117">
        <f>Preismodell_Artmodul_v2!D5</f>
        <v>426.02</v>
      </c>
      <c r="G7" s="117">
        <f>Preismodell_USM!E7</f>
        <v>422.32</v>
      </c>
      <c r="H7" s="117">
        <f>F7-G7</f>
        <v>3.6999999999999886</v>
      </c>
      <c r="I7" s="118">
        <f>H7/G7</f>
        <v>8.7611290017048423E-3</v>
      </c>
      <c r="J7" s="119" t="str">
        <f>IF(F7&lt;G7,"✅ JA","❌ NEIN")</f>
        <v>❌ NEIN</v>
      </c>
      <c r="K7" s="117">
        <f>F7/1.19</f>
        <v>358</v>
      </c>
      <c r="L7" s="117">
        <f>F7-K7</f>
        <v>68.019999999999982</v>
      </c>
    </row>
    <row r="8" spans="1:12" x14ac:dyDescent="0.25">
      <c r="A8" s="150"/>
      <c r="B8" s="151">
        <v>580</v>
      </c>
      <c r="C8" s="151">
        <v>500</v>
      </c>
      <c r="D8" s="151">
        <v>180</v>
      </c>
      <c r="E8" s="151">
        <v>175</v>
      </c>
      <c r="F8" s="152">
        <f>Preismodell_Artmodul_v2!D6</f>
        <v>456.96</v>
      </c>
      <c r="G8" s="152">
        <f>Preismodell_USM!E8</f>
        <v>439.48</v>
      </c>
      <c r="H8" s="152">
        <f>F8-G8</f>
        <v>17.479999999999961</v>
      </c>
      <c r="I8" s="153">
        <f>H8/G8</f>
        <v>3.9774278693000729E-2</v>
      </c>
      <c r="J8" s="151" t="str">
        <f>IF(F8&lt;G8,"✅ JA","❌ NEIN")</f>
        <v>❌ NEIN</v>
      </c>
      <c r="K8" s="152">
        <f>F8/1.19</f>
        <v>384</v>
      </c>
      <c r="L8" s="152">
        <f>F8-K8</f>
        <v>72.95999999999998</v>
      </c>
    </row>
    <row r="9" spans="1:12" x14ac:dyDescent="0.25">
      <c r="A9" s="150"/>
      <c r="B9" s="154">
        <v>780</v>
      </c>
      <c r="C9" s="154">
        <v>750</v>
      </c>
      <c r="D9" s="154">
        <v>180</v>
      </c>
      <c r="E9" s="154">
        <v>175</v>
      </c>
      <c r="F9" s="155">
        <f>Preismodell_Artmodul_v2!D7</f>
        <v>502.17999999999995</v>
      </c>
      <c r="G9" s="155">
        <f>Preismodell_USM!E9</f>
        <v>480.35</v>
      </c>
      <c r="H9" s="155">
        <f>F9-G9</f>
        <v>21.829999999999927</v>
      </c>
      <c r="I9" s="156">
        <f>H9/G9</f>
        <v>4.5446028937233117E-2</v>
      </c>
      <c r="J9" s="154" t="str">
        <f>IF(F9&lt;G9,"✅ JA","❌ NEIN")</f>
        <v>❌ NEIN</v>
      </c>
      <c r="K9" s="155">
        <f>F9/1.19</f>
        <v>422</v>
      </c>
      <c r="L9" s="155">
        <f>F9-K9</f>
        <v>80.17999999999995</v>
      </c>
    </row>
    <row r="10" spans="1:12" x14ac:dyDescent="0.25">
      <c r="A10" s="150"/>
      <c r="B10" s="151">
        <v>420</v>
      </c>
      <c r="C10" s="151">
        <v>395</v>
      </c>
      <c r="D10" s="151">
        <v>360</v>
      </c>
      <c r="E10" s="151">
        <v>350</v>
      </c>
      <c r="F10" s="152">
        <f>Preismodell_Artmodul_v2!E5</f>
        <v>426.02</v>
      </c>
      <c r="G10" s="152">
        <f>Preismodell_USM!G7</f>
        <v>452.83</v>
      </c>
      <c r="H10" s="152">
        <f>F10-G10</f>
        <v>-26.810000000000002</v>
      </c>
      <c r="I10" s="153">
        <f>H10/G10</f>
        <v>-5.9205441335600566E-2</v>
      </c>
      <c r="J10" s="151" t="str">
        <f>IF(F10&lt;G10,"✅ JA","❌ NEIN")</f>
        <v>✅ JA</v>
      </c>
      <c r="K10" s="152">
        <f>F10/1.19</f>
        <v>358</v>
      </c>
      <c r="L10" s="152">
        <f>F10-K10</f>
        <v>68.019999999999982</v>
      </c>
    </row>
    <row r="11" spans="1:12" x14ac:dyDescent="0.25">
      <c r="A11" s="150"/>
      <c r="B11" s="154">
        <v>580</v>
      </c>
      <c r="C11" s="154">
        <v>500</v>
      </c>
      <c r="D11" s="154">
        <v>360</v>
      </c>
      <c r="E11" s="154">
        <v>350</v>
      </c>
      <c r="F11" s="155">
        <f>Preismodell_Artmodul_v2!E6</f>
        <v>456.96</v>
      </c>
      <c r="G11" s="155">
        <f>Preismodell_USM!G8</f>
        <v>469.99</v>
      </c>
      <c r="H11" s="155">
        <f>F11-G11</f>
        <v>-13.03000000000003</v>
      </c>
      <c r="I11" s="156">
        <f>H11/G11</f>
        <v>-2.7723994127534689E-2</v>
      </c>
      <c r="J11" s="154" t="str">
        <f>IF(F11&lt;G11,"✅ JA","❌ NEIN")</f>
        <v>✅ JA</v>
      </c>
      <c r="K11" s="155">
        <f>F11/1.19</f>
        <v>384</v>
      </c>
      <c r="L11" s="155">
        <f>F11-K11</f>
        <v>72.95999999999998</v>
      </c>
    </row>
    <row r="12" spans="1:12" x14ac:dyDescent="0.25">
      <c r="A12" s="150"/>
      <c r="B12" s="151">
        <v>780</v>
      </c>
      <c r="C12" s="151">
        <v>750</v>
      </c>
      <c r="D12" s="151">
        <v>360</v>
      </c>
      <c r="E12" s="151">
        <v>350</v>
      </c>
      <c r="F12" s="152">
        <f>Preismodell_Artmodul_v2!E7</f>
        <v>502.17999999999995</v>
      </c>
      <c r="G12" s="152">
        <f>Preismodell_USM!G9</f>
        <v>510.86</v>
      </c>
      <c r="H12" s="152">
        <f>F12-G12</f>
        <v>-8.6800000000000637</v>
      </c>
      <c r="I12" s="153">
        <f>H12/G12</f>
        <v>-1.6990956426418322E-2</v>
      </c>
      <c r="J12" s="151" t="str">
        <f>IF(F12&lt;G12,"✅ JA","❌ NEIN")</f>
        <v>✅ JA</v>
      </c>
      <c r="K12" s="152">
        <f>F12/1.19</f>
        <v>422</v>
      </c>
      <c r="L12" s="152">
        <f>F12-K12</f>
        <v>80.17999999999995</v>
      </c>
    </row>
    <row r="13" spans="1:12" x14ac:dyDescent="0.25">
      <c r="A13" s="157" t="s">
        <v>12</v>
      </c>
      <c r="B13" s="154">
        <v>420</v>
      </c>
      <c r="C13" s="154">
        <v>395</v>
      </c>
      <c r="D13" s="154">
        <v>360</v>
      </c>
      <c r="E13" s="154">
        <v>350</v>
      </c>
      <c r="F13" s="155">
        <f>Preismodell_Artmodul_v2!E10</f>
        <v>603.32999999999993</v>
      </c>
      <c r="G13" s="155">
        <f>Preismodell_USM!G13</f>
        <v>673.36</v>
      </c>
      <c r="H13" s="155">
        <f>F13-G13</f>
        <v>-70.030000000000086</v>
      </c>
      <c r="I13" s="156">
        <f>H13/G13</f>
        <v>-0.1040008316502318</v>
      </c>
      <c r="J13" s="154" t="str">
        <f>IF(F13&lt;G13,"✅ JA","❌ NEIN")</f>
        <v>✅ JA</v>
      </c>
      <c r="K13" s="155">
        <f>F13/1.19</f>
        <v>506.99999999999994</v>
      </c>
      <c r="L13" s="155">
        <f>F13-K13</f>
        <v>96.329999999999984</v>
      </c>
    </row>
    <row r="14" spans="1:12" x14ac:dyDescent="0.25">
      <c r="A14" s="158"/>
      <c r="B14" s="151">
        <v>580</v>
      </c>
      <c r="C14" s="151">
        <v>500</v>
      </c>
      <c r="D14" s="151">
        <v>360</v>
      </c>
      <c r="E14" s="151">
        <v>350</v>
      </c>
      <c r="F14" s="152">
        <f>Preismodell_Artmodul_v2!E11</f>
        <v>649.74</v>
      </c>
      <c r="G14" s="152">
        <f>Preismodell_USM!G14</f>
        <v>690.52</v>
      </c>
      <c r="H14" s="152">
        <f>F14-G14</f>
        <v>-40.779999999999973</v>
      </c>
      <c r="I14" s="153">
        <f>H14/G14</f>
        <v>-5.9056942593987104E-2</v>
      </c>
      <c r="J14" s="151" t="str">
        <f>IF(F14&lt;G14,"✅ JA","❌ NEIN")</f>
        <v>✅ JA</v>
      </c>
      <c r="K14" s="152">
        <f>F14/1.19</f>
        <v>546</v>
      </c>
      <c r="L14" s="152">
        <f>F14-K14</f>
        <v>103.74000000000001</v>
      </c>
    </row>
    <row r="15" spans="1:12" x14ac:dyDescent="0.25">
      <c r="A15" s="158"/>
      <c r="B15" s="154">
        <v>780</v>
      </c>
      <c r="C15" s="154">
        <v>750</v>
      </c>
      <c r="D15" s="154">
        <v>360</v>
      </c>
      <c r="E15" s="154">
        <v>350</v>
      </c>
      <c r="F15" s="155">
        <f>Preismodell_Artmodul_v2!E12</f>
        <v>709.24</v>
      </c>
      <c r="G15" s="155">
        <f>Preismodell_USM!G15</f>
        <v>731.39</v>
      </c>
      <c r="H15" s="155">
        <f>F15-G15</f>
        <v>-22.149999999999977</v>
      </c>
      <c r="I15" s="156">
        <f>H15/G15</f>
        <v>-3.0284800175009199E-2</v>
      </c>
      <c r="J15" s="154" t="str">
        <f>IF(F15&lt;G15,"✅ JA","❌ NEIN")</f>
        <v>✅ JA</v>
      </c>
      <c r="K15" s="155">
        <f>F15/1.19</f>
        <v>596</v>
      </c>
      <c r="L15" s="155">
        <f>F15-K15</f>
        <v>113.24000000000001</v>
      </c>
    </row>
    <row r="16" spans="1:12" x14ac:dyDescent="0.25">
      <c r="A16" s="159" t="s">
        <v>14</v>
      </c>
      <c r="B16" s="151">
        <v>580</v>
      </c>
      <c r="C16" s="151">
        <v>500</v>
      </c>
      <c r="D16" s="151">
        <v>180</v>
      </c>
      <c r="E16" s="151">
        <v>175</v>
      </c>
      <c r="F16" s="152">
        <f>Preismodell_Artmodul_v2!D21</f>
        <v>775.88</v>
      </c>
      <c r="G16" s="152">
        <f>Preismodell_USM!E26</f>
        <v>787.6</v>
      </c>
      <c r="H16" s="152">
        <f>F16-G16</f>
        <v>-11.720000000000027</v>
      </c>
      <c r="I16" s="153">
        <f>H16/G16</f>
        <v>-1.4880650076180836E-2</v>
      </c>
      <c r="J16" s="151" t="str">
        <f>IF(F16&lt;G16,"✅ JA","❌ NEIN")</f>
        <v>✅ JA</v>
      </c>
      <c r="K16" s="152">
        <f>F16/1.19</f>
        <v>652</v>
      </c>
      <c r="L16" s="152">
        <f>F16-K16</f>
        <v>123.88</v>
      </c>
    </row>
    <row r="17" spans="1:12" x14ac:dyDescent="0.25">
      <c r="A17" s="160"/>
      <c r="B17" s="154">
        <v>780</v>
      </c>
      <c r="C17" s="154">
        <v>750</v>
      </c>
      <c r="D17" s="154">
        <v>180</v>
      </c>
      <c r="E17" s="154">
        <v>175</v>
      </c>
      <c r="F17" s="155">
        <f>Preismodell_Artmodul_v2!D22</f>
        <v>833</v>
      </c>
      <c r="G17" s="155">
        <f>Preismodell_USM!E27</f>
        <v>874.27</v>
      </c>
      <c r="H17" s="155">
        <f>F17-G17</f>
        <v>-41.269999999999982</v>
      </c>
      <c r="I17" s="156">
        <f>H17/G17</f>
        <v>-4.7205096823635696E-2</v>
      </c>
      <c r="J17" s="154" t="str">
        <f>IF(F17&lt;G17,"✅ JA","❌ NEIN")</f>
        <v>✅ JA</v>
      </c>
      <c r="K17" s="155">
        <f>F17/1.19</f>
        <v>700</v>
      </c>
      <c r="L17" s="155">
        <f>F17-K17</f>
        <v>133</v>
      </c>
    </row>
    <row r="18" spans="1:12" x14ac:dyDescent="0.25">
      <c r="A18" s="160"/>
      <c r="B18" s="151">
        <v>420</v>
      </c>
      <c r="C18" s="151">
        <v>395</v>
      </c>
      <c r="D18" s="151">
        <v>360</v>
      </c>
      <c r="E18" s="151">
        <v>350</v>
      </c>
      <c r="F18" s="152">
        <f>Preismodell_Artmodul_v2!E20</f>
        <v>803.25</v>
      </c>
      <c r="G18" s="152">
        <f>Preismodell_USM!G25</f>
        <v>840.8</v>
      </c>
      <c r="H18" s="152">
        <f>F18-G18</f>
        <v>-37.549999999999955</v>
      </c>
      <c r="I18" s="153">
        <f>H18/G18</f>
        <v>-4.46598477640342E-2</v>
      </c>
      <c r="J18" s="151" t="str">
        <f>IF(F18&lt;G18,"✅ JA","❌ NEIN")</f>
        <v>✅ JA</v>
      </c>
      <c r="K18" s="152">
        <f>F18/1.19</f>
        <v>675</v>
      </c>
      <c r="L18" s="152">
        <f>F18-K18</f>
        <v>128.25</v>
      </c>
    </row>
    <row r="19" spans="1:12" x14ac:dyDescent="0.25">
      <c r="A19" s="160"/>
      <c r="B19" s="154">
        <v>580</v>
      </c>
      <c r="C19" s="154">
        <v>500</v>
      </c>
      <c r="D19" s="154">
        <v>360</v>
      </c>
      <c r="E19" s="154">
        <v>350</v>
      </c>
      <c r="F19" s="155">
        <f>Preismodell_Artmodul_v2!E21</f>
        <v>835.38</v>
      </c>
      <c r="G19" s="155">
        <f>Preismodell_USM!G26</f>
        <v>857.96</v>
      </c>
      <c r="H19" s="155">
        <f>F19-G19</f>
        <v>-22.580000000000041</v>
      </c>
      <c r="I19" s="156">
        <f>H19/G19</f>
        <v>-2.6318243274744791E-2</v>
      </c>
      <c r="J19" s="154" t="str">
        <f>IF(F19&lt;G19,"✅ JA","❌ NEIN")</f>
        <v>✅ JA</v>
      </c>
      <c r="K19" s="155">
        <f>F19/1.19</f>
        <v>702</v>
      </c>
      <c r="L19" s="155">
        <f>F19-K19</f>
        <v>133.38</v>
      </c>
    </row>
    <row r="20" spans="1:12" ht="15.75" thickBot="1" x14ac:dyDescent="0.3">
      <c r="A20" s="160"/>
      <c r="B20" s="151">
        <v>780</v>
      </c>
      <c r="C20" s="151">
        <v>750</v>
      </c>
      <c r="D20" s="151">
        <v>360</v>
      </c>
      <c r="E20" s="151">
        <v>350</v>
      </c>
      <c r="F20" s="152">
        <f>Preismodell_Artmodul_v2!E22</f>
        <v>882.9799999999999</v>
      </c>
      <c r="G20" s="152">
        <f>Preismodell_USM!G27</f>
        <v>898.83</v>
      </c>
      <c r="H20" s="152">
        <f>F20-G20</f>
        <v>-15.850000000000136</v>
      </c>
      <c r="I20" s="153">
        <f>H20/G20</f>
        <v>-1.7634035357075459E-2</v>
      </c>
      <c r="J20" s="151" t="str">
        <f>IF(F20&lt;G20,"✅ JA","❌ NEIN")</f>
        <v>✅ JA</v>
      </c>
      <c r="K20" s="152">
        <f>F20/1.19</f>
        <v>742</v>
      </c>
      <c r="L20" s="152">
        <f>F20-K20</f>
        <v>140.9799999999999</v>
      </c>
    </row>
    <row r="21" spans="1:12" x14ac:dyDescent="0.25">
      <c r="A21" s="122" t="s">
        <v>462</v>
      </c>
      <c r="B21" s="123"/>
      <c r="C21" s="123"/>
      <c r="D21" s="123"/>
      <c r="E21" s="123"/>
      <c r="F21" s="124">
        <f>AVERAGE(F7:F20)</f>
        <v>633.07999999999993</v>
      </c>
      <c r="G21" s="124">
        <f>AVERAGE(G7:G20)</f>
        <v>652.18285714285719</v>
      </c>
      <c r="H21" s="124">
        <f>AVERAGE(H7:H20)</f>
        <v>-19.102857142857172</v>
      </c>
      <c r="I21" s="161">
        <f>AVERAGE(I7:I20)</f>
        <v>-2.5284243069465286E-2</v>
      </c>
      <c r="J21" s="123"/>
      <c r="K21" s="124">
        <f>AVERAGE(K7:K20)</f>
        <v>532</v>
      </c>
      <c r="L21" s="124">
        <f>AVERAGE(L7:L20)</f>
        <v>101.08</v>
      </c>
    </row>
    <row r="23" spans="1:12" x14ac:dyDescent="0.25">
      <c r="A23" s="65" t="s">
        <v>492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</row>
    <row r="24" spans="1:12" ht="24" x14ac:dyDescent="0.25">
      <c r="A24" s="114" t="s">
        <v>2</v>
      </c>
      <c r="B24" s="114" t="s">
        <v>487</v>
      </c>
      <c r="C24" s="114" t="s">
        <v>459</v>
      </c>
      <c r="D24" s="114" t="s">
        <v>488</v>
      </c>
      <c r="E24" s="114" t="s">
        <v>489</v>
      </c>
      <c r="F24" s="114" t="s">
        <v>480</v>
      </c>
      <c r="G24" s="114" t="s">
        <v>467</v>
      </c>
      <c r="H24" s="114" t="s">
        <v>460</v>
      </c>
      <c r="I24" s="114" t="s">
        <v>461</v>
      </c>
      <c r="J24" s="114" t="s">
        <v>490</v>
      </c>
      <c r="K24" s="114" t="s">
        <v>491</v>
      </c>
      <c r="L24" s="114" t="s">
        <v>481</v>
      </c>
    </row>
    <row r="25" spans="1:12" x14ac:dyDescent="0.25">
      <c r="A25" s="149" t="s">
        <v>11</v>
      </c>
      <c r="B25" s="119">
        <v>420</v>
      </c>
      <c r="C25" s="119">
        <v>395</v>
      </c>
      <c r="D25" s="119">
        <v>180</v>
      </c>
      <c r="E25" s="119">
        <v>175</v>
      </c>
      <c r="F25" s="117">
        <f>Preismodell_Artmodul_v2!D28</f>
        <v>476</v>
      </c>
      <c r="G25" s="117">
        <f>Preismodell_USM!E34</f>
        <v>459.56</v>
      </c>
      <c r="H25" s="117">
        <f>F25-G25</f>
        <v>16.439999999999998</v>
      </c>
      <c r="I25" s="118">
        <f>H25/G25</f>
        <v>3.5773348420228036E-2</v>
      </c>
      <c r="J25" s="119" t="str">
        <f>IF(F25&lt;G25,"✅ JA","❌ NEIN")</f>
        <v>❌ NEIN</v>
      </c>
      <c r="K25" s="117">
        <f>F25/1.19</f>
        <v>400</v>
      </c>
      <c r="L25" s="117">
        <f>F25-K25</f>
        <v>76</v>
      </c>
    </row>
    <row r="26" spans="1:12" x14ac:dyDescent="0.25">
      <c r="A26" s="150"/>
      <c r="B26" s="151">
        <v>580</v>
      </c>
      <c r="C26" s="151">
        <v>500</v>
      </c>
      <c r="D26" s="151">
        <v>180</v>
      </c>
      <c r="E26" s="151">
        <v>175</v>
      </c>
      <c r="F26" s="152">
        <f>Preismodell_Artmodul_v2!D29</f>
        <v>523.6</v>
      </c>
      <c r="G26" s="152">
        <f>Preismodell_USM!E35</f>
        <v>476.72</v>
      </c>
      <c r="H26" s="152">
        <f>F26-G26</f>
        <v>46.879999999999995</v>
      </c>
      <c r="I26" s="153">
        <f>H26/G26</f>
        <v>9.8338647424064424E-2</v>
      </c>
      <c r="J26" s="151" t="str">
        <f>IF(F26&lt;G26,"✅ JA","❌ NEIN")</f>
        <v>❌ NEIN</v>
      </c>
      <c r="K26" s="152">
        <f>F26/1.19</f>
        <v>440.00000000000006</v>
      </c>
      <c r="L26" s="152">
        <f>F26-K26</f>
        <v>83.599999999999966</v>
      </c>
    </row>
    <row r="27" spans="1:12" x14ac:dyDescent="0.25">
      <c r="A27" s="150"/>
      <c r="B27" s="154">
        <v>780</v>
      </c>
      <c r="C27" s="154">
        <v>750</v>
      </c>
      <c r="D27" s="154">
        <v>180</v>
      </c>
      <c r="E27" s="154">
        <v>175</v>
      </c>
      <c r="F27" s="155">
        <f>Preismodell_Artmodul_v2!D30</f>
        <v>580.72</v>
      </c>
      <c r="G27" s="155">
        <f>Preismodell_USM!E36</f>
        <v>517.59</v>
      </c>
      <c r="H27" s="155">
        <f>F27-G27</f>
        <v>63.129999999999995</v>
      </c>
      <c r="I27" s="156">
        <f>H27/G27</f>
        <v>0.12196912614231339</v>
      </c>
      <c r="J27" s="154" t="str">
        <f>IF(F27&lt;G27,"✅ JA","❌ NEIN")</f>
        <v>❌ NEIN</v>
      </c>
      <c r="K27" s="155">
        <f>F27/1.19</f>
        <v>488.00000000000006</v>
      </c>
      <c r="L27" s="155">
        <f>F27-K27</f>
        <v>92.71999999999997</v>
      </c>
    </row>
    <row r="28" spans="1:12" x14ac:dyDescent="0.25">
      <c r="A28" s="150"/>
      <c r="B28" s="151">
        <v>420</v>
      </c>
      <c r="C28" s="151">
        <v>395</v>
      </c>
      <c r="D28" s="151">
        <v>360</v>
      </c>
      <c r="E28" s="151">
        <v>350</v>
      </c>
      <c r="F28" s="152">
        <f>Preismodell_Artmodul_v2!E28</f>
        <v>476</v>
      </c>
      <c r="G28" s="152">
        <f>Preismodell_USM!G34</f>
        <v>490.07</v>
      </c>
      <c r="H28" s="152">
        <f>F28-G28</f>
        <v>-14.069999999999993</v>
      </c>
      <c r="I28" s="153">
        <f>H28/G28</f>
        <v>-2.8710184259391501E-2</v>
      </c>
      <c r="J28" s="151" t="str">
        <f>IF(F28&lt;G28,"✅ JA","❌ NEIN")</f>
        <v>✅ JA</v>
      </c>
      <c r="K28" s="152">
        <f>F28/1.19</f>
        <v>400</v>
      </c>
      <c r="L28" s="152">
        <f>F28-K28</f>
        <v>76</v>
      </c>
    </row>
    <row r="29" spans="1:12" x14ac:dyDescent="0.25">
      <c r="A29" s="150"/>
      <c r="B29" s="154">
        <v>580</v>
      </c>
      <c r="C29" s="154">
        <v>500</v>
      </c>
      <c r="D29" s="154">
        <v>360</v>
      </c>
      <c r="E29" s="154">
        <v>350</v>
      </c>
      <c r="F29" s="155">
        <f>Preismodell_Artmodul_v2!E29</f>
        <v>523.6</v>
      </c>
      <c r="G29" s="155">
        <f>Preismodell_USM!G35</f>
        <v>507.23</v>
      </c>
      <c r="H29" s="155">
        <f>F29-G29</f>
        <v>16.370000000000005</v>
      </c>
      <c r="I29" s="156">
        <f>H29/G29</f>
        <v>3.2273327681722301E-2</v>
      </c>
      <c r="J29" s="154" t="str">
        <f>IF(F29&lt;G29,"✅ JA","❌ NEIN")</f>
        <v>❌ NEIN</v>
      </c>
      <c r="K29" s="155">
        <f>F29/1.19</f>
        <v>440.00000000000006</v>
      </c>
      <c r="L29" s="155">
        <f>F29-K29</f>
        <v>83.599999999999966</v>
      </c>
    </row>
    <row r="30" spans="1:12" x14ac:dyDescent="0.25">
      <c r="A30" s="150"/>
      <c r="B30" s="151">
        <v>780</v>
      </c>
      <c r="C30" s="151">
        <v>750</v>
      </c>
      <c r="D30" s="151">
        <v>360</v>
      </c>
      <c r="E30" s="151">
        <v>350</v>
      </c>
      <c r="F30" s="152">
        <f>Preismodell_Artmodul_v2!E30</f>
        <v>580.72</v>
      </c>
      <c r="G30" s="152">
        <f>Preismodell_USM!G36</f>
        <v>548.1</v>
      </c>
      <c r="H30" s="152">
        <f>F30-G30</f>
        <v>32.620000000000005</v>
      </c>
      <c r="I30" s="153">
        <f>H30/G30</f>
        <v>5.9514687100894005E-2</v>
      </c>
      <c r="J30" s="151" t="str">
        <f>IF(F30&lt;G30,"✅ JA","❌ NEIN")</f>
        <v>❌ NEIN</v>
      </c>
      <c r="K30" s="152">
        <f>F30/1.19</f>
        <v>488.00000000000006</v>
      </c>
      <c r="L30" s="152">
        <f>F30-K30</f>
        <v>92.71999999999997</v>
      </c>
    </row>
    <row r="31" spans="1:12" x14ac:dyDescent="0.25">
      <c r="A31" s="157" t="s">
        <v>12</v>
      </c>
      <c r="B31" s="154">
        <v>420</v>
      </c>
      <c r="C31" s="154">
        <v>395</v>
      </c>
      <c r="D31" s="154">
        <v>180</v>
      </c>
      <c r="E31" s="154">
        <v>175</v>
      </c>
      <c r="F31" s="155">
        <f>Preismodell_Artmodul_v2!D33</f>
        <v>653.30999999999995</v>
      </c>
      <c r="G31" s="155">
        <f>Preismodell_USM!E40</f>
        <v>680.09</v>
      </c>
      <c r="H31" s="155">
        <f>F31-G31</f>
        <v>-26.780000000000086</v>
      </c>
      <c r="I31" s="156">
        <f>H31/G31</f>
        <v>-3.937714126071562E-2</v>
      </c>
      <c r="J31" s="154" t="str">
        <f>IF(F31&lt;G31,"✅ JA","❌ NEIN")</f>
        <v>✅ JA</v>
      </c>
      <c r="K31" s="155">
        <f>F31/1.19</f>
        <v>549</v>
      </c>
      <c r="L31" s="155">
        <f>F31-K31</f>
        <v>104.30999999999995</v>
      </c>
    </row>
    <row r="32" spans="1:12" x14ac:dyDescent="0.25">
      <c r="A32" s="158"/>
      <c r="B32" s="151">
        <v>580</v>
      </c>
      <c r="C32" s="151">
        <v>500</v>
      </c>
      <c r="D32" s="151">
        <v>180</v>
      </c>
      <c r="E32" s="151">
        <v>175</v>
      </c>
      <c r="F32" s="152">
        <f>Preismodell_Artmodul_v2!D34</f>
        <v>716.38</v>
      </c>
      <c r="G32" s="152">
        <f>Preismodell_USM!E41</f>
        <v>697.25</v>
      </c>
      <c r="H32" s="152">
        <f>F32-G32</f>
        <v>19.129999999999995</v>
      </c>
      <c r="I32" s="153">
        <f>H32/G32</f>
        <v>2.7436357117246318E-2</v>
      </c>
      <c r="J32" s="151" t="str">
        <f>IF(F32&lt;G32,"✅ JA","❌ NEIN")</f>
        <v>❌ NEIN</v>
      </c>
      <c r="K32" s="152">
        <f>F32/1.19</f>
        <v>602</v>
      </c>
      <c r="L32" s="152">
        <f>F32-K32</f>
        <v>114.38</v>
      </c>
    </row>
    <row r="33" spans="1:12" x14ac:dyDescent="0.25">
      <c r="A33" s="158"/>
      <c r="B33" s="154">
        <v>780</v>
      </c>
      <c r="C33" s="154">
        <v>750</v>
      </c>
      <c r="D33" s="154">
        <v>180</v>
      </c>
      <c r="E33" s="154">
        <v>175</v>
      </c>
      <c r="F33" s="155">
        <f>Preismodell_Artmodul_v2!D35</f>
        <v>787.78</v>
      </c>
      <c r="G33" s="155">
        <f>Preismodell_USM!E42</f>
        <v>738.12</v>
      </c>
      <c r="H33" s="155">
        <f>F33-G33</f>
        <v>49.659999999999968</v>
      </c>
      <c r="I33" s="156">
        <f>H33/G33</f>
        <v>6.727903321953066E-2</v>
      </c>
      <c r="J33" s="154" t="str">
        <f>IF(F33&lt;G33,"✅ JA","❌ NEIN")</f>
        <v>❌ NEIN</v>
      </c>
      <c r="K33" s="155">
        <f>F33/1.19</f>
        <v>662</v>
      </c>
      <c r="L33" s="155">
        <f>F33-K33</f>
        <v>125.77999999999997</v>
      </c>
    </row>
    <row r="34" spans="1:12" x14ac:dyDescent="0.25">
      <c r="A34" s="158"/>
      <c r="B34" s="151">
        <v>420</v>
      </c>
      <c r="C34" s="151">
        <v>395</v>
      </c>
      <c r="D34" s="151">
        <v>360</v>
      </c>
      <c r="E34" s="151">
        <v>350</v>
      </c>
      <c r="F34" s="152">
        <f>Preismodell_Artmodul_v2!E33</f>
        <v>653.30999999999995</v>
      </c>
      <c r="G34" s="152">
        <f>Preismodell_USM!G40</f>
        <v>710.6</v>
      </c>
      <c r="H34" s="152">
        <f>F34-G34</f>
        <v>-57.290000000000077</v>
      </c>
      <c r="I34" s="153">
        <f>H34/G34</f>
        <v>-8.0622009569378095E-2</v>
      </c>
      <c r="J34" s="151" t="str">
        <f>IF(F34&lt;G34,"✅ JA","❌ NEIN")</f>
        <v>✅ JA</v>
      </c>
      <c r="K34" s="152">
        <f>F34/1.19</f>
        <v>549</v>
      </c>
      <c r="L34" s="152">
        <f>F34-K34</f>
        <v>104.30999999999995</v>
      </c>
    </row>
    <row r="35" spans="1:12" x14ac:dyDescent="0.25">
      <c r="A35" s="158"/>
      <c r="B35" s="154">
        <v>580</v>
      </c>
      <c r="C35" s="154">
        <v>500</v>
      </c>
      <c r="D35" s="154">
        <v>360</v>
      </c>
      <c r="E35" s="154">
        <v>350</v>
      </c>
      <c r="F35" s="155">
        <f>Preismodell_Artmodul_v2!E34</f>
        <v>716.38</v>
      </c>
      <c r="G35" s="155">
        <f>Preismodell_USM!G41</f>
        <v>727.76</v>
      </c>
      <c r="H35" s="155">
        <f>F35-G35</f>
        <v>-11.379999999999995</v>
      </c>
      <c r="I35" s="156">
        <f>H35/G35</f>
        <v>-1.5637023194459705E-2</v>
      </c>
      <c r="J35" s="154" t="str">
        <f>IF(F35&lt;G35,"✅ JA","❌ NEIN")</f>
        <v>✅ JA</v>
      </c>
      <c r="K35" s="155">
        <f>F35/1.19</f>
        <v>602</v>
      </c>
      <c r="L35" s="155">
        <f>F35-K35</f>
        <v>114.38</v>
      </c>
    </row>
    <row r="36" spans="1:12" x14ac:dyDescent="0.25">
      <c r="A36" s="158"/>
      <c r="B36" s="151">
        <v>780</v>
      </c>
      <c r="C36" s="151">
        <v>750</v>
      </c>
      <c r="D36" s="151">
        <v>360</v>
      </c>
      <c r="E36" s="151">
        <v>350</v>
      </c>
      <c r="F36" s="152">
        <f>Preismodell_Artmodul_v2!E35</f>
        <v>787.78</v>
      </c>
      <c r="G36" s="152">
        <f>Preismodell_USM!G42</f>
        <v>768.63</v>
      </c>
      <c r="H36" s="152">
        <f>F36-G36</f>
        <v>19.149999999999977</v>
      </c>
      <c r="I36" s="153">
        <f>H36/G36</f>
        <v>2.4914458191847805E-2</v>
      </c>
      <c r="J36" s="151" t="str">
        <f>IF(F36&lt;G36,"✅ JA","❌ NEIN")</f>
        <v>❌ NEIN</v>
      </c>
      <c r="K36" s="152">
        <f>F36/1.19</f>
        <v>662</v>
      </c>
      <c r="L36" s="152">
        <f>F36-K36</f>
        <v>125.77999999999997</v>
      </c>
    </row>
    <row r="37" spans="1:12" x14ac:dyDescent="0.25">
      <c r="A37" s="159" t="s">
        <v>14</v>
      </c>
      <c r="B37" s="154">
        <v>420</v>
      </c>
      <c r="C37" s="154">
        <v>395</v>
      </c>
      <c r="D37" s="154">
        <v>180</v>
      </c>
      <c r="E37" s="154">
        <v>175</v>
      </c>
      <c r="F37" s="155">
        <f>Preismodell_Artmodul_v2!D43</f>
        <v>781.82999999999993</v>
      </c>
      <c r="G37" s="155">
        <f>Preismodell_USM!E52</f>
        <v>847.53</v>
      </c>
      <c r="H37" s="155">
        <f>F37-G37</f>
        <v>-65.700000000000045</v>
      </c>
      <c r="I37" s="156">
        <f>H37/G37</f>
        <v>-7.7519379844961295E-2</v>
      </c>
      <c r="J37" s="154" t="str">
        <f>IF(F37&lt;G37,"✅ JA","❌ NEIN")</f>
        <v>✅ JA</v>
      </c>
      <c r="K37" s="155">
        <f>F37/1.19</f>
        <v>657</v>
      </c>
      <c r="L37" s="155">
        <f>F37-K37</f>
        <v>124.82999999999993</v>
      </c>
    </row>
    <row r="38" spans="1:12" x14ac:dyDescent="0.25">
      <c r="A38" s="160"/>
      <c r="B38" s="151">
        <v>580</v>
      </c>
      <c r="C38" s="151">
        <v>500</v>
      </c>
      <c r="D38" s="151">
        <v>180</v>
      </c>
      <c r="E38" s="151">
        <v>175</v>
      </c>
      <c r="F38" s="152">
        <f>Preismodell_Artmodul_v2!D44</f>
        <v>842.52</v>
      </c>
      <c r="G38" s="152">
        <f>Preismodell_USM!E53</f>
        <v>864.69</v>
      </c>
      <c r="H38" s="152">
        <f>F38-G38</f>
        <v>-22.170000000000073</v>
      </c>
      <c r="I38" s="153">
        <f>H38/G38</f>
        <v>-2.5639246435138686E-2</v>
      </c>
      <c r="J38" s="151" t="str">
        <f>IF(F38&lt;G38,"✅ JA","❌ NEIN")</f>
        <v>✅ JA</v>
      </c>
      <c r="K38" s="152">
        <f>F38/1.19</f>
        <v>708</v>
      </c>
      <c r="L38" s="152">
        <f>F38-K38</f>
        <v>134.51999999999998</v>
      </c>
    </row>
    <row r="39" spans="1:12" x14ac:dyDescent="0.25">
      <c r="A39" s="160"/>
      <c r="B39" s="154">
        <v>780</v>
      </c>
      <c r="C39" s="154">
        <v>750</v>
      </c>
      <c r="D39" s="154">
        <v>180</v>
      </c>
      <c r="E39" s="154">
        <v>175</v>
      </c>
      <c r="F39" s="155">
        <f>Preismodell_Artmodul_v2!D45</f>
        <v>911.54</v>
      </c>
      <c r="G39" s="155">
        <f>Preismodell_USM!E54</f>
        <v>905.56</v>
      </c>
      <c r="H39" s="155">
        <f>F39-G39</f>
        <v>5.9800000000000182</v>
      </c>
      <c r="I39" s="156">
        <f>H39/G39</f>
        <v>6.6036485710499783E-3</v>
      </c>
      <c r="J39" s="154" t="str">
        <f>IF(F39&lt;G39,"✅ JA","❌ NEIN")</f>
        <v>❌ NEIN</v>
      </c>
      <c r="K39" s="155">
        <f>F39/1.19</f>
        <v>766</v>
      </c>
      <c r="L39" s="155">
        <f>F39-K39</f>
        <v>145.53999999999996</v>
      </c>
    </row>
    <row r="40" spans="1:12" x14ac:dyDescent="0.25">
      <c r="A40" s="160"/>
      <c r="B40" s="151">
        <v>420</v>
      </c>
      <c r="C40" s="151">
        <v>395</v>
      </c>
      <c r="D40" s="151">
        <v>360</v>
      </c>
      <c r="E40" s="151">
        <v>350</v>
      </c>
      <c r="F40" s="152">
        <f>Preismodell_Artmodul_v2!E43</f>
        <v>853.23</v>
      </c>
      <c r="G40" s="152">
        <f>Preismodell_USM!G52</f>
        <v>878.04</v>
      </c>
      <c r="H40" s="152">
        <f>F40-G40</f>
        <v>-24.809999999999945</v>
      </c>
      <c r="I40" s="153">
        <f>H40/G40</f>
        <v>-2.8256115894492218E-2</v>
      </c>
      <c r="J40" s="151" t="str">
        <f>IF(F40&lt;G40,"✅ JA","❌ NEIN")</f>
        <v>✅ JA</v>
      </c>
      <c r="K40" s="152">
        <f>F40/1.19</f>
        <v>717</v>
      </c>
      <c r="L40" s="152">
        <f>F40-K40</f>
        <v>136.23000000000002</v>
      </c>
    </row>
    <row r="41" spans="1:12" x14ac:dyDescent="0.25">
      <c r="A41" s="160"/>
      <c r="B41" s="154">
        <v>580</v>
      </c>
      <c r="C41" s="154">
        <v>500</v>
      </c>
      <c r="D41" s="154">
        <v>360</v>
      </c>
      <c r="E41" s="154">
        <v>350</v>
      </c>
      <c r="F41" s="155">
        <f>Preismodell_Artmodul_v2!E44</f>
        <v>902.02</v>
      </c>
      <c r="G41" s="155">
        <f>Preismodell_USM!G53</f>
        <v>895.2</v>
      </c>
      <c r="H41" s="155">
        <f>F41-G41</f>
        <v>6.8199999999999363</v>
      </c>
      <c r="I41" s="156">
        <f>H41/G41</f>
        <v>7.6184092940124399E-3</v>
      </c>
      <c r="J41" s="154" t="str">
        <f>IF(F41&lt;G41,"✅ JA","❌ NEIN")</f>
        <v>❌ NEIN</v>
      </c>
      <c r="K41" s="155">
        <f>F41/1.19</f>
        <v>758</v>
      </c>
      <c r="L41" s="155">
        <f>F41-K41</f>
        <v>144.01999999999998</v>
      </c>
    </row>
    <row r="42" spans="1:12" ht="15.75" thickBot="1" x14ac:dyDescent="0.3">
      <c r="A42" s="160"/>
      <c r="B42" s="151">
        <v>780</v>
      </c>
      <c r="C42" s="151">
        <v>750</v>
      </c>
      <c r="D42" s="151">
        <v>360</v>
      </c>
      <c r="E42" s="151">
        <v>350</v>
      </c>
      <c r="F42" s="152">
        <f>Preismodell_Artmodul_v2!E45</f>
        <v>961.52</v>
      </c>
      <c r="G42" s="152">
        <f>Preismodell_USM!G54</f>
        <v>936.07</v>
      </c>
      <c r="H42" s="152">
        <f>F42-G42</f>
        <v>25.449999999999932</v>
      </c>
      <c r="I42" s="153">
        <f>H42/G42</f>
        <v>2.7188137639279041E-2</v>
      </c>
      <c r="J42" s="151" t="str">
        <f>IF(F42&lt;G42,"✅ JA","❌ NEIN")</f>
        <v>❌ NEIN</v>
      </c>
      <c r="K42" s="152">
        <f>F42/1.19</f>
        <v>808</v>
      </c>
      <c r="L42" s="152">
        <f>F42-K42</f>
        <v>153.51999999999998</v>
      </c>
    </row>
    <row r="43" spans="1:12" x14ac:dyDescent="0.25">
      <c r="A43" s="122" t="s">
        <v>462</v>
      </c>
      <c r="B43" s="123"/>
      <c r="C43" s="123"/>
      <c r="D43" s="123"/>
      <c r="E43" s="123"/>
      <c r="F43" s="124">
        <f>AVERAGE(F25:F42)</f>
        <v>707.12444444444452</v>
      </c>
      <c r="G43" s="124">
        <f>AVERAGE(G25:G42)</f>
        <v>702.7116666666667</v>
      </c>
      <c r="H43" s="124">
        <f>AVERAGE(H25:H42)</f>
        <v>4.4127777777777561</v>
      </c>
      <c r="I43" s="161">
        <f>AVERAGE(I25:I42)</f>
        <v>1.1841560019091734E-2</v>
      </c>
      <c r="J43" s="123"/>
      <c r="K43" s="124">
        <f>AVERAGE(K25:K42)</f>
        <v>594.22222222222217</v>
      </c>
      <c r="L43" s="124">
        <f>AVERAGE(L25:L42)</f>
        <v>112.90222222222219</v>
      </c>
    </row>
    <row r="46" spans="1:12" x14ac:dyDescent="0.25">
      <c r="A46" s="65" t="s">
        <v>463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</row>
    <row r="47" spans="1:12" x14ac:dyDescent="0.25">
      <c r="A47" s="75" t="s">
        <v>11</v>
      </c>
      <c r="B47" s="165" t="s">
        <v>493</v>
      </c>
      <c r="C47" s="120"/>
      <c r="D47" s="120"/>
      <c r="E47" s="120"/>
      <c r="F47" s="121">
        <f>AVERAGE(F7,F8,F9,F10,F11,F12,F25,F26,F27,F28,F29,F30)</f>
        <v>494.24666666666667</v>
      </c>
      <c r="G47" s="121">
        <f>AVERAGE(G7,G8,G9,G10,G11,G12,G25,G26,G27,G28,G29,G30)</f>
        <v>481.25833333333338</v>
      </c>
      <c r="H47" s="121">
        <f>AVERAGE(H7,H8,H9,H10,H11,H12,H25,H26,H27,H28,H29,H30)</f>
        <v>12.988333333333316</v>
      </c>
      <c r="I47" s="125">
        <f>AVERAGE(I7,I8,I9,I10,I11,I12,I25,I26,I27,I28,I29,I30)</f>
        <v>2.5768333104351313E-2</v>
      </c>
      <c r="J47" s="120"/>
      <c r="K47" s="121">
        <f>AVERAGE(K7,K8,K9,K10,K11,K12,K25,K26,K27,K28,K29,K30)</f>
        <v>415.33333333333331</v>
      </c>
      <c r="L47" s="121">
        <f>AVERAGE(L7,L8,L9,L10,L11,L12,L25,L26,L27,L28,L29,L30)</f>
        <v>78.913333333333313</v>
      </c>
    </row>
    <row r="48" spans="1:12" x14ac:dyDescent="0.25">
      <c r="A48" s="90" t="s">
        <v>12</v>
      </c>
      <c r="B48" s="165" t="s">
        <v>494</v>
      </c>
      <c r="C48" s="120"/>
      <c r="D48" s="120"/>
      <c r="E48" s="120"/>
      <c r="F48" s="121">
        <f>AVERAGE(F13,F14,F15,F31,F32,F33,F34,F35,F36)</f>
        <v>697.47222222222217</v>
      </c>
      <c r="G48" s="121">
        <f>AVERAGE(G13,G14,G15,G31,G32,G33,G34,G35,G36)</f>
        <v>713.08000000000015</v>
      </c>
      <c r="H48" s="121">
        <f>AVERAGE(H13,H14,H15,H31,H32,H33,H34,H35,H36)</f>
        <v>-15.607777777777805</v>
      </c>
      <c r="I48" s="125">
        <f>AVERAGE(I13,I14,I15,I31,I32,I33,I34,I35,I36)</f>
        <v>-2.3260988879461861E-2</v>
      </c>
      <c r="J48" s="120"/>
      <c r="K48" s="121">
        <f>AVERAGE(K13,K14,K15,K31,K32,K33,K34,K35,K36)</f>
        <v>586.11111111111109</v>
      </c>
      <c r="L48" s="121">
        <f>AVERAGE(L13,L14,L15,L31,L32,L33,L34,L35,L36)</f>
        <v>111.3611111111111</v>
      </c>
    </row>
    <row r="49" spans="1:12" x14ac:dyDescent="0.25">
      <c r="A49" s="105" t="s">
        <v>14</v>
      </c>
      <c r="B49" s="165" t="s">
        <v>495</v>
      </c>
      <c r="C49" s="120"/>
      <c r="D49" s="120"/>
      <c r="E49" s="120"/>
      <c r="F49" s="121">
        <f>AVERAGE(F16,F17,F18,F19,F20,F37,F38,F39,F40,F41,F42)</f>
        <v>853.01363636363646</v>
      </c>
      <c r="G49" s="121">
        <f>AVERAGE(G16,G17,G18,G19,G20,G37,G38,G39,G40,G41,G42)</f>
        <v>871.50454545454534</v>
      </c>
      <c r="H49" s="121">
        <f>AVERAGE(H16,H17,H18,H19,H20,H37,H38,H39,H40,H41,H42)</f>
        <v>-18.49090909090912</v>
      </c>
      <c r="I49" s="125">
        <f>AVERAGE(I16,I17,I18,I19,I20,I37,I38,I39,I40,I41,I42)</f>
        <v>-2.1882038178720156E-2</v>
      </c>
      <c r="J49" s="120"/>
      <c r="K49" s="121">
        <f>AVERAGE(K16,K17,K18,K19,K20,K37,K38,K39,K40,K41,K42)</f>
        <v>716.81818181818187</v>
      </c>
      <c r="L49" s="121">
        <f>AVERAGE(L16,L17,L18,L19,L20,L37,L38,L39,L40,L41,L42)</f>
        <v>136.19545454545451</v>
      </c>
    </row>
    <row r="51" spans="1:12" x14ac:dyDescent="0.25">
      <c r="A51" s="126" t="s">
        <v>466</v>
      </c>
      <c r="B51" s="126" t="s">
        <v>496</v>
      </c>
      <c r="C51" s="126"/>
      <c r="D51" s="126"/>
      <c r="E51" s="126"/>
      <c r="F51" s="127">
        <f>AVERAGE(F7,F8,F9,F10,F11,F12,F25,F26,F27,F28,F29,F30,F13,F14,F15,F31,F32,F33,F34,F35,F36,F16,F17,F18,F19,F20,F37,F38,F39,F40,F41,F42)</f>
        <v>674.73</v>
      </c>
      <c r="G51" s="127">
        <f>AVERAGE(G7,G8,G9,G10,G11,G12,G25,G26,G27,G28,G29,G30,G13,G14,G15,G31,G32,G33,G34,G35,G36,G16,G17,G18,G19,G20,G37,G38,G39,G40,G41,G42)</f>
        <v>680.60531250000008</v>
      </c>
      <c r="H51" s="127">
        <f>AVERAGE(H7,H8,H9,H10,H11,H12,H25,H26,H27,H28,H29,H30,H13,H14,H15,H31,H32,H33,H34,H35,H36,H16,H17,H18,H19,H20,H37,H38,H39,H40,H41,H42)</f>
        <v>-5.8753125000000246</v>
      </c>
      <c r="I51" s="128">
        <f>AVERAGE(I7,I8,I9,I10,I11,I12,I25,I26,I27,I28,I29,I30,I13,I14,I15,I31,I32,I33,I34,I35,I36,I16,I17,I18,I19,I20,I37,I38,I39,I40,I41,I42)</f>
        <v>-4.4009788321519592E-3</v>
      </c>
      <c r="J51" s="126"/>
      <c r="K51" s="127">
        <f>AVERAGE(K7,K8,K9,K10,K11,K12,K25,K26,K27,K28,K29,K30,K13,K14,K15,K31,K32,K33,K34,K35,K36,K16,K17,K18,K19,K20,K37,K38,K39,K40,K41,K42)</f>
        <v>567</v>
      </c>
      <c r="L51" s="127">
        <f>AVERAGE(L7,L8,L9,L10,L11,L12,L25,L26,L27,L28,L29,L30,L13,L14,L15,L31,L32,L33,L34,L35,L36,L16,L17,L18,L19,L20,L37,L38,L39,L40,L41,L42)</f>
        <v>107.72999999999998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Erkenntnisse</vt:lpstr>
      <vt:lpstr>Preismodell_USM</vt:lpstr>
      <vt:lpstr>Annahmen &amp; Aufschläge</vt:lpstr>
      <vt:lpstr>Brutto-Übersicht (T=350)</vt:lpstr>
      <vt:lpstr>Preismodell_Artmodul_alt</vt:lpstr>
      <vt:lpstr>Artmodul_Einzelteilpreise_alt</vt:lpstr>
      <vt:lpstr>Größentabelle</vt:lpstr>
      <vt:lpstr>Preismodell_Artmodul_v2</vt:lpstr>
      <vt:lpstr>Artmodul_Preislogik</vt:lpstr>
      <vt:lpstr>Preisvergleich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Hachtel</cp:lastModifiedBy>
  <cp:revision>0</cp:revision>
  <dcterms:created xsi:type="dcterms:W3CDTF">2026-03-18T17:43:55Z</dcterms:created>
  <dcterms:modified xsi:type="dcterms:W3CDTF">2026-03-18T19:57:11Z</dcterms:modified>
  <dc:language>en-US</dc:language>
</cp:coreProperties>
</file>